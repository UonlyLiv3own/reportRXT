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HXuan\RXT-GIAI-NGAN\data\"/>
    </mc:Choice>
  </mc:AlternateContent>
  <xr:revisionPtr revIDLastSave="0" documentId="13_ncr:1_{1CBC2F90-C45C-45E9-8EFC-D1ED474247FE}" xr6:coauthVersionLast="47" xr6:coauthVersionMax="47" xr10:uidLastSave="{00000000-0000-0000-0000-000000000000}"/>
  <bookViews>
    <workbookView xWindow="-120" yWindow="-120" windowWidth="24240" windowHeight="13140" activeTab="4" xr2:uid="{00000000-000D-0000-FFFF-FFFF00000000}"/>
  </bookViews>
  <sheets>
    <sheet name="Tổng hơp RXT - Bình Thạnh" sheetId="1" r:id="rId1"/>
    <sheet name="Chưa chi BT lần đầu" sheetId="6" r:id="rId2"/>
    <sheet name="Chưa chi BT BS" sheetId="5" r:id="rId3"/>
    <sheet name="Chưa chi BGMB" sheetId="8" r:id="rId4"/>
    <sheet name="Chưa chi Tạm cư" sheetId="2" r:id="rId5"/>
    <sheet name="Tổng hơp RXT - Bình Thạnh (2)" sheetId="3" state="hidden" r:id="rId6"/>
    <sheet name="Tạm cư " sheetId="4" state="hidden" r:id="rId7"/>
  </sheets>
  <definedNames>
    <definedName name="_xlnm._FilterDatabase" localSheetId="6" hidden="1">'Tạm cư '!$A$13:$AS$926</definedName>
    <definedName name="_xlnm._FilterDatabase" localSheetId="0" hidden="1">'Tổng hơp RXT - Bình Thạnh'!$A$13:$BJ$897</definedName>
    <definedName name="_xlnm._FilterDatabase" localSheetId="5" hidden="1">'Tổng hơp RXT - Bình Thạnh (2)'!$A$4:$AS$888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6" l="1"/>
  <c r="O3" i="8"/>
  <c r="O3" i="5"/>
  <c r="O3" i="2"/>
  <c r="Z926" i="4" l="1"/>
  <c r="Y926" i="4"/>
  <c r="X926" i="4"/>
  <c r="Q926" i="4"/>
  <c r="Z925" i="4"/>
  <c r="Y925" i="4"/>
  <c r="X925" i="4"/>
  <c r="Q925" i="4"/>
  <c r="Z924" i="4"/>
  <c r="Y924" i="4"/>
  <c r="X924" i="4"/>
  <c r="Q924" i="4"/>
  <c r="Z923" i="4"/>
  <c r="Y923" i="4"/>
  <c r="X923" i="4"/>
  <c r="Q923" i="4"/>
  <c r="Z922" i="4"/>
  <c r="Y922" i="4"/>
  <c r="X922" i="4"/>
  <c r="Q922" i="4"/>
  <c r="Z921" i="4"/>
  <c r="Y921" i="4"/>
  <c r="X921" i="4"/>
  <c r="Q921" i="4"/>
  <c r="Z920" i="4"/>
  <c r="Y920" i="4"/>
  <c r="X920" i="4"/>
  <c r="Q920" i="4"/>
  <c r="Z919" i="4"/>
  <c r="Y919" i="4"/>
  <c r="X919" i="4"/>
  <c r="Q919" i="4"/>
  <c r="Z918" i="4"/>
  <c r="Y918" i="4"/>
  <c r="X918" i="4"/>
  <c r="Q918" i="4"/>
  <c r="Z917" i="4"/>
  <c r="Y917" i="4"/>
  <c r="X917" i="4"/>
  <c r="Q917" i="4"/>
  <c r="Z916" i="4"/>
  <c r="Y916" i="4"/>
  <c r="X916" i="4"/>
  <c r="Q916" i="4"/>
  <c r="Z915" i="4"/>
  <c r="Y915" i="4"/>
  <c r="X915" i="4"/>
  <c r="Q915" i="4"/>
  <c r="Z914" i="4"/>
  <c r="Y914" i="4"/>
  <c r="X914" i="4"/>
  <c r="Q914" i="4"/>
  <c r="Z913" i="4"/>
  <c r="Y913" i="4"/>
  <c r="X913" i="4"/>
  <c r="Q913" i="4"/>
  <c r="Z912" i="4"/>
  <c r="Y912" i="4"/>
  <c r="X912" i="4"/>
  <c r="Q912" i="4"/>
  <c r="Z911" i="4"/>
  <c r="Y911" i="4"/>
  <c r="X911" i="4"/>
  <c r="Q911" i="4"/>
  <c r="Z910" i="4"/>
  <c r="Y910" i="4"/>
  <c r="X910" i="4"/>
  <c r="Q910" i="4"/>
  <c r="Z909" i="4"/>
  <c r="Y909" i="4"/>
  <c r="X909" i="4"/>
  <c r="Q909" i="4"/>
  <c r="Z908" i="4"/>
  <c r="Y908" i="4"/>
  <c r="X908" i="4"/>
  <c r="Q908" i="4"/>
  <c r="Z907" i="4"/>
  <c r="Y907" i="4"/>
  <c r="X907" i="4"/>
  <c r="Q907" i="4"/>
  <c r="Z906" i="4"/>
  <c r="Y906" i="4"/>
  <c r="X906" i="4"/>
  <c r="Q906" i="4"/>
  <c r="Z905" i="4"/>
  <c r="Y905" i="4"/>
  <c r="X905" i="4"/>
  <c r="Q905" i="4"/>
  <c r="Z904" i="4"/>
  <c r="Y904" i="4"/>
  <c r="X904" i="4"/>
  <c r="Q904" i="4"/>
  <c r="Z903" i="4"/>
  <c r="Y903" i="4"/>
  <c r="X903" i="4"/>
  <c r="Q903" i="4"/>
  <c r="Z902" i="4"/>
  <c r="Y902" i="4"/>
  <c r="X902" i="4"/>
  <c r="Q902" i="4"/>
  <c r="Z901" i="4"/>
  <c r="Y901" i="4"/>
  <c r="X901" i="4"/>
  <c r="Q901" i="4"/>
  <c r="Z900" i="4"/>
  <c r="Y900" i="4"/>
  <c r="X900" i="4"/>
  <c r="Q900" i="4"/>
  <c r="Z899" i="4"/>
  <c r="Y899" i="4"/>
  <c r="X899" i="4"/>
  <c r="Q899" i="4"/>
  <c r="Z898" i="4"/>
  <c r="Z897" i="4"/>
  <c r="Y897" i="4"/>
  <c r="X897" i="4"/>
  <c r="Q897" i="4"/>
  <c r="Z896" i="4"/>
  <c r="Y896" i="4"/>
  <c r="X896" i="4"/>
  <c r="Q896" i="4"/>
  <c r="Z895" i="4"/>
  <c r="Y895" i="4"/>
  <c r="X895" i="4"/>
  <c r="Q895" i="4"/>
  <c r="Z894" i="4"/>
  <c r="Z893" i="4"/>
  <c r="Y893" i="4"/>
  <c r="X893" i="4"/>
  <c r="Q893" i="4"/>
  <c r="Z892" i="4"/>
  <c r="Y892" i="4"/>
  <c r="X892" i="4"/>
  <c r="Q892" i="4"/>
  <c r="Z891" i="4"/>
  <c r="Y891" i="4"/>
  <c r="X891" i="4"/>
  <c r="Q891" i="4"/>
  <c r="Z890" i="4"/>
  <c r="Y890" i="4"/>
  <c r="X890" i="4"/>
  <c r="Q890" i="4"/>
  <c r="Z889" i="4"/>
  <c r="Y889" i="4"/>
  <c r="X889" i="4"/>
  <c r="Q889" i="4"/>
  <c r="Z888" i="4"/>
  <c r="Y888" i="4"/>
  <c r="X888" i="4"/>
  <c r="Q888" i="4"/>
  <c r="Z887" i="4"/>
  <c r="Y887" i="4"/>
  <c r="X887" i="4"/>
  <c r="Q887" i="4"/>
  <c r="Z886" i="4"/>
  <c r="Y886" i="4"/>
  <c r="X886" i="4"/>
  <c r="Q886" i="4"/>
  <c r="Z885" i="4"/>
  <c r="Y885" i="4"/>
  <c r="X885" i="4"/>
  <c r="Q885" i="4"/>
  <c r="Z884" i="4"/>
  <c r="Y884" i="4"/>
  <c r="X884" i="4"/>
  <c r="Q884" i="4"/>
  <c r="Z883" i="4"/>
  <c r="Y883" i="4"/>
  <c r="X883" i="4"/>
  <c r="Q883" i="4"/>
  <c r="Z882" i="4"/>
  <c r="Y882" i="4"/>
  <c r="X882" i="4"/>
  <c r="Q882" i="4"/>
  <c r="Z881" i="4"/>
  <c r="Y881" i="4"/>
  <c r="X881" i="4"/>
  <c r="Q881" i="4"/>
  <c r="Z880" i="4"/>
  <c r="Y880" i="4"/>
  <c r="X880" i="4"/>
  <c r="Q880" i="4"/>
  <c r="Z879" i="4"/>
  <c r="Y879" i="4"/>
  <c r="X879" i="4"/>
  <c r="Q879" i="4"/>
  <c r="Z878" i="4"/>
  <c r="Y878" i="4"/>
  <c r="X878" i="4"/>
  <c r="Q878" i="4"/>
  <c r="Z877" i="4"/>
  <c r="Y877" i="4"/>
  <c r="X877" i="4"/>
  <c r="Q877" i="4"/>
  <c r="Z876" i="4"/>
  <c r="Y876" i="4"/>
  <c r="X876" i="4"/>
  <c r="Q876" i="4"/>
  <c r="Z875" i="4"/>
  <c r="Y875" i="4"/>
  <c r="X875" i="4"/>
  <c r="Q875" i="4"/>
  <c r="Z874" i="4"/>
  <c r="Y874" i="4"/>
  <c r="X874" i="4"/>
  <c r="Q874" i="4"/>
  <c r="Z873" i="4"/>
  <c r="Y873" i="4"/>
  <c r="X873" i="4"/>
  <c r="Q873" i="4"/>
  <c r="Z872" i="4"/>
  <c r="Y872" i="4"/>
  <c r="X872" i="4"/>
  <c r="Q872" i="4"/>
  <c r="Z871" i="4"/>
  <c r="Y871" i="4"/>
  <c r="X871" i="4"/>
  <c r="Q871" i="4"/>
  <c r="Z870" i="4"/>
  <c r="Y870" i="4"/>
  <c r="X870" i="4"/>
  <c r="Q870" i="4"/>
  <c r="Z869" i="4"/>
  <c r="Y869" i="4"/>
  <c r="X869" i="4"/>
  <c r="Q869" i="4"/>
  <c r="Z868" i="4"/>
  <c r="Y868" i="4"/>
  <c r="X868" i="4"/>
  <c r="Q868" i="4"/>
  <c r="Z867" i="4"/>
  <c r="Y867" i="4"/>
  <c r="X867" i="4"/>
  <c r="Q867" i="4"/>
  <c r="Z866" i="4"/>
  <c r="Y866" i="4"/>
  <c r="X866" i="4"/>
  <c r="Q866" i="4"/>
  <c r="Z865" i="4"/>
  <c r="Y865" i="4"/>
  <c r="X865" i="4"/>
  <c r="Q865" i="4"/>
  <c r="Z864" i="4"/>
  <c r="Y864" i="4"/>
  <c r="X864" i="4"/>
  <c r="Q864" i="4"/>
  <c r="Z863" i="4"/>
  <c r="Y863" i="4"/>
  <c r="X863" i="4"/>
  <c r="Q863" i="4"/>
  <c r="Z862" i="4"/>
  <c r="Y862" i="4"/>
  <c r="X862" i="4"/>
  <c r="Q862" i="4"/>
  <c r="Z861" i="4"/>
  <c r="Y861" i="4"/>
  <c r="X861" i="4"/>
  <c r="Q861" i="4"/>
  <c r="Z860" i="4"/>
  <c r="Y860" i="4"/>
  <c r="X860" i="4"/>
  <c r="Q860" i="4"/>
  <c r="Z859" i="4"/>
  <c r="Y859" i="4"/>
  <c r="X859" i="4"/>
  <c r="Q859" i="4"/>
  <c r="Z858" i="4"/>
  <c r="Y858" i="4"/>
  <c r="X858" i="4"/>
  <c r="Q858" i="4"/>
  <c r="Z857" i="4"/>
  <c r="Y857" i="4"/>
  <c r="X857" i="4"/>
  <c r="Q857" i="4"/>
  <c r="Z856" i="4"/>
  <c r="Y856" i="4"/>
  <c r="X856" i="4"/>
  <c r="Q856" i="4"/>
  <c r="Z855" i="4"/>
  <c r="Y855" i="4"/>
  <c r="X855" i="4"/>
  <c r="Q855" i="4"/>
  <c r="Z854" i="4"/>
  <c r="Y854" i="4"/>
  <c r="X854" i="4"/>
  <c r="Q854" i="4"/>
  <c r="Z853" i="4"/>
  <c r="Y853" i="4"/>
  <c r="X853" i="4"/>
  <c r="Q853" i="4"/>
  <c r="Z852" i="4"/>
  <c r="Y852" i="4"/>
  <c r="X852" i="4"/>
  <c r="Q852" i="4"/>
  <c r="Z851" i="4"/>
  <c r="Y851" i="4"/>
  <c r="X851" i="4"/>
  <c r="Q851" i="4"/>
  <c r="Z850" i="4"/>
  <c r="Y850" i="4"/>
  <c r="X850" i="4"/>
  <c r="Q850" i="4"/>
  <c r="Z849" i="4"/>
  <c r="Y849" i="4"/>
  <c r="X849" i="4"/>
  <c r="Q849" i="4"/>
  <c r="Z848" i="4"/>
  <c r="Y848" i="4"/>
  <c r="X848" i="4"/>
  <c r="Q848" i="4"/>
  <c r="Z847" i="4"/>
  <c r="Z846" i="4"/>
  <c r="Y846" i="4"/>
  <c r="X846" i="4"/>
  <c r="Q846" i="4"/>
  <c r="Z845" i="4"/>
  <c r="Y845" i="4"/>
  <c r="X845" i="4"/>
  <c r="Q845" i="4"/>
  <c r="Z844" i="4"/>
  <c r="Y844" i="4"/>
  <c r="X844" i="4"/>
  <c r="Q844" i="4"/>
  <c r="Z843" i="4"/>
  <c r="Y843" i="4"/>
  <c r="X843" i="4"/>
  <c r="Q843" i="4"/>
  <c r="Z842" i="4"/>
  <c r="Y842" i="4"/>
  <c r="X842" i="4"/>
  <c r="Q842" i="4"/>
  <c r="Z841" i="4"/>
  <c r="Y841" i="4"/>
  <c r="X841" i="4"/>
  <c r="Q841" i="4"/>
  <c r="Z840" i="4"/>
  <c r="Y840" i="4"/>
  <c r="X840" i="4"/>
  <c r="Q840" i="4"/>
  <c r="Z839" i="4"/>
  <c r="Y839" i="4"/>
  <c r="X839" i="4"/>
  <c r="Q839" i="4"/>
  <c r="Z838" i="4"/>
  <c r="Y838" i="4"/>
  <c r="X838" i="4"/>
  <c r="Q838" i="4"/>
  <c r="Z837" i="4"/>
  <c r="Y837" i="4"/>
  <c r="X837" i="4"/>
  <c r="Q837" i="4"/>
  <c r="Z836" i="4"/>
  <c r="Y836" i="4"/>
  <c r="X836" i="4"/>
  <c r="Q836" i="4"/>
  <c r="Z835" i="4"/>
  <c r="Y835" i="4"/>
  <c r="X835" i="4"/>
  <c r="Q835" i="4"/>
  <c r="Z834" i="4"/>
  <c r="Z833" i="4"/>
  <c r="Y833" i="4"/>
  <c r="X833" i="4"/>
  <c r="Q833" i="4"/>
  <c r="Z832" i="4"/>
  <c r="Y832" i="4"/>
  <c r="X832" i="4"/>
  <c r="Q832" i="4"/>
  <c r="Z831" i="4"/>
  <c r="Y831" i="4"/>
  <c r="X831" i="4"/>
  <c r="Q831" i="4"/>
  <c r="Z830" i="4"/>
  <c r="Y830" i="4"/>
  <c r="X830" i="4"/>
  <c r="Q830" i="4"/>
  <c r="Z829" i="4"/>
  <c r="Y829" i="4"/>
  <c r="X829" i="4"/>
  <c r="Q829" i="4"/>
  <c r="Z828" i="4"/>
  <c r="Y828" i="4"/>
  <c r="X828" i="4"/>
  <c r="Q828" i="4"/>
  <c r="Z827" i="4"/>
  <c r="Y827" i="4"/>
  <c r="X827" i="4"/>
  <c r="Q827" i="4"/>
  <c r="Z826" i="4"/>
  <c r="Y826" i="4"/>
  <c r="X826" i="4"/>
  <c r="Q826" i="4"/>
  <c r="Z825" i="4"/>
  <c r="Y825" i="4"/>
  <c r="X825" i="4"/>
  <c r="Q825" i="4"/>
  <c r="Z824" i="4"/>
  <c r="Y824" i="4"/>
  <c r="X824" i="4"/>
  <c r="Q824" i="4"/>
  <c r="Z823" i="4"/>
  <c r="Y823" i="4"/>
  <c r="X823" i="4"/>
  <c r="Q823" i="4"/>
  <c r="Z822" i="4"/>
  <c r="Y822" i="4"/>
  <c r="X822" i="4"/>
  <c r="Q822" i="4"/>
  <c r="Z821" i="4"/>
  <c r="Y821" i="4"/>
  <c r="X821" i="4"/>
  <c r="Q821" i="4"/>
  <c r="Z820" i="4"/>
  <c r="Y820" i="4"/>
  <c r="X820" i="4"/>
  <c r="Q820" i="4"/>
  <c r="Z819" i="4"/>
  <c r="Y819" i="4"/>
  <c r="X819" i="4"/>
  <c r="Q819" i="4"/>
  <c r="Z818" i="4"/>
  <c r="Y818" i="4"/>
  <c r="X818" i="4"/>
  <c r="Q818" i="4"/>
  <c r="Z817" i="4"/>
  <c r="Y817" i="4"/>
  <c r="X817" i="4"/>
  <c r="Q817" i="4"/>
  <c r="Z816" i="4"/>
  <c r="Y816" i="4"/>
  <c r="X816" i="4"/>
  <c r="Q816" i="4"/>
  <c r="Z815" i="4"/>
  <c r="Z814" i="4"/>
  <c r="Y814" i="4"/>
  <c r="X814" i="4"/>
  <c r="Q814" i="4"/>
  <c r="Z813" i="4"/>
  <c r="Y813" i="4"/>
  <c r="X813" i="4"/>
  <c r="Q813" i="4"/>
  <c r="Z812" i="4"/>
  <c r="Y812" i="4"/>
  <c r="X812" i="4"/>
  <c r="Q812" i="4"/>
  <c r="Z811" i="4"/>
  <c r="Y811" i="4"/>
  <c r="X811" i="4"/>
  <c r="Q811" i="4"/>
  <c r="Z810" i="4"/>
  <c r="Y810" i="4"/>
  <c r="X810" i="4"/>
  <c r="Q810" i="4"/>
  <c r="Z809" i="4"/>
  <c r="Y809" i="4"/>
  <c r="X809" i="4"/>
  <c r="Q809" i="4"/>
  <c r="Z808" i="4"/>
  <c r="Y808" i="4"/>
  <c r="X808" i="4"/>
  <c r="Q808" i="4"/>
  <c r="Z807" i="4"/>
  <c r="Y807" i="4"/>
  <c r="X807" i="4"/>
  <c r="Q807" i="4"/>
  <c r="Z806" i="4"/>
  <c r="Y806" i="4"/>
  <c r="X806" i="4"/>
  <c r="Q806" i="4"/>
  <c r="Z805" i="4"/>
  <c r="Y805" i="4"/>
  <c r="X805" i="4"/>
  <c r="Q805" i="4"/>
  <c r="Z804" i="4"/>
  <c r="Y804" i="4"/>
  <c r="X804" i="4"/>
  <c r="Q804" i="4"/>
  <c r="Z803" i="4"/>
  <c r="Y803" i="4"/>
  <c r="X803" i="4"/>
  <c r="Q803" i="4"/>
  <c r="Z802" i="4"/>
  <c r="Y802" i="4"/>
  <c r="X802" i="4"/>
  <c r="Q802" i="4"/>
  <c r="Z801" i="4"/>
  <c r="Y801" i="4"/>
  <c r="X801" i="4"/>
  <c r="Q801" i="4"/>
  <c r="Z800" i="4"/>
  <c r="Y800" i="4"/>
  <c r="X800" i="4"/>
  <c r="Q800" i="4"/>
  <c r="Z799" i="4"/>
  <c r="Y799" i="4"/>
  <c r="X799" i="4"/>
  <c r="Q799" i="4"/>
  <c r="Z798" i="4"/>
  <c r="Y798" i="4"/>
  <c r="X798" i="4"/>
  <c r="Q798" i="4"/>
  <c r="Z797" i="4"/>
  <c r="Y797" i="4"/>
  <c r="X797" i="4"/>
  <c r="Q797" i="4"/>
  <c r="Z796" i="4"/>
  <c r="Z795" i="4"/>
  <c r="Y795" i="4"/>
  <c r="X795" i="4"/>
  <c r="Q795" i="4"/>
  <c r="Z794" i="4"/>
  <c r="Y794" i="4"/>
  <c r="X794" i="4"/>
  <c r="Q794" i="4"/>
  <c r="Z793" i="4"/>
  <c r="Y793" i="4"/>
  <c r="X793" i="4"/>
  <c r="Q793" i="4"/>
  <c r="Z792" i="4"/>
  <c r="Y792" i="4"/>
  <c r="X792" i="4"/>
  <c r="Q792" i="4"/>
  <c r="Z791" i="4"/>
  <c r="Z790" i="4"/>
  <c r="Y790" i="4"/>
  <c r="X790" i="4"/>
  <c r="Q790" i="4"/>
  <c r="Z789" i="4"/>
  <c r="Y789" i="4"/>
  <c r="X789" i="4"/>
  <c r="Q789" i="4"/>
  <c r="Z788" i="4"/>
  <c r="Y788" i="4"/>
  <c r="X788" i="4"/>
  <c r="Q788" i="4"/>
  <c r="Z787" i="4"/>
  <c r="Y787" i="4"/>
  <c r="X787" i="4"/>
  <c r="Q787" i="4"/>
  <c r="Z786" i="4"/>
  <c r="Y786" i="4"/>
  <c r="X786" i="4"/>
  <c r="Q786" i="4"/>
  <c r="Z785" i="4"/>
  <c r="Y785" i="4"/>
  <c r="X785" i="4"/>
  <c r="Q785" i="4"/>
  <c r="Z784" i="4"/>
  <c r="Y784" i="4"/>
  <c r="X784" i="4"/>
  <c r="Q784" i="4"/>
  <c r="Z783" i="4"/>
  <c r="Y783" i="4"/>
  <c r="X783" i="4"/>
  <c r="Q783" i="4"/>
  <c r="Z782" i="4"/>
  <c r="Y782" i="4"/>
  <c r="X782" i="4"/>
  <c r="Q782" i="4"/>
  <c r="Z781" i="4"/>
  <c r="Z780" i="4"/>
  <c r="Y780" i="4"/>
  <c r="X780" i="4"/>
  <c r="Q780" i="4"/>
  <c r="Z779" i="4"/>
  <c r="Y779" i="4"/>
  <c r="X779" i="4"/>
  <c r="Q779" i="4"/>
  <c r="Z778" i="4"/>
  <c r="Y778" i="4"/>
  <c r="X778" i="4"/>
  <c r="Q778" i="4"/>
  <c r="Z777" i="4"/>
  <c r="Z776" i="4"/>
  <c r="Z775" i="4"/>
  <c r="Y775" i="4"/>
  <c r="X775" i="4"/>
  <c r="Q775" i="4"/>
  <c r="Z774" i="4"/>
  <c r="Y774" i="4"/>
  <c r="X774" i="4"/>
  <c r="Q774" i="4"/>
  <c r="Z773" i="4"/>
  <c r="Y773" i="4"/>
  <c r="X773" i="4"/>
  <c r="Q773" i="4"/>
  <c r="Z772" i="4"/>
  <c r="Y772" i="4"/>
  <c r="X772" i="4"/>
  <c r="Q772" i="4"/>
  <c r="Z771" i="4"/>
  <c r="Y771" i="4"/>
  <c r="X771" i="4"/>
  <c r="Q771" i="4"/>
  <c r="Z770" i="4"/>
  <c r="Y770" i="4"/>
  <c r="X770" i="4"/>
  <c r="Q770" i="4"/>
  <c r="Z769" i="4"/>
  <c r="Y769" i="4"/>
  <c r="X769" i="4"/>
  <c r="Q769" i="4"/>
  <c r="Z768" i="4"/>
  <c r="Y768" i="4"/>
  <c r="X768" i="4"/>
  <c r="Q768" i="4"/>
  <c r="Z767" i="4"/>
  <c r="Y767" i="4"/>
  <c r="X767" i="4"/>
  <c r="Q767" i="4"/>
  <c r="Z766" i="4"/>
  <c r="Y766" i="4"/>
  <c r="X766" i="4"/>
  <c r="Q766" i="4"/>
  <c r="Z765" i="4"/>
  <c r="Y765" i="4"/>
  <c r="X765" i="4"/>
  <c r="Q765" i="4"/>
  <c r="Z764" i="4"/>
  <c r="Y764" i="4"/>
  <c r="X764" i="4"/>
  <c r="Q764" i="4"/>
  <c r="Z763" i="4"/>
  <c r="Y763" i="4"/>
  <c r="X763" i="4"/>
  <c r="Q763" i="4"/>
  <c r="Z762" i="4"/>
  <c r="Y762" i="4"/>
  <c r="X762" i="4"/>
  <c r="Q762" i="4"/>
  <c r="Z761" i="4"/>
  <c r="Y761" i="4"/>
  <c r="X761" i="4"/>
  <c r="Q761" i="4"/>
  <c r="Z760" i="4"/>
  <c r="Y760" i="4"/>
  <c r="X760" i="4"/>
  <c r="Q760" i="4"/>
  <c r="Z759" i="4"/>
  <c r="Y759" i="4"/>
  <c r="X759" i="4"/>
  <c r="Q759" i="4"/>
  <c r="Z758" i="4"/>
  <c r="Y758" i="4"/>
  <c r="X758" i="4"/>
  <c r="Q758" i="4"/>
  <c r="Z757" i="4"/>
  <c r="Y757" i="4"/>
  <c r="X757" i="4"/>
  <c r="Q757" i="4"/>
  <c r="Z756" i="4"/>
  <c r="Y756" i="4"/>
  <c r="X756" i="4"/>
  <c r="Q756" i="4"/>
  <c r="Z755" i="4"/>
  <c r="Y755" i="4"/>
  <c r="X755" i="4"/>
  <c r="Q755" i="4"/>
  <c r="Z754" i="4"/>
  <c r="Y754" i="4"/>
  <c r="X754" i="4"/>
  <c r="Q754" i="4"/>
  <c r="Z753" i="4"/>
  <c r="Z752" i="4"/>
  <c r="Y752" i="4"/>
  <c r="X752" i="4"/>
  <c r="Q752" i="4"/>
  <c r="Z751" i="4"/>
  <c r="Y751" i="4"/>
  <c r="X751" i="4"/>
  <c r="Q751" i="4"/>
  <c r="Z750" i="4"/>
  <c r="Y750" i="4"/>
  <c r="X750" i="4"/>
  <c r="Q750" i="4"/>
  <c r="Z749" i="4"/>
  <c r="Y749" i="4"/>
  <c r="X749" i="4"/>
  <c r="Q749" i="4"/>
  <c r="Z748" i="4"/>
  <c r="Y748" i="4"/>
  <c r="X748" i="4"/>
  <c r="Q748" i="4"/>
  <c r="Z747" i="4"/>
  <c r="Y747" i="4"/>
  <c r="X747" i="4"/>
  <c r="Q747" i="4"/>
  <c r="Z746" i="4"/>
  <c r="Y746" i="4"/>
  <c r="X746" i="4"/>
  <c r="Q746" i="4"/>
  <c r="Z745" i="4"/>
  <c r="Y745" i="4"/>
  <c r="X745" i="4"/>
  <c r="Q745" i="4"/>
  <c r="Z744" i="4"/>
  <c r="Y744" i="4"/>
  <c r="X744" i="4"/>
  <c r="Q744" i="4"/>
  <c r="Z743" i="4"/>
  <c r="Y743" i="4"/>
  <c r="X743" i="4"/>
  <c r="Q743" i="4"/>
  <c r="Z742" i="4"/>
  <c r="Y742" i="4"/>
  <c r="X742" i="4"/>
  <c r="Q742" i="4"/>
  <c r="Z741" i="4"/>
  <c r="Y741" i="4"/>
  <c r="X741" i="4"/>
  <c r="Q741" i="4"/>
  <c r="Z740" i="4"/>
  <c r="Y740" i="4"/>
  <c r="X740" i="4"/>
  <c r="Q740" i="4"/>
  <c r="Z739" i="4"/>
  <c r="Y739" i="4"/>
  <c r="X739" i="4"/>
  <c r="Q739" i="4"/>
  <c r="Z738" i="4"/>
  <c r="Z737" i="4"/>
  <c r="Y737" i="4"/>
  <c r="X737" i="4"/>
  <c r="Q737" i="4"/>
  <c r="Z736" i="4"/>
  <c r="Y736" i="4"/>
  <c r="X736" i="4"/>
  <c r="Q736" i="4"/>
  <c r="Z735" i="4"/>
  <c r="Y735" i="4"/>
  <c r="X735" i="4"/>
  <c r="Q735" i="4"/>
  <c r="Z734" i="4"/>
  <c r="Y734" i="4"/>
  <c r="X734" i="4"/>
  <c r="Q734" i="4"/>
  <c r="Z733" i="4"/>
  <c r="Y733" i="4"/>
  <c r="X733" i="4"/>
  <c r="Q733" i="4"/>
  <c r="Z732" i="4"/>
  <c r="Y732" i="4"/>
  <c r="X732" i="4"/>
  <c r="Q732" i="4"/>
  <c r="Z731" i="4"/>
  <c r="Y731" i="4"/>
  <c r="X731" i="4"/>
  <c r="Q731" i="4"/>
  <c r="Z730" i="4"/>
  <c r="Y730" i="4"/>
  <c r="X730" i="4"/>
  <c r="Q730" i="4"/>
  <c r="Z729" i="4"/>
  <c r="Y729" i="4"/>
  <c r="X729" i="4"/>
  <c r="Q729" i="4"/>
  <c r="Z728" i="4"/>
  <c r="Y728" i="4"/>
  <c r="X728" i="4"/>
  <c r="Q728" i="4"/>
  <c r="Z727" i="4"/>
  <c r="Z726" i="4"/>
  <c r="Y726" i="4"/>
  <c r="X726" i="4"/>
  <c r="Q726" i="4"/>
  <c r="Z725" i="4"/>
  <c r="Y725" i="4"/>
  <c r="X725" i="4"/>
  <c r="Q725" i="4"/>
  <c r="Z724" i="4"/>
  <c r="Y724" i="4"/>
  <c r="X724" i="4"/>
  <c r="Q724" i="4"/>
  <c r="Z723" i="4"/>
  <c r="Y723" i="4"/>
  <c r="X723" i="4"/>
  <c r="Q723" i="4"/>
  <c r="Z722" i="4"/>
  <c r="Y722" i="4"/>
  <c r="X722" i="4"/>
  <c r="Q722" i="4"/>
  <c r="Z721" i="4"/>
  <c r="Y721" i="4"/>
  <c r="X721" i="4"/>
  <c r="Q721" i="4"/>
  <c r="Z720" i="4"/>
  <c r="Y720" i="4"/>
  <c r="X720" i="4"/>
  <c r="Q720" i="4"/>
  <c r="Z719" i="4"/>
  <c r="Y719" i="4"/>
  <c r="X719" i="4"/>
  <c r="Q719" i="4"/>
  <c r="Z718" i="4"/>
  <c r="Y718" i="4"/>
  <c r="X718" i="4"/>
  <c r="Q718" i="4"/>
  <c r="Z717" i="4"/>
  <c r="Y717" i="4"/>
  <c r="X717" i="4"/>
  <c r="Q717" i="4"/>
  <c r="Z716" i="4"/>
  <c r="Y716" i="4"/>
  <c r="X716" i="4"/>
  <c r="Q716" i="4"/>
  <c r="Z715" i="4"/>
  <c r="Y715" i="4"/>
  <c r="X715" i="4"/>
  <c r="Q715" i="4"/>
  <c r="Z714" i="4"/>
  <c r="Y714" i="4"/>
  <c r="X714" i="4"/>
  <c r="Q714" i="4"/>
  <c r="Z713" i="4"/>
  <c r="Y713" i="4"/>
  <c r="X713" i="4"/>
  <c r="Q713" i="4"/>
  <c r="Z712" i="4"/>
  <c r="Y712" i="4"/>
  <c r="X712" i="4"/>
  <c r="Q712" i="4"/>
  <c r="Z711" i="4"/>
  <c r="Y711" i="4"/>
  <c r="X711" i="4"/>
  <c r="Q711" i="4"/>
  <c r="Z710" i="4"/>
  <c r="Y710" i="4"/>
  <c r="X710" i="4"/>
  <c r="Q710" i="4"/>
  <c r="Z709" i="4"/>
  <c r="Y709" i="4"/>
  <c r="X709" i="4"/>
  <c r="Q709" i="4"/>
  <c r="Z708" i="4"/>
  <c r="Y708" i="4"/>
  <c r="X708" i="4"/>
  <c r="Q708" i="4"/>
  <c r="Z707" i="4"/>
  <c r="Y707" i="4"/>
  <c r="X707" i="4"/>
  <c r="Q707" i="4"/>
  <c r="Z706" i="4"/>
  <c r="Y706" i="4"/>
  <c r="X706" i="4"/>
  <c r="Q706" i="4"/>
  <c r="Z705" i="4"/>
  <c r="Y705" i="4"/>
  <c r="X705" i="4"/>
  <c r="Q705" i="4"/>
  <c r="Z704" i="4"/>
  <c r="Y704" i="4"/>
  <c r="X704" i="4"/>
  <c r="Q704" i="4"/>
  <c r="Z703" i="4"/>
  <c r="Y703" i="4"/>
  <c r="X703" i="4"/>
  <c r="Q703" i="4"/>
  <c r="Z702" i="4"/>
  <c r="Y702" i="4"/>
  <c r="X702" i="4"/>
  <c r="Q702" i="4"/>
  <c r="Z701" i="4"/>
  <c r="Y701" i="4"/>
  <c r="X701" i="4"/>
  <c r="Q701" i="4"/>
  <c r="Z700" i="4"/>
  <c r="Y700" i="4"/>
  <c r="X700" i="4"/>
  <c r="Q700" i="4"/>
  <c r="Z699" i="4"/>
  <c r="Y699" i="4"/>
  <c r="X699" i="4"/>
  <c r="Q699" i="4"/>
  <c r="Z698" i="4"/>
  <c r="Y698" i="4"/>
  <c r="X698" i="4"/>
  <c r="Q698" i="4"/>
  <c r="Z697" i="4"/>
  <c r="Y697" i="4"/>
  <c r="X697" i="4"/>
  <c r="Q697" i="4"/>
  <c r="Z696" i="4"/>
  <c r="Y696" i="4"/>
  <c r="X696" i="4"/>
  <c r="Q696" i="4"/>
  <c r="Z695" i="4"/>
  <c r="Y695" i="4"/>
  <c r="X695" i="4"/>
  <c r="Q695" i="4"/>
  <c r="Z694" i="4"/>
  <c r="Y694" i="4"/>
  <c r="X694" i="4"/>
  <c r="Q694" i="4"/>
  <c r="Z693" i="4"/>
  <c r="Y693" i="4"/>
  <c r="Q693" i="4"/>
  <c r="Z692" i="4"/>
  <c r="Y692" i="4"/>
  <c r="X692" i="4"/>
  <c r="Q692" i="4"/>
  <c r="Z691" i="4"/>
  <c r="Y691" i="4"/>
  <c r="X691" i="4"/>
  <c r="Q691" i="4"/>
  <c r="Z690" i="4"/>
  <c r="Y690" i="4"/>
  <c r="X690" i="4"/>
  <c r="Q690" i="4"/>
  <c r="Z689" i="4"/>
  <c r="Y689" i="4"/>
  <c r="X689" i="4"/>
  <c r="Q689" i="4"/>
  <c r="Z688" i="4"/>
  <c r="Y688" i="4"/>
  <c r="X688" i="4"/>
  <c r="Q688" i="4"/>
  <c r="Z687" i="4"/>
  <c r="Y687" i="4"/>
  <c r="X687" i="4"/>
  <c r="Q687" i="4"/>
  <c r="Z686" i="4"/>
  <c r="Y686" i="4"/>
  <c r="X686" i="4"/>
  <c r="Q686" i="4"/>
  <c r="Z685" i="4"/>
  <c r="Y685" i="4"/>
  <c r="X685" i="4"/>
  <c r="Q685" i="4"/>
  <c r="Z684" i="4"/>
  <c r="Z683" i="4"/>
  <c r="Y683" i="4"/>
  <c r="X683" i="4"/>
  <c r="Q683" i="4"/>
  <c r="Z682" i="4"/>
  <c r="Y682" i="4"/>
  <c r="X682" i="4"/>
  <c r="Q682" i="4"/>
  <c r="Z681" i="4"/>
  <c r="Y681" i="4"/>
  <c r="X681" i="4"/>
  <c r="Q681" i="4"/>
  <c r="Z680" i="4"/>
  <c r="Y680" i="4"/>
  <c r="X680" i="4"/>
  <c r="Q680" i="4"/>
  <c r="Z679" i="4"/>
  <c r="Y679" i="4"/>
  <c r="X679" i="4"/>
  <c r="Q679" i="4"/>
  <c r="Z678" i="4"/>
  <c r="Y678" i="4"/>
  <c r="X678" i="4"/>
  <c r="Q678" i="4"/>
  <c r="Z677" i="4"/>
  <c r="Y677" i="4"/>
  <c r="X677" i="4"/>
  <c r="Q677" i="4"/>
  <c r="Z676" i="4"/>
  <c r="Y676" i="4"/>
  <c r="X676" i="4"/>
  <c r="Q676" i="4"/>
  <c r="Z675" i="4"/>
  <c r="Y675" i="4"/>
  <c r="X675" i="4"/>
  <c r="Q675" i="4"/>
  <c r="Z674" i="4"/>
  <c r="Y674" i="4"/>
  <c r="X674" i="4"/>
  <c r="Q674" i="4"/>
  <c r="Z673" i="4"/>
  <c r="Y673" i="4"/>
  <c r="X673" i="4"/>
  <c r="Q673" i="4"/>
  <c r="Z672" i="4"/>
  <c r="Y672" i="4"/>
  <c r="X672" i="4"/>
  <c r="Q672" i="4"/>
  <c r="Z671" i="4"/>
  <c r="Y671" i="4"/>
  <c r="X671" i="4"/>
  <c r="Q671" i="4"/>
  <c r="Z670" i="4"/>
  <c r="Y670" i="4"/>
  <c r="X670" i="4"/>
  <c r="Q670" i="4"/>
  <c r="Z669" i="4"/>
  <c r="Y669" i="4"/>
  <c r="X669" i="4"/>
  <c r="Q669" i="4"/>
  <c r="Z668" i="4"/>
  <c r="Y668" i="4"/>
  <c r="X668" i="4"/>
  <c r="Q668" i="4"/>
  <c r="Z667" i="4"/>
  <c r="Y667" i="4"/>
  <c r="X667" i="4"/>
  <c r="Q667" i="4"/>
  <c r="Z666" i="4"/>
  <c r="Y666" i="4"/>
  <c r="X666" i="4"/>
  <c r="Q666" i="4"/>
  <c r="Z665" i="4"/>
  <c r="Y665" i="4"/>
  <c r="X665" i="4"/>
  <c r="Q665" i="4"/>
  <c r="Z664" i="4"/>
  <c r="Y664" i="4"/>
  <c r="X664" i="4"/>
  <c r="Q664" i="4"/>
  <c r="Z663" i="4"/>
  <c r="Y663" i="4"/>
  <c r="X663" i="4"/>
  <c r="Q663" i="4"/>
  <c r="Z662" i="4"/>
  <c r="Y662" i="4"/>
  <c r="X662" i="4"/>
  <c r="Q662" i="4"/>
  <c r="Z661" i="4"/>
  <c r="Y661" i="4"/>
  <c r="X661" i="4"/>
  <c r="Q661" i="4"/>
  <c r="Z660" i="4"/>
  <c r="Y660" i="4"/>
  <c r="X660" i="4"/>
  <c r="Q660" i="4"/>
  <c r="Z659" i="4"/>
  <c r="Y659" i="4"/>
  <c r="X659" i="4"/>
  <c r="Q659" i="4"/>
  <c r="Z658" i="4"/>
  <c r="Y658" i="4"/>
  <c r="X658" i="4"/>
  <c r="Q658" i="4"/>
  <c r="Z657" i="4"/>
  <c r="Y657" i="4"/>
  <c r="X657" i="4"/>
  <c r="Q657" i="4"/>
  <c r="Z656" i="4"/>
  <c r="Y656" i="4"/>
  <c r="X656" i="4"/>
  <c r="Q656" i="4"/>
  <c r="Z655" i="4"/>
  <c r="Y655" i="4"/>
  <c r="X655" i="4"/>
  <c r="Q655" i="4"/>
  <c r="Z654" i="4"/>
  <c r="Y654" i="4"/>
  <c r="X654" i="4"/>
  <c r="Q654" i="4"/>
  <c r="Z653" i="4"/>
  <c r="Y653" i="4"/>
  <c r="X653" i="4"/>
  <c r="Q653" i="4"/>
  <c r="Z652" i="4"/>
  <c r="Y652" i="4"/>
  <c r="X652" i="4"/>
  <c r="Q652" i="4"/>
  <c r="Z651" i="4"/>
  <c r="Y651" i="4"/>
  <c r="X651" i="4"/>
  <c r="Q651" i="4"/>
  <c r="Z650" i="4"/>
  <c r="Y650" i="4"/>
  <c r="X650" i="4"/>
  <c r="Q650" i="4"/>
  <c r="Z649" i="4"/>
  <c r="Y649" i="4"/>
  <c r="X649" i="4"/>
  <c r="Q649" i="4"/>
  <c r="Z648" i="4"/>
  <c r="Y648" i="4"/>
  <c r="X648" i="4"/>
  <c r="Q648" i="4"/>
  <c r="Z647" i="4"/>
  <c r="Y647" i="4"/>
  <c r="X647" i="4"/>
  <c r="Q647" i="4"/>
  <c r="Z646" i="4"/>
  <c r="Y646" i="4"/>
  <c r="X646" i="4"/>
  <c r="Q646" i="4"/>
  <c r="Z645" i="4"/>
  <c r="Y645" i="4"/>
  <c r="X645" i="4"/>
  <c r="Q645" i="4"/>
  <c r="Z644" i="4"/>
  <c r="Y644" i="4"/>
  <c r="X644" i="4"/>
  <c r="Q644" i="4"/>
  <c r="Z643" i="4"/>
  <c r="Y643" i="4"/>
  <c r="X643" i="4"/>
  <c r="Q643" i="4"/>
  <c r="Z642" i="4"/>
  <c r="Y642" i="4"/>
  <c r="X642" i="4"/>
  <c r="Q642" i="4"/>
  <c r="Z641" i="4"/>
  <c r="Y641" i="4"/>
  <c r="X641" i="4"/>
  <c r="Q641" i="4"/>
  <c r="Z640" i="4"/>
  <c r="Y640" i="4"/>
  <c r="X640" i="4"/>
  <c r="Q640" i="4"/>
  <c r="Z639" i="4"/>
  <c r="Y639" i="4"/>
  <c r="X639" i="4"/>
  <c r="Q639" i="4"/>
  <c r="Z638" i="4"/>
  <c r="Z637" i="4"/>
  <c r="Y637" i="4"/>
  <c r="X637" i="4"/>
  <c r="Q637" i="4"/>
  <c r="Z636" i="4"/>
  <c r="Y636" i="4"/>
  <c r="X636" i="4"/>
  <c r="Q636" i="4"/>
  <c r="Z635" i="4"/>
  <c r="Y635" i="4"/>
  <c r="X635" i="4"/>
  <c r="Q635" i="4"/>
  <c r="Z634" i="4"/>
  <c r="Y634" i="4"/>
  <c r="X634" i="4"/>
  <c r="Q634" i="4"/>
  <c r="Z633" i="4"/>
  <c r="Y633" i="4"/>
  <c r="X633" i="4"/>
  <c r="Q633" i="4"/>
  <c r="Z632" i="4"/>
  <c r="Y632" i="4"/>
  <c r="X632" i="4"/>
  <c r="Q632" i="4"/>
  <c r="Z631" i="4"/>
  <c r="Y631" i="4"/>
  <c r="X631" i="4"/>
  <c r="Q631" i="4"/>
  <c r="Z630" i="4"/>
  <c r="Y630" i="4"/>
  <c r="X630" i="4"/>
  <c r="Q630" i="4"/>
  <c r="Z629" i="4"/>
  <c r="Y629" i="4"/>
  <c r="X629" i="4"/>
  <c r="Q629" i="4"/>
  <c r="Z628" i="4"/>
  <c r="Y628" i="4"/>
  <c r="X628" i="4"/>
  <c r="Q628" i="4"/>
  <c r="Z627" i="4"/>
  <c r="Y627" i="4"/>
  <c r="X627" i="4"/>
  <c r="Q627" i="4"/>
  <c r="Z626" i="4"/>
  <c r="Y626" i="4"/>
  <c r="X626" i="4"/>
  <c r="Q626" i="4"/>
  <c r="Z625" i="4"/>
  <c r="Y625" i="4"/>
  <c r="X625" i="4"/>
  <c r="Q625" i="4"/>
  <c r="Z624" i="4"/>
  <c r="Y624" i="4"/>
  <c r="X624" i="4"/>
  <c r="Q624" i="4"/>
  <c r="Z623" i="4"/>
  <c r="Y623" i="4"/>
  <c r="X623" i="4"/>
  <c r="Q623" i="4"/>
  <c r="Z622" i="4"/>
  <c r="Y622" i="4"/>
  <c r="X622" i="4"/>
  <c r="Q622" i="4"/>
  <c r="Z621" i="4"/>
  <c r="Y621" i="4"/>
  <c r="X621" i="4"/>
  <c r="Q621" i="4"/>
  <c r="Z620" i="4"/>
  <c r="Y620" i="4"/>
  <c r="X620" i="4"/>
  <c r="Q620" i="4"/>
  <c r="Z619" i="4"/>
  <c r="Y619" i="4"/>
  <c r="X619" i="4"/>
  <c r="Q619" i="4"/>
  <c r="Z618" i="4"/>
  <c r="Y618" i="4"/>
  <c r="X618" i="4"/>
  <c r="Q618" i="4"/>
  <c r="Z617" i="4"/>
  <c r="Y617" i="4"/>
  <c r="X617" i="4"/>
  <c r="Q617" i="4"/>
  <c r="Z616" i="4"/>
  <c r="Y616" i="4"/>
  <c r="X616" i="4"/>
  <c r="Q616" i="4"/>
  <c r="Z615" i="4"/>
  <c r="Y615" i="4"/>
  <c r="X615" i="4"/>
  <c r="Q615" i="4"/>
  <c r="Z614" i="4"/>
  <c r="Y614" i="4"/>
  <c r="X614" i="4"/>
  <c r="Q614" i="4"/>
  <c r="Z613" i="4"/>
  <c r="Y613" i="4"/>
  <c r="X613" i="4"/>
  <c r="Q613" i="4"/>
  <c r="Z612" i="4"/>
  <c r="Y612" i="4"/>
  <c r="X612" i="4"/>
  <c r="Q612" i="4"/>
  <c r="Z611" i="4"/>
  <c r="Y611" i="4"/>
  <c r="X611" i="4"/>
  <c r="Q611" i="4"/>
  <c r="Z610" i="4"/>
  <c r="Y610" i="4"/>
  <c r="X610" i="4"/>
  <c r="Q610" i="4"/>
  <c r="Z609" i="4"/>
  <c r="Y609" i="4"/>
  <c r="X609" i="4"/>
  <c r="Q609" i="4"/>
  <c r="Z608" i="4"/>
  <c r="Y608" i="4"/>
  <c r="X608" i="4"/>
  <c r="Q608" i="4"/>
  <c r="Z607" i="4"/>
  <c r="Y607" i="4"/>
  <c r="X607" i="4"/>
  <c r="Q607" i="4"/>
  <c r="Z606" i="4"/>
  <c r="Y606" i="4"/>
  <c r="X606" i="4"/>
  <c r="Q606" i="4"/>
  <c r="Z605" i="4"/>
  <c r="Y605" i="4"/>
  <c r="X605" i="4"/>
  <c r="Q605" i="4"/>
  <c r="Z604" i="4"/>
  <c r="Y604" i="4"/>
  <c r="X604" i="4"/>
  <c r="Q604" i="4"/>
  <c r="Z603" i="4"/>
  <c r="Y603" i="4"/>
  <c r="X603" i="4"/>
  <c r="Q603" i="4"/>
  <c r="Z602" i="4"/>
  <c r="Y602" i="4"/>
  <c r="X602" i="4"/>
  <c r="Q602" i="4"/>
  <c r="Z601" i="4"/>
  <c r="Y601" i="4"/>
  <c r="X601" i="4"/>
  <c r="Q601" i="4"/>
  <c r="Z600" i="4"/>
  <c r="Y600" i="4"/>
  <c r="X600" i="4"/>
  <c r="Q600" i="4"/>
  <c r="Z599" i="4"/>
  <c r="Y599" i="4"/>
  <c r="X599" i="4"/>
  <c r="Q599" i="4"/>
  <c r="Z598" i="4"/>
  <c r="Y598" i="4"/>
  <c r="X598" i="4"/>
  <c r="Q598" i="4"/>
  <c r="Z597" i="4"/>
  <c r="Y597" i="4"/>
  <c r="X597" i="4"/>
  <c r="Q597" i="4"/>
  <c r="Z596" i="4"/>
  <c r="Y596" i="4"/>
  <c r="X596" i="4"/>
  <c r="Q596" i="4"/>
  <c r="Z595" i="4"/>
  <c r="Y595" i="4"/>
  <c r="X595" i="4"/>
  <c r="Q595" i="4"/>
  <c r="Z594" i="4"/>
  <c r="Y594" i="4"/>
  <c r="X594" i="4"/>
  <c r="Q594" i="4"/>
  <c r="Z593" i="4"/>
  <c r="Y593" i="4"/>
  <c r="X593" i="4"/>
  <c r="Q593" i="4"/>
  <c r="Z592" i="4"/>
  <c r="Y592" i="4"/>
  <c r="X592" i="4"/>
  <c r="Q592" i="4"/>
  <c r="Z591" i="4"/>
  <c r="Y591" i="4"/>
  <c r="X591" i="4"/>
  <c r="Q591" i="4"/>
  <c r="Z590" i="4"/>
  <c r="Y590" i="4"/>
  <c r="X590" i="4"/>
  <c r="Q590" i="4"/>
  <c r="Z589" i="4"/>
  <c r="Y589" i="4"/>
  <c r="X589" i="4"/>
  <c r="Q589" i="4"/>
  <c r="Z588" i="4"/>
  <c r="Y588" i="4"/>
  <c r="X588" i="4"/>
  <c r="Q588" i="4"/>
  <c r="Z587" i="4"/>
  <c r="Y587" i="4"/>
  <c r="X587" i="4"/>
  <c r="Q587" i="4"/>
  <c r="Z586" i="4"/>
  <c r="Y586" i="4"/>
  <c r="X586" i="4"/>
  <c r="Q586" i="4"/>
  <c r="Z585" i="4"/>
  <c r="Y585" i="4"/>
  <c r="X585" i="4"/>
  <c r="Q585" i="4"/>
  <c r="Z584" i="4"/>
  <c r="Y584" i="4"/>
  <c r="X584" i="4"/>
  <c r="Q584" i="4"/>
  <c r="Z583" i="4"/>
  <c r="Y583" i="4"/>
  <c r="X583" i="4"/>
  <c r="Q583" i="4"/>
  <c r="Z582" i="4"/>
  <c r="Y582" i="4"/>
  <c r="X582" i="4"/>
  <c r="Q582" i="4"/>
  <c r="Z581" i="4"/>
  <c r="Y581" i="4"/>
  <c r="X581" i="4"/>
  <c r="Q581" i="4"/>
  <c r="Z580" i="4"/>
  <c r="Y580" i="4"/>
  <c r="X580" i="4"/>
  <c r="Q580" i="4"/>
  <c r="Z579" i="4"/>
  <c r="Y579" i="4"/>
  <c r="X579" i="4"/>
  <c r="Q579" i="4"/>
  <c r="Z578" i="4"/>
  <c r="Y578" i="4"/>
  <c r="X578" i="4"/>
  <c r="Q578" i="4"/>
  <c r="Z577" i="4"/>
  <c r="Y577" i="4"/>
  <c r="X577" i="4"/>
  <c r="Q577" i="4"/>
  <c r="Z576" i="4"/>
  <c r="Y576" i="4"/>
  <c r="X576" i="4"/>
  <c r="Q576" i="4"/>
  <c r="Z575" i="4"/>
  <c r="Y575" i="4"/>
  <c r="X575" i="4"/>
  <c r="Q575" i="4"/>
  <c r="Z574" i="4"/>
  <c r="Y574" i="4"/>
  <c r="X574" i="4"/>
  <c r="Q574" i="4"/>
  <c r="Z573" i="4"/>
  <c r="Y573" i="4"/>
  <c r="X573" i="4"/>
  <c r="Q573" i="4"/>
  <c r="Z572" i="4"/>
  <c r="Y572" i="4"/>
  <c r="X572" i="4"/>
  <c r="Q572" i="4"/>
  <c r="Z571" i="4"/>
  <c r="Y571" i="4"/>
  <c r="X571" i="4"/>
  <c r="Q571" i="4"/>
  <c r="Z570" i="4"/>
  <c r="Y570" i="4"/>
  <c r="X570" i="4"/>
  <c r="Q570" i="4"/>
  <c r="Z569" i="4"/>
  <c r="Y569" i="4"/>
  <c r="X569" i="4"/>
  <c r="Q569" i="4"/>
  <c r="Z568" i="4"/>
  <c r="Y568" i="4"/>
  <c r="X568" i="4"/>
  <c r="Q568" i="4"/>
  <c r="Z567" i="4"/>
  <c r="Y567" i="4"/>
  <c r="X567" i="4"/>
  <c r="Q567" i="4"/>
  <c r="Z566" i="4"/>
  <c r="Y566" i="4"/>
  <c r="X566" i="4"/>
  <c r="Q566" i="4"/>
  <c r="Z565" i="4"/>
  <c r="Y565" i="4"/>
  <c r="X565" i="4"/>
  <c r="Q565" i="4"/>
  <c r="Z564" i="4"/>
  <c r="Z563" i="4"/>
  <c r="Y563" i="4"/>
  <c r="X563" i="4"/>
  <c r="Q563" i="4"/>
  <c r="Z562" i="4"/>
  <c r="Y562" i="4"/>
  <c r="X562" i="4"/>
  <c r="Q562" i="4"/>
  <c r="Z561" i="4"/>
  <c r="Y561" i="4"/>
  <c r="X561" i="4"/>
  <c r="Q561" i="4"/>
  <c r="Z560" i="4"/>
  <c r="Y560" i="4"/>
  <c r="X560" i="4"/>
  <c r="Q560" i="4"/>
  <c r="Z559" i="4"/>
  <c r="Y559" i="4"/>
  <c r="X559" i="4"/>
  <c r="Q559" i="4"/>
  <c r="Z558" i="4"/>
  <c r="Y558" i="4"/>
  <c r="X558" i="4"/>
  <c r="Q558" i="4"/>
  <c r="Z557" i="4"/>
  <c r="Y557" i="4"/>
  <c r="X557" i="4"/>
  <c r="Q557" i="4"/>
  <c r="Z556" i="4"/>
  <c r="Y556" i="4"/>
  <c r="X556" i="4"/>
  <c r="Q556" i="4"/>
  <c r="Z555" i="4"/>
  <c r="Y555" i="4"/>
  <c r="X555" i="4"/>
  <c r="Q555" i="4"/>
  <c r="Z554" i="4"/>
  <c r="Y554" i="4"/>
  <c r="X554" i="4"/>
  <c r="Q554" i="4"/>
  <c r="Z553" i="4"/>
  <c r="Y553" i="4"/>
  <c r="X553" i="4"/>
  <c r="Q553" i="4"/>
  <c r="Z552" i="4"/>
  <c r="Y552" i="4"/>
  <c r="X552" i="4"/>
  <c r="Q552" i="4"/>
  <c r="Z551" i="4"/>
  <c r="Y551" i="4"/>
  <c r="X551" i="4"/>
  <c r="Q551" i="4"/>
  <c r="Z550" i="4"/>
  <c r="Y550" i="4"/>
  <c r="X550" i="4"/>
  <c r="Q550" i="4"/>
  <c r="Z549" i="4"/>
  <c r="Y549" i="4"/>
  <c r="X549" i="4"/>
  <c r="Q549" i="4"/>
  <c r="Z548" i="4"/>
  <c r="Y548" i="4"/>
  <c r="X548" i="4"/>
  <c r="Q548" i="4"/>
  <c r="Z547" i="4"/>
  <c r="Y547" i="4"/>
  <c r="X547" i="4"/>
  <c r="Q547" i="4"/>
  <c r="Z546" i="4"/>
  <c r="Y546" i="4"/>
  <c r="X546" i="4"/>
  <c r="Q546" i="4"/>
  <c r="Z545" i="4"/>
  <c r="Y545" i="4"/>
  <c r="X545" i="4"/>
  <c r="Q545" i="4"/>
  <c r="Z544" i="4"/>
  <c r="Y544" i="4"/>
  <c r="X544" i="4"/>
  <c r="Q544" i="4"/>
  <c r="Z543" i="4"/>
  <c r="Y543" i="4"/>
  <c r="X543" i="4"/>
  <c r="Q543" i="4"/>
  <c r="Z542" i="4"/>
  <c r="Y542" i="4"/>
  <c r="X542" i="4"/>
  <c r="Q542" i="4"/>
  <c r="Z541" i="4"/>
  <c r="Y541" i="4"/>
  <c r="X541" i="4"/>
  <c r="Q541" i="4"/>
  <c r="Z540" i="4"/>
  <c r="Y540" i="4"/>
  <c r="X540" i="4"/>
  <c r="Q540" i="4"/>
  <c r="Z539" i="4"/>
  <c r="Y539" i="4"/>
  <c r="X539" i="4"/>
  <c r="Q539" i="4"/>
  <c r="Z538" i="4"/>
  <c r="Y538" i="4"/>
  <c r="X538" i="4"/>
  <c r="Q538" i="4"/>
  <c r="Z537" i="4"/>
  <c r="Y537" i="4"/>
  <c r="X537" i="4"/>
  <c r="Q537" i="4"/>
  <c r="Z536" i="4"/>
  <c r="Y536" i="4"/>
  <c r="X536" i="4"/>
  <c r="Q536" i="4"/>
  <c r="Z535" i="4"/>
  <c r="Y535" i="4"/>
  <c r="X535" i="4"/>
  <c r="Q535" i="4"/>
  <c r="Z534" i="4"/>
  <c r="Y534" i="4"/>
  <c r="X534" i="4"/>
  <c r="Q534" i="4"/>
  <c r="Z533" i="4"/>
  <c r="Y533" i="4"/>
  <c r="X533" i="4"/>
  <c r="Q533" i="4"/>
  <c r="Z532" i="4"/>
  <c r="Y532" i="4"/>
  <c r="X532" i="4"/>
  <c r="Q532" i="4"/>
  <c r="Z531" i="4"/>
  <c r="Y531" i="4"/>
  <c r="X531" i="4"/>
  <c r="Q531" i="4"/>
  <c r="Z530" i="4"/>
  <c r="Y530" i="4"/>
  <c r="X530" i="4"/>
  <c r="Q530" i="4"/>
  <c r="Z529" i="4"/>
  <c r="Y529" i="4"/>
  <c r="X529" i="4"/>
  <c r="Q529" i="4"/>
  <c r="Z528" i="4"/>
  <c r="Y528" i="4"/>
  <c r="X528" i="4"/>
  <c r="Q528" i="4"/>
  <c r="Z527" i="4"/>
  <c r="Y527" i="4"/>
  <c r="X527" i="4"/>
  <c r="Q527" i="4"/>
  <c r="Z526" i="4"/>
  <c r="Y526" i="4"/>
  <c r="X526" i="4"/>
  <c r="Q526" i="4"/>
  <c r="Z525" i="4"/>
  <c r="Y525" i="4"/>
  <c r="X525" i="4"/>
  <c r="Q525" i="4"/>
  <c r="Z524" i="4"/>
  <c r="Y524" i="4"/>
  <c r="X524" i="4"/>
  <c r="Q524" i="4"/>
  <c r="Z523" i="4"/>
  <c r="Y523" i="4"/>
  <c r="X523" i="4"/>
  <c r="Q523" i="4"/>
  <c r="Z522" i="4"/>
  <c r="Y522" i="4"/>
  <c r="X522" i="4"/>
  <c r="Q522" i="4"/>
  <c r="Z521" i="4"/>
  <c r="Y521" i="4"/>
  <c r="X521" i="4"/>
  <c r="Q521" i="4"/>
  <c r="Z520" i="4"/>
  <c r="Y520" i="4"/>
  <c r="X520" i="4"/>
  <c r="Q520" i="4"/>
  <c r="Z519" i="4"/>
  <c r="Y519" i="4"/>
  <c r="X519" i="4"/>
  <c r="Q519" i="4"/>
  <c r="Z518" i="4"/>
  <c r="Y518" i="4"/>
  <c r="X518" i="4"/>
  <c r="Q518" i="4"/>
  <c r="Z517" i="4"/>
  <c r="Y517" i="4"/>
  <c r="X517" i="4"/>
  <c r="Q517" i="4"/>
  <c r="Z516" i="4"/>
  <c r="Y516" i="4"/>
  <c r="X516" i="4"/>
  <c r="Q516" i="4"/>
  <c r="Z515" i="4"/>
  <c r="Y515" i="4"/>
  <c r="X515" i="4"/>
  <c r="Q515" i="4"/>
  <c r="Z514" i="4"/>
  <c r="Y514" i="4"/>
  <c r="X514" i="4"/>
  <c r="Q514" i="4"/>
  <c r="Z513" i="4"/>
  <c r="Y513" i="4"/>
  <c r="X513" i="4"/>
  <c r="Q513" i="4"/>
  <c r="Z512" i="4"/>
  <c r="Y512" i="4"/>
  <c r="X512" i="4"/>
  <c r="Q512" i="4"/>
  <c r="Z511" i="4"/>
  <c r="Y511" i="4"/>
  <c r="X511" i="4"/>
  <c r="Q511" i="4"/>
  <c r="Z510" i="4"/>
  <c r="Y510" i="4"/>
  <c r="X510" i="4"/>
  <c r="Q510" i="4"/>
  <c r="Z509" i="4"/>
  <c r="Y509" i="4"/>
  <c r="X509" i="4"/>
  <c r="Q509" i="4"/>
  <c r="Z508" i="4"/>
  <c r="Y508" i="4"/>
  <c r="X508" i="4"/>
  <c r="Q508" i="4"/>
  <c r="Z507" i="4"/>
  <c r="Y507" i="4"/>
  <c r="X507" i="4"/>
  <c r="Q507" i="4"/>
  <c r="Z506" i="4"/>
  <c r="Y506" i="4"/>
  <c r="X506" i="4"/>
  <c r="Q506" i="4"/>
  <c r="Z505" i="4"/>
  <c r="Y505" i="4"/>
  <c r="X505" i="4"/>
  <c r="Q505" i="4"/>
  <c r="Z504" i="4"/>
  <c r="Y504" i="4"/>
  <c r="X504" i="4"/>
  <c r="Q504" i="4"/>
  <c r="Z503" i="4"/>
  <c r="Y503" i="4"/>
  <c r="X503" i="4"/>
  <c r="Q503" i="4"/>
  <c r="Z502" i="4"/>
  <c r="Y502" i="4"/>
  <c r="X502" i="4"/>
  <c r="Q502" i="4"/>
  <c r="Z501" i="4"/>
  <c r="Y501" i="4"/>
  <c r="X501" i="4"/>
  <c r="Q501" i="4"/>
  <c r="Z500" i="4"/>
  <c r="Y500" i="4"/>
  <c r="X500" i="4"/>
  <c r="Q500" i="4"/>
  <c r="Z499" i="4"/>
  <c r="Y499" i="4"/>
  <c r="X499" i="4"/>
  <c r="Q499" i="4"/>
  <c r="Z498" i="4"/>
  <c r="Y498" i="4"/>
  <c r="X498" i="4"/>
  <c r="Q498" i="4"/>
  <c r="Z497" i="4"/>
  <c r="Y497" i="4"/>
  <c r="X497" i="4"/>
  <c r="Q497" i="4"/>
  <c r="Z496" i="4"/>
  <c r="Y496" i="4"/>
  <c r="X496" i="4"/>
  <c r="Q496" i="4"/>
  <c r="Z495" i="4"/>
  <c r="Y495" i="4"/>
  <c r="X495" i="4"/>
  <c r="Q495" i="4"/>
  <c r="Z494" i="4"/>
  <c r="Y494" i="4"/>
  <c r="X494" i="4"/>
  <c r="Q494" i="4"/>
  <c r="Z493" i="4"/>
  <c r="Y493" i="4"/>
  <c r="X493" i="4"/>
  <c r="Q493" i="4"/>
  <c r="Z492" i="4"/>
  <c r="Y492" i="4"/>
  <c r="X492" i="4"/>
  <c r="Q492" i="4"/>
  <c r="Z491" i="4"/>
  <c r="Y491" i="4"/>
  <c r="X491" i="4"/>
  <c r="Q491" i="4"/>
  <c r="Z490" i="4"/>
  <c r="Y490" i="4"/>
  <c r="X490" i="4"/>
  <c r="Q490" i="4"/>
  <c r="Z489" i="4"/>
  <c r="Y489" i="4"/>
  <c r="X489" i="4"/>
  <c r="Q489" i="4"/>
  <c r="Z488" i="4"/>
  <c r="Y488" i="4"/>
  <c r="X488" i="4"/>
  <c r="Q488" i="4"/>
  <c r="Z487" i="4"/>
  <c r="Y487" i="4"/>
  <c r="X487" i="4"/>
  <c r="Q487" i="4"/>
  <c r="Z486" i="4"/>
  <c r="Y486" i="4"/>
  <c r="X486" i="4"/>
  <c r="Q486" i="4"/>
  <c r="Z485" i="4"/>
  <c r="Y485" i="4"/>
  <c r="X485" i="4"/>
  <c r="Q485" i="4"/>
  <c r="Z484" i="4"/>
  <c r="Y484" i="4"/>
  <c r="X484" i="4"/>
  <c r="Q484" i="4"/>
  <c r="Z483" i="4"/>
  <c r="Y483" i="4"/>
  <c r="X483" i="4"/>
  <c r="Q483" i="4"/>
  <c r="Z482" i="4"/>
  <c r="Y482" i="4"/>
  <c r="X482" i="4"/>
  <c r="Q482" i="4"/>
  <c r="Z481" i="4"/>
  <c r="Y481" i="4"/>
  <c r="X481" i="4"/>
  <c r="Q481" i="4"/>
  <c r="Z480" i="4"/>
  <c r="Y480" i="4"/>
  <c r="X480" i="4"/>
  <c r="Q480" i="4"/>
  <c r="Z479" i="4"/>
  <c r="Y479" i="4"/>
  <c r="X479" i="4"/>
  <c r="Q479" i="4"/>
  <c r="Z478" i="4"/>
  <c r="Y478" i="4"/>
  <c r="X478" i="4"/>
  <c r="Q478" i="4"/>
  <c r="Z477" i="4"/>
  <c r="Y477" i="4"/>
  <c r="X477" i="4"/>
  <c r="Q477" i="4"/>
  <c r="Z476" i="4"/>
  <c r="Y476" i="4"/>
  <c r="X476" i="4"/>
  <c r="Q476" i="4"/>
  <c r="Z475" i="4"/>
  <c r="Y475" i="4"/>
  <c r="X475" i="4"/>
  <c r="Q475" i="4"/>
  <c r="Z474" i="4"/>
  <c r="Y474" i="4"/>
  <c r="X474" i="4"/>
  <c r="Q474" i="4"/>
  <c r="Z473" i="4"/>
  <c r="Y473" i="4"/>
  <c r="X473" i="4"/>
  <c r="Q473" i="4"/>
  <c r="Z472" i="4"/>
  <c r="Y472" i="4"/>
  <c r="X472" i="4"/>
  <c r="Q472" i="4"/>
  <c r="Z471" i="4"/>
  <c r="Y471" i="4"/>
  <c r="X471" i="4"/>
  <c r="Q471" i="4"/>
  <c r="Z470" i="4"/>
  <c r="Y470" i="4"/>
  <c r="X470" i="4"/>
  <c r="Q470" i="4"/>
  <c r="Z469" i="4"/>
  <c r="Y469" i="4"/>
  <c r="X469" i="4"/>
  <c r="Q469" i="4"/>
  <c r="Z468" i="4"/>
  <c r="Y468" i="4"/>
  <c r="X468" i="4"/>
  <c r="Q468" i="4"/>
  <c r="Z467" i="4"/>
  <c r="Y467" i="4"/>
  <c r="X467" i="4"/>
  <c r="Q467" i="4"/>
  <c r="Z466" i="4"/>
  <c r="Y466" i="4"/>
  <c r="X466" i="4"/>
  <c r="Q466" i="4"/>
  <c r="Z465" i="4"/>
  <c r="Y465" i="4"/>
  <c r="X465" i="4"/>
  <c r="Q465" i="4"/>
  <c r="Z464" i="4"/>
  <c r="Y464" i="4"/>
  <c r="X464" i="4"/>
  <c r="Q464" i="4"/>
  <c r="Z463" i="4"/>
  <c r="Y463" i="4"/>
  <c r="X463" i="4"/>
  <c r="Q463" i="4"/>
  <c r="Z462" i="4"/>
  <c r="Y462" i="4"/>
  <c r="X462" i="4"/>
  <c r="Q462" i="4"/>
  <c r="Z461" i="4"/>
  <c r="Y461" i="4"/>
  <c r="X461" i="4"/>
  <c r="Q461" i="4"/>
  <c r="Z460" i="4"/>
  <c r="Y460" i="4"/>
  <c r="X460" i="4"/>
  <c r="Q460" i="4"/>
  <c r="Z459" i="4"/>
  <c r="Y459" i="4"/>
  <c r="X459" i="4"/>
  <c r="Q459" i="4"/>
  <c r="Z458" i="4"/>
  <c r="Y458" i="4"/>
  <c r="X458" i="4"/>
  <c r="Q458" i="4"/>
  <c r="Z457" i="4"/>
  <c r="Y457" i="4"/>
  <c r="X457" i="4"/>
  <c r="Q457" i="4"/>
  <c r="Z456" i="4"/>
  <c r="Y456" i="4"/>
  <c r="X456" i="4"/>
  <c r="Q456" i="4"/>
  <c r="Z455" i="4"/>
  <c r="Y455" i="4"/>
  <c r="X455" i="4"/>
  <c r="Q455" i="4"/>
  <c r="Z454" i="4"/>
  <c r="Y454" i="4"/>
  <c r="X454" i="4"/>
  <c r="Q454" i="4"/>
  <c r="Z453" i="4"/>
  <c r="Y453" i="4"/>
  <c r="X453" i="4"/>
  <c r="Q453" i="4"/>
  <c r="Z452" i="4"/>
  <c r="Y452" i="4"/>
  <c r="X452" i="4"/>
  <c r="Q452" i="4"/>
  <c r="Z451" i="4"/>
  <c r="Y451" i="4"/>
  <c r="X451" i="4"/>
  <c r="Q451" i="4"/>
  <c r="Z450" i="4"/>
  <c r="Y450" i="4"/>
  <c r="X450" i="4"/>
  <c r="Q450" i="4"/>
  <c r="Z449" i="4"/>
  <c r="Y449" i="4"/>
  <c r="X449" i="4"/>
  <c r="Q449" i="4"/>
  <c r="Z448" i="4"/>
  <c r="Y448" i="4"/>
  <c r="X448" i="4"/>
  <c r="Q448" i="4"/>
  <c r="Z447" i="4"/>
  <c r="Y447" i="4"/>
  <c r="X447" i="4"/>
  <c r="Q447" i="4"/>
  <c r="Z446" i="4"/>
  <c r="Y446" i="4"/>
  <c r="X446" i="4"/>
  <c r="Q446" i="4"/>
  <c r="Z445" i="4"/>
  <c r="Y445" i="4"/>
  <c r="X445" i="4"/>
  <c r="Q445" i="4"/>
  <c r="Z444" i="4"/>
  <c r="Y444" i="4"/>
  <c r="X444" i="4"/>
  <c r="Q444" i="4"/>
  <c r="Z443" i="4"/>
  <c r="Y443" i="4"/>
  <c r="X443" i="4"/>
  <c r="Q443" i="4"/>
  <c r="Z442" i="4"/>
  <c r="Y442" i="4"/>
  <c r="X442" i="4"/>
  <c r="Q442" i="4"/>
  <c r="Z441" i="4"/>
  <c r="Y441" i="4"/>
  <c r="X441" i="4"/>
  <c r="Q441" i="4"/>
  <c r="Z440" i="4"/>
  <c r="Y440" i="4"/>
  <c r="X440" i="4"/>
  <c r="Q440" i="4"/>
  <c r="Z439" i="4"/>
  <c r="Y439" i="4"/>
  <c r="X439" i="4"/>
  <c r="Q439" i="4"/>
  <c r="Z438" i="4"/>
  <c r="Y438" i="4"/>
  <c r="X438" i="4"/>
  <c r="Q438" i="4"/>
  <c r="Z437" i="4"/>
  <c r="Y437" i="4"/>
  <c r="X437" i="4"/>
  <c r="Q437" i="4"/>
  <c r="Z436" i="4"/>
  <c r="Y436" i="4"/>
  <c r="X436" i="4"/>
  <c r="Q436" i="4"/>
  <c r="Z435" i="4"/>
  <c r="Y435" i="4"/>
  <c r="X435" i="4"/>
  <c r="Q435" i="4"/>
  <c r="Z434" i="4"/>
  <c r="Y434" i="4"/>
  <c r="X434" i="4"/>
  <c r="Q434" i="4"/>
  <c r="Z433" i="4"/>
  <c r="Y433" i="4"/>
  <c r="X433" i="4"/>
  <c r="Q433" i="4"/>
  <c r="Z432" i="4"/>
  <c r="Y432" i="4"/>
  <c r="X432" i="4"/>
  <c r="Q432" i="4"/>
  <c r="Z431" i="4"/>
  <c r="Y431" i="4"/>
  <c r="X431" i="4"/>
  <c r="Q431" i="4"/>
  <c r="Z430" i="4"/>
  <c r="Y430" i="4"/>
  <c r="X430" i="4"/>
  <c r="Q430" i="4"/>
  <c r="Z429" i="4"/>
  <c r="Y429" i="4"/>
  <c r="X429" i="4"/>
  <c r="Q429" i="4"/>
  <c r="Z428" i="4"/>
  <c r="Y428" i="4"/>
  <c r="X428" i="4"/>
  <c r="Q428" i="4"/>
  <c r="Z427" i="4"/>
  <c r="Y427" i="4"/>
  <c r="X427" i="4"/>
  <c r="Q427" i="4"/>
  <c r="Z426" i="4"/>
  <c r="Y426" i="4"/>
  <c r="X426" i="4"/>
  <c r="Q426" i="4"/>
  <c r="Z425" i="4"/>
  <c r="Y425" i="4"/>
  <c r="X425" i="4"/>
  <c r="Q425" i="4"/>
  <c r="Z424" i="4"/>
  <c r="Y424" i="4"/>
  <c r="X424" i="4"/>
  <c r="Q424" i="4"/>
  <c r="Z423" i="4"/>
  <c r="Y423" i="4"/>
  <c r="X423" i="4"/>
  <c r="Q423" i="4"/>
  <c r="Z422" i="4"/>
  <c r="Y422" i="4"/>
  <c r="X422" i="4"/>
  <c r="Q422" i="4"/>
  <c r="Z421" i="4"/>
  <c r="Y421" i="4"/>
  <c r="X421" i="4"/>
  <c r="Q421" i="4"/>
  <c r="Z420" i="4"/>
  <c r="Y420" i="4"/>
  <c r="X420" i="4"/>
  <c r="Q420" i="4"/>
  <c r="Z419" i="4"/>
  <c r="Y419" i="4"/>
  <c r="X419" i="4"/>
  <c r="Q419" i="4"/>
  <c r="Z418" i="4"/>
  <c r="Y418" i="4"/>
  <c r="X418" i="4"/>
  <c r="Q418" i="4"/>
  <c r="Z417" i="4"/>
  <c r="Y417" i="4"/>
  <c r="X417" i="4"/>
  <c r="Q417" i="4"/>
  <c r="Z416" i="4"/>
  <c r="Y416" i="4"/>
  <c r="X416" i="4"/>
  <c r="Q416" i="4"/>
  <c r="Z415" i="4"/>
  <c r="Y415" i="4"/>
  <c r="X415" i="4"/>
  <c r="Q415" i="4"/>
  <c r="Z414" i="4"/>
  <c r="Y414" i="4"/>
  <c r="X414" i="4"/>
  <c r="Q414" i="4"/>
  <c r="Z413" i="4"/>
  <c r="Y413" i="4"/>
  <c r="X413" i="4"/>
  <c r="Q413" i="4"/>
  <c r="Z412" i="4"/>
  <c r="Y412" i="4"/>
  <c r="X412" i="4"/>
  <c r="Q412" i="4"/>
  <c r="Z411" i="4"/>
  <c r="Y411" i="4"/>
  <c r="X411" i="4"/>
  <c r="Q411" i="4"/>
  <c r="Z410" i="4"/>
  <c r="Y410" i="4"/>
  <c r="X410" i="4"/>
  <c r="Q410" i="4"/>
  <c r="Z409" i="4"/>
  <c r="Y409" i="4"/>
  <c r="X409" i="4"/>
  <c r="Q409" i="4"/>
  <c r="Z408" i="4"/>
  <c r="Y408" i="4"/>
  <c r="X408" i="4"/>
  <c r="Q408" i="4"/>
  <c r="Z407" i="4"/>
  <c r="Y407" i="4"/>
  <c r="X407" i="4"/>
  <c r="Q407" i="4"/>
  <c r="Z406" i="4"/>
  <c r="Y406" i="4"/>
  <c r="X406" i="4"/>
  <c r="Q406" i="4"/>
  <c r="Z405" i="4"/>
  <c r="Y405" i="4"/>
  <c r="X405" i="4"/>
  <c r="Q405" i="4"/>
  <c r="Z404" i="4"/>
  <c r="Y404" i="4"/>
  <c r="X404" i="4"/>
  <c r="Q404" i="4"/>
  <c r="Z403" i="4"/>
  <c r="Z402" i="4"/>
  <c r="Y402" i="4"/>
  <c r="X402" i="4"/>
  <c r="Q402" i="4"/>
  <c r="Z401" i="4"/>
  <c r="Y401" i="4"/>
  <c r="X401" i="4"/>
  <c r="Q401" i="4"/>
  <c r="Z400" i="4"/>
  <c r="Y400" i="4"/>
  <c r="X400" i="4"/>
  <c r="Q400" i="4"/>
  <c r="Z399" i="4"/>
  <c r="Y399" i="4"/>
  <c r="X399" i="4"/>
  <c r="Q399" i="4"/>
  <c r="Z398" i="4"/>
  <c r="Y398" i="4"/>
  <c r="X398" i="4"/>
  <c r="Q398" i="4"/>
  <c r="Z397" i="4"/>
  <c r="Y397" i="4"/>
  <c r="X397" i="4"/>
  <c r="Q397" i="4"/>
  <c r="Z396" i="4"/>
  <c r="Y396" i="4"/>
  <c r="X396" i="4"/>
  <c r="Q396" i="4"/>
  <c r="Z395" i="4"/>
  <c r="Y395" i="4"/>
  <c r="X395" i="4"/>
  <c r="Q395" i="4"/>
  <c r="Z394" i="4"/>
  <c r="Y394" i="4"/>
  <c r="X394" i="4"/>
  <c r="Q394" i="4"/>
  <c r="Z393" i="4"/>
  <c r="Y393" i="4"/>
  <c r="X393" i="4"/>
  <c r="Q393" i="4"/>
  <c r="Z392" i="4"/>
  <c r="Y392" i="4"/>
  <c r="X392" i="4"/>
  <c r="Q392" i="4"/>
  <c r="Z391" i="4"/>
  <c r="Y391" i="4"/>
  <c r="X391" i="4"/>
  <c r="Q391" i="4"/>
  <c r="Z390" i="4"/>
  <c r="Y390" i="4"/>
  <c r="X390" i="4"/>
  <c r="Q390" i="4"/>
  <c r="Z389" i="4"/>
  <c r="Y389" i="4"/>
  <c r="X389" i="4"/>
  <c r="Q389" i="4"/>
  <c r="Z388" i="4"/>
  <c r="Y388" i="4"/>
  <c r="X388" i="4"/>
  <c r="Q388" i="4"/>
  <c r="Z387" i="4"/>
  <c r="Y387" i="4"/>
  <c r="X387" i="4"/>
  <c r="Q387" i="4"/>
  <c r="Z386" i="4"/>
  <c r="Y386" i="4"/>
  <c r="X386" i="4"/>
  <c r="Q386" i="4"/>
  <c r="Z385" i="4"/>
  <c r="Y385" i="4"/>
  <c r="X385" i="4"/>
  <c r="Q385" i="4"/>
  <c r="Z384" i="4"/>
  <c r="Y384" i="4"/>
  <c r="X384" i="4"/>
  <c r="Q384" i="4"/>
  <c r="Z383" i="4"/>
  <c r="Y383" i="4"/>
  <c r="X383" i="4"/>
  <c r="Q383" i="4"/>
  <c r="Z382" i="4"/>
  <c r="Y382" i="4"/>
  <c r="X382" i="4"/>
  <c r="Q382" i="4"/>
  <c r="Z381" i="4"/>
  <c r="Y381" i="4"/>
  <c r="X381" i="4"/>
  <c r="Q381" i="4"/>
  <c r="Z380" i="4"/>
  <c r="Y380" i="4"/>
  <c r="X380" i="4"/>
  <c r="Q380" i="4"/>
  <c r="Z379" i="4"/>
  <c r="Y379" i="4"/>
  <c r="X379" i="4"/>
  <c r="Q379" i="4"/>
  <c r="Z378" i="4"/>
  <c r="Y378" i="4"/>
  <c r="X378" i="4"/>
  <c r="Q378" i="4"/>
  <c r="Z377" i="4"/>
  <c r="Y377" i="4"/>
  <c r="X377" i="4"/>
  <c r="Q377" i="4"/>
  <c r="Z376" i="4"/>
  <c r="Y376" i="4"/>
  <c r="X376" i="4"/>
  <c r="Q376" i="4"/>
  <c r="Z375" i="4"/>
  <c r="Y375" i="4"/>
  <c r="X375" i="4"/>
  <c r="Q375" i="4"/>
  <c r="Z374" i="4"/>
  <c r="Y374" i="4"/>
  <c r="X374" i="4"/>
  <c r="Q374" i="4"/>
  <c r="Z373" i="4"/>
  <c r="Y373" i="4"/>
  <c r="X373" i="4"/>
  <c r="Q373" i="4"/>
  <c r="Z372" i="4"/>
  <c r="Y372" i="4"/>
  <c r="X372" i="4"/>
  <c r="Q372" i="4"/>
  <c r="Z371" i="4"/>
  <c r="Y371" i="4"/>
  <c r="X371" i="4"/>
  <c r="Q371" i="4"/>
  <c r="Z370" i="4"/>
  <c r="Y370" i="4"/>
  <c r="X370" i="4"/>
  <c r="Q370" i="4"/>
  <c r="Z369" i="4"/>
  <c r="Y369" i="4"/>
  <c r="X369" i="4"/>
  <c r="Q369" i="4"/>
  <c r="Z368" i="4"/>
  <c r="Y368" i="4"/>
  <c r="X368" i="4"/>
  <c r="Q368" i="4"/>
  <c r="Z367" i="4"/>
  <c r="Y367" i="4"/>
  <c r="X367" i="4"/>
  <c r="Q367" i="4"/>
  <c r="Z366" i="4"/>
  <c r="Y366" i="4"/>
  <c r="X366" i="4"/>
  <c r="Q366" i="4"/>
  <c r="Z365" i="4"/>
  <c r="Y365" i="4"/>
  <c r="X365" i="4"/>
  <c r="Q365" i="4"/>
  <c r="Z364" i="4"/>
  <c r="Y364" i="4"/>
  <c r="X364" i="4"/>
  <c r="Q364" i="4"/>
  <c r="Z363" i="4"/>
  <c r="Y363" i="4"/>
  <c r="X363" i="4"/>
  <c r="Q363" i="4"/>
  <c r="Z362" i="4"/>
  <c r="Y362" i="4"/>
  <c r="X362" i="4"/>
  <c r="Q362" i="4"/>
  <c r="Z361" i="4"/>
  <c r="Y361" i="4"/>
  <c r="X361" i="4"/>
  <c r="Q361" i="4"/>
  <c r="Z360" i="4"/>
  <c r="Y360" i="4"/>
  <c r="X360" i="4"/>
  <c r="Q360" i="4"/>
  <c r="Z359" i="4"/>
  <c r="Y359" i="4"/>
  <c r="X359" i="4"/>
  <c r="Q359" i="4"/>
  <c r="Z358" i="4"/>
  <c r="Y358" i="4"/>
  <c r="X358" i="4"/>
  <c r="Q358" i="4"/>
  <c r="Z357" i="4"/>
  <c r="Y357" i="4"/>
  <c r="X357" i="4"/>
  <c r="Q357" i="4"/>
  <c r="Z356" i="4"/>
  <c r="Y356" i="4"/>
  <c r="X356" i="4"/>
  <c r="Q356" i="4"/>
  <c r="Z355" i="4"/>
  <c r="Y355" i="4"/>
  <c r="X355" i="4"/>
  <c r="Q355" i="4"/>
  <c r="Z354" i="4"/>
  <c r="Y354" i="4"/>
  <c r="X354" i="4"/>
  <c r="Q354" i="4"/>
  <c r="Z353" i="4"/>
  <c r="Y353" i="4"/>
  <c r="X353" i="4"/>
  <c r="Q353" i="4"/>
  <c r="Z352" i="4"/>
  <c r="Y352" i="4"/>
  <c r="X352" i="4"/>
  <c r="Q352" i="4"/>
  <c r="Z351" i="4"/>
  <c r="Y351" i="4"/>
  <c r="X351" i="4"/>
  <c r="Q351" i="4"/>
  <c r="Z350" i="4"/>
  <c r="Y350" i="4"/>
  <c r="X350" i="4"/>
  <c r="Q350" i="4"/>
  <c r="Z349" i="4"/>
  <c r="Y349" i="4"/>
  <c r="X349" i="4"/>
  <c r="Q349" i="4"/>
  <c r="Z348" i="4"/>
  <c r="Y348" i="4"/>
  <c r="X348" i="4"/>
  <c r="Q348" i="4"/>
  <c r="Z347" i="4"/>
  <c r="Y347" i="4"/>
  <c r="X347" i="4"/>
  <c r="Q347" i="4"/>
  <c r="Z346" i="4"/>
  <c r="Y346" i="4"/>
  <c r="X346" i="4"/>
  <c r="Q346" i="4"/>
  <c r="Z345" i="4"/>
  <c r="Y345" i="4"/>
  <c r="X345" i="4"/>
  <c r="Q345" i="4"/>
  <c r="Z344" i="4"/>
  <c r="Y344" i="4"/>
  <c r="X344" i="4"/>
  <c r="Q344" i="4"/>
  <c r="Z343" i="4"/>
  <c r="Y343" i="4"/>
  <c r="X343" i="4"/>
  <c r="Q343" i="4"/>
  <c r="Z342" i="4"/>
  <c r="Y342" i="4"/>
  <c r="X342" i="4"/>
  <c r="Q342" i="4"/>
  <c r="Z341" i="4"/>
  <c r="Y341" i="4"/>
  <c r="X341" i="4"/>
  <c r="Q341" i="4"/>
  <c r="Z340" i="4"/>
  <c r="Y340" i="4"/>
  <c r="X340" i="4"/>
  <c r="Q340" i="4"/>
  <c r="Z339" i="4"/>
  <c r="Y339" i="4"/>
  <c r="X339" i="4"/>
  <c r="Q339" i="4"/>
  <c r="Z338" i="4"/>
  <c r="Y338" i="4"/>
  <c r="X338" i="4"/>
  <c r="Q338" i="4"/>
  <c r="Z337" i="4"/>
  <c r="Y337" i="4"/>
  <c r="X337" i="4"/>
  <c r="Q337" i="4"/>
  <c r="Z336" i="4"/>
  <c r="Y336" i="4"/>
  <c r="X336" i="4"/>
  <c r="Q336" i="4"/>
  <c r="Z335" i="4"/>
  <c r="Y335" i="4"/>
  <c r="X335" i="4"/>
  <c r="Q335" i="4"/>
  <c r="Z334" i="4"/>
  <c r="Y334" i="4"/>
  <c r="X334" i="4"/>
  <c r="Q334" i="4"/>
  <c r="Z333" i="4"/>
  <c r="Y333" i="4"/>
  <c r="X333" i="4"/>
  <c r="Q333" i="4"/>
  <c r="Z332" i="4"/>
  <c r="Y332" i="4"/>
  <c r="X332" i="4"/>
  <c r="Q332" i="4"/>
  <c r="Z331" i="4"/>
  <c r="Y331" i="4"/>
  <c r="X331" i="4"/>
  <c r="Q331" i="4"/>
  <c r="Z330" i="4"/>
  <c r="Y330" i="4"/>
  <c r="X330" i="4"/>
  <c r="Q330" i="4"/>
  <c r="Z329" i="4"/>
  <c r="Y329" i="4"/>
  <c r="X329" i="4"/>
  <c r="Q329" i="4"/>
  <c r="Z328" i="4"/>
  <c r="Y328" i="4"/>
  <c r="X328" i="4"/>
  <c r="Q328" i="4"/>
  <c r="Z327" i="4"/>
  <c r="Y327" i="4"/>
  <c r="X327" i="4"/>
  <c r="Q327" i="4"/>
  <c r="Z326" i="4"/>
  <c r="Y326" i="4"/>
  <c r="X326" i="4"/>
  <c r="Q326" i="4"/>
  <c r="Z325" i="4"/>
  <c r="Y325" i="4"/>
  <c r="X325" i="4"/>
  <c r="Q325" i="4"/>
  <c r="Z324" i="4"/>
  <c r="Y324" i="4"/>
  <c r="X324" i="4"/>
  <c r="Q324" i="4"/>
  <c r="Z323" i="4"/>
  <c r="Y323" i="4"/>
  <c r="X323" i="4"/>
  <c r="Q323" i="4"/>
  <c r="Z322" i="4"/>
  <c r="Y322" i="4"/>
  <c r="X322" i="4"/>
  <c r="Q322" i="4"/>
  <c r="Z321" i="4"/>
  <c r="Y321" i="4"/>
  <c r="X321" i="4"/>
  <c r="Q321" i="4"/>
  <c r="Z320" i="4"/>
  <c r="Y320" i="4"/>
  <c r="X320" i="4"/>
  <c r="Q320" i="4"/>
  <c r="Z319" i="4"/>
  <c r="Y319" i="4"/>
  <c r="X319" i="4"/>
  <c r="Q319" i="4"/>
  <c r="Z318" i="4"/>
  <c r="Y318" i="4"/>
  <c r="X318" i="4"/>
  <c r="Q318" i="4"/>
  <c r="Z317" i="4"/>
  <c r="Y317" i="4"/>
  <c r="X317" i="4"/>
  <c r="Q317" i="4"/>
  <c r="Z316" i="4"/>
  <c r="Y316" i="4"/>
  <c r="X316" i="4"/>
  <c r="Q316" i="4"/>
  <c r="Z315" i="4"/>
  <c r="Y315" i="4"/>
  <c r="X315" i="4"/>
  <c r="Q315" i="4"/>
  <c r="Z314" i="4"/>
  <c r="Y314" i="4"/>
  <c r="X314" i="4"/>
  <c r="Q314" i="4"/>
  <c r="Z313" i="4"/>
  <c r="Y313" i="4"/>
  <c r="X313" i="4"/>
  <c r="Q313" i="4"/>
  <c r="Z312" i="4"/>
  <c r="Y312" i="4"/>
  <c r="X312" i="4"/>
  <c r="Q312" i="4"/>
  <c r="Z311" i="4"/>
  <c r="Y311" i="4"/>
  <c r="X311" i="4"/>
  <c r="Q311" i="4"/>
  <c r="Z310" i="4"/>
  <c r="Y310" i="4"/>
  <c r="X310" i="4"/>
  <c r="Q310" i="4"/>
  <c r="Z309" i="4"/>
  <c r="Y309" i="4"/>
  <c r="X309" i="4"/>
  <c r="Q309" i="4"/>
  <c r="Z308" i="4"/>
  <c r="Y308" i="4"/>
  <c r="X308" i="4"/>
  <c r="Q308" i="4"/>
  <c r="Z307" i="4"/>
  <c r="Y307" i="4"/>
  <c r="X307" i="4"/>
  <c r="Q307" i="4"/>
  <c r="Z306" i="4"/>
  <c r="Y306" i="4"/>
  <c r="X306" i="4"/>
  <c r="Q306" i="4"/>
  <c r="Z305" i="4"/>
  <c r="Y305" i="4"/>
  <c r="X305" i="4"/>
  <c r="Q305" i="4"/>
  <c r="Z304" i="4"/>
  <c r="Y304" i="4"/>
  <c r="X304" i="4"/>
  <c r="Q304" i="4"/>
  <c r="Z303" i="4"/>
  <c r="Y303" i="4"/>
  <c r="X303" i="4"/>
  <c r="Q303" i="4"/>
  <c r="Z302" i="4"/>
  <c r="Y302" i="4"/>
  <c r="X302" i="4"/>
  <c r="Q302" i="4"/>
  <c r="Z301" i="4"/>
  <c r="Z300" i="4"/>
  <c r="Y300" i="4"/>
  <c r="X300" i="4"/>
  <c r="Q300" i="4"/>
  <c r="Z299" i="4"/>
  <c r="Y299" i="4"/>
  <c r="X299" i="4"/>
  <c r="Q299" i="4"/>
  <c r="Z298" i="4"/>
  <c r="Y298" i="4"/>
  <c r="X298" i="4"/>
  <c r="Q298" i="4"/>
  <c r="Z297" i="4"/>
  <c r="Y297" i="4"/>
  <c r="X297" i="4"/>
  <c r="Q297" i="4"/>
  <c r="Z296" i="4"/>
  <c r="Z295" i="4"/>
  <c r="Y295" i="4"/>
  <c r="X295" i="4"/>
  <c r="Q295" i="4"/>
  <c r="Z294" i="4"/>
  <c r="Y294" i="4"/>
  <c r="X294" i="4"/>
  <c r="Q294" i="4"/>
  <c r="Z293" i="4"/>
  <c r="Y293" i="4"/>
  <c r="X293" i="4"/>
  <c r="Q293" i="4"/>
  <c r="Z292" i="4"/>
  <c r="Y292" i="4"/>
  <c r="X292" i="4"/>
  <c r="Q292" i="4"/>
  <c r="Z291" i="4"/>
  <c r="Y291" i="4"/>
  <c r="X291" i="4"/>
  <c r="Q291" i="4"/>
  <c r="Z290" i="4"/>
  <c r="Y290" i="4"/>
  <c r="X290" i="4"/>
  <c r="Q290" i="4"/>
  <c r="Z289" i="4"/>
  <c r="Y289" i="4"/>
  <c r="X289" i="4"/>
  <c r="Q289" i="4"/>
  <c r="Z288" i="4"/>
  <c r="Y288" i="4"/>
  <c r="X288" i="4"/>
  <c r="Q288" i="4"/>
  <c r="Z287" i="4"/>
  <c r="Y287" i="4"/>
  <c r="X287" i="4"/>
  <c r="Q287" i="4"/>
  <c r="Z286" i="4"/>
  <c r="Z285" i="4"/>
  <c r="Y285" i="4"/>
  <c r="X285" i="4"/>
  <c r="Q285" i="4"/>
  <c r="Z284" i="4"/>
  <c r="Y284" i="4"/>
  <c r="X284" i="4"/>
  <c r="Q284" i="4"/>
  <c r="Z283" i="4"/>
  <c r="Y283" i="4"/>
  <c r="X283" i="4"/>
  <c r="Q283" i="4"/>
  <c r="Z282" i="4"/>
  <c r="Y282" i="4"/>
  <c r="X282" i="4"/>
  <c r="Q282" i="4"/>
  <c r="Z281" i="4"/>
  <c r="Y281" i="4"/>
  <c r="X281" i="4"/>
  <c r="Q281" i="4"/>
  <c r="Z280" i="4"/>
  <c r="Y280" i="4"/>
  <c r="X280" i="4"/>
  <c r="Q280" i="4"/>
  <c r="Z279" i="4"/>
  <c r="Y279" i="4"/>
  <c r="X279" i="4"/>
  <c r="Q279" i="4"/>
  <c r="Z278" i="4"/>
  <c r="Y278" i="4"/>
  <c r="X278" i="4"/>
  <c r="Q278" i="4"/>
  <c r="Z277" i="4"/>
  <c r="Y277" i="4"/>
  <c r="X277" i="4"/>
  <c r="Q277" i="4"/>
  <c r="Z276" i="4"/>
  <c r="Y276" i="4"/>
  <c r="X276" i="4"/>
  <c r="Q276" i="4"/>
  <c r="Z275" i="4"/>
  <c r="Y275" i="4"/>
  <c r="X275" i="4"/>
  <c r="Q275" i="4"/>
  <c r="Z274" i="4"/>
  <c r="Y274" i="4"/>
  <c r="X274" i="4"/>
  <c r="Q274" i="4"/>
  <c r="Z273" i="4"/>
  <c r="Y273" i="4"/>
  <c r="X273" i="4"/>
  <c r="Q273" i="4"/>
  <c r="Z272" i="4"/>
  <c r="Y272" i="4"/>
  <c r="X272" i="4"/>
  <c r="Q272" i="4"/>
  <c r="Z271" i="4"/>
  <c r="Y271" i="4"/>
  <c r="X271" i="4"/>
  <c r="Q271" i="4"/>
  <c r="Z270" i="4"/>
  <c r="Y270" i="4"/>
  <c r="X270" i="4"/>
  <c r="Q270" i="4"/>
  <c r="Z269" i="4"/>
  <c r="Y269" i="4"/>
  <c r="X269" i="4"/>
  <c r="Q269" i="4"/>
  <c r="Z268" i="4"/>
  <c r="Y268" i="4"/>
  <c r="X268" i="4"/>
  <c r="Q268" i="4"/>
  <c r="Z267" i="4"/>
  <c r="Y267" i="4"/>
  <c r="X267" i="4"/>
  <c r="Q267" i="4"/>
  <c r="Z266" i="4"/>
  <c r="Y266" i="4"/>
  <c r="X266" i="4"/>
  <c r="Q266" i="4"/>
  <c r="Z265" i="4"/>
  <c r="Y265" i="4"/>
  <c r="X265" i="4"/>
  <c r="Q265" i="4"/>
  <c r="Z263" i="4"/>
  <c r="Y263" i="4"/>
  <c r="X263" i="4"/>
  <c r="Q263" i="4"/>
  <c r="Z262" i="4"/>
  <c r="Y262" i="4"/>
  <c r="X262" i="4"/>
  <c r="Q262" i="4"/>
  <c r="Z261" i="4"/>
  <c r="Y261" i="4"/>
  <c r="X261" i="4"/>
  <c r="Q261" i="4"/>
  <c r="Z260" i="4"/>
  <c r="Y260" i="4"/>
  <c r="X260" i="4"/>
  <c r="Q260" i="4"/>
  <c r="Z259" i="4"/>
  <c r="Y259" i="4"/>
  <c r="X259" i="4"/>
  <c r="Q259" i="4"/>
  <c r="Z258" i="4"/>
  <c r="Y258" i="4"/>
  <c r="X258" i="4"/>
  <c r="Q258" i="4"/>
  <c r="Z257" i="4"/>
  <c r="Y257" i="4"/>
  <c r="X257" i="4"/>
  <c r="Q257" i="4"/>
  <c r="Z256" i="4"/>
  <c r="Y256" i="4"/>
  <c r="X256" i="4"/>
  <c r="Q256" i="4"/>
  <c r="Z255" i="4"/>
  <c r="Y255" i="4"/>
  <c r="X255" i="4"/>
  <c r="Q255" i="4"/>
  <c r="Z254" i="4"/>
  <c r="Z253" i="4"/>
  <c r="Y253" i="4"/>
  <c r="X253" i="4"/>
  <c r="Q253" i="4"/>
  <c r="Z252" i="4"/>
  <c r="Y252" i="4"/>
  <c r="X252" i="4"/>
  <c r="Q252" i="4"/>
  <c r="Z251" i="4"/>
  <c r="Y251" i="4"/>
  <c r="X251" i="4"/>
  <c r="Q251" i="4"/>
  <c r="Z250" i="4"/>
  <c r="Y250" i="4"/>
  <c r="X250" i="4"/>
  <c r="Q250" i="4"/>
  <c r="Z249" i="4"/>
  <c r="Y249" i="4"/>
  <c r="X249" i="4"/>
  <c r="Q249" i="4"/>
  <c r="Z248" i="4"/>
  <c r="Y248" i="4"/>
  <c r="X248" i="4"/>
  <c r="Q248" i="4"/>
  <c r="Z247" i="4"/>
  <c r="Y247" i="4"/>
  <c r="X247" i="4"/>
  <c r="Q247" i="4"/>
  <c r="Z246" i="4"/>
  <c r="Y246" i="4"/>
  <c r="X246" i="4"/>
  <c r="Q246" i="4"/>
  <c r="Z245" i="4"/>
  <c r="Y245" i="4"/>
  <c r="X245" i="4"/>
  <c r="Q245" i="4"/>
  <c r="Z244" i="4"/>
  <c r="Y244" i="4"/>
  <c r="X244" i="4"/>
  <c r="Q244" i="4"/>
  <c r="Z243" i="4"/>
  <c r="Y243" i="4"/>
  <c r="X243" i="4"/>
  <c r="Q243" i="4"/>
  <c r="Z242" i="4"/>
  <c r="Y242" i="4"/>
  <c r="X242" i="4"/>
  <c r="Q242" i="4"/>
  <c r="Z241" i="4"/>
  <c r="Y241" i="4"/>
  <c r="X241" i="4"/>
  <c r="Q241" i="4"/>
  <c r="Z240" i="4"/>
  <c r="Y240" i="4"/>
  <c r="X240" i="4"/>
  <c r="Q240" i="4"/>
  <c r="Z239" i="4"/>
  <c r="Y239" i="4"/>
  <c r="X239" i="4"/>
  <c r="Q239" i="4"/>
  <c r="Z238" i="4"/>
  <c r="Y238" i="4"/>
  <c r="X238" i="4"/>
  <c r="Q238" i="4"/>
  <c r="Z237" i="4"/>
  <c r="Y237" i="4"/>
  <c r="X237" i="4"/>
  <c r="Q237" i="4"/>
  <c r="Z236" i="4"/>
  <c r="Y236" i="4"/>
  <c r="X236" i="4"/>
  <c r="Q236" i="4"/>
  <c r="Z235" i="4"/>
  <c r="Y235" i="4"/>
  <c r="X235" i="4"/>
  <c r="Q235" i="4"/>
  <c r="Z234" i="4"/>
  <c r="Y234" i="4"/>
  <c r="X234" i="4"/>
  <c r="Q234" i="4"/>
  <c r="Z233" i="4"/>
  <c r="Y233" i="4"/>
  <c r="X233" i="4"/>
  <c r="Q233" i="4"/>
  <c r="Z232" i="4"/>
  <c r="Y232" i="4"/>
  <c r="X232" i="4"/>
  <c r="Q232" i="4"/>
  <c r="Z231" i="4"/>
  <c r="Y231" i="4"/>
  <c r="X231" i="4"/>
  <c r="Q231" i="4"/>
  <c r="Z230" i="4"/>
  <c r="Y230" i="4"/>
  <c r="X230" i="4"/>
  <c r="Q230" i="4"/>
  <c r="Z229" i="4"/>
  <c r="Y229" i="4"/>
  <c r="X229" i="4"/>
  <c r="Q229" i="4"/>
  <c r="Z228" i="4"/>
  <c r="Y228" i="4"/>
  <c r="X228" i="4"/>
  <c r="Q228" i="4"/>
  <c r="Z227" i="4"/>
  <c r="Y227" i="4"/>
  <c r="X227" i="4"/>
  <c r="Q227" i="4"/>
  <c r="Z226" i="4"/>
  <c r="Y226" i="4"/>
  <c r="X226" i="4"/>
  <c r="Q226" i="4"/>
  <c r="Z225" i="4"/>
  <c r="Y225" i="4"/>
  <c r="X225" i="4"/>
  <c r="Q225" i="4"/>
  <c r="Z224" i="4"/>
  <c r="Y224" i="4"/>
  <c r="X224" i="4"/>
  <c r="Q224" i="4"/>
  <c r="Z223" i="4"/>
  <c r="Y223" i="4"/>
  <c r="X223" i="4"/>
  <c r="Q223" i="4"/>
  <c r="Z222" i="4"/>
  <c r="Y222" i="4"/>
  <c r="X222" i="4"/>
  <c r="Q222" i="4"/>
  <c r="Z221" i="4"/>
  <c r="Y221" i="4"/>
  <c r="X221" i="4"/>
  <c r="Q221" i="4"/>
  <c r="Z220" i="4"/>
  <c r="Y220" i="4"/>
  <c r="X220" i="4"/>
  <c r="Q220" i="4"/>
  <c r="Z219" i="4"/>
  <c r="Y219" i="4"/>
  <c r="X219" i="4"/>
  <c r="Q219" i="4"/>
  <c r="Z218" i="4"/>
  <c r="Y218" i="4"/>
  <c r="X218" i="4"/>
  <c r="Q218" i="4"/>
  <c r="Z217" i="4"/>
  <c r="Y217" i="4"/>
  <c r="X217" i="4"/>
  <c r="Q217" i="4"/>
  <c r="Z216" i="4"/>
  <c r="Y216" i="4"/>
  <c r="X216" i="4"/>
  <c r="Q216" i="4"/>
  <c r="Z215" i="4"/>
  <c r="Y215" i="4"/>
  <c r="X215" i="4"/>
  <c r="Q215" i="4"/>
  <c r="Z214" i="4"/>
  <c r="Y214" i="4"/>
  <c r="X214" i="4"/>
  <c r="Q214" i="4"/>
  <c r="Z213" i="4"/>
  <c r="Y213" i="4"/>
  <c r="X213" i="4"/>
  <c r="Q213" i="4"/>
  <c r="Z212" i="4"/>
  <c r="Y212" i="4"/>
  <c r="X212" i="4"/>
  <c r="Q212" i="4"/>
  <c r="Z211" i="4"/>
  <c r="Y211" i="4"/>
  <c r="X211" i="4"/>
  <c r="Q211" i="4"/>
  <c r="Z210" i="4"/>
  <c r="Y210" i="4"/>
  <c r="X210" i="4"/>
  <c r="Q210" i="4"/>
  <c r="Z209" i="4"/>
  <c r="Y209" i="4"/>
  <c r="X209" i="4"/>
  <c r="Q209" i="4"/>
  <c r="Z208" i="4"/>
  <c r="Y208" i="4"/>
  <c r="X208" i="4"/>
  <c r="Q208" i="4"/>
  <c r="Z207" i="4"/>
  <c r="Y207" i="4"/>
  <c r="X207" i="4"/>
  <c r="Q207" i="4"/>
  <c r="Z206" i="4"/>
  <c r="Y206" i="4"/>
  <c r="X206" i="4"/>
  <c r="Q206" i="4"/>
  <c r="Z205" i="4"/>
  <c r="Y205" i="4"/>
  <c r="X205" i="4"/>
  <c r="Q205" i="4"/>
  <c r="Z204" i="4"/>
  <c r="Y204" i="4"/>
  <c r="X204" i="4"/>
  <c r="Q204" i="4"/>
  <c r="Z203" i="4"/>
  <c r="Y203" i="4"/>
  <c r="X203" i="4"/>
  <c r="Q203" i="4"/>
  <c r="Z202" i="4"/>
  <c r="Y202" i="4"/>
  <c r="X202" i="4"/>
  <c r="Q202" i="4"/>
  <c r="Z201" i="4"/>
  <c r="Y201" i="4"/>
  <c r="X201" i="4"/>
  <c r="Q201" i="4"/>
  <c r="Z200" i="4"/>
  <c r="Y200" i="4"/>
  <c r="X200" i="4"/>
  <c r="Q200" i="4"/>
  <c r="Z199" i="4"/>
  <c r="Y199" i="4"/>
  <c r="X199" i="4"/>
  <c r="Q199" i="4"/>
  <c r="Z198" i="4"/>
  <c r="Y198" i="4"/>
  <c r="X198" i="4"/>
  <c r="Q198" i="4"/>
  <c r="Z197" i="4"/>
  <c r="Y197" i="4"/>
  <c r="X197" i="4"/>
  <c r="Q197" i="4"/>
  <c r="Z196" i="4"/>
  <c r="Y196" i="4"/>
  <c r="X196" i="4"/>
  <c r="Q196" i="4"/>
  <c r="Z195" i="4"/>
  <c r="Y195" i="4"/>
  <c r="X195" i="4"/>
  <c r="Q195" i="4"/>
  <c r="Z194" i="4"/>
  <c r="Y194" i="4"/>
  <c r="X194" i="4"/>
  <c r="Q194" i="4"/>
  <c r="Z193" i="4"/>
  <c r="Y193" i="4"/>
  <c r="X193" i="4"/>
  <c r="Q193" i="4"/>
  <c r="Z192" i="4"/>
  <c r="Y192" i="4"/>
  <c r="X192" i="4"/>
  <c r="Q192" i="4"/>
  <c r="Z191" i="4"/>
  <c r="Y191" i="4"/>
  <c r="X191" i="4"/>
  <c r="Q191" i="4"/>
  <c r="Z190" i="4"/>
  <c r="Y190" i="4"/>
  <c r="X190" i="4"/>
  <c r="Q190" i="4"/>
  <c r="Z189" i="4"/>
  <c r="Y189" i="4"/>
  <c r="X189" i="4"/>
  <c r="Q189" i="4"/>
  <c r="Z188" i="4"/>
  <c r="Y188" i="4"/>
  <c r="X188" i="4"/>
  <c r="Q188" i="4"/>
  <c r="Z187" i="4"/>
  <c r="Y187" i="4"/>
  <c r="X187" i="4"/>
  <c r="Q187" i="4"/>
  <c r="Z186" i="4"/>
  <c r="Y186" i="4"/>
  <c r="X186" i="4"/>
  <c r="Q186" i="4"/>
  <c r="Z185" i="4"/>
  <c r="Y185" i="4"/>
  <c r="X185" i="4"/>
  <c r="Q185" i="4"/>
  <c r="Z184" i="4"/>
  <c r="Y184" i="4"/>
  <c r="X184" i="4"/>
  <c r="Q184" i="4"/>
  <c r="Z183" i="4"/>
  <c r="Y183" i="4"/>
  <c r="X183" i="4"/>
  <c r="Q183" i="4"/>
  <c r="Z182" i="4"/>
  <c r="Y182" i="4"/>
  <c r="X182" i="4"/>
  <c r="Q182" i="4"/>
  <c r="Z181" i="4"/>
  <c r="Y181" i="4"/>
  <c r="X181" i="4"/>
  <c r="Q181" i="4"/>
  <c r="Z180" i="4"/>
  <c r="Y180" i="4"/>
  <c r="X180" i="4"/>
  <c r="Q180" i="4"/>
  <c r="Z179" i="4"/>
  <c r="Y179" i="4"/>
  <c r="X179" i="4"/>
  <c r="Q179" i="4"/>
  <c r="Z178" i="4"/>
  <c r="Y178" i="4"/>
  <c r="X178" i="4"/>
  <c r="Q178" i="4"/>
  <c r="Z177" i="4"/>
  <c r="Y177" i="4"/>
  <c r="X177" i="4"/>
  <c r="Q177" i="4"/>
  <c r="Z176" i="4"/>
  <c r="Y176" i="4"/>
  <c r="X176" i="4"/>
  <c r="Q176" i="4"/>
  <c r="Z175" i="4"/>
  <c r="Y175" i="4"/>
  <c r="X175" i="4"/>
  <c r="Q175" i="4"/>
  <c r="Z174" i="4"/>
  <c r="Y174" i="4"/>
  <c r="X174" i="4"/>
  <c r="Q174" i="4"/>
  <c r="Z173" i="4"/>
  <c r="Y173" i="4"/>
  <c r="X173" i="4"/>
  <c r="Q173" i="4"/>
  <c r="Z172" i="4"/>
  <c r="Y172" i="4"/>
  <c r="X172" i="4"/>
  <c r="Q172" i="4"/>
  <c r="Z171" i="4"/>
  <c r="Y171" i="4"/>
  <c r="X171" i="4"/>
  <c r="Q171" i="4"/>
  <c r="Z170" i="4"/>
  <c r="Y170" i="4"/>
  <c r="X170" i="4"/>
  <c r="Q170" i="4"/>
  <c r="Z169" i="4"/>
  <c r="Y169" i="4"/>
  <c r="X169" i="4"/>
  <c r="Q169" i="4"/>
  <c r="Z168" i="4"/>
  <c r="Y168" i="4"/>
  <c r="X168" i="4"/>
  <c r="Q168" i="4"/>
  <c r="Z167" i="4"/>
  <c r="Y167" i="4"/>
  <c r="X167" i="4"/>
  <c r="Q167" i="4"/>
  <c r="Z166" i="4"/>
  <c r="Y166" i="4"/>
  <c r="X166" i="4"/>
  <c r="Q166" i="4"/>
  <c r="Z165" i="4"/>
  <c r="Y165" i="4"/>
  <c r="X165" i="4"/>
  <c r="Q165" i="4"/>
  <c r="Z164" i="4"/>
  <c r="Y164" i="4"/>
  <c r="X164" i="4"/>
  <c r="Q164" i="4"/>
  <c r="Z163" i="4"/>
  <c r="Y163" i="4"/>
  <c r="X163" i="4"/>
  <c r="Q163" i="4"/>
  <c r="Z162" i="4"/>
  <c r="Y162" i="4"/>
  <c r="X162" i="4"/>
  <c r="Q162" i="4"/>
  <c r="Z161" i="4"/>
  <c r="Y161" i="4"/>
  <c r="X161" i="4"/>
  <c r="Q161" i="4"/>
  <c r="Z160" i="4"/>
  <c r="Y160" i="4"/>
  <c r="X160" i="4"/>
  <c r="Q160" i="4"/>
  <c r="Z159" i="4"/>
  <c r="Y159" i="4"/>
  <c r="X159" i="4"/>
  <c r="Q159" i="4"/>
  <c r="Z158" i="4"/>
  <c r="Y158" i="4"/>
  <c r="X158" i="4"/>
  <c r="Q158" i="4"/>
  <c r="Z157" i="4"/>
  <c r="Y157" i="4"/>
  <c r="X157" i="4"/>
  <c r="Q157" i="4"/>
  <c r="Z156" i="4"/>
  <c r="Y156" i="4"/>
  <c r="X156" i="4"/>
  <c r="Q156" i="4"/>
  <c r="Z155" i="4"/>
  <c r="Y155" i="4"/>
  <c r="X155" i="4"/>
  <c r="Q155" i="4"/>
  <c r="Z154" i="4"/>
  <c r="Y154" i="4"/>
  <c r="X154" i="4"/>
  <c r="Q154" i="4"/>
  <c r="Z153" i="4"/>
  <c r="Y153" i="4"/>
  <c r="X153" i="4"/>
  <c r="Q153" i="4"/>
  <c r="Z152" i="4"/>
  <c r="Y152" i="4"/>
  <c r="X152" i="4"/>
  <c r="Q152" i="4"/>
  <c r="Z151" i="4"/>
  <c r="Y151" i="4"/>
  <c r="X151" i="4"/>
  <c r="Q151" i="4"/>
  <c r="Z150" i="4"/>
  <c r="Y150" i="4"/>
  <c r="X150" i="4"/>
  <c r="Q150" i="4"/>
  <c r="Z149" i="4"/>
  <c r="Y149" i="4"/>
  <c r="X149" i="4"/>
  <c r="Q149" i="4"/>
  <c r="Z148" i="4"/>
  <c r="Y148" i="4"/>
  <c r="X148" i="4"/>
  <c r="Q148" i="4"/>
  <c r="Z147" i="4"/>
  <c r="Y147" i="4"/>
  <c r="X147" i="4"/>
  <c r="Q147" i="4"/>
  <c r="Z146" i="4"/>
  <c r="Y146" i="4"/>
  <c r="X146" i="4"/>
  <c r="Q146" i="4"/>
  <c r="Z145" i="4"/>
  <c r="Y145" i="4"/>
  <c r="X145" i="4"/>
  <c r="Q145" i="4"/>
  <c r="Z144" i="4"/>
  <c r="Y144" i="4"/>
  <c r="X144" i="4"/>
  <c r="Q144" i="4"/>
  <c r="Z143" i="4"/>
  <c r="Y143" i="4"/>
  <c r="X143" i="4"/>
  <c r="Q143" i="4"/>
  <c r="Z142" i="4"/>
  <c r="Y142" i="4"/>
  <c r="X142" i="4"/>
  <c r="Q142" i="4"/>
  <c r="Z141" i="4"/>
  <c r="Y141" i="4"/>
  <c r="X141" i="4"/>
  <c r="Q141" i="4"/>
  <c r="Z140" i="4"/>
  <c r="Y140" i="4"/>
  <c r="X140" i="4"/>
  <c r="Q140" i="4"/>
  <c r="Z139" i="4"/>
  <c r="Y139" i="4"/>
  <c r="X139" i="4"/>
  <c r="Q139" i="4"/>
  <c r="Z138" i="4"/>
  <c r="Y138" i="4"/>
  <c r="X138" i="4"/>
  <c r="Q138" i="4"/>
  <c r="Z137" i="4"/>
  <c r="Y137" i="4"/>
  <c r="X137" i="4"/>
  <c r="Q137" i="4"/>
  <c r="Z136" i="4"/>
  <c r="Y136" i="4"/>
  <c r="X136" i="4"/>
  <c r="Q136" i="4"/>
  <c r="Z135" i="4"/>
  <c r="Y135" i="4"/>
  <c r="X135" i="4"/>
  <c r="Q135" i="4"/>
  <c r="Z134" i="4"/>
  <c r="Y134" i="4"/>
  <c r="X134" i="4"/>
  <c r="Q134" i="4"/>
  <c r="Z133" i="4"/>
  <c r="Y133" i="4"/>
  <c r="X133" i="4"/>
  <c r="Q133" i="4"/>
  <c r="Z132" i="4"/>
  <c r="Y132" i="4"/>
  <c r="X132" i="4"/>
  <c r="Q132" i="4"/>
  <c r="Z131" i="4"/>
  <c r="Y131" i="4"/>
  <c r="X131" i="4"/>
  <c r="Q131" i="4"/>
  <c r="Z130" i="4"/>
  <c r="Y130" i="4"/>
  <c r="X130" i="4"/>
  <c r="Q130" i="4"/>
  <c r="Z129" i="4"/>
  <c r="Y129" i="4"/>
  <c r="X129" i="4"/>
  <c r="Q129" i="4"/>
  <c r="Z128" i="4"/>
  <c r="Y128" i="4"/>
  <c r="X128" i="4"/>
  <c r="Q128" i="4"/>
  <c r="Z127" i="4"/>
  <c r="Y127" i="4"/>
  <c r="X127" i="4"/>
  <c r="Q127" i="4"/>
  <c r="Z126" i="4"/>
  <c r="Y126" i="4"/>
  <c r="X126" i="4"/>
  <c r="Q126" i="4"/>
  <c r="Z125" i="4"/>
  <c r="Y125" i="4"/>
  <c r="X125" i="4"/>
  <c r="Q125" i="4"/>
  <c r="Z124" i="4"/>
  <c r="Y124" i="4"/>
  <c r="X124" i="4"/>
  <c r="Q124" i="4"/>
  <c r="Z123" i="4"/>
  <c r="Y123" i="4"/>
  <c r="X123" i="4"/>
  <c r="Q123" i="4"/>
  <c r="Z122" i="4"/>
  <c r="Y122" i="4"/>
  <c r="X122" i="4"/>
  <c r="Q122" i="4"/>
  <c r="Z121" i="4"/>
  <c r="Y121" i="4"/>
  <c r="X121" i="4"/>
  <c r="Q121" i="4"/>
  <c r="Z120" i="4"/>
  <c r="Y120" i="4"/>
  <c r="X120" i="4"/>
  <c r="Q120" i="4"/>
  <c r="Z119" i="4"/>
  <c r="Y119" i="4"/>
  <c r="X119" i="4"/>
  <c r="Q119" i="4"/>
  <c r="Z118" i="4"/>
  <c r="Y118" i="4"/>
  <c r="X118" i="4"/>
  <c r="Q118" i="4"/>
  <c r="Z117" i="4"/>
  <c r="Y117" i="4"/>
  <c r="X117" i="4"/>
  <c r="Q117" i="4"/>
  <c r="Z116" i="4"/>
  <c r="Y116" i="4"/>
  <c r="X116" i="4"/>
  <c r="Q116" i="4"/>
  <c r="Z115" i="4"/>
  <c r="Y115" i="4"/>
  <c r="X115" i="4"/>
  <c r="Q115" i="4"/>
  <c r="Z114" i="4"/>
  <c r="Y114" i="4"/>
  <c r="X114" i="4"/>
  <c r="Q114" i="4"/>
  <c r="Z113" i="4"/>
  <c r="Y113" i="4"/>
  <c r="X113" i="4"/>
  <c r="Q113" i="4"/>
  <c r="Z112" i="4"/>
  <c r="Y112" i="4"/>
  <c r="X112" i="4"/>
  <c r="Q112" i="4"/>
  <c r="Z111" i="4"/>
  <c r="Y111" i="4"/>
  <c r="X111" i="4"/>
  <c r="Q111" i="4"/>
  <c r="Z110" i="4"/>
  <c r="Y110" i="4"/>
  <c r="X110" i="4"/>
  <c r="Q110" i="4"/>
  <c r="Z109" i="4"/>
  <c r="Y109" i="4"/>
  <c r="X109" i="4"/>
  <c r="Q109" i="4"/>
  <c r="Z108" i="4"/>
  <c r="Y108" i="4"/>
  <c r="X108" i="4"/>
  <c r="Q108" i="4"/>
  <c r="Z107" i="4"/>
  <c r="Y107" i="4"/>
  <c r="X107" i="4"/>
  <c r="Q107" i="4"/>
  <c r="Z106" i="4"/>
  <c r="Y106" i="4"/>
  <c r="X106" i="4"/>
  <c r="Q106" i="4"/>
  <c r="Z105" i="4"/>
  <c r="Y105" i="4"/>
  <c r="X105" i="4"/>
  <c r="Q105" i="4"/>
  <c r="Z104" i="4"/>
  <c r="Y104" i="4"/>
  <c r="X104" i="4"/>
  <c r="Q104" i="4"/>
  <c r="Z103" i="4"/>
  <c r="Y103" i="4"/>
  <c r="X103" i="4"/>
  <c r="Q103" i="4"/>
  <c r="Z102" i="4"/>
  <c r="Y102" i="4"/>
  <c r="X102" i="4"/>
  <c r="Q102" i="4"/>
  <c r="Z101" i="4"/>
  <c r="Y101" i="4"/>
  <c r="X101" i="4"/>
  <c r="Q101" i="4"/>
  <c r="Z100" i="4"/>
  <c r="Y100" i="4"/>
  <c r="X100" i="4"/>
  <c r="Q100" i="4"/>
  <c r="Z99" i="4"/>
  <c r="Y99" i="4"/>
  <c r="X99" i="4"/>
  <c r="Q99" i="4"/>
  <c r="Z98" i="4"/>
  <c r="Y98" i="4"/>
  <c r="X98" i="4"/>
  <c r="Q98" i="4"/>
  <c r="Z97" i="4"/>
  <c r="Y97" i="4"/>
  <c r="X97" i="4"/>
  <c r="Q97" i="4"/>
  <c r="Z96" i="4"/>
  <c r="Y96" i="4"/>
  <c r="X96" i="4"/>
  <c r="Q96" i="4"/>
  <c r="Z95" i="4"/>
  <c r="Y95" i="4"/>
  <c r="X95" i="4"/>
  <c r="Q95" i="4"/>
  <c r="Z94" i="4"/>
  <c r="Y94" i="4"/>
  <c r="X94" i="4"/>
  <c r="Q94" i="4"/>
  <c r="Z93" i="4"/>
  <c r="Y93" i="4"/>
  <c r="X93" i="4"/>
  <c r="Q93" i="4"/>
  <c r="Z92" i="4"/>
  <c r="Y92" i="4"/>
  <c r="X92" i="4"/>
  <c r="Q92" i="4"/>
  <c r="Z91" i="4"/>
  <c r="Y91" i="4"/>
  <c r="X91" i="4"/>
  <c r="Q91" i="4"/>
  <c r="Z90" i="4"/>
  <c r="Y90" i="4"/>
  <c r="X90" i="4"/>
  <c r="Q90" i="4"/>
  <c r="Z89" i="4"/>
  <c r="Y89" i="4"/>
  <c r="X89" i="4"/>
  <c r="Q89" i="4"/>
  <c r="Z88" i="4"/>
  <c r="Y88" i="4"/>
  <c r="X88" i="4"/>
  <c r="Q88" i="4"/>
  <c r="Z87" i="4"/>
  <c r="Y87" i="4"/>
  <c r="X87" i="4"/>
  <c r="Q87" i="4"/>
  <c r="Z86" i="4"/>
  <c r="Y86" i="4"/>
  <c r="X86" i="4"/>
  <c r="Q86" i="4"/>
  <c r="Z85" i="4"/>
  <c r="Y85" i="4"/>
  <c r="X85" i="4"/>
  <c r="Q85" i="4"/>
  <c r="Z84" i="4"/>
  <c r="Y84" i="4"/>
  <c r="X84" i="4"/>
  <c r="Q84" i="4"/>
  <c r="Z83" i="4"/>
  <c r="Y83" i="4"/>
  <c r="X83" i="4"/>
  <c r="Q83" i="4"/>
  <c r="Z82" i="4"/>
  <c r="Y82" i="4"/>
  <c r="X82" i="4"/>
  <c r="Q82" i="4"/>
  <c r="Z81" i="4"/>
  <c r="Y81" i="4"/>
  <c r="X81" i="4"/>
  <c r="Q81" i="4"/>
  <c r="Z80" i="4"/>
  <c r="Y80" i="4"/>
  <c r="X80" i="4"/>
  <c r="Q80" i="4"/>
  <c r="Z79" i="4"/>
  <c r="Y79" i="4"/>
  <c r="X79" i="4"/>
  <c r="Q79" i="4"/>
  <c r="Z78" i="4"/>
  <c r="Y78" i="4"/>
  <c r="X78" i="4"/>
  <c r="Q78" i="4"/>
  <c r="Z77" i="4"/>
  <c r="Y77" i="4"/>
  <c r="X77" i="4"/>
  <c r="Q77" i="4"/>
  <c r="Z76" i="4"/>
  <c r="Y76" i="4"/>
  <c r="X76" i="4"/>
  <c r="Q76" i="4"/>
  <c r="Z75" i="4"/>
  <c r="Y75" i="4"/>
  <c r="X75" i="4"/>
  <c r="Q75" i="4"/>
  <c r="Z74" i="4"/>
  <c r="Y74" i="4"/>
  <c r="X74" i="4"/>
  <c r="Q74" i="4"/>
  <c r="Z73" i="4"/>
  <c r="Y73" i="4"/>
  <c r="X73" i="4"/>
  <c r="Q73" i="4"/>
  <c r="Z72" i="4"/>
  <c r="Y72" i="4"/>
  <c r="X72" i="4"/>
  <c r="Q72" i="4"/>
  <c r="Z71" i="4"/>
  <c r="Y71" i="4"/>
  <c r="X71" i="4"/>
  <c r="Q71" i="4"/>
  <c r="Z70" i="4"/>
  <c r="Y70" i="4"/>
  <c r="X70" i="4"/>
  <c r="Q70" i="4"/>
  <c r="Z69" i="4"/>
  <c r="Y69" i="4"/>
  <c r="X69" i="4"/>
  <c r="Q69" i="4"/>
  <c r="Z68" i="4"/>
  <c r="Y68" i="4"/>
  <c r="X68" i="4"/>
  <c r="Q68" i="4"/>
  <c r="Z67" i="4"/>
  <c r="Y67" i="4"/>
  <c r="X67" i="4"/>
  <c r="Q67" i="4"/>
  <c r="Z66" i="4"/>
  <c r="Y66" i="4"/>
  <c r="X66" i="4"/>
  <c r="Q66" i="4"/>
  <c r="Z65" i="4"/>
  <c r="Y65" i="4"/>
  <c r="X65" i="4"/>
  <c r="Q65" i="4"/>
  <c r="Z64" i="4"/>
  <c r="Y64" i="4"/>
  <c r="X64" i="4"/>
  <c r="Q64" i="4"/>
  <c r="Z63" i="4"/>
  <c r="Y63" i="4"/>
  <c r="X63" i="4"/>
  <c r="Q63" i="4"/>
  <c r="Z62" i="4"/>
  <c r="Y62" i="4"/>
  <c r="X62" i="4"/>
  <c r="Q62" i="4"/>
  <c r="Z61" i="4"/>
  <c r="Y61" i="4"/>
  <c r="X61" i="4"/>
  <c r="Q61" i="4"/>
  <c r="Z60" i="4"/>
  <c r="Y60" i="4"/>
  <c r="X60" i="4"/>
  <c r="Q60" i="4"/>
  <c r="Z59" i="4"/>
  <c r="Y59" i="4"/>
  <c r="X59" i="4"/>
  <c r="Q59" i="4"/>
  <c r="Z58" i="4"/>
  <c r="Y58" i="4"/>
  <c r="X58" i="4"/>
  <c r="Q58" i="4"/>
  <c r="Z57" i="4"/>
  <c r="Y57" i="4"/>
  <c r="X57" i="4"/>
  <c r="Q57" i="4"/>
  <c r="Z56" i="4"/>
  <c r="Y56" i="4"/>
  <c r="X56" i="4"/>
  <c r="Q56" i="4"/>
  <c r="Z55" i="4"/>
  <c r="Y55" i="4"/>
  <c r="X55" i="4"/>
  <c r="X12" i="4" s="1"/>
  <c r="Q55" i="4"/>
  <c r="Z54" i="4"/>
  <c r="Z53" i="4"/>
  <c r="Y53" i="4"/>
  <c r="X53" i="4"/>
  <c r="Q53" i="4"/>
  <c r="Z52" i="4"/>
  <c r="Y52" i="4"/>
  <c r="X52" i="4"/>
  <c r="Q52" i="4"/>
  <c r="Z51" i="4"/>
  <c r="Y51" i="4"/>
  <c r="X51" i="4"/>
  <c r="Q51" i="4"/>
  <c r="Z50" i="4"/>
  <c r="Y50" i="4"/>
  <c r="X50" i="4"/>
  <c r="Q50" i="4"/>
  <c r="Z49" i="4"/>
  <c r="Y49" i="4"/>
  <c r="X49" i="4"/>
  <c r="Q49" i="4"/>
  <c r="Z48" i="4"/>
  <c r="Y48" i="4"/>
  <c r="X48" i="4"/>
  <c r="Q48" i="4"/>
  <c r="Z47" i="4"/>
  <c r="Y47" i="4"/>
  <c r="X47" i="4"/>
  <c r="Q47" i="4"/>
  <c r="Z46" i="4"/>
  <c r="Y46" i="4"/>
  <c r="X46" i="4"/>
  <c r="Q46" i="4"/>
  <c r="Z45" i="4"/>
  <c r="Y45" i="4"/>
  <c r="X45" i="4"/>
  <c r="Q45" i="4"/>
  <c r="Z44" i="4"/>
  <c r="Y44" i="4"/>
  <c r="X44" i="4"/>
  <c r="Q44" i="4"/>
  <c r="Z43" i="4"/>
  <c r="Y43" i="4"/>
  <c r="X43" i="4"/>
  <c r="Q43" i="4"/>
  <c r="Z42" i="4"/>
  <c r="Y42" i="4"/>
  <c r="X42" i="4"/>
  <c r="Q42" i="4"/>
  <c r="Z41" i="4"/>
  <c r="Y41" i="4"/>
  <c r="X41" i="4"/>
  <c r="Q41" i="4"/>
  <c r="Z40" i="4"/>
  <c r="Y40" i="4"/>
  <c r="X40" i="4"/>
  <c r="Q40" i="4"/>
  <c r="Z39" i="4"/>
  <c r="Y39" i="4"/>
  <c r="X39" i="4"/>
  <c r="Q39" i="4"/>
  <c r="Z38" i="4"/>
  <c r="Y38" i="4"/>
  <c r="X38" i="4"/>
  <c r="Q38" i="4"/>
  <c r="Z37" i="4"/>
  <c r="Y37" i="4"/>
  <c r="X37" i="4"/>
  <c r="Q37" i="4"/>
  <c r="Z36" i="4"/>
  <c r="Y36" i="4"/>
  <c r="X36" i="4"/>
  <c r="Q36" i="4"/>
  <c r="Z35" i="4"/>
  <c r="Y35" i="4"/>
  <c r="X35" i="4"/>
  <c r="Q35" i="4"/>
  <c r="Z34" i="4"/>
  <c r="Y34" i="4"/>
  <c r="X34" i="4"/>
  <c r="Q34" i="4"/>
  <c r="Z33" i="4"/>
  <c r="Y33" i="4"/>
  <c r="X33" i="4"/>
  <c r="Q33" i="4"/>
  <c r="Z32" i="4"/>
  <c r="Y32" i="4"/>
  <c r="X32" i="4"/>
  <c r="Q32" i="4"/>
  <c r="Z31" i="4"/>
  <c r="Y31" i="4"/>
  <c r="X31" i="4"/>
  <c r="Q31" i="4"/>
  <c r="Z30" i="4"/>
  <c r="Y30" i="4"/>
  <c r="X30" i="4"/>
  <c r="Q30" i="4"/>
  <c r="Z29" i="4"/>
  <c r="Y29" i="4"/>
  <c r="X29" i="4"/>
  <c r="Q29" i="4"/>
  <c r="Z28" i="4"/>
  <c r="Y28" i="4"/>
  <c r="X28" i="4"/>
  <c r="Q28" i="4"/>
  <c r="Z27" i="4"/>
  <c r="Y27" i="4"/>
  <c r="X27" i="4"/>
  <c r="Q27" i="4"/>
  <c r="Z26" i="4"/>
  <c r="Y26" i="4"/>
  <c r="X26" i="4"/>
  <c r="Q26" i="4"/>
  <c r="Z25" i="4"/>
  <c r="Y25" i="4"/>
  <c r="X25" i="4"/>
  <c r="Q25" i="4"/>
  <c r="Z24" i="4"/>
  <c r="Y24" i="4"/>
  <c r="X24" i="4"/>
  <c r="Q24" i="4"/>
  <c r="Z23" i="4"/>
  <c r="Y23" i="4"/>
  <c r="X23" i="4"/>
  <c r="Q23" i="4"/>
  <c r="Z22" i="4"/>
  <c r="Y22" i="4"/>
  <c r="X22" i="4"/>
  <c r="Q22" i="4"/>
  <c r="Z21" i="4"/>
  <c r="Y21" i="4"/>
  <c r="X21" i="4"/>
  <c r="Q21" i="4"/>
  <c r="Z20" i="4"/>
  <c r="Y20" i="4"/>
  <c r="X20" i="4"/>
  <c r="Q20" i="4"/>
  <c r="Z19" i="4"/>
  <c r="Y19" i="4"/>
  <c r="X19" i="4"/>
  <c r="Q19" i="4"/>
  <c r="Z18" i="4"/>
  <c r="Y18" i="4"/>
  <c r="X18" i="4"/>
  <c r="Q18" i="4"/>
  <c r="Z17" i="4"/>
  <c r="Y17" i="4"/>
  <c r="X17" i="4"/>
  <c r="Q17" i="4"/>
  <c r="Z16" i="4"/>
  <c r="Y16" i="4"/>
  <c r="X16" i="4"/>
  <c r="Q16" i="4"/>
  <c r="Z15" i="4"/>
  <c r="Y15" i="4"/>
  <c r="X15" i="4"/>
  <c r="Q15" i="4"/>
  <c r="Z14" i="4"/>
  <c r="Y14" i="4"/>
  <c r="X14" i="4"/>
  <c r="Q14" i="4"/>
  <c r="AB13" i="4"/>
  <c r="AA13" i="4"/>
  <c r="W13" i="4"/>
  <c r="V13" i="4"/>
  <c r="U13" i="4"/>
  <c r="T13" i="4"/>
  <c r="S13" i="4"/>
  <c r="R13" i="4"/>
  <c r="P13" i="4"/>
  <c r="N13" i="4"/>
  <c r="M13" i="4"/>
  <c r="L13" i="4"/>
  <c r="F13" i="4"/>
  <c r="AA12" i="4"/>
  <c r="W12" i="4"/>
  <c r="V12" i="4"/>
  <c r="U12" i="4"/>
  <c r="T12" i="4"/>
  <c r="S12" i="4"/>
  <c r="R12" i="4"/>
  <c r="P12" i="4"/>
  <c r="N12" i="4"/>
  <c r="M12" i="4"/>
  <c r="L12" i="4"/>
  <c r="AC888" i="3"/>
  <c r="Z888" i="3"/>
  <c r="Y888" i="3"/>
  <c r="X888" i="3"/>
  <c r="Q888" i="3"/>
  <c r="AC887" i="3"/>
  <c r="Z887" i="3"/>
  <c r="Y887" i="3"/>
  <c r="X887" i="3"/>
  <c r="Q887" i="3"/>
  <c r="AC886" i="3"/>
  <c r="Z886" i="3"/>
  <c r="Y886" i="3"/>
  <c r="X886" i="3"/>
  <c r="Q886" i="3"/>
  <c r="AC885" i="3"/>
  <c r="Z885" i="3"/>
  <c r="Y885" i="3"/>
  <c r="X885" i="3"/>
  <c r="Q885" i="3"/>
  <c r="AC884" i="3"/>
  <c r="Z884" i="3"/>
  <c r="Y884" i="3"/>
  <c r="X884" i="3"/>
  <c r="Q884" i="3"/>
  <c r="AC883" i="3"/>
  <c r="Z883" i="3"/>
  <c r="Y883" i="3"/>
  <c r="X883" i="3"/>
  <c r="Q883" i="3"/>
  <c r="AC882" i="3"/>
  <c r="Z882" i="3"/>
  <c r="Y882" i="3"/>
  <c r="X882" i="3"/>
  <c r="Q882" i="3"/>
  <c r="AC881" i="3"/>
  <c r="Z881" i="3"/>
  <c r="Y881" i="3"/>
  <c r="X881" i="3"/>
  <c r="Q881" i="3"/>
  <c r="AC880" i="3"/>
  <c r="Z880" i="3"/>
  <c r="Y880" i="3"/>
  <c r="X880" i="3"/>
  <c r="Q880" i="3"/>
  <c r="AC879" i="3"/>
  <c r="Z879" i="3"/>
  <c r="Y879" i="3"/>
  <c r="X879" i="3"/>
  <c r="Q879" i="3"/>
  <c r="AC878" i="3"/>
  <c r="Z878" i="3"/>
  <c r="Y878" i="3"/>
  <c r="X878" i="3"/>
  <c r="Q878" i="3"/>
  <c r="AC877" i="3"/>
  <c r="Z877" i="3"/>
  <c r="Y877" i="3"/>
  <c r="X877" i="3"/>
  <c r="Q877" i="3"/>
  <c r="AC876" i="3"/>
  <c r="Z876" i="3"/>
  <c r="Y876" i="3"/>
  <c r="X876" i="3"/>
  <c r="Q876" i="3"/>
  <c r="AC875" i="3"/>
  <c r="Z875" i="3"/>
  <c r="Y875" i="3"/>
  <c r="X875" i="3"/>
  <c r="Q875" i="3"/>
  <c r="AC874" i="3"/>
  <c r="Z874" i="3"/>
  <c r="Y874" i="3"/>
  <c r="X874" i="3"/>
  <c r="Q874" i="3"/>
  <c r="AC873" i="3"/>
  <c r="Z873" i="3"/>
  <c r="Y873" i="3"/>
  <c r="X873" i="3"/>
  <c r="Q873" i="3"/>
  <c r="AC872" i="3"/>
  <c r="Z872" i="3"/>
  <c r="Y872" i="3"/>
  <c r="X872" i="3"/>
  <c r="Q872" i="3"/>
  <c r="AC871" i="3"/>
  <c r="Z871" i="3"/>
  <c r="Y871" i="3"/>
  <c r="X871" i="3"/>
  <c r="Q871" i="3"/>
  <c r="AC870" i="3"/>
  <c r="Z870" i="3"/>
  <c r="Y870" i="3"/>
  <c r="X870" i="3"/>
  <c r="Q870" i="3"/>
  <c r="AC869" i="3"/>
  <c r="Z869" i="3"/>
  <c r="Y869" i="3"/>
  <c r="X869" i="3"/>
  <c r="Q869" i="3"/>
  <c r="AC868" i="3"/>
  <c r="Z868" i="3"/>
  <c r="Y868" i="3"/>
  <c r="X868" i="3"/>
  <c r="Q868" i="3"/>
  <c r="AC867" i="3"/>
  <c r="Z867" i="3"/>
  <c r="Y867" i="3"/>
  <c r="X867" i="3"/>
  <c r="Q867" i="3"/>
  <c r="AC866" i="3"/>
  <c r="Z866" i="3"/>
  <c r="Y866" i="3"/>
  <c r="X866" i="3"/>
  <c r="Q866" i="3"/>
  <c r="AC865" i="3"/>
  <c r="Z865" i="3"/>
  <c r="Y865" i="3"/>
  <c r="X865" i="3"/>
  <c r="Q865" i="3"/>
  <c r="AC864" i="3"/>
  <c r="Z864" i="3"/>
  <c r="Y864" i="3"/>
  <c r="X864" i="3"/>
  <c r="Q864" i="3"/>
  <c r="AC863" i="3"/>
  <c r="Z863" i="3"/>
  <c r="Y863" i="3"/>
  <c r="X863" i="3"/>
  <c r="Q863" i="3"/>
  <c r="AC862" i="3"/>
  <c r="Z862" i="3"/>
  <c r="Y862" i="3"/>
  <c r="X862" i="3"/>
  <c r="Q862" i="3"/>
  <c r="AC861" i="3"/>
  <c r="Z861" i="3"/>
  <c r="Y861" i="3"/>
  <c r="X861" i="3"/>
  <c r="Q861" i="3"/>
  <c r="AC860" i="3"/>
  <c r="Z860" i="3"/>
  <c r="Y860" i="3"/>
  <c r="X860" i="3"/>
  <c r="Q860" i="3"/>
  <c r="AC859" i="3"/>
  <c r="Z859" i="3"/>
  <c r="Y859" i="3"/>
  <c r="X859" i="3"/>
  <c r="Q859" i="3"/>
  <c r="AC858" i="3"/>
  <c r="Z858" i="3"/>
  <c r="Y858" i="3"/>
  <c r="X858" i="3"/>
  <c r="Q858" i="3"/>
  <c r="AC857" i="3"/>
  <c r="Z857" i="3"/>
  <c r="Y857" i="3"/>
  <c r="X857" i="3"/>
  <c r="Q857" i="3"/>
  <c r="AC856" i="3"/>
  <c r="Z856" i="3"/>
  <c r="Y856" i="3"/>
  <c r="X856" i="3"/>
  <c r="Q856" i="3"/>
  <c r="AC855" i="3"/>
  <c r="Z855" i="3"/>
  <c r="Y855" i="3"/>
  <c r="X855" i="3"/>
  <c r="Q855" i="3"/>
  <c r="AC854" i="3"/>
  <c r="Z854" i="3"/>
  <c r="Y854" i="3"/>
  <c r="X854" i="3"/>
  <c r="Q854" i="3"/>
  <c r="AC853" i="3"/>
  <c r="Z853" i="3"/>
  <c r="Y853" i="3"/>
  <c r="X853" i="3"/>
  <c r="Q853" i="3"/>
  <c r="AC852" i="3"/>
  <c r="Z852" i="3"/>
  <c r="Y852" i="3"/>
  <c r="X852" i="3"/>
  <c r="Q852" i="3"/>
  <c r="AC851" i="3"/>
  <c r="Z851" i="3"/>
  <c r="Y851" i="3"/>
  <c r="X851" i="3"/>
  <c r="Q851" i="3"/>
  <c r="AC850" i="3"/>
  <c r="Z850" i="3"/>
  <c r="Y850" i="3"/>
  <c r="X850" i="3"/>
  <c r="Q850" i="3"/>
  <c r="AC849" i="3"/>
  <c r="Z849" i="3"/>
  <c r="Y849" i="3"/>
  <c r="X849" i="3"/>
  <c r="Q849" i="3"/>
  <c r="AC848" i="3"/>
  <c r="Z848" i="3"/>
  <c r="Y848" i="3"/>
  <c r="X848" i="3"/>
  <c r="Q848" i="3"/>
  <c r="AC847" i="3"/>
  <c r="Z847" i="3"/>
  <c r="Y847" i="3"/>
  <c r="X847" i="3"/>
  <c r="Q847" i="3"/>
  <c r="AC846" i="3"/>
  <c r="Z846" i="3"/>
  <c r="Y846" i="3"/>
  <c r="X846" i="3"/>
  <c r="Q846" i="3"/>
  <c r="AC845" i="3"/>
  <c r="Z845" i="3"/>
  <c r="Y845" i="3"/>
  <c r="X845" i="3"/>
  <c r="Q845" i="3"/>
  <c r="AC844" i="3"/>
  <c r="Z844" i="3"/>
  <c r="Y844" i="3"/>
  <c r="X844" i="3"/>
  <c r="Q844" i="3"/>
  <c r="AC843" i="3"/>
  <c r="Z843" i="3"/>
  <c r="Y843" i="3"/>
  <c r="X843" i="3"/>
  <c r="Q843" i="3"/>
  <c r="AC842" i="3"/>
  <c r="Z842" i="3"/>
  <c r="Y842" i="3"/>
  <c r="X842" i="3"/>
  <c r="Q842" i="3"/>
  <c r="AC841" i="3"/>
  <c r="Z841" i="3"/>
  <c r="Y841" i="3"/>
  <c r="X841" i="3"/>
  <c r="Q841" i="3"/>
  <c r="AC840" i="3"/>
  <c r="Z840" i="3"/>
  <c r="Y840" i="3"/>
  <c r="X840" i="3"/>
  <c r="Q840" i="3"/>
  <c r="AC839" i="3"/>
  <c r="Z839" i="3"/>
  <c r="Y839" i="3"/>
  <c r="X839" i="3"/>
  <c r="Q839" i="3"/>
  <c r="AC838" i="3"/>
  <c r="Z838" i="3"/>
  <c r="Y838" i="3"/>
  <c r="X838" i="3"/>
  <c r="Q838" i="3"/>
  <c r="AC837" i="3"/>
  <c r="Z837" i="3"/>
  <c r="Y837" i="3"/>
  <c r="X837" i="3"/>
  <c r="Q837" i="3"/>
  <c r="AC836" i="3"/>
  <c r="Z836" i="3"/>
  <c r="Y836" i="3"/>
  <c r="X836" i="3"/>
  <c r="Q836" i="3"/>
  <c r="AC835" i="3"/>
  <c r="Z835" i="3"/>
  <c r="Y835" i="3"/>
  <c r="X835" i="3"/>
  <c r="Q835" i="3"/>
  <c r="AC834" i="3"/>
  <c r="Z834" i="3"/>
  <c r="Y834" i="3"/>
  <c r="X834" i="3"/>
  <c r="Q834" i="3"/>
  <c r="AC833" i="3"/>
  <c r="Z833" i="3"/>
  <c r="Y833" i="3"/>
  <c r="X833" i="3"/>
  <c r="Q833" i="3"/>
  <c r="AC832" i="3"/>
  <c r="Z832" i="3"/>
  <c r="Y832" i="3"/>
  <c r="X832" i="3"/>
  <c r="Q832" i="3"/>
  <c r="AC831" i="3"/>
  <c r="Z831" i="3"/>
  <c r="Y831" i="3"/>
  <c r="X831" i="3"/>
  <c r="Q831" i="3"/>
  <c r="AC830" i="3"/>
  <c r="Z830" i="3"/>
  <c r="Y830" i="3"/>
  <c r="X830" i="3"/>
  <c r="Q830" i="3"/>
  <c r="AC829" i="3"/>
  <c r="Z829" i="3"/>
  <c r="Y829" i="3"/>
  <c r="X829" i="3"/>
  <c r="Q829" i="3"/>
  <c r="AC828" i="3"/>
  <c r="Z828" i="3"/>
  <c r="Y828" i="3"/>
  <c r="X828" i="3"/>
  <c r="Q828" i="3"/>
  <c r="AC827" i="3"/>
  <c r="Z827" i="3"/>
  <c r="Y827" i="3"/>
  <c r="X827" i="3"/>
  <c r="Q827" i="3"/>
  <c r="AC826" i="3"/>
  <c r="Z826" i="3"/>
  <c r="Y826" i="3"/>
  <c r="X826" i="3"/>
  <c r="Q826" i="3"/>
  <c r="AC825" i="3"/>
  <c r="Z825" i="3"/>
  <c r="Y825" i="3"/>
  <c r="X825" i="3"/>
  <c r="Q825" i="3"/>
  <c r="AC824" i="3"/>
  <c r="Z824" i="3"/>
  <c r="Y824" i="3"/>
  <c r="X824" i="3"/>
  <c r="Q824" i="3"/>
  <c r="AC823" i="3"/>
  <c r="Z823" i="3"/>
  <c r="Y823" i="3"/>
  <c r="X823" i="3"/>
  <c r="Q823" i="3"/>
  <c r="AC822" i="3"/>
  <c r="Z822" i="3"/>
  <c r="Y822" i="3"/>
  <c r="X822" i="3"/>
  <c r="Q822" i="3"/>
  <c r="AC821" i="3"/>
  <c r="Z821" i="3"/>
  <c r="Y821" i="3"/>
  <c r="X821" i="3"/>
  <c r="Q821" i="3"/>
  <c r="AC820" i="3"/>
  <c r="Z820" i="3"/>
  <c r="Y820" i="3"/>
  <c r="X820" i="3"/>
  <c r="Q820" i="3"/>
  <c r="AC819" i="3"/>
  <c r="Z819" i="3"/>
  <c r="Y819" i="3"/>
  <c r="X819" i="3"/>
  <c r="Q819" i="3"/>
  <c r="AC818" i="3"/>
  <c r="Z818" i="3"/>
  <c r="Y818" i="3"/>
  <c r="X818" i="3"/>
  <c r="Q818" i="3"/>
  <c r="AC817" i="3"/>
  <c r="Z817" i="3"/>
  <c r="Y817" i="3"/>
  <c r="X817" i="3"/>
  <c r="Q817" i="3"/>
  <c r="AC816" i="3"/>
  <c r="Z816" i="3"/>
  <c r="Y816" i="3"/>
  <c r="X816" i="3"/>
  <c r="Q816" i="3"/>
  <c r="AC815" i="3"/>
  <c r="Z815" i="3"/>
  <c r="Y815" i="3"/>
  <c r="X815" i="3"/>
  <c r="Q815" i="3"/>
  <c r="AC814" i="3"/>
  <c r="Z814" i="3"/>
  <c r="Y814" i="3"/>
  <c r="X814" i="3"/>
  <c r="Q814" i="3"/>
  <c r="AC813" i="3"/>
  <c r="Z813" i="3"/>
  <c r="Y813" i="3"/>
  <c r="X813" i="3"/>
  <c r="Q813" i="3"/>
  <c r="AC812" i="3"/>
  <c r="Z812" i="3"/>
  <c r="Y812" i="3"/>
  <c r="X812" i="3"/>
  <c r="Q812" i="3"/>
  <c r="AC811" i="3"/>
  <c r="Z811" i="3"/>
  <c r="Y811" i="3"/>
  <c r="X811" i="3"/>
  <c r="Q811" i="3"/>
  <c r="AC810" i="3"/>
  <c r="Z810" i="3"/>
  <c r="Y810" i="3"/>
  <c r="X810" i="3"/>
  <c r="Q810" i="3"/>
  <c r="AC809" i="3"/>
  <c r="Z809" i="3"/>
  <c r="Y809" i="3"/>
  <c r="X809" i="3"/>
  <c r="Q809" i="3"/>
  <c r="AC808" i="3"/>
  <c r="Z808" i="3"/>
  <c r="Y808" i="3"/>
  <c r="X808" i="3"/>
  <c r="Q808" i="3"/>
  <c r="AC807" i="3"/>
  <c r="Z807" i="3"/>
  <c r="Y807" i="3"/>
  <c r="X807" i="3"/>
  <c r="Q807" i="3"/>
  <c r="AC806" i="3"/>
  <c r="Z806" i="3"/>
  <c r="Y806" i="3"/>
  <c r="X806" i="3"/>
  <c r="Q806" i="3"/>
  <c r="AC805" i="3"/>
  <c r="Z805" i="3"/>
  <c r="Y805" i="3"/>
  <c r="X805" i="3"/>
  <c r="Q805" i="3"/>
  <c r="AC804" i="3"/>
  <c r="Z804" i="3"/>
  <c r="Y804" i="3"/>
  <c r="X804" i="3"/>
  <c r="Q804" i="3"/>
  <c r="AC803" i="3"/>
  <c r="Z803" i="3"/>
  <c r="Y803" i="3"/>
  <c r="X803" i="3"/>
  <c r="Q803" i="3"/>
  <c r="AC802" i="3"/>
  <c r="Z802" i="3"/>
  <c r="Y802" i="3"/>
  <c r="X802" i="3"/>
  <c r="Q802" i="3"/>
  <c r="AC801" i="3"/>
  <c r="Z801" i="3"/>
  <c r="Y801" i="3"/>
  <c r="X801" i="3"/>
  <c r="Q801" i="3"/>
  <c r="AC800" i="3"/>
  <c r="Z800" i="3"/>
  <c r="Y800" i="3"/>
  <c r="X800" i="3"/>
  <c r="Q800" i="3"/>
  <c r="AC799" i="3"/>
  <c r="Z799" i="3"/>
  <c r="Y799" i="3"/>
  <c r="X799" i="3"/>
  <c r="Q799" i="3"/>
  <c r="AC798" i="3"/>
  <c r="Z798" i="3"/>
  <c r="Y798" i="3"/>
  <c r="X798" i="3"/>
  <c r="Q798" i="3"/>
  <c r="AC797" i="3"/>
  <c r="Z797" i="3"/>
  <c r="Y797" i="3"/>
  <c r="X797" i="3"/>
  <c r="Q797" i="3"/>
  <c r="AC796" i="3"/>
  <c r="Z796" i="3"/>
  <c r="Y796" i="3"/>
  <c r="X796" i="3"/>
  <c r="Q796" i="3"/>
  <c r="AC795" i="3"/>
  <c r="Z795" i="3"/>
  <c r="Y795" i="3"/>
  <c r="X795" i="3"/>
  <c r="Q795" i="3"/>
  <c r="AC794" i="3"/>
  <c r="Z794" i="3"/>
  <c r="Y794" i="3"/>
  <c r="X794" i="3"/>
  <c r="Q794" i="3"/>
  <c r="AC793" i="3"/>
  <c r="Z793" i="3"/>
  <c r="Y793" i="3"/>
  <c r="X793" i="3"/>
  <c r="Q793" i="3"/>
  <c r="AC792" i="3"/>
  <c r="Z792" i="3"/>
  <c r="Y792" i="3"/>
  <c r="X792" i="3"/>
  <c r="Q792" i="3"/>
  <c r="AC791" i="3"/>
  <c r="Z791" i="3"/>
  <c r="Y791" i="3"/>
  <c r="X791" i="3"/>
  <c r="Q791" i="3"/>
  <c r="AC790" i="3"/>
  <c r="Z790" i="3"/>
  <c r="Y790" i="3"/>
  <c r="X790" i="3"/>
  <c r="Q790" i="3"/>
  <c r="AC789" i="3"/>
  <c r="Z789" i="3"/>
  <c r="Y789" i="3"/>
  <c r="X789" i="3"/>
  <c r="Q789" i="3"/>
  <c r="AC788" i="3"/>
  <c r="Z788" i="3"/>
  <c r="Y788" i="3"/>
  <c r="X788" i="3"/>
  <c r="Q788" i="3"/>
  <c r="AC787" i="3"/>
  <c r="Z787" i="3"/>
  <c r="Y787" i="3"/>
  <c r="X787" i="3"/>
  <c r="Q787" i="3"/>
  <c r="AC786" i="3"/>
  <c r="Z786" i="3"/>
  <c r="Y786" i="3"/>
  <c r="X786" i="3"/>
  <c r="Q786" i="3"/>
  <c r="AC785" i="3"/>
  <c r="Z785" i="3"/>
  <c r="Y785" i="3"/>
  <c r="X785" i="3"/>
  <c r="Q785" i="3"/>
  <c r="AC784" i="3"/>
  <c r="Z784" i="3"/>
  <c r="Y784" i="3"/>
  <c r="X784" i="3"/>
  <c r="Q784" i="3"/>
  <c r="AC783" i="3"/>
  <c r="Z783" i="3"/>
  <c r="Y783" i="3"/>
  <c r="X783" i="3"/>
  <c r="Q783" i="3"/>
  <c r="AC782" i="3"/>
  <c r="Z782" i="3"/>
  <c r="Y782" i="3"/>
  <c r="X782" i="3"/>
  <c r="Q782" i="3"/>
  <c r="AC781" i="3"/>
  <c r="Z781" i="3"/>
  <c r="Y781" i="3"/>
  <c r="X781" i="3"/>
  <c r="Q781" i="3"/>
  <c r="AC780" i="3"/>
  <c r="Z780" i="3"/>
  <c r="Y780" i="3"/>
  <c r="X780" i="3"/>
  <c r="Q780" i="3"/>
  <c r="AC779" i="3"/>
  <c r="Z779" i="3"/>
  <c r="Y779" i="3"/>
  <c r="X779" i="3"/>
  <c r="Q779" i="3"/>
  <c r="AC778" i="3"/>
  <c r="Z778" i="3"/>
  <c r="Y778" i="3"/>
  <c r="X778" i="3"/>
  <c r="Q778" i="3"/>
  <c r="AC777" i="3"/>
  <c r="Z777" i="3"/>
  <c r="Y777" i="3"/>
  <c r="X777" i="3"/>
  <c r="Q777" i="3"/>
  <c r="AC776" i="3"/>
  <c r="Z776" i="3"/>
  <c r="Y776" i="3"/>
  <c r="X776" i="3"/>
  <c r="Q776" i="3"/>
  <c r="AC775" i="3"/>
  <c r="Z775" i="3"/>
  <c r="Y775" i="3"/>
  <c r="X775" i="3"/>
  <c r="Q775" i="3"/>
  <c r="AC774" i="3"/>
  <c r="Z774" i="3"/>
  <c r="Y774" i="3"/>
  <c r="X774" i="3"/>
  <c r="Q774" i="3"/>
  <c r="AC773" i="3"/>
  <c r="Z773" i="3"/>
  <c r="Y773" i="3"/>
  <c r="X773" i="3"/>
  <c r="Q773" i="3"/>
  <c r="AC772" i="3"/>
  <c r="Z772" i="3"/>
  <c r="Y772" i="3"/>
  <c r="X772" i="3"/>
  <c r="Q772" i="3"/>
  <c r="AC771" i="3"/>
  <c r="Z771" i="3"/>
  <c r="Y771" i="3"/>
  <c r="X771" i="3"/>
  <c r="Q771" i="3"/>
  <c r="AC770" i="3"/>
  <c r="Z770" i="3"/>
  <c r="Y770" i="3"/>
  <c r="X770" i="3"/>
  <c r="Q770" i="3"/>
  <c r="AC769" i="3"/>
  <c r="Z769" i="3"/>
  <c r="Y769" i="3"/>
  <c r="X769" i="3"/>
  <c r="Q769" i="3"/>
  <c r="AC768" i="3"/>
  <c r="Z768" i="3"/>
  <c r="Y768" i="3"/>
  <c r="X768" i="3"/>
  <c r="Q768" i="3"/>
  <c r="AC767" i="3"/>
  <c r="Z767" i="3"/>
  <c r="Y767" i="3"/>
  <c r="X767" i="3"/>
  <c r="Q767" i="3"/>
  <c r="AC766" i="3"/>
  <c r="Z766" i="3"/>
  <c r="Y766" i="3"/>
  <c r="X766" i="3"/>
  <c r="Q766" i="3"/>
  <c r="AC765" i="3"/>
  <c r="Z765" i="3"/>
  <c r="Y765" i="3"/>
  <c r="X765" i="3"/>
  <c r="Q765" i="3"/>
  <c r="AC764" i="3"/>
  <c r="Z764" i="3"/>
  <c r="Y764" i="3"/>
  <c r="X764" i="3"/>
  <c r="Q764" i="3"/>
  <c r="AC763" i="3"/>
  <c r="Z763" i="3"/>
  <c r="Y763" i="3"/>
  <c r="X763" i="3"/>
  <c r="Q763" i="3"/>
  <c r="AC762" i="3"/>
  <c r="Z762" i="3"/>
  <c r="Y762" i="3"/>
  <c r="X762" i="3"/>
  <c r="Q762" i="3"/>
  <c r="AC761" i="3"/>
  <c r="Z761" i="3"/>
  <c r="Y761" i="3"/>
  <c r="X761" i="3"/>
  <c r="O761" i="3"/>
  <c r="Q761" i="3" s="1"/>
  <c r="AC760" i="3"/>
  <c r="Z760" i="3"/>
  <c r="Y760" i="3"/>
  <c r="X760" i="3"/>
  <c r="Q760" i="3"/>
  <c r="AC759" i="3"/>
  <c r="Z759" i="3"/>
  <c r="Y759" i="3"/>
  <c r="X759" i="3"/>
  <c r="Q759" i="3"/>
  <c r="AC758" i="3"/>
  <c r="Z758" i="3"/>
  <c r="Y758" i="3"/>
  <c r="X758" i="3"/>
  <c r="Q758" i="3"/>
  <c r="AC757" i="3"/>
  <c r="Z757" i="3"/>
  <c r="Y757" i="3"/>
  <c r="X757" i="3"/>
  <c r="Q757" i="3"/>
  <c r="AC756" i="3"/>
  <c r="Z756" i="3"/>
  <c r="Y756" i="3"/>
  <c r="X756" i="3"/>
  <c r="Q756" i="3"/>
  <c r="AC755" i="3"/>
  <c r="Z755" i="3"/>
  <c r="Y755" i="3"/>
  <c r="X755" i="3"/>
  <c r="Q755" i="3"/>
  <c r="AC754" i="3"/>
  <c r="Z754" i="3"/>
  <c r="Y754" i="3"/>
  <c r="X754" i="3"/>
  <c r="Q754" i="3"/>
  <c r="AC753" i="3"/>
  <c r="Z753" i="3"/>
  <c r="Y753" i="3"/>
  <c r="X753" i="3"/>
  <c r="Q753" i="3"/>
  <c r="AC752" i="3"/>
  <c r="Z752" i="3"/>
  <c r="Y752" i="3"/>
  <c r="X752" i="3"/>
  <c r="Q752" i="3"/>
  <c r="AC751" i="3"/>
  <c r="Z751" i="3"/>
  <c r="Y751" i="3"/>
  <c r="X751" i="3"/>
  <c r="Q751" i="3"/>
  <c r="AC750" i="3"/>
  <c r="Z750" i="3"/>
  <c r="Y750" i="3"/>
  <c r="X750" i="3"/>
  <c r="Q750" i="3"/>
  <c r="AC749" i="3"/>
  <c r="Z749" i="3"/>
  <c r="Y749" i="3"/>
  <c r="X749" i="3"/>
  <c r="Q749" i="3"/>
  <c r="AC748" i="3"/>
  <c r="Z748" i="3"/>
  <c r="Y748" i="3"/>
  <c r="X748" i="3"/>
  <c r="Q748" i="3"/>
  <c r="AC747" i="3"/>
  <c r="Z747" i="3"/>
  <c r="Y747" i="3"/>
  <c r="X747" i="3"/>
  <c r="Q747" i="3"/>
  <c r="AC746" i="3"/>
  <c r="Z746" i="3"/>
  <c r="Y746" i="3"/>
  <c r="X746" i="3"/>
  <c r="Q746" i="3"/>
  <c r="AC745" i="3"/>
  <c r="Z745" i="3"/>
  <c r="Y745" i="3"/>
  <c r="X745" i="3"/>
  <c r="Q745" i="3"/>
  <c r="AC744" i="3"/>
  <c r="Z744" i="3"/>
  <c r="Y744" i="3"/>
  <c r="X744" i="3"/>
  <c r="Q744" i="3"/>
  <c r="AC743" i="3"/>
  <c r="Z743" i="3"/>
  <c r="Y743" i="3"/>
  <c r="X743" i="3"/>
  <c r="Q743" i="3"/>
  <c r="AC742" i="3"/>
  <c r="Z742" i="3"/>
  <c r="Y742" i="3"/>
  <c r="X742" i="3"/>
  <c r="Q742" i="3"/>
  <c r="AC741" i="3"/>
  <c r="Z741" i="3"/>
  <c r="Y741" i="3"/>
  <c r="X741" i="3"/>
  <c r="Q741" i="3"/>
  <c r="AC740" i="3"/>
  <c r="Z740" i="3"/>
  <c r="Y740" i="3"/>
  <c r="X740" i="3"/>
  <c r="Q740" i="3"/>
  <c r="AC739" i="3"/>
  <c r="Z739" i="3"/>
  <c r="Y739" i="3"/>
  <c r="X739" i="3"/>
  <c r="Q739" i="3"/>
  <c r="AC738" i="3"/>
  <c r="Z738" i="3"/>
  <c r="Y738" i="3"/>
  <c r="X738" i="3"/>
  <c r="Q738" i="3"/>
  <c r="AC737" i="3"/>
  <c r="Z737" i="3"/>
  <c r="Y737" i="3"/>
  <c r="X737" i="3"/>
  <c r="Q737" i="3"/>
  <c r="AC736" i="3"/>
  <c r="Z736" i="3"/>
  <c r="Y736" i="3"/>
  <c r="X736" i="3"/>
  <c r="Q736" i="3"/>
  <c r="AC735" i="3"/>
  <c r="Z735" i="3"/>
  <c r="Y735" i="3"/>
  <c r="X735" i="3"/>
  <c r="Q735" i="3"/>
  <c r="AC734" i="3"/>
  <c r="Z734" i="3"/>
  <c r="Y734" i="3"/>
  <c r="X734" i="3"/>
  <c r="Q734" i="3"/>
  <c r="AC733" i="3"/>
  <c r="Z733" i="3"/>
  <c r="Y733" i="3"/>
  <c r="X733" i="3"/>
  <c r="Q733" i="3"/>
  <c r="AC732" i="3"/>
  <c r="Z732" i="3"/>
  <c r="Y732" i="3"/>
  <c r="X732" i="3"/>
  <c r="Q732" i="3"/>
  <c r="AC731" i="3"/>
  <c r="Z731" i="3"/>
  <c r="Y731" i="3"/>
  <c r="X731" i="3"/>
  <c r="Q731" i="3"/>
  <c r="AC730" i="3"/>
  <c r="Z730" i="3"/>
  <c r="Y730" i="3"/>
  <c r="X730" i="3"/>
  <c r="Q730" i="3"/>
  <c r="AC729" i="3"/>
  <c r="Z729" i="3"/>
  <c r="Y729" i="3"/>
  <c r="X729" i="3"/>
  <c r="Q729" i="3"/>
  <c r="AC728" i="3"/>
  <c r="Z728" i="3"/>
  <c r="Y728" i="3"/>
  <c r="X728" i="3"/>
  <c r="Q728" i="3"/>
  <c r="AC727" i="3"/>
  <c r="Z727" i="3"/>
  <c r="Y727" i="3"/>
  <c r="X727" i="3"/>
  <c r="Q727" i="3"/>
  <c r="AC726" i="3"/>
  <c r="Z726" i="3"/>
  <c r="Y726" i="3"/>
  <c r="X726" i="3"/>
  <c r="Q726" i="3"/>
  <c r="AC725" i="3"/>
  <c r="Z725" i="3"/>
  <c r="Y725" i="3"/>
  <c r="X725" i="3"/>
  <c r="Q725" i="3"/>
  <c r="AC724" i="3"/>
  <c r="Z724" i="3"/>
  <c r="Y724" i="3"/>
  <c r="X724" i="3"/>
  <c r="Q724" i="3"/>
  <c r="AC723" i="3"/>
  <c r="Z723" i="3"/>
  <c r="Y723" i="3"/>
  <c r="X723" i="3"/>
  <c r="Q723" i="3"/>
  <c r="AC722" i="3"/>
  <c r="Z722" i="3"/>
  <c r="Y722" i="3"/>
  <c r="X722" i="3"/>
  <c r="Q722" i="3"/>
  <c r="AC721" i="3"/>
  <c r="Z721" i="3"/>
  <c r="Y721" i="3"/>
  <c r="X721" i="3"/>
  <c r="Q721" i="3"/>
  <c r="AC720" i="3"/>
  <c r="Z720" i="3"/>
  <c r="Y720" i="3"/>
  <c r="X720" i="3"/>
  <c r="Q720" i="3"/>
  <c r="AC719" i="3"/>
  <c r="Z719" i="3"/>
  <c r="Y719" i="3"/>
  <c r="X719" i="3"/>
  <c r="Q719" i="3"/>
  <c r="AC718" i="3"/>
  <c r="Z718" i="3"/>
  <c r="Y718" i="3"/>
  <c r="X718" i="3"/>
  <c r="Q718" i="3"/>
  <c r="AC717" i="3"/>
  <c r="Z717" i="3"/>
  <c r="Y717" i="3"/>
  <c r="X717" i="3"/>
  <c r="Q717" i="3"/>
  <c r="AC716" i="3"/>
  <c r="Z716" i="3"/>
  <c r="Y716" i="3"/>
  <c r="X716" i="3"/>
  <c r="Q716" i="3"/>
  <c r="AC715" i="3"/>
  <c r="Z715" i="3"/>
  <c r="Y715" i="3"/>
  <c r="X715" i="3"/>
  <c r="Q715" i="3"/>
  <c r="AC714" i="3"/>
  <c r="Z714" i="3"/>
  <c r="Y714" i="3"/>
  <c r="X714" i="3"/>
  <c r="Q714" i="3"/>
  <c r="AC713" i="3"/>
  <c r="Z713" i="3"/>
  <c r="Y713" i="3"/>
  <c r="X713" i="3"/>
  <c r="Q713" i="3"/>
  <c r="AC712" i="3"/>
  <c r="Z712" i="3"/>
  <c r="Y712" i="3"/>
  <c r="X712" i="3"/>
  <c r="Q712" i="3"/>
  <c r="AC711" i="3"/>
  <c r="Z711" i="3"/>
  <c r="Y711" i="3"/>
  <c r="X711" i="3"/>
  <c r="Q711" i="3"/>
  <c r="AC710" i="3"/>
  <c r="Z710" i="3"/>
  <c r="Y710" i="3"/>
  <c r="X710" i="3"/>
  <c r="Q710" i="3"/>
  <c r="AC709" i="3"/>
  <c r="Z709" i="3"/>
  <c r="Y709" i="3"/>
  <c r="X709" i="3"/>
  <c r="Q709" i="3"/>
  <c r="AC708" i="3"/>
  <c r="Z708" i="3"/>
  <c r="Y708" i="3"/>
  <c r="X708" i="3"/>
  <c r="Q708" i="3"/>
  <c r="AC707" i="3"/>
  <c r="Z707" i="3"/>
  <c r="Y707" i="3"/>
  <c r="X707" i="3"/>
  <c r="Q707" i="3"/>
  <c r="AC706" i="3"/>
  <c r="Z706" i="3"/>
  <c r="Y706" i="3"/>
  <c r="X706" i="3"/>
  <c r="Q706" i="3"/>
  <c r="AC705" i="3"/>
  <c r="Z705" i="3"/>
  <c r="Y705" i="3"/>
  <c r="X705" i="3"/>
  <c r="Q705" i="3"/>
  <c r="AC704" i="3"/>
  <c r="Z704" i="3"/>
  <c r="Y704" i="3"/>
  <c r="X704" i="3"/>
  <c r="Q704" i="3"/>
  <c r="AC703" i="3"/>
  <c r="Z703" i="3"/>
  <c r="Y703" i="3"/>
  <c r="X703" i="3"/>
  <c r="Q703" i="3"/>
  <c r="AC702" i="3"/>
  <c r="Z702" i="3"/>
  <c r="Y702" i="3"/>
  <c r="X702" i="3"/>
  <c r="Q702" i="3"/>
  <c r="AC701" i="3"/>
  <c r="Z701" i="3"/>
  <c r="Y701" i="3"/>
  <c r="X701" i="3"/>
  <c r="Q701" i="3"/>
  <c r="AC700" i="3"/>
  <c r="Z700" i="3"/>
  <c r="Y700" i="3"/>
  <c r="X700" i="3"/>
  <c r="Q700" i="3"/>
  <c r="AC699" i="3"/>
  <c r="Z699" i="3"/>
  <c r="Y699" i="3"/>
  <c r="X699" i="3"/>
  <c r="Q699" i="3"/>
  <c r="AC698" i="3"/>
  <c r="Z698" i="3"/>
  <c r="Y698" i="3"/>
  <c r="X698" i="3"/>
  <c r="Q698" i="3"/>
  <c r="AC697" i="3"/>
  <c r="Z697" i="3"/>
  <c r="Y697" i="3"/>
  <c r="X697" i="3"/>
  <c r="Q697" i="3"/>
  <c r="AC696" i="3"/>
  <c r="Z696" i="3"/>
  <c r="Y696" i="3"/>
  <c r="X696" i="3"/>
  <c r="Q696" i="3"/>
  <c r="AC695" i="3"/>
  <c r="Z695" i="3"/>
  <c r="Y695" i="3"/>
  <c r="X695" i="3"/>
  <c r="Q695" i="3"/>
  <c r="AC694" i="3"/>
  <c r="Z694" i="3"/>
  <c r="Y694" i="3"/>
  <c r="X694" i="3"/>
  <c r="Q694" i="3"/>
  <c r="AC693" i="3"/>
  <c r="Z693" i="3"/>
  <c r="Y693" i="3"/>
  <c r="X693" i="3"/>
  <c r="Q693" i="3"/>
  <c r="AC692" i="3"/>
  <c r="Z692" i="3"/>
  <c r="Y692" i="3"/>
  <c r="X692" i="3"/>
  <c r="Q692" i="3"/>
  <c r="AC691" i="3"/>
  <c r="Z691" i="3"/>
  <c r="Y691" i="3"/>
  <c r="X691" i="3"/>
  <c r="Q691" i="3"/>
  <c r="AC690" i="3"/>
  <c r="Z690" i="3"/>
  <c r="Y690" i="3"/>
  <c r="X690" i="3"/>
  <c r="Q690" i="3"/>
  <c r="AC689" i="3"/>
  <c r="Z689" i="3"/>
  <c r="Y689" i="3"/>
  <c r="X689" i="3"/>
  <c r="Q689" i="3"/>
  <c r="AC688" i="3"/>
  <c r="Z688" i="3"/>
  <c r="Y688" i="3"/>
  <c r="X688" i="3"/>
  <c r="Q688" i="3"/>
  <c r="AC687" i="3"/>
  <c r="Z687" i="3"/>
  <c r="Y687" i="3"/>
  <c r="X687" i="3"/>
  <c r="Q687" i="3"/>
  <c r="AC686" i="3"/>
  <c r="Z686" i="3"/>
  <c r="Y686" i="3"/>
  <c r="X686" i="3"/>
  <c r="Q686" i="3"/>
  <c r="AC685" i="3"/>
  <c r="Z685" i="3"/>
  <c r="Y685" i="3"/>
  <c r="X685" i="3"/>
  <c r="Q685" i="3"/>
  <c r="AC684" i="3"/>
  <c r="Z684" i="3"/>
  <c r="Y684" i="3"/>
  <c r="X684" i="3"/>
  <c r="Q684" i="3"/>
  <c r="AC683" i="3"/>
  <c r="Z683" i="3"/>
  <c r="Y683" i="3"/>
  <c r="X683" i="3"/>
  <c r="Q683" i="3"/>
  <c r="AC682" i="3"/>
  <c r="Z682" i="3"/>
  <c r="Y682" i="3"/>
  <c r="X682" i="3"/>
  <c r="Q682" i="3"/>
  <c r="AC681" i="3"/>
  <c r="Z681" i="3"/>
  <c r="Y681" i="3"/>
  <c r="X681" i="3"/>
  <c r="Q681" i="3"/>
  <c r="AC680" i="3"/>
  <c r="Z680" i="3"/>
  <c r="Y680" i="3"/>
  <c r="X680" i="3"/>
  <c r="Q680" i="3"/>
  <c r="AC679" i="3"/>
  <c r="Z679" i="3"/>
  <c r="Y679" i="3"/>
  <c r="X679" i="3"/>
  <c r="Q679" i="3"/>
  <c r="AC678" i="3"/>
  <c r="Z678" i="3"/>
  <c r="Y678" i="3"/>
  <c r="X678" i="3"/>
  <c r="Q678" i="3"/>
  <c r="AC677" i="3"/>
  <c r="Z677" i="3"/>
  <c r="Y677" i="3"/>
  <c r="X677" i="3"/>
  <c r="Q677" i="3"/>
  <c r="AC676" i="3"/>
  <c r="Z676" i="3"/>
  <c r="Y676" i="3"/>
  <c r="X676" i="3"/>
  <c r="Q676" i="3"/>
  <c r="AC675" i="3"/>
  <c r="Z675" i="3"/>
  <c r="Y675" i="3"/>
  <c r="X675" i="3"/>
  <c r="Q675" i="3"/>
  <c r="AC674" i="3"/>
  <c r="Z674" i="3"/>
  <c r="Y674" i="3"/>
  <c r="X674" i="3"/>
  <c r="Q674" i="3"/>
  <c r="AC673" i="3"/>
  <c r="Z673" i="3"/>
  <c r="Y673" i="3"/>
  <c r="X673" i="3"/>
  <c r="Q673" i="3"/>
  <c r="AC672" i="3"/>
  <c r="Z672" i="3"/>
  <c r="Y672" i="3"/>
  <c r="X672" i="3"/>
  <c r="Q672" i="3"/>
  <c r="AC671" i="3"/>
  <c r="Z671" i="3"/>
  <c r="Y671" i="3"/>
  <c r="X671" i="3"/>
  <c r="Q671" i="3"/>
  <c r="AC670" i="3"/>
  <c r="Z670" i="3"/>
  <c r="Y670" i="3"/>
  <c r="X670" i="3"/>
  <c r="Q670" i="3"/>
  <c r="AC669" i="3"/>
  <c r="Z669" i="3"/>
  <c r="Y669" i="3"/>
  <c r="X669" i="3"/>
  <c r="Q669" i="3"/>
  <c r="AC668" i="3"/>
  <c r="Z668" i="3"/>
  <c r="Y668" i="3"/>
  <c r="X668" i="3"/>
  <c r="Q668" i="3"/>
  <c r="AC667" i="3"/>
  <c r="Z667" i="3"/>
  <c r="Y667" i="3"/>
  <c r="X667" i="3"/>
  <c r="Q667" i="3"/>
  <c r="AC666" i="3"/>
  <c r="Z666" i="3"/>
  <c r="Y666" i="3"/>
  <c r="X666" i="3"/>
  <c r="Q666" i="3"/>
  <c r="AC665" i="3"/>
  <c r="Z665" i="3"/>
  <c r="Y665" i="3"/>
  <c r="X665" i="3"/>
  <c r="Q665" i="3"/>
  <c r="AC664" i="3"/>
  <c r="Z664" i="3"/>
  <c r="Y664" i="3"/>
  <c r="X664" i="3"/>
  <c r="Q664" i="3"/>
  <c r="AC663" i="3"/>
  <c r="Z663" i="3"/>
  <c r="Y663" i="3"/>
  <c r="X663" i="3"/>
  <c r="Q663" i="3"/>
  <c r="AC662" i="3"/>
  <c r="Z662" i="3"/>
  <c r="Y662" i="3"/>
  <c r="X662" i="3"/>
  <c r="Q662" i="3"/>
  <c r="AC661" i="3"/>
  <c r="Z661" i="3"/>
  <c r="Y661" i="3"/>
  <c r="X661" i="3"/>
  <c r="Q661" i="3"/>
  <c r="AC660" i="3"/>
  <c r="Z660" i="3"/>
  <c r="Y660" i="3"/>
  <c r="X660" i="3"/>
  <c r="Q660" i="3"/>
  <c r="AC659" i="3"/>
  <c r="Z659" i="3"/>
  <c r="Y659" i="3"/>
  <c r="X659" i="3"/>
  <c r="Q659" i="3"/>
  <c r="AC658" i="3"/>
  <c r="Z658" i="3"/>
  <c r="Y658" i="3"/>
  <c r="X658" i="3"/>
  <c r="Q658" i="3"/>
  <c r="AC657" i="3"/>
  <c r="Z657" i="3"/>
  <c r="Y657" i="3"/>
  <c r="X657" i="3"/>
  <c r="Q657" i="3"/>
  <c r="AC656" i="3"/>
  <c r="Z656" i="3"/>
  <c r="Y656" i="3"/>
  <c r="X656" i="3"/>
  <c r="Q656" i="3"/>
  <c r="AC655" i="3"/>
  <c r="Z655" i="3"/>
  <c r="Y655" i="3"/>
  <c r="X655" i="3"/>
  <c r="Q655" i="3"/>
  <c r="AC654" i="3"/>
  <c r="Z654" i="3"/>
  <c r="Y654" i="3"/>
  <c r="X654" i="3"/>
  <c r="Q654" i="3"/>
  <c r="AC653" i="3"/>
  <c r="Z653" i="3"/>
  <c r="Y653" i="3"/>
  <c r="X653" i="3"/>
  <c r="Q653" i="3"/>
  <c r="AC652" i="3"/>
  <c r="Z652" i="3"/>
  <c r="Y652" i="3"/>
  <c r="X652" i="3"/>
  <c r="Q652" i="3"/>
  <c r="AC651" i="3"/>
  <c r="Z651" i="3"/>
  <c r="Y651" i="3"/>
  <c r="X651" i="3"/>
  <c r="Q651" i="3"/>
  <c r="AC650" i="3"/>
  <c r="Z650" i="3"/>
  <c r="Y650" i="3"/>
  <c r="X650" i="3"/>
  <c r="Q650" i="3"/>
  <c r="AC649" i="3"/>
  <c r="Z649" i="3"/>
  <c r="Y649" i="3"/>
  <c r="X649" i="3"/>
  <c r="Q649" i="3"/>
  <c r="AC648" i="3"/>
  <c r="Z648" i="3"/>
  <c r="Y648" i="3"/>
  <c r="X648" i="3"/>
  <c r="Q648" i="3"/>
  <c r="AC647" i="3"/>
  <c r="Z647" i="3"/>
  <c r="Y647" i="3"/>
  <c r="X647" i="3"/>
  <c r="Q647" i="3"/>
  <c r="AC646" i="3"/>
  <c r="Z646" i="3"/>
  <c r="Y646" i="3"/>
  <c r="X646" i="3"/>
  <c r="Q646" i="3"/>
  <c r="AC645" i="3"/>
  <c r="Z645" i="3"/>
  <c r="Y645" i="3"/>
  <c r="X645" i="3"/>
  <c r="Q645" i="3"/>
  <c r="AC644" i="3"/>
  <c r="Z644" i="3"/>
  <c r="Y644" i="3"/>
  <c r="X644" i="3"/>
  <c r="Q644" i="3"/>
  <c r="AC643" i="3"/>
  <c r="Z643" i="3"/>
  <c r="Y643" i="3"/>
  <c r="X643" i="3"/>
  <c r="Q643" i="3"/>
  <c r="AC642" i="3"/>
  <c r="Z642" i="3"/>
  <c r="Y642" i="3"/>
  <c r="X642" i="3"/>
  <c r="Q642" i="3"/>
  <c r="AC641" i="3"/>
  <c r="Z641" i="3"/>
  <c r="Y641" i="3"/>
  <c r="X641" i="3"/>
  <c r="Q641" i="3"/>
  <c r="AC640" i="3"/>
  <c r="Z640" i="3"/>
  <c r="Y640" i="3"/>
  <c r="X640" i="3"/>
  <c r="Q640" i="3"/>
  <c r="AC639" i="3"/>
  <c r="Z639" i="3"/>
  <c r="Y639" i="3"/>
  <c r="X639" i="3"/>
  <c r="Q639" i="3"/>
  <c r="AC638" i="3"/>
  <c r="Z638" i="3"/>
  <c r="Y638" i="3"/>
  <c r="X638" i="3"/>
  <c r="Q638" i="3"/>
  <c r="AC637" i="3"/>
  <c r="Z637" i="3"/>
  <c r="Y637" i="3"/>
  <c r="X637" i="3"/>
  <c r="Q637" i="3"/>
  <c r="AC636" i="3"/>
  <c r="Z636" i="3"/>
  <c r="Y636" i="3"/>
  <c r="X636" i="3"/>
  <c r="Q636" i="3"/>
  <c r="AC635" i="3"/>
  <c r="Z635" i="3"/>
  <c r="Y635" i="3"/>
  <c r="X635" i="3"/>
  <c r="Q635" i="3"/>
  <c r="AC634" i="3"/>
  <c r="Z634" i="3"/>
  <c r="Y634" i="3"/>
  <c r="X634" i="3"/>
  <c r="Q634" i="3"/>
  <c r="AC633" i="3"/>
  <c r="Z633" i="3"/>
  <c r="Y633" i="3"/>
  <c r="X633" i="3"/>
  <c r="Q633" i="3"/>
  <c r="AC632" i="3"/>
  <c r="Z632" i="3"/>
  <c r="Y632" i="3"/>
  <c r="X632" i="3"/>
  <c r="Q632" i="3"/>
  <c r="AC631" i="3"/>
  <c r="Z631" i="3"/>
  <c r="Y631" i="3"/>
  <c r="X631" i="3"/>
  <c r="Q631" i="3"/>
  <c r="AC630" i="3"/>
  <c r="Z630" i="3"/>
  <c r="Y630" i="3"/>
  <c r="X630" i="3"/>
  <c r="Q630" i="3"/>
  <c r="AC629" i="3"/>
  <c r="Z629" i="3"/>
  <c r="Y629" i="3"/>
  <c r="X629" i="3"/>
  <c r="Q629" i="3"/>
  <c r="AC628" i="3"/>
  <c r="Z628" i="3"/>
  <c r="Y628" i="3"/>
  <c r="X628" i="3"/>
  <c r="Q628" i="3"/>
  <c r="AC627" i="3"/>
  <c r="Z627" i="3"/>
  <c r="Y627" i="3"/>
  <c r="X627" i="3"/>
  <c r="Q627" i="3"/>
  <c r="AC626" i="3"/>
  <c r="Z626" i="3"/>
  <c r="Y626" i="3"/>
  <c r="X626" i="3"/>
  <c r="Q626" i="3"/>
  <c r="AC625" i="3"/>
  <c r="Z625" i="3"/>
  <c r="Y625" i="3"/>
  <c r="X625" i="3"/>
  <c r="Q625" i="3"/>
  <c r="AC624" i="3"/>
  <c r="Z624" i="3"/>
  <c r="Y624" i="3"/>
  <c r="X624" i="3"/>
  <c r="Q624" i="3"/>
  <c r="AC623" i="3"/>
  <c r="Z623" i="3"/>
  <c r="Y623" i="3"/>
  <c r="X623" i="3"/>
  <c r="Q623" i="3"/>
  <c r="AC622" i="3"/>
  <c r="Z622" i="3"/>
  <c r="Y622" i="3"/>
  <c r="X622" i="3"/>
  <c r="Q622" i="3"/>
  <c r="AC621" i="3"/>
  <c r="Z621" i="3"/>
  <c r="Y621" i="3"/>
  <c r="X621" i="3"/>
  <c r="Q621" i="3"/>
  <c r="AC620" i="3"/>
  <c r="Z620" i="3"/>
  <c r="Y620" i="3"/>
  <c r="X620" i="3"/>
  <c r="Q620" i="3"/>
  <c r="AC619" i="3"/>
  <c r="Z619" i="3"/>
  <c r="Y619" i="3"/>
  <c r="X619" i="3"/>
  <c r="Q619" i="3"/>
  <c r="AC618" i="3"/>
  <c r="Z618" i="3"/>
  <c r="Y618" i="3"/>
  <c r="X618" i="3"/>
  <c r="Q618" i="3"/>
  <c r="AC617" i="3"/>
  <c r="Z617" i="3"/>
  <c r="Y617" i="3"/>
  <c r="X617" i="3"/>
  <c r="Q617" i="3"/>
  <c r="AC616" i="3"/>
  <c r="Z616" i="3"/>
  <c r="Y616" i="3"/>
  <c r="X616" i="3"/>
  <c r="Q616" i="3"/>
  <c r="AC615" i="3"/>
  <c r="Z615" i="3"/>
  <c r="Y615" i="3"/>
  <c r="X615" i="3"/>
  <c r="Q615" i="3"/>
  <c r="AC614" i="3"/>
  <c r="Z614" i="3"/>
  <c r="Y614" i="3"/>
  <c r="X614" i="3"/>
  <c r="Q614" i="3"/>
  <c r="AC613" i="3"/>
  <c r="Z613" i="3"/>
  <c r="Y613" i="3"/>
  <c r="X613" i="3"/>
  <c r="Q613" i="3"/>
  <c r="AC612" i="3"/>
  <c r="Z612" i="3"/>
  <c r="Y612" i="3"/>
  <c r="X612" i="3"/>
  <c r="Q612" i="3"/>
  <c r="AC611" i="3"/>
  <c r="Z611" i="3"/>
  <c r="Y611" i="3"/>
  <c r="X611" i="3"/>
  <c r="Q611" i="3"/>
  <c r="AC610" i="3"/>
  <c r="Z610" i="3"/>
  <c r="Y610" i="3"/>
  <c r="X610" i="3"/>
  <c r="Q610" i="3"/>
  <c r="AC609" i="3"/>
  <c r="Z609" i="3"/>
  <c r="Y609" i="3"/>
  <c r="X609" i="3"/>
  <c r="Q609" i="3"/>
  <c r="AC608" i="3"/>
  <c r="Z608" i="3"/>
  <c r="Y608" i="3"/>
  <c r="X608" i="3"/>
  <c r="Q608" i="3"/>
  <c r="AC607" i="3"/>
  <c r="Z607" i="3"/>
  <c r="Y607" i="3"/>
  <c r="X607" i="3"/>
  <c r="Q607" i="3"/>
  <c r="AC606" i="3"/>
  <c r="Z606" i="3"/>
  <c r="Y606" i="3"/>
  <c r="X606" i="3"/>
  <c r="Q606" i="3"/>
  <c r="AC605" i="3"/>
  <c r="Z605" i="3"/>
  <c r="Y605" i="3"/>
  <c r="X605" i="3"/>
  <c r="Q605" i="3"/>
  <c r="AC604" i="3"/>
  <c r="Z604" i="3"/>
  <c r="Y604" i="3"/>
  <c r="X604" i="3"/>
  <c r="Q604" i="3"/>
  <c r="AC603" i="3"/>
  <c r="Z603" i="3"/>
  <c r="Y603" i="3"/>
  <c r="X603" i="3"/>
  <c r="Q603" i="3"/>
  <c r="AC602" i="3"/>
  <c r="Z602" i="3"/>
  <c r="Y602" i="3"/>
  <c r="X602" i="3"/>
  <c r="Q602" i="3"/>
  <c r="AC601" i="3"/>
  <c r="Z601" i="3"/>
  <c r="Y601" i="3"/>
  <c r="X601" i="3"/>
  <c r="Q601" i="3"/>
  <c r="AC600" i="3"/>
  <c r="Z600" i="3"/>
  <c r="Y600" i="3"/>
  <c r="X600" i="3"/>
  <c r="Q600" i="3"/>
  <c r="AC599" i="3"/>
  <c r="Z599" i="3"/>
  <c r="Y599" i="3"/>
  <c r="X599" i="3"/>
  <c r="Q599" i="3"/>
  <c r="AC598" i="3"/>
  <c r="Z598" i="3"/>
  <c r="Y598" i="3"/>
  <c r="X598" i="3"/>
  <c r="Q598" i="3"/>
  <c r="AC597" i="3"/>
  <c r="Z597" i="3"/>
  <c r="Y597" i="3"/>
  <c r="X597" i="3"/>
  <c r="Q597" i="3"/>
  <c r="AC596" i="3"/>
  <c r="Z596" i="3"/>
  <c r="Y596" i="3"/>
  <c r="X596" i="3"/>
  <c r="Q596" i="3"/>
  <c r="AC595" i="3"/>
  <c r="Z595" i="3"/>
  <c r="Y595" i="3"/>
  <c r="X595" i="3"/>
  <c r="Q595" i="3"/>
  <c r="AC594" i="3"/>
  <c r="Z594" i="3"/>
  <c r="Y594" i="3"/>
  <c r="X594" i="3"/>
  <c r="Q594" i="3"/>
  <c r="AC593" i="3"/>
  <c r="Z593" i="3"/>
  <c r="Y593" i="3"/>
  <c r="X593" i="3"/>
  <c r="Q593" i="3"/>
  <c r="AC592" i="3"/>
  <c r="Z592" i="3"/>
  <c r="Y592" i="3"/>
  <c r="X592" i="3"/>
  <c r="Q592" i="3"/>
  <c r="AC591" i="3"/>
  <c r="Z591" i="3"/>
  <c r="Y591" i="3"/>
  <c r="X591" i="3"/>
  <c r="Q591" i="3"/>
  <c r="AC590" i="3"/>
  <c r="Z590" i="3"/>
  <c r="Y590" i="3"/>
  <c r="X590" i="3"/>
  <c r="Q590" i="3"/>
  <c r="AC589" i="3"/>
  <c r="Z589" i="3"/>
  <c r="Y589" i="3"/>
  <c r="X589" i="3"/>
  <c r="Q589" i="3"/>
  <c r="AC588" i="3"/>
  <c r="Z588" i="3"/>
  <c r="Y588" i="3"/>
  <c r="X588" i="3"/>
  <c r="Q588" i="3"/>
  <c r="AC587" i="3"/>
  <c r="Z587" i="3"/>
  <c r="Y587" i="3"/>
  <c r="X587" i="3"/>
  <c r="Q587" i="3"/>
  <c r="AC586" i="3"/>
  <c r="Z586" i="3"/>
  <c r="Y586" i="3"/>
  <c r="X586" i="3"/>
  <c r="Q586" i="3"/>
  <c r="AC585" i="3"/>
  <c r="Z585" i="3"/>
  <c r="Y585" i="3"/>
  <c r="X585" i="3"/>
  <c r="Q585" i="3"/>
  <c r="AC584" i="3"/>
  <c r="Z584" i="3"/>
  <c r="Y584" i="3"/>
  <c r="X584" i="3"/>
  <c r="Q584" i="3"/>
  <c r="AC583" i="3"/>
  <c r="Z583" i="3"/>
  <c r="Y583" i="3"/>
  <c r="X583" i="3"/>
  <c r="Q583" i="3"/>
  <c r="AC582" i="3"/>
  <c r="Z582" i="3"/>
  <c r="Y582" i="3"/>
  <c r="X582" i="3"/>
  <c r="Q582" i="3"/>
  <c r="AC581" i="3"/>
  <c r="Z581" i="3"/>
  <c r="Y581" i="3"/>
  <c r="X581" i="3"/>
  <c r="Q581" i="3"/>
  <c r="AC580" i="3"/>
  <c r="Z580" i="3"/>
  <c r="Y580" i="3"/>
  <c r="X580" i="3"/>
  <c r="Q580" i="3"/>
  <c r="AC579" i="3"/>
  <c r="Z579" i="3"/>
  <c r="Y579" i="3"/>
  <c r="X579" i="3"/>
  <c r="Q579" i="3"/>
  <c r="AC578" i="3"/>
  <c r="Z578" i="3"/>
  <c r="Y578" i="3"/>
  <c r="X578" i="3"/>
  <c r="Q578" i="3"/>
  <c r="AC577" i="3"/>
  <c r="Z577" i="3"/>
  <c r="Y577" i="3"/>
  <c r="X577" i="3"/>
  <c r="Q577" i="3"/>
  <c r="AC576" i="3"/>
  <c r="Z576" i="3"/>
  <c r="Y576" i="3"/>
  <c r="X576" i="3"/>
  <c r="Q576" i="3"/>
  <c r="AC575" i="3"/>
  <c r="Z575" i="3"/>
  <c r="Y575" i="3"/>
  <c r="X575" i="3"/>
  <c r="Q575" i="3"/>
  <c r="AC574" i="3"/>
  <c r="Z574" i="3"/>
  <c r="Y574" i="3"/>
  <c r="X574" i="3"/>
  <c r="Q574" i="3"/>
  <c r="AC573" i="3"/>
  <c r="Z573" i="3"/>
  <c r="Y573" i="3"/>
  <c r="X573" i="3"/>
  <c r="Q573" i="3"/>
  <c r="AC572" i="3"/>
  <c r="Z572" i="3"/>
  <c r="Y572" i="3"/>
  <c r="X572" i="3"/>
  <c r="Q572" i="3"/>
  <c r="AC571" i="3"/>
  <c r="Z571" i="3"/>
  <c r="Y571" i="3"/>
  <c r="X571" i="3"/>
  <c r="Q571" i="3"/>
  <c r="AC570" i="3"/>
  <c r="Z570" i="3"/>
  <c r="Y570" i="3"/>
  <c r="X570" i="3"/>
  <c r="Q570" i="3"/>
  <c r="AC569" i="3"/>
  <c r="Z569" i="3"/>
  <c r="Y569" i="3"/>
  <c r="X569" i="3"/>
  <c r="Q569" i="3"/>
  <c r="AC568" i="3"/>
  <c r="Z568" i="3"/>
  <c r="Y568" i="3"/>
  <c r="X568" i="3"/>
  <c r="Q568" i="3"/>
  <c r="AC567" i="3"/>
  <c r="Z567" i="3"/>
  <c r="Y567" i="3"/>
  <c r="X567" i="3"/>
  <c r="Q567" i="3"/>
  <c r="AC566" i="3"/>
  <c r="Z566" i="3"/>
  <c r="Y566" i="3"/>
  <c r="X566" i="3"/>
  <c r="Q566" i="3"/>
  <c r="AC565" i="3"/>
  <c r="Z565" i="3"/>
  <c r="Y565" i="3"/>
  <c r="X565" i="3"/>
  <c r="Q565" i="3"/>
  <c r="AC564" i="3"/>
  <c r="Z564" i="3"/>
  <c r="Y564" i="3"/>
  <c r="X564" i="3"/>
  <c r="Q564" i="3"/>
  <c r="AC563" i="3"/>
  <c r="Z563" i="3"/>
  <c r="Y563" i="3"/>
  <c r="X563" i="3"/>
  <c r="Q563" i="3"/>
  <c r="AC562" i="3"/>
  <c r="Z562" i="3"/>
  <c r="Y562" i="3"/>
  <c r="X562" i="3"/>
  <c r="Q562" i="3"/>
  <c r="AC561" i="3"/>
  <c r="Z561" i="3"/>
  <c r="Y561" i="3"/>
  <c r="X561" i="3"/>
  <c r="Q561" i="3"/>
  <c r="AC560" i="3"/>
  <c r="Z560" i="3"/>
  <c r="Y560" i="3"/>
  <c r="X560" i="3"/>
  <c r="Q560" i="3"/>
  <c r="AC559" i="3"/>
  <c r="Z559" i="3"/>
  <c r="Y559" i="3"/>
  <c r="X559" i="3"/>
  <c r="Q559" i="3"/>
  <c r="AC558" i="3"/>
  <c r="Z558" i="3"/>
  <c r="Y558" i="3"/>
  <c r="X558" i="3"/>
  <c r="Q558" i="3"/>
  <c r="AC557" i="3"/>
  <c r="Z557" i="3"/>
  <c r="Y557" i="3"/>
  <c r="X557" i="3"/>
  <c r="Q557" i="3"/>
  <c r="AC556" i="3"/>
  <c r="Z556" i="3"/>
  <c r="Y556" i="3"/>
  <c r="X556" i="3"/>
  <c r="Q556" i="3"/>
  <c r="AC555" i="3"/>
  <c r="Z555" i="3"/>
  <c r="Y555" i="3"/>
  <c r="X555" i="3"/>
  <c r="Q555" i="3"/>
  <c r="AC554" i="3"/>
  <c r="Z554" i="3"/>
  <c r="Y554" i="3"/>
  <c r="X554" i="3"/>
  <c r="Q554" i="3"/>
  <c r="AC553" i="3"/>
  <c r="Z553" i="3"/>
  <c r="Y553" i="3"/>
  <c r="X553" i="3"/>
  <c r="Q553" i="3"/>
  <c r="AC552" i="3"/>
  <c r="Z552" i="3"/>
  <c r="Y552" i="3"/>
  <c r="X552" i="3"/>
  <c r="Q552" i="3"/>
  <c r="AC551" i="3"/>
  <c r="Z551" i="3"/>
  <c r="Y551" i="3"/>
  <c r="X551" i="3"/>
  <c r="Q551" i="3"/>
  <c r="AC550" i="3"/>
  <c r="Z550" i="3"/>
  <c r="Y550" i="3"/>
  <c r="X550" i="3"/>
  <c r="Q550" i="3"/>
  <c r="AC549" i="3"/>
  <c r="Z549" i="3"/>
  <c r="Y549" i="3"/>
  <c r="X549" i="3"/>
  <c r="Q549" i="3"/>
  <c r="AC548" i="3"/>
  <c r="Z548" i="3"/>
  <c r="Y548" i="3"/>
  <c r="X548" i="3"/>
  <c r="Q548" i="3"/>
  <c r="AC547" i="3"/>
  <c r="Z547" i="3"/>
  <c r="Y547" i="3"/>
  <c r="X547" i="3"/>
  <c r="Q547" i="3"/>
  <c r="AC546" i="3"/>
  <c r="Z546" i="3"/>
  <c r="Y546" i="3"/>
  <c r="X546" i="3"/>
  <c r="Q546" i="3"/>
  <c r="AC545" i="3"/>
  <c r="Z545" i="3"/>
  <c r="Y545" i="3"/>
  <c r="X545" i="3"/>
  <c r="Q545" i="3"/>
  <c r="AC544" i="3"/>
  <c r="Z544" i="3"/>
  <c r="Y544" i="3"/>
  <c r="X544" i="3"/>
  <c r="Q544" i="3"/>
  <c r="AC543" i="3"/>
  <c r="Z543" i="3"/>
  <c r="Y543" i="3"/>
  <c r="X543" i="3"/>
  <c r="Q543" i="3"/>
  <c r="AC542" i="3"/>
  <c r="Z542" i="3"/>
  <c r="Y542" i="3"/>
  <c r="X542" i="3"/>
  <c r="Q542" i="3"/>
  <c r="AC541" i="3"/>
  <c r="Z541" i="3"/>
  <c r="Y541" i="3"/>
  <c r="X541" i="3"/>
  <c r="Q541" i="3"/>
  <c r="AC540" i="3"/>
  <c r="Z540" i="3"/>
  <c r="Y540" i="3"/>
  <c r="X540" i="3"/>
  <c r="Q540" i="3"/>
  <c r="AC539" i="3"/>
  <c r="Z539" i="3"/>
  <c r="Y539" i="3"/>
  <c r="X539" i="3"/>
  <c r="Q539" i="3"/>
  <c r="AC538" i="3"/>
  <c r="Z538" i="3"/>
  <c r="Y538" i="3"/>
  <c r="X538" i="3"/>
  <c r="Q538" i="3"/>
  <c r="AC537" i="3"/>
  <c r="Z537" i="3"/>
  <c r="Y537" i="3"/>
  <c r="X537" i="3"/>
  <c r="Q537" i="3"/>
  <c r="AC536" i="3"/>
  <c r="Z536" i="3"/>
  <c r="Y536" i="3"/>
  <c r="X536" i="3"/>
  <c r="Q536" i="3"/>
  <c r="AC535" i="3"/>
  <c r="Z535" i="3"/>
  <c r="Y535" i="3"/>
  <c r="X535" i="3"/>
  <c r="Q535" i="3"/>
  <c r="AC534" i="3"/>
  <c r="Z534" i="3"/>
  <c r="Y534" i="3"/>
  <c r="X534" i="3"/>
  <c r="Q534" i="3"/>
  <c r="AC533" i="3"/>
  <c r="Z533" i="3"/>
  <c r="Y533" i="3"/>
  <c r="X533" i="3"/>
  <c r="Q533" i="3"/>
  <c r="AC532" i="3"/>
  <c r="Z532" i="3"/>
  <c r="Y532" i="3"/>
  <c r="X532" i="3"/>
  <c r="Q532" i="3"/>
  <c r="AC531" i="3"/>
  <c r="Z531" i="3"/>
  <c r="Y531" i="3"/>
  <c r="X531" i="3"/>
  <c r="Q531" i="3"/>
  <c r="AC530" i="3"/>
  <c r="Z530" i="3"/>
  <c r="Y530" i="3"/>
  <c r="X530" i="3"/>
  <c r="Q530" i="3"/>
  <c r="AC529" i="3"/>
  <c r="Z529" i="3"/>
  <c r="Y529" i="3"/>
  <c r="X529" i="3"/>
  <c r="Q529" i="3"/>
  <c r="AC528" i="3"/>
  <c r="Z528" i="3"/>
  <c r="Y528" i="3"/>
  <c r="X528" i="3"/>
  <c r="Q528" i="3"/>
  <c r="AC527" i="3"/>
  <c r="Z527" i="3"/>
  <c r="Y527" i="3"/>
  <c r="X527" i="3"/>
  <c r="Q527" i="3"/>
  <c r="AC526" i="3"/>
  <c r="Z526" i="3"/>
  <c r="Y526" i="3"/>
  <c r="X526" i="3"/>
  <c r="Q526" i="3"/>
  <c r="AC525" i="3"/>
  <c r="Z525" i="3"/>
  <c r="Y525" i="3"/>
  <c r="X525" i="3"/>
  <c r="Q525" i="3"/>
  <c r="AC524" i="3"/>
  <c r="Z524" i="3"/>
  <c r="Y524" i="3"/>
  <c r="X524" i="3"/>
  <c r="Q524" i="3"/>
  <c r="AC523" i="3"/>
  <c r="Z523" i="3"/>
  <c r="Y523" i="3"/>
  <c r="X523" i="3"/>
  <c r="Q523" i="3"/>
  <c r="AC522" i="3"/>
  <c r="Z522" i="3"/>
  <c r="Y522" i="3"/>
  <c r="X522" i="3"/>
  <c r="Q522" i="3"/>
  <c r="AC521" i="3"/>
  <c r="Z521" i="3"/>
  <c r="Y521" i="3"/>
  <c r="X521" i="3"/>
  <c r="Q521" i="3"/>
  <c r="AC520" i="3"/>
  <c r="Z520" i="3"/>
  <c r="Y520" i="3"/>
  <c r="X520" i="3"/>
  <c r="Q520" i="3"/>
  <c r="AC519" i="3"/>
  <c r="Z519" i="3"/>
  <c r="Y519" i="3"/>
  <c r="X519" i="3"/>
  <c r="Q519" i="3"/>
  <c r="AC518" i="3"/>
  <c r="Z518" i="3"/>
  <c r="Y518" i="3"/>
  <c r="X518" i="3"/>
  <c r="Q518" i="3"/>
  <c r="AC517" i="3"/>
  <c r="Z517" i="3"/>
  <c r="Y517" i="3"/>
  <c r="X517" i="3"/>
  <c r="Q517" i="3"/>
  <c r="AC516" i="3"/>
  <c r="Z516" i="3"/>
  <c r="Y516" i="3"/>
  <c r="X516" i="3"/>
  <c r="Q516" i="3"/>
  <c r="AC515" i="3"/>
  <c r="Z515" i="3"/>
  <c r="Y515" i="3"/>
  <c r="X515" i="3"/>
  <c r="Q515" i="3"/>
  <c r="AC514" i="3"/>
  <c r="Z514" i="3"/>
  <c r="Y514" i="3"/>
  <c r="X514" i="3"/>
  <c r="Q514" i="3"/>
  <c r="AC513" i="3"/>
  <c r="Z513" i="3"/>
  <c r="Y513" i="3"/>
  <c r="X513" i="3"/>
  <c r="Q513" i="3"/>
  <c r="AC512" i="3"/>
  <c r="Z512" i="3"/>
  <c r="Y512" i="3"/>
  <c r="X512" i="3"/>
  <c r="Q512" i="3"/>
  <c r="AC511" i="3"/>
  <c r="Z511" i="3"/>
  <c r="Y511" i="3"/>
  <c r="X511" i="3"/>
  <c r="Q511" i="3"/>
  <c r="AC510" i="3"/>
  <c r="Z510" i="3"/>
  <c r="Y510" i="3"/>
  <c r="X510" i="3"/>
  <c r="Q510" i="3"/>
  <c r="AC509" i="3"/>
  <c r="Z509" i="3"/>
  <c r="Y509" i="3"/>
  <c r="X509" i="3"/>
  <c r="Q509" i="3"/>
  <c r="AC508" i="3"/>
  <c r="Z508" i="3"/>
  <c r="Y508" i="3"/>
  <c r="X508" i="3"/>
  <c r="Q508" i="3"/>
  <c r="AC507" i="3"/>
  <c r="Z507" i="3"/>
  <c r="Y507" i="3"/>
  <c r="X507" i="3"/>
  <c r="Q507" i="3"/>
  <c r="AC506" i="3"/>
  <c r="Z506" i="3"/>
  <c r="Y506" i="3"/>
  <c r="X506" i="3"/>
  <c r="Q506" i="3"/>
  <c r="AC505" i="3"/>
  <c r="Z505" i="3"/>
  <c r="Y505" i="3"/>
  <c r="X505" i="3"/>
  <c r="Q505" i="3"/>
  <c r="AC504" i="3"/>
  <c r="Z504" i="3"/>
  <c r="Y504" i="3"/>
  <c r="X504" i="3"/>
  <c r="Q504" i="3"/>
  <c r="AC503" i="3"/>
  <c r="Z503" i="3"/>
  <c r="Y503" i="3"/>
  <c r="X503" i="3"/>
  <c r="Q503" i="3"/>
  <c r="AC502" i="3"/>
  <c r="Z502" i="3"/>
  <c r="Y502" i="3"/>
  <c r="X502" i="3"/>
  <c r="Q502" i="3"/>
  <c r="AC501" i="3"/>
  <c r="Z501" i="3"/>
  <c r="Y501" i="3"/>
  <c r="X501" i="3"/>
  <c r="Q501" i="3"/>
  <c r="AC500" i="3"/>
  <c r="Z500" i="3"/>
  <c r="Y500" i="3"/>
  <c r="X500" i="3"/>
  <c r="Q500" i="3"/>
  <c r="AC499" i="3"/>
  <c r="Z499" i="3"/>
  <c r="Y499" i="3"/>
  <c r="X499" i="3"/>
  <c r="Q499" i="3"/>
  <c r="AC498" i="3"/>
  <c r="Z498" i="3"/>
  <c r="Y498" i="3"/>
  <c r="X498" i="3"/>
  <c r="Q498" i="3"/>
  <c r="AC497" i="3"/>
  <c r="Z497" i="3"/>
  <c r="Y497" i="3"/>
  <c r="X497" i="3"/>
  <c r="Q497" i="3"/>
  <c r="AC496" i="3"/>
  <c r="Z496" i="3"/>
  <c r="Y496" i="3"/>
  <c r="X496" i="3"/>
  <c r="Q496" i="3"/>
  <c r="AC495" i="3"/>
  <c r="Z495" i="3"/>
  <c r="Y495" i="3"/>
  <c r="X495" i="3"/>
  <c r="Q495" i="3"/>
  <c r="AC494" i="3"/>
  <c r="Z494" i="3"/>
  <c r="Y494" i="3"/>
  <c r="X494" i="3"/>
  <c r="Q494" i="3"/>
  <c r="AC493" i="3"/>
  <c r="Z493" i="3"/>
  <c r="Y493" i="3"/>
  <c r="X493" i="3"/>
  <c r="Q493" i="3"/>
  <c r="AC492" i="3"/>
  <c r="Z492" i="3"/>
  <c r="Y492" i="3"/>
  <c r="X492" i="3"/>
  <c r="Q492" i="3"/>
  <c r="AC491" i="3"/>
  <c r="Z491" i="3"/>
  <c r="Y491" i="3"/>
  <c r="X491" i="3"/>
  <c r="Q491" i="3"/>
  <c r="AC490" i="3"/>
  <c r="Z490" i="3"/>
  <c r="Y490" i="3"/>
  <c r="X490" i="3"/>
  <c r="Q490" i="3"/>
  <c r="AC489" i="3"/>
  <c r="Z489" i="3"/>
  <c r="Y489" i="3"/>
  <c r="X489" i="3"/>
  <c r="Q489" i="3"/>
  <c r="AC488" i="3"/>
  <c r="Z488" i="3"/>
  <c r="Y488" i="3"/>
  <c r="X488" i="3"/>
  <c r="Q488" i="3"/>
  <c r="AC487" i="3"/>
  <c r="Z487" i="3"/>
  <c r="Y487" i="3"/>
  <c r="X487" i="3"/>
  <c r="Q487" i="3"/>
  <c r="AC486" i="3"/>
  <c r="Z486" i="3"/>
  <c r="Y486" i="3"/>
  <c r="X486" i="3"/>
  <c r="Q486" i="3"/>
  <c r="AC485" i="3"/>
  <c r="Z485" i="3"/>
  <c r="Y485" i="3"/>
  <c r="X485" i="3"/>
  <c r="Q485" i="3"/>
  <c r="AC484" i="3"/>
  <c r="Z484" i="3"/>
  <c r="Y484" i="3"/>
  <c r="X484" i="3"/>
  <c r="Q484" i="3"/>
  <c r="AC483" i="3"/>
  <c r="Z483" i="3"/>
  <c r="Y483" i="3"/>
  <c r="X483" i="3"/>
  <c r="Q483" i="3"/>
  <c r="AC482" i="3"/>
  <c r="Z482" i="3"/>
  <c r="Y482" i="3"/>
  <c r="X482" i="3"/>
  <c r="Q482" i="3"/>
  <c r="AC481" i="3"/>
  <c r="Z481" i="3"/>
  <c r="Y481" i="3"/>
  <c r="X481" i="3"/>
  <c r="Q481" i="3"/>
  <c r="AC480" i="3"/>
  <c r="Z480" i="3"/>
  <c r="Y480" i="3"/>
  <c r="X480" i="3"/>
  <c r="Q480" i="3"/>
  <c r="AC479" i="3"/>
  <c r="Z479" i="3"/>
  <c r="Y479" i="3"/>
  <c r="X479" i="3"/>
  <c r="Q479" i="3"/>
  <c r="AC478" i="3"/>
  <c r="Z478" i="3"/>
  <c r="Y478" i="3"/>
  <c r="X478" i="3"/>
  <c r="Q478" i="3"/>
  <c r="AC477" i="3"/>
  <c r="Z477" i="3"/>
  <c r="Y477" i="3"/>
  <c r="X477" i="3"/>
  <c r="Q477" i="3"/>
  <c r="AC476" i="3"/>
  <c r="Z476" i="3"/>
  <c r="Y476" i="3"/>
  <c r="X476" i="3"/>
  <c r="Q476" i="3"/>
  <c r="AC475" i="3"/>
  <c r="Z475" i="3"/>
  <c r="Y475" i="3"/>
  <c r="X475" i="3"/>
  <c r="Q475" i="3"/>
  <c r="AC474" i="3"/>
  <c r="Z474" i="3"/>
  <c r="Y474" i="3"/>
  <c r="X474" i="3"/>
  <c r="Q474" i="3"/>
  <c r="AC473" i="3"/>
  <c r="Z473" i="3"/>
  <c r="Y473" i="3"/>
  <c r="X473" i="3"/>
  <c r="Q473" i="3"/>
  <c r="AC472" i="3"/>
  <c r="Z472" i="3"/>
  <c r="Y472" i="3"/>
  <c r="X472" i="3"/>
  <c r="Q472" i="3"/>
  <c r="AC471" i="3"/>
  <c r="Z471" i="3"/>
  <c r="Y471" i="3"/>
  <c r="X471" i="3"/>
  <c r="Q471" i="3"/>
  <c r="AC470" i="3"/>
  <c r="Z470" i="3"/>
  <c r="Y470" i="3"/>
  <c r="X470" i="3"/>
  <c r="Q470" i="3"/>
  <c r="AC469" i="3"/>
  <c r="Z469" i="3"/>
  <c r="Y469" i="3"/>
  <c r="X469" i="3"/>
  <c r="Q469" i="3"/>
  <c r="AC468" i="3"/>
  <c r="Z468" i="3"/>
  <c r="Y468" i="3"/>
  <c r="X468" i="3"/>
  <c r="Q468" i="3"/>
  <c r="AC467" i="3"/>
  <c r="Z467" i="3"/>
  <c r="Y467" i="3"/>
  <c r="X467" i="3"/>
  <c r="Q467" i="3"/>
  <c r="AC466" i="3"/>
  <c r="Z466" i="3"/>
  <c r="Y466" i="3"/>
  <c r="X466" i="3"/>
  <c r="Q466" i="3"/>
  <c r="AC465" i="3"/>
  <c r="Z465" i="3"/>
  <c r="Y465" i="3"/>
  <c r="X465" i="3"/>
  <c r="Q465" i="3"/>
  <c r="AC464" i="3"/>
  <c r="Z464" i="3"/>
  <c r="Y464" i="3"/>
  <c r="X464" i="3"/>
  <c r="Q464" i="3"/>
  <c r="AC463" i="3"/>
  <c r="Z463" i="3"/>
  <c r="Y463" i="3"/>
  <c r="X463" i="3"/>
  <c r="Q463" i="3"/>
  <c r="AC462" i="3"/>
  <c r="Z462" i="3"/>
  <c r="Y462" i="3"/>
  <c r="X462" i="3"/>
  <c r="Q462" i="3"/>
  <c r="AC461" i="3"/>
  <c r="Z461" i="3"/>
  <c r="Y461" i="3"/>
  <c r="X461" i="3"/>
  <c r="Q461" i="3"/>
  <c r="AC460" i="3"/>
  <c r="Z460" i="3"/>
  <c r="Y460" i="3"/>
  <c r="X460" i="3"/>
  <c r="Q460" i="3"/>
  <c r="AC459" i="3"/>
  <c r="Z459" i="3"/>
  <c r="Y459" i="3"/>
  <c r="X459" i="3"/>
  <c r="Q459" i="3"/>
  <c r="AC458" i="3"/>
  <c r="Z458" i="3"/>
  <c r="Y458" i="3"/>
  <c r="X458" i="3"/>
  <c r="Q458" i="3"/>
  <c r="AC457" i="3"/>
  <c r="Z457" i="3"/>
  <c r="Y457" i="3"/>
  <c r="X457" i="3"/>
  <c r="Q457" i="3"/>
  <c r="AC456" i="3"/>
  <c r="Z456" i="3"/>
  <c r="Y456" i="3"/>
  <c r="X456" i="3"/>
  <c r="Q456" i="3"/>
  <c r="AC455" i="3"/>
  <c r="Z455" i="3"/>
  <c r="Y455" i="3"/>
  <c r="X455" i="3"/>
  <c r="Q455" i="3"/>
  <c r="AC454" i="3"/>
  <c r="Z454" i="3"/>
  <c r="Y454" i="3"/>
  <c r="X454" i="3"/>
  <c r="Q454" i="3"/>
  <c r="AC453" i="3"/>
  <c r="Z453" i="3"/>
  <c r="Y453" i="3"/>
  <c r="X453" i="3"/>
  <c r="Q453" i="3"/>
  <c r="AC452" i="3"/>
  <c r="Z452" i="3"/>
  <c r="Y452" i="3"/>
  <c r="X452" i="3"/>
  <c r="Q452" i="3"/>
  <c r="AC451" i="3"/>
  <c r="Z451" i="3"/>
  <c r="Y451" i="3"/>
  <c r="X451" i="3"/>
  <c r="Q451" i="3"/>
  <c r="AC450" i="3"/>
  <c r="Z450" i="3"/>
  <c r="Y450" i="3"/>
  <c r="X450" i="3"/>
  <c r="Q450" i="3"/>
  <c r="AC449" i="3"/>
  <c r="Z449" i="3"/>
  <c r="Y449" i="3"/>
  <c r="X449" i="3"/>
  <c r="Q449" i="3"/>
  <c r="AC448" i="3"/>
  <c r="Z448" i="3"/>
  <c r="Y448" i="3"/>
  <c r="X448" i="3"/>
  <c r="Q448" i="3"/>
  <c r="AC447" i="3"/>
  <c r="Z447" i="3"/>
  <c r="Y447" i="3"/>
  <c r="X447" i="3"/>
  <c r="Q447" i="3"/>
  <c r="AC446" i="3"/>
  <c r="Z446" i="3"/>
  <c r="Y446" i="3"/>
  <c r="X446" i="3"/>
  <c r="Q446" i="3"/>
  <c r="AC445" i="3"/>
  <c r="Z445" i="3"/>
  <c r="Y445" i="3"/>
  <c r="X445" i="3"/>
  <c r="Q445" i="3"/>
  <c r="AC444" i="3"/>
  <c r="Z444" i="3"/>
  <c r="Y444" i="3"/>
  <c r="X444" i="3"/>
  <c r="Q444" i="3"/>
  <c r="AC443" i="3"/>
  <c r="Z443" i="3"/>
  <c r="Y443" i="3"/>
  <c r="X443" i="3"/>
  <c r="Q443" i="3"/>
  <c r="AC442" i="3"/>
  <c r="Z442" i="3"/>
  <c r="Y442" i="3"/>
  <c r="X442" i="3"/>
  <c r="Q442" i="3"/>
  <c r="AC441" i="3"/>
  <c r="Z441" i="3"/>
  <c r="Y441" i="3"/>
  <c r="X441" i="3"/>
  <c r="Q441" i="3"/>
  <c r="AC440" i="3"/>
  <c r="Z440" i="3"/>
  <c r="Y440" i="3"/>
  <c r="X440" i="3"/>
  <c r="Q440" i="3"/>
  <c r="AC439" i="3"/>
  <c r="Z439" i="3"/>
  <c r="Y439" i="3"/>
  <c r="X439" i="3"/>
  <c r="Q439" i="3"/>
  <c r="AC438" i="3"/>
  <c r="Z438" i="3"/>
  <c r="Y438" i="3"/>
  <c r="X438" i="3"/>
  <c r="Q438" i="3"/>
  <c r="AC437" i="3"/>
  <c r="Z437" i="3"/>
  <c r="Y437" i="3"/>
  <c r="X437" i="3"/>
  <c r="Q437" i="3"/>
  <c r="AC436" i="3"/>
  <c r="Z436" i="3"/>
  <c r="Y436" i="3"/>
  <c r="X436" i="3"/>
  <c r="Q436" i="3"/>
  <c r="AC435" i="3"/>
  <c r="Z435" i="3"/>
  <c r="Y435" i="3"/>
  <c r="X435" i="3"/>
  <c r="Q435" i="3"/>
  <c r="AC434" i="3"/>
  <c r="Z434" i="3"/>
  <c r="Y434" i="3"/>
  <c r="X434" i="3"/>
  <c r="Q434" i="3"/>
  <c r="AC433" i="3"/>
  <c r="Z433" i="3"/>
  <c r="Y433" i="3"/>
  <c r="X433" i="3"/>
  <c r="Q433" i="3"/>
  <c r="AC432" i="3"/>
  <c r="Z432" i="3"/>
  <c r="Y432" i="3"/>
  <c r="X432" i="3"/>
  <c r="Q432" i="3"/>
  <c r="AC431" i="3"/>
  <c r="Z431" i="3"/>
  <c r="Y431" i="3"/>
  <c r="X431" i="3"/>
  <c r="Q431" i="3"/>
  <c r="AC430" i="3"/>
  <c r="Z430" i="3"/>
  <c r="Y430" i="3"/>
  <c r="X430" i="3"/>
  <c r="Q430" i="3"/>
  <c r="AC429" i="3"/>
  <c r="Z429" i="3"/>
  <c r="Y429" i="3"/>
  <c r="X429" i="3"/>
  <c r="Q429" i="3"/>
  <c r="AC428" i="3"/>
  <c r="Z428" i="3"/>
  <c r="Y428" i="3"/>
  <c r="X428" i="3"/>
  <c r="Q428" i="3"/>
  <c r="AC427" i="3"/>
  <c r="Z427" i="3"/>
  <c r="Y427" i="3"/>
  <c r="X427" i="3"/>
  <c r="Q427" i="3"/>
  <c r="AC426" i="3"/>
  <c r="Z426" i="3"/>
  <c r="Y426" i="3"/>
  <c r="X426" i="3"/>
  <c r="Q426" i="3"/>
  <c r="AC425" i="3"/>
  <c r="Z425" i="3"/>
  <c r="Y425" i="3"/>
  <c r="X425" i="3"/>
  <c r="Q425" i="3"/>
  <c r="AC424" i="3"/>
  <c r="Z424" i="3"/>
  <c r="Y424" i="3"/>
  <c r="X424" i="3"/>
  <c r="Q424" i="3"/>
  <c r="AC423" i="3"/>
  <c r="Z423" i="3"/>
  <c r="Y423" i="3"/>
  <c r="X423" i="3"/>
  <c r="Q423" i="3"/>
  <c r="AC422" i="3"/>
  <c r="Z422" i="3"/>
  <c r="Y422" i="3"/>
  <c r="X422" i="3"/>
  <c r="Q422" i="3"/>
  <c r="AC421" i="3"/>
  <c r="Z421" i="3"/>
  <c r="Y421" i="3"/>
  <c r="X421" i="3"/>
  <c r="Q421" i="3"/>
  <c r="AC420" i="3"/>
  <c r="Z420" i="3"/>
  <c r="Y420" i="3"/>
  <c r="X420" i="3"/>
  <c r="Q420" i="3"/>
  <c r="AC419" i="3"/>
  <c r="Z419" i="3"/>
  <c r="Y419" i="3"/>
  <c r="X419" i="3"/>
  <c r="Q419" i="3"/>
  <c r="AC418" i="3"/>
  <c r="Z418" i="3"/>
  <c r="Y418" i="3"/>
  <c r="X418" i="3"/>
  <c r="Q418" i="3"/>
  <c r="AC417" i="3"/>
  <c r="Z417" i="3"/>
  <c r="Y417" i="3"/>
  <c r="X417" i="3"/>
  <c r="Q417" i="3"/>
  <c r="AC416" i="3"/>
  <c r="Z416" i="3"/>
  <c r="Y416" i="3"/>
  <c r="X416" i="3"/>
  <c r="Q416" i="3"/>
  <c r="AC415" i="3"/>
  <c r="Z415" i="3"/>
  <c r="Y415" i="3"/>
  <c r="X415" i="3"/>
  <c r="Q415" i="3"/>
  <c r="AC414" i="3"/>
  <c r="Z414" i="3"/>
  <c r="Y414" i="3"/>
  <c r="X414" i="3"/>
  <c r="Q414" i="3"/>
  <c r="AC413" i="3"/>
  <c r="Z413" i="3"/>
  <c r="Y413" i="3"/>
  <c r="X413" i="3"/>
  <c r="Q413" i="3"/>
  <c r="AC412" i="3"/>
  <c r="Z412" i="3"/>
  <c r="Y412" i="3"/>
  <c r="X412" i="3"/>
  <c r="Q412" i="3"/>
  <c r="AC411" i="3"/>
  <c r="Z411" i="3"/>
  <c r="Y411" i="3"/>
  <c r="X411" i="3"/>
  <c r="Q411" i="3"/>
  <c r="AC410" i="3"/>
  <c r="Z410" i="3"/>
  <c r="Y410" i="3"/>
  <c r="X410" i="3"/>
  <c r="Q410" i="3"/>
  <c r="AC409" i="3"/>
  <c r="Z409" i="3"/>
  <c r="Y409" i="3"/>
  <c r="X409" i="3"/>
  <c r="Q409" i="3"/>
  <c r="AC408" i="3"/>
  <c r="Z408" i="3"/>
  <c r="Y408" i="3"/>
  <c r="X408" i="3"/>
  <c r="Q408" i="3"/>
  <c r="AC407" i="3"/>
  <c r="Z407" i="3"/>
  <c r="Y407" i="3"/>
  <c r="X407" i="3"/>
  <c r="Q407" i="3"/>
  <c r="AC406" i="3"/>
  <c r="Z406" i="3"/>
  <c r="Y406" i="3"/>
  <c r="X406" i="3"/>
  <c r="Q406" i="3"/>
  <c r="AC405" i="3"/>
  <c r="Z405" i="3"/>
  <c r="Y405" i="3"/>
  <c r="X405" i="3"/>
  <c r="Q405" i="3"/>
  <c r="AC404" i="3"/>
  <c r="Z404" i="3"/>
  <c r="Y404" i="3"/>
  <c r="X404" i="3"/>
  <c r="Q404" i="3"/>
  <c r="AC403" i="3"/>
  <c r="Z403" i="3"/>
  <c r="Y403" i="3"/>
  <c r="X403" i="3"/>
  <c r="Q403" i="3"/>
  <c r="AC402" i="3"/>
  <c r="Z402" i="3"/>
  <c r="Y402" i="3"/>
  <c r="X402" i="3"/>
  <c r="Q402" i="3"/>
  <c r="AC401" i="3"/>
  <c r="Z401" i="3"/>
  <c r="Y401" i="3"/>
  <c r="X401" i="3"/>
  <c r="Q401" i="3"/>
  <c r="AC400" i="3"/>
  <c r="Z400" i="3"/>
  <c r="Y400" i="3"/>
  <c r="X400" i="3"/>
  <c r="Q400" i="3"/>
  <c r="AC399" i="3"/>
  <c r="Z399" i="3"/>
  <c r="Y399" i="3"/>
  <c r="X399" i="3"/>
  <c r="Q399" i="3"/>
  <c r="AC398" i="3"/>
  <c r="Z398" i="3"/>
  <c r="Y398" i="3"/>
  <c r="X398" i="3"/>
  <c r="Q398" i="3"/>
  <c r="AC397" i="3"/>
  <c r="Z397" i="3"/>
  <c r="Y397" i="3"/>
  <c r="X397" i="3"/>
  <c r="Q397" i="3"/>
  <c r="AC396" i="3"/>
  <c r="Z396" i="3"/>
  <c r="Y396" i="3"/>
  <c r="X396" i="3"/>
  <c r="Q396" i="3"/>
  <c r="AC395" i="3"/>
  <c r="Z395" i="3"/>
  <c r="Y395" i="3"/>
  <c r="X395" i="3"/>
  <c r="Q395" i="3"/>
  <c r="AC394" i="3"/>
  <c r="Z394" i="3"/>
  <c r="Y394" i="3"/>
  <c r="X394" i="3"/>
  <c r="Q394" i="3"/>
  <c r="AC393" i="3"/>
  <c r="Z393" i="3"/>
  <c r="Y393" i="3"/>
  <c r="X393" i="3"/>
  <c r="Q393" i="3"/>
  <c r="AC392" i="3"/>
  <c r="Z392" i="3"/>
  <c r="Y392" i="3"/>
  <c r="X392" i="3"/>
  <c r="Q392" i="3"/>
  <c r="AC391" i="3"/>
  <c r="Z391" i="3"/>
  <c r="Y391" i="3"/>
  <c r="X391" i="3"/>
  <c r="Q391" i="3"/>
  <c r="AC390" i="3"/>
  <c r="Z390" i="3"/>
  <c r="Y390" i="3"/>
  <c r="X390" i="3"/>
  <c r="Q390" i="3"/>
  <c r="AC389" i="3"/>
  <c r="Z389" i="3"/>
  <c r="Y389" i="3"/>
  <c r="X389" i="3"/>
  <c r="Q389" i="3"/>
  <c r="AC388" i="3"/>
  <c r="Z388" i="3"/>
  <c r="Y388" i="3"/>
  <c r="X388" i="3"/>
  <c r="Q388" i="3"/>
  <c r="AC387" i="3"/>
  <c r="Z387" i="3"/>
  <c r="Y387" i="3"/>
  <c r="X387" i="3"/>
  <c r="Q387" i="3"/>
  <c r="AC386" i="3"/>
  <c r="Z386" i="3"/>
  <c r="Y386" i="3"/>
  <c r="X386" i="3"/>
  <c r="Q386" i="3"/>
  <c r="AC385" i="3"/>
  <c r="Z385" i="3"/>
  <c r="Y385" i="3"/>
  <c r="X385" i="3"/>
  <c r="Q385" i="3"/>
  <c r="AC384" i="3"/>
  <c r="Z384" i="3"/>
  <c r="Y384" i="3"/>
  <c r="X384" i="3"/>
  <c r="Q384" i="3"/>
  <c r="AC383" i="3"/>
  <c r="Z383" i="3"/>
  <c r="Y383" i="3"/>
  <c r="X383" i="3"/>
  <c r="Q383" i="3"/>
  <c r="AC382" i="3"/>
  <c r="Z382" i="3"/>
  <c r="Y382" i="3"/>
  <c r="X382" i="3"/>
  <c r="Q382" i="3"/>
  <c r="AC381" i="3"/>
  <c r="Z381" i="3"/>
  <c r="Y381" i="3"/>
  <c r="X381" i="3"/>
  <c r="Q381" i="3"/>
  <c r="AC380" i="3"/>
  <c r="Z380" i="3"/>
  <c r="Y380" i="3"/>
  <c r="X380" i="3"/>
  <c r="Q380" i="3"/>
  <c r="AC379" i="3"/>
  <c r="Z379" i="3"/>
  <c r="Y379" i="3"/>
  <c r="X379" i="3"/>
  <c r="Q379" i="3"/>
  <c r="AC378" i="3"/>
  <c r="Z378" i="3"/>
  <c r="Y378" i="3"/>
  <c r="X378" i="3"/>
  <c r="Q378" i="3"/>
  <c r="AC377" i="3"/>
  <c r="Z377" i="3"/>
  <c r="Y377" i="3"/>
  <c r="X377" i="3"/>
  <c r="Q377" i="3"/>
  <c r="AC376" i="3"/>
  <c r="Z376" i="3"/>
  <c r="Y376" i="3"/>
  <c r="X376" i="3"/>
  <c r="Q376" i="3"/>
  <c r="AC375" i="3"/>
  <c r="Z375" i="3"/>
  <c r="Y375" i="3"/>
  <c r="X375" i="3"/>
  <c r="Q375" i="3"/>
  <c r="AC374" i="3"/>
  <c r="Z374" i="3"/>
  <c r="Y374" i="3"/>
  <c r="X374" i="3"/>
  <c r="Q374" i="3"/>
  <c r="AC373" i="3"/>
  <c r="Z373" i="3"/>
  <c r="Y373" i="3"/>
  <c r="X373" i="3"/>
  <c r="Q373" i="3"/>
  <c r="AC372" i="3"/>
  <c r="Z372" i="3"/>
  <c r="Y372" i="3"/>
  <c r="X372" i="3"/>
  <c r="Q372" i="3"/>
  <c r="AC371" i="3"/>
  <c r="Z371" i="3"/>
  <c r="Y371" i="3"/>
  <c r="X371" i="3"/>
  <c r="Q371" i="3"/>
  <c r="AC370" i="3"/>
  <c r="Z370" i="3"/>
  <c r="Y370" i="3"/>
  <c r="X370" i="3"/>
  <c r="Q370" i="3"/>
  <c r="AC369" i="3"/>
  <c r="Z369" i="3"/>
  <c r="Y369" i="3"/>
  <c r="X369" i="3"/>
  <c r="Q369" i="3"/>
  <c r="AC368" i="3"/>
  <c r="Z368" i="3"/>
  <c r="Y368" i="3"/>
  <c r="X368" i="3"/>
  <c r="Q368" i="3"/>
  <c r="AC367" i="3"/>
  <c r="Z367" i="3"/>
  <c r="Y367" i="3"/>
  <c r="X367" i="3"/>
  <c r="Q367" i="3"/>
  <c r="AC366" i="3"/>
  <c r="Z366" i="3"/>
  <c r="Y366" i="3"/>
  <c r="X366" i="3"/>
  <c r="Q366" i="3"/>
  <c r="AC365" i="3"/>
  <c r="Z365" i="3"/>
  <c r="Y365" i="3"/>
  <c r="X365" i="3"/>
  <c r="Q365" i="3"/>
  <c r="AC364" i="3"/>
  <c r="Z364" i="3"/>
  <c r="Y364" i="3"/>
  <c r="X364" i="3"/>
  <c r="Q364" i="3"/>
  <c r="AC363" i="3"/>
  <c r="Z363" i="3"/>
  <c r="Y363" i="3"/>
  <c r="X363" i="3"/>
  <c r="Q363" i="3"/>
  <c r="AC362" i="3"/>
  <c r="Z362" i="3"/>
  <c r="Y362" i="3"/>
  <c r="X362" i="3"/>
  <c r="Q362" i="3"/>
  <c r="AC361" i="3"/>
  <c r="Z361" i="3"/>
  <c r="Y361" i="3"/>
  <c r="X361" i="3"/>
  <c r="Q361" i="3"/>
  <c r="AC360" i="3"/>
  <c r="Z360" i="3"/>
  <c r="Y360" i="3"/>
  <c r="X360" i="3"/>
  <c r="Q360" i="3"/>
  <c r="AC359" i="3"/>
  <c r="Z359" i="3"/>
  <c r="Y359" i="3"/>
  <c r="X359" i="3"/>
  <c r="Q359" i="3"/>
  <c r="AC358" i="3"/>
  <c r="Z358" i="3"/>
  <c r="Y358" i="3"/>
  <c r="X358" i="3"/>
  <c r="Q358" i="3"/>
  <c r="AC357" i="3"/>
  <c r="Z357" i="3"/>
  <c r="Y357" i="3"/>
  <c r="X357" i="3"/>
  <c r="Q357" i="3"/>
  <c r="AC356" i="3"/>
  <c r="Z356" i="3"/>
  <c r="Y356" i="3"/>
  <c r="X356" i="3"/>
  <c r="Q356" i="3"/>
  <c r="AC355" i="3"/>
  <c r="Z355" i="3"/>
  <c r="Y355" i="3"/>
  <c r="X355" i="3"/>
  <c r="Q355" i="3"/>
  <c r="AC354" i="3"/>
  <c r="Z354" i="3"/>
  <c r="Y354" i="3"/>
  <c r="X354" i="3"/>
  <c r="Q354" i="3"/>
  <c r="AC353" i="3"/>
  <c r="Z353" i="3"/>
  <c r="Y353" i="3"/>
  <c r="X353" i="3"/>
  <c r="Q353" i="3"/>
  <c r="AC352" i="3"/>
  <c r="Z352" i="3"/>
  <c r="Y352" i="3"/>
  <c r="X352" i="3"/>
  <c r="Q352" i="3"/>
  <c r="AC351" i="3"/>
  <c r="Z351" i="3"/>
  <c r="Y351" i="3"/>
  <c r="X351" i="3"/>
  <c r="Q351" i="3"/>
  <c r="AC350" i="3"/>
  <c r="Z350" i="3"/>
  <c r="Y350" i="3"/>
  <c r="X350" i="3"/>
  <c r="Q350" i="3"/>
  <c r="AC349" i="3"/>
  <c r="Z349" i="3"/>
  <c r="Y349" i="3"/>
  <c r="X349" i="3"/>
  <c r="Q349" i="3"/>
  <c r="AC348" i="3"/>
  <c r="Z348" i="3"/>
  <c r="Y348" i="3"/>
  <c r="X348" i="3"/>
  <c r="Q348" i="3"/>
  <c r="AC347" i="3"/>
  <c r="Z347" i="3"/>
  <c r="Y347" i="3"/>
  <c r="X347" i="3"/>
  <c r="Q347" i="3"/>
  <c r="AC346" i="3"/>
  <c r="Z346" i="3"/>
  <c r="Y346" i="3"/>
  <c r="X346" i="3"/>
  <c r="Q346" i="3"/>
  <c r="AC345" i="3"/>
  <c r="Z345" i="3"/>
  <c r="Y345" i="3"/>
  <c r="X345" i="3"/>
  <c r="Q345" i="3"/>
  <c r="AC344" i="3"/>
  <c r="Z344" i="3"/>
  <c r="Y344" i="3"/>
  <c r="X344" i="3"/>
  <c r="Q344" i="3"/>
  <c r="AC343" i="3"/>
  <c r="Z343" i="3"/>
  <c r="Y343" i="3"/>
  <c r="X343" i="3"/>
  <c r="Q343" i="3"/>
  <c r="AC342" i="3"/>
  <c r="Z342" i="3"/>
  <c r="Y342" i="3"/>
  <c r="X342" i="3"/>
  <c r="Q342" i="3"/>
  <c r="AC341" i="3"/>
  <c r="Z341" i="3"/>
  <c r="Y341" i="3"/>
  <c r="X341" i="3"/>
  <c r="Q341" i="3"/>
  <c r="AC340" i="3"/>
  <c r="Z340" i="3"/>
  <c r="Y340" i="3"/>
  <c r="X340" i="3"/>
  <c r="Q340" i="3"/>
  <c r="AC339" i="3"/>
  <c r="Z339" i="3"/>
  <c r="Y339" i="3"/>
  <c r="X339" i="3"/>
  <c r="Q339" i="3"/>
  <c r="AC338" i="3"/>
  <c r="Z338" i="3"/>
  <c r="Y338" i="3"/>
  <c r="X338" i="3"/>
  <c r="Q338" i="3"/>
  <c r="AC337" i="3"/>
  <c r="Z337" i="3"/>
  <c r="Y337" i="3"/>
  <c r="X337" i="3"/>
  <c r="Q337" i="3"/>
  <c r="AC336" i="3"/>
  <c r="Z336" i="3"/>
  <c r="Y336" i="3"/>
  <c r="X336" i="3"/>
  <c r="Q336" i="3"/>
  <c r="AC335" i="3"/>
  <c r="Z335" i="3"/>
  <c r="Y335" i="3"/>
  <c r="X335" i="3"/>
  <c r="Q335" i="3"/>
  <c r="AC334" i="3"/>
  <c r="Z334" i="3"/>
  <c r="Y334" i="3"/>
  <c r="X334" i="3"/>
  <c r="Q334" i="3"/>
  <c r="AC333" i="3"/>
  <c r="Z333" i="3"/>
  <c r="Y333" i="3"/>
  <c r="X333" i="3"/>
  <c r="Q333" i="3"/>
  <c r="AC332" i="3"/>
  <c r="Z332" i="3"/>
  <c r="Y332" i="3"/>
  <c r="X332" i="3"/>
  <c r="Q332" i="3"/>
  <c r="AC331" i="3"/>
  <c r="Z331" i="3"/>
  <c r="Y331" i="3"/>
  <c r="X331" i="3"/>
  <c r="Q331" i="3"/>
  <c r="AC330" i="3"/>
  <c r="Z330" i="3"/>
  <c r="Y330" i="3"/>
  <c r="X330" i="3"/>
  <c r="Q330" i="3"/>
  <c r="AC329" i="3"/>
  <c r="Z329" i="3"/>
  <c r="Y329" i="3"/>
  <c r="X329" i="3"/>
  <c r="Q329" i="3"/>
  <c r="AC328" i="3"/>
  <c r="Z328" i="3"/>
  <c r="Y328" i="3"/>
  <c r="X328" i="3"/>
  <c r="Q328" i="3"/>
  <c r="AC327" i="3"/>
  <c r="Z327" i="3"/>
  <c r="Y327" i="3"/>
  <c r="X327" i="3"/>
  <c r="Q327" i="3"/>
  <c r="AC326" i="3"/>
  <c r="Z326" i="3"/>
  <c r="Y326" i="3"/>
  <c r="X326" i="3"/>
  <c r="Q326" i="3"/>
  <c r="AC325" i="3"/>
  <c r="Z325" i="3"/>
  <c r="Y325" i="3"/>
  <c r="X325" i="3"/>
  <c r="Q325" i="3"/>
  <c r="AC324" i="3"/>
  <c r="Z324" i="3"/>
  <c r="Y324" i="3"/>
  <c r="X324" i="3"/>
  <c r="Q324" i="3"/>
  <c r="AC323" i="3"/>
  <c r="Z323" i="3"/>
  <c r="Y323" i="3"/>
  <c r="X323" i="3"/>
  <c r="Q323" i="3"/>
  <c r="AC322" i="3"/>
  <c r="Z322" i="3"/>
  <c r="Y322" i="3"/>
  <c r="X322" i="3"/>
  <c r="Q322" i="3"/>
  <c r="AC321" i="3"/>
  <c r="Z321" i="3"/>
  <c r="Y321" i="3"/>
  <c r="X321" i="3"/>
  <c r="Q321" i="3"/>
  <c r="AC320" i="3"/>
  <c r="Z320" i="3"/>
  <c r="Y320" i="3"/>
  <c r="X320" i="3"/>
  <c r="Q320" i="3"/>
  <c r="AC319" i="3"/>
  <c r="Z319" i="3"/>
  <c r="Y319" i="3"/>
  <c r="X319" i="3"/>
  <c r="Q319" i="3"/>
  <c r="AC318" i="3"/>
  <c r="Z318" i="3"/>
  <c r="Y318" i="3"/>
  <c r="X318" i="3"/>
  <c r="Q318" i="3"/>
  <c r="AC317" i="3"/>
  <c r="Z317" i="3"/>
  <c r="Y317" i="3"/>
  <c r="X317" i="3"/>
  <c r="Q317" i="3"/>
  <c r="AC316" i="3"/>
  <c r="Z316" i="3"/>
  <c r="Y316" i="3"/>
  <c r="X316" i="3"/>
  <c r="Q316" i="3"/>
  <c r="AC315" i="3"/>
  <c r="Z315" i="3"/>
  <c r="Y315" i="3"/>
  <c r="X315" i="3"/>
  <c r="Q315" i="3"/>
  <c r="AC314" i="3"/>
  <c r="Z314" i="3"/>
  <c r="Y314" i="3"/>
  <c r="X314" i="3"/>
  <c r="Q314" i="3"/>
  <c r="AC313" i="3"/>
  <c r="Z313" i="3"/>
  <c r="Y313" i="3"/>
  <c r="X313" i="3"/>
  <c r="Q313" i="3"/>
  <c r="AC312" i="3"/>
  <c r="Z312" i="3"/>
  <c r="Y312" i="3"/>
  <c r="X312" i="3"/>
  <c r="Q312" i="3"/>
  <c r="AC311" i="3"/>
  <c r="Z311" i="3"/>
  <c r="Y311" i="3"/>
  <c r="X311" i="3"/>
  <c r="Q311" i="3"/>
  <c r="AC310" i="3"/>
  <c r="Z310" i="3"/>
  <c r="Y310" i="3"/>
  <c r="X310" i="3"/>
  <c r="Q310" i="3"/>
  <c r="AC309" i="3"/>
  <c r="Z309" i="3"/>
  <c r="Y309" i="3"/>
  <c r="X309" i="3"/>
  <c r="Q309" i="3"/>
  <c r="AC308" i="3"/>
  <c r="Z308" i="3"/>
  <c r="Y308" i="3"/>
  <c r="X308" i="3"/>
  <c r="Q308" i="3"/>
  <c r="AC307" i="3"/>
  <c r="Z307" i="3"/>
  <c r="Y307" i="3"/>
  <c r="X307" i="3"/>
  <c r="Q307" i="3"/>
  <c r="AC306" i="3"/>
  <c r="Z306" i="3"/>
  <c r="Y306" i="3"/>
  <c r="X306" i="3"/>
  <c r="Q306" i="3"/>
  <c r="AC305" i="3"/>
  <c r="Z305" i="3"/>
  <c r="Y305" i="3"/>
  <c r="X305" i="3"/>
  <c r="Q305" i="3"/>
  <c r="AC304" i="3"/>
  <c r="Z304" i="3"/>
  <c r="Y304" i="3"/>
  <c r="X304" i="3"/>
  <c r="Q304" i="3"/>
  <c r="AC303" i="3"/>
  <c r="Z303" i="3"/>
  <c r="Y303" i="3"/>
  <c r="X303" i="3"/>
  <c r="Q303" i="3"/>
  <c r="AC302" i="3"/>
  <c r="Z302" i="3"/>
  <c r="Y302" i="3"/>
  <c r="X302" i="3"/>
  <c r="Q302" i="3"/>
  <c r="AC301" i="3"/>
  <c r="Z301" i="3"/>
  <c r="Y301" i="3"/>
  <c r="X301" i="3"/>
  <c r="Q301" i="3"/>
  <c r="AC300" i="3"/>
  <c r="Z300" i="3"/>
  <c r="Y300" i="3"/>
  <c r="X300" i="3"/>
  <c r="Q300" i="3"/>
  <c r="AC299" i="3"/>
  <c r="Z299" i="3"/>
  <c r="Y299" i="3"/>
  <c r="X299" i="3"/>
  <c r="Q299" i="3"/>
  <c r="AC298" i="3"/>
  <c r="Z298" i="3"/>
  <c r="Y298" i="3"/>
  <c r="X298" i="3"/>
  <c r="Q298" i="3"/>
  <c r="AC297" i="3"/>
  <c r="Z297" i="3"/>
  <c r="Y297" i="3"/>
  <c r="X297" i="3"/>
  <c r="Q297" i="3"/>
  <c r="AC296" i="3"/>
  <c r="Z296" i="3"/>
  <c r="Y296" i="3"/>
  <c r="X296" i="3"/>
  <c r="Q296" i="3"/>
  <c r="AC295" i="3"/>
  <c r="Z295" i="3"/>
  <c r="Y295" i="3"/>
  <c r="X295" i="3"/>
  <c r="Q295" i="3"/>
  <c r="AC294" i="3"/>
  <c r="Z294" i="3"/>
  <c r="Y294" i="3"/>
  <c r="X294" i="3"/>
  <c r="Q294" i="3"/>
  <c r="AC293" i="3"/>
  <c r="Z293" i="3"/>
  <c r="Y293" i="3"/>
  <c r="X293" i="3"/>
  <c r="Q293" i="3"/>
  <c r="AC292" i="3"/>
  <c r="Z292" i="3"/>
  <c r="Y292" i="3"/>
  <c r="X292" i="3"/>
  <c r="Q292" i="3"/>
  <c r="AC291" i="3"/>
  <c r="Z291" i="3"/>
  <c r="Y291" i="3"/>
  <c r="X291" i="3"/>
  <c r="Q291" i="3"/>
  <c r="AC290" i="3"/>
  <c r="Z290" i="3"/>
  <c r="Y290" i="3"/>
  <c r="X290" i="3"/>
  <c r="Q290" i="3"/>
  <c r="AC289" i="3"/>
  <c r="Z289" i="3"/>
  <c r="Y289" i="3"/>
  <c r="X289" i="3"/>
  <c r="Q289" i="3"/>
  <c r="AC288" i="3"/>
  <c r="Z288" i="3"/>
  <c r="Y288" i="3"/>
  <c r="X288" i="3"/>
  <c r="Q288" i="3"/>
  <c r="AC287" i="3"/>
  <c r="Z287" i="3"/>
  <c r="Y287" i="3"/>
  <c r="X287" i="3"/>
  <c r="Q287" i="3"/>
  <c r="AC286" i="3"/>
  <c r="Z286" i="3"/>
  <c r="Y286" i="3"/>
  <c r="X286" i="3"/>
  <c r="Q286" i="3"/>
  <c r="AC285" i="3"/>
  <c r="Z285" i="3"/>
  <c r="Y285" i="3"/>
  <c r="X285" i="3"/>
  <c r="Q285" i="3"/>
  <c r="AC284" i="3"/>
  <c r="Z284" i="3"/>
  <c r="Y284" i="3"/>
  <c r="X284" i="3"/>
  <c r="Q284" i="3"/>
  <c r="AC283" i="3"/>
  <c r="Z283" i="3"/>
  <c r="Y283" i="3"/>
  <c r="X283" i="3"/>
  <c r="Q283" i="3"/>
  <c r="AC282" i="3"/>
  <c r="Z282" i="3"/>
  <c r="Y282" i="3"/>
  <c r="X282" i="3"/>
  <c r="Q282" i="3"/>
  <c r="AC281" i="3"/>
  <c r="Z281" i="3"/>
  <c r="Y281" i="3"/>
  <c r="X281" i="3"/>
  <c r="Q281" i="3"/>
  <c r="AC280" i="3"/>
  <c r="Z280" i="3"/>
  <c r="Y280" i="3"/>
  <c r="X280" i="3"/>
  <c r="Q280" i="3"/>
  <c r="AC279" i="3"/>
  <c r="Z279" i="3"/>
  <c r="Y279" i="3"/>
  <c r="X279" i="3"/>
  <c r="Q279" i="3"/>
  <c r="AC278" i="3"/>
  <c r="Z278" i="3"/>
  <c r="Y278" i="3"/>
  <c r="X278" i="3"/>
  <c r="Q278" i="3"/>
  <c r="AC277" i="3"/>
  <c r="Z277" i="3"/>
  <c r="Y277" i="3"/>
  <c r="X277" i="3"/>
  <c r="Q277" i="3"/>
  <c r="AC276" i="3"/>
  <c r="Z276" i="3"/>
  <c r="Y276" i="3"/>
  <c r="X276" i="3"/>
  <c r="Q276" i="3"/>
  <c r="AC275" i="3"/>
  <c r="Z275" i="3"/>
  <c r="Y275" i="3"/>
  <c r="X275" i="3"/>
  <c r="Q275" i="3"/>
  <c r="AC274" i="3"/>
  <c r="Z274" i="3"/>
  <c r="Y274" i="3"/>
  <c r="X274" i="3"/>
  <c r="Q274" i="3"/>
  <c r="AC273" i="3"/>
  <c r="Z273" i="3"/>
  <c r="Y273" i="3"/>
  <c r="X273" i="3"/>
  <c r="Q273" i="3"/>
  <c r="AC272" i="3"/>
  <c r="Z272" i="3"/>
  <c r="Y272" i="3"/>
  <c r="X272" i="3"/>
  <c r="Q272" i="3"/>
  <c r="AC271" i="3"/>
  <c r="Z271" i="3"/>
  <c r="Y271" i="3"/>
  <c r="X271" i="3"/>
  <c r="Q271" i="3"/>
  <c r="AC270" i="3"/>
  <c r="Z270" i="3"/>
  <c r="Y270" i="3"/>
  <c r="X270" i="3"/>
  <c r="Q270" i="3"/>
  <c r="AC269" i="3"/>
  <c r="Z269" i="3"/>
  <c r="Y269" i="3"/>
  <c r="X269" i="3"/>
  <c r="Q269" i="3"/>
  <c r="AC268" i="3"/>
  <c r="Z268" i="3"/>
  <c r="Y268" i="3"/>
  <c r="X268" i="3"/>
  <c r="Q268" i="3"/>
  <c r="AC267" i="3"/>
  <c r="Z267" i="3"/>
  <c r="Y267" i="3"/>
  <c r="X267" i="3"/>
  <c r="Q267" i="3"/>
  <c r="AC266" i="3"/>
  <c r="Z266" i="3"/>
  <c r="Y266" i="3"/>
  <c r="X266" i="3"/>
  <c r="Q266" i="3"/>
  <c r="AC265" i="3"/>
  <c r="Z265" i="3"/>
  <c r="Y265" i="3"/>
  <c r="X265" i="3"/>
  <c r="Q265" i="3"/>
  <c r="AC264" i="3"/>
  <c r="Z264" i="3"/>
  <c r="Y264" i="3"/>
  <c r="X264" i="3"/>
  <c r="Q264" i="3"/>
  <c r="AC263" i="3"/>
  <c r="Z263" i="3"/>
  <c r="Y263" i="3"/>
  <c r="X263" i="3"/>
  <c r="Q263" i="3"/>
  <c r="AC262" i="3"/>
  <c r="Z262" i="3"/>
  <c r="Y262" i="3"/>
  <c r="X262" i="3"/>
  <c r="Q262" i="3"/>
  <c r="AC261" i="3"/>
  <c r="Z261" i="3"/>
  <c r="Y261" i="3"/>
  <c r="X261" i="3"/>
  <c r="Q261" i="3"/>
  <c r="AC260" i="3"/>
  <c r="Z260" i="3"/>
  <c r="Y260" i="3"/>
  <c r="X260" i="3"/>
  <c r="Q260" i="3"/>
  <c r="AC259" i="3"/>
  <c r="Z259" i="3"/>
  <c r="Y259" i="3"/>
  <c r="X259" i="3"/>
  <c r="Q259" i="3"/>
  <c r="AC258" i="3"/>
  <c r="Z258" i="3"/>
  <c r="Y258" i="3"/>
  <c r="X258" i="3"/>
  <c r="Q258" i="3"/>
  <c r="AC257" i="3"/>
  <c r="Z257" i="3"/>
  <c r="Y257" i="3"/>
  <c r="X257" i="3"/>
  <c r="Q257" i="3"/>
  <c r="AC256" i="3"/>
  <c r="Z256" i="3"/>
  <c r="Y256" i="3"/>
  <c r="X256" i="3"/>
  <c r="Q256" i="3"/>
  <c r="AC255" i="3"/>
  <c r="Z255" i="3"/>
  <c r="Y255" i="3"/>
  <c r="X255" i="3"/>
  <c r="Q255" i="3"/>
  <c r="AC254" i="3"/>
  <c r="Z254" i="3"/>
  <c r="Y254" i="3"/>
  <c r="X254" i="3"/>
  <c r="Q254" i="3"/>
  <c r="AC253" i="3"/>
  <c r="Z253" i="3"/>
  <c r="Y253" i="3"/>
  <c r="X253" i="3"/>
  <c r="Q253" i="3"/>
  <c r="AC252" i="3"/>
  <c r="Z252" i="3"/>
  <c r="Y252" i="3"/>
  <c r="X252" i="3"/>
  <c r="Q252" i="3"/>
  <c r="AC251" i="3"/>
  <c r="Z251" i="3"/>
  <c r="Y251" i="3"/>
  <c r="X251" i="3"/>
  <c r="Q251" i="3"/>
  <c r="AC250" i="3"/>
  <c r="Z250" i="3"/>
  <c r="Y250" i="3"/>
  <c r="X250" i="3"/>
  <c r="Q250" i="3"/>
  <c r="AC249" i="3"/>
  <c r="Z249" i="3"/>
  <c r="Y249" i="3"/>
  <c r="X249" i="3"/>
  <c r="Q249" i="3"/>
  <c r="AC248" i="3"/>
  <c r="Z248" i="3"/>
  <c r="Y248" i="3"/>
  <c r="X248" i="3"/>
  <c r="Q248" i="3"/>
  <c r="AC247" i="3"/>
  <c r="Z247" i="3"/>
  <c r="Y247" i="3"/>
  <c r="X247" i="3"/>
  <c r="Q247" i="3"/>
  <c r="AC246" i="3"/>
  <c r="Z246" i="3"/>
  <c r="Y246" i="3"/>
  <c r="X246" i="3"/>
  <c r="Q246" i="3"/>
  <c r="AC245" i="3"/>
  <c r="Z245" i="3"/>
  <c r="Y245" i="3"/>
  <c r="X245" i="3"/>
  <c r="Q245" i="3"/>
  <c r="AC244" i="3"/>
  <c r="Z244" i="3"/>
  <c r="Y244" i="3"/>
  <c r="X244" i="3"/>
  <c r="Q244" i="3"/>
  <c r="AC243" i="3"/>
  <c r="Z243" i="3"/>
  <c r="Y243" i="3"/>
  <c r="X243" i="3"/>
  <c r="Q243" i="3"/>
  <c r="AC242" i="3"/>
  <c r="Z242" i="3"/>
  <c r="Y242" i="3"/>
  <c r="X242" i="3"/>
  <c r="Q242" i="3"/>
  <c r="AC241" i="3"/>
  <c r="Z241" i="3"/>
  <c r="Y241" i="3"/>
  <c r="X241" i="3"/>
  <c r="Q241" i="3"/>
  <c r="AC240" i="3"/>
  <c r="Z240" i="3"/>
  <c r="Y240" i="3"/>
  <c r="X240" i="3"/>
  <c r="Q240" i="3"/>
  <c r="AC239" i="3"/>
  <c r="Z239" i="3"/>
  <c r="Y239" i="3"/>
  <c r="X239" i="3"/>
  <c r="Q239" i="3"/>
  <c r="AC238" i="3"/>
  <c r="Z238" i="3"/>
  <c r="Y238" i="3"/>
  <c r="X238" i="3"/>
  <c r="Q238" i="3"/>
  <c r="AC237" i="3"/>
  <c r="Z237" i="3"/>
  <c r="Y237" i="3"/>
  <c r="X237" i="3"/>
  <c r="Q237" i="3"/>
  <c r="AC236" i="3"/>
  <c r="Z236" i="3"/>
  <c r="Y236" i="3"/>
  <c r="X236" i="3"/>
  <c r="Q236" i="3"/>
  <c r="AC235" i="3"/>
  <c r="Z235" i="3"/>
  <c r="Y235" i="3"/>
  <c r="X235" i="3"/>
  <c r="Q235" i="3"/>
  <c r="AC234" i="3"/>
  <c r="Z234" i="3"/>
  <c r="Y234" i="3"/>
  <c r="X234" i="3"/>
  <c r="Q234" i="3"/>
  <c r="AC233" i="3"/>
  <c r="Z233" i="3"/>
  <c r="Y233" i="3"/>
  <c r="X233" i="3"/>
  <c r="Q233" i="3"/>
  <c r="AC232" i="3"/>
  <c r="Z232" i="3"/>
  <c r="Y232" i="3"/>
  <c r="X232" i="3"/>
  <c r="Q232" i="3"/>
  <c r="AC231" i="3"/>
  <c r="Z231" i="3"/>
  <c r="Y231" i="3"/>
  <c r="X231" i="3"/>
  <c r="Q231" i="3"/>
  <c r="AC230" i="3"/>
  <c r="Z230" i="3"/>
  <c r="Y230" i="3"/>
  <c r="X230" i="3"/>
  <c r="Q230" i="3"/>
  <c r="AC229" i="3"/>
  <c r="Z229" i="3"/>
  <c r="Y229" i="3"/>
  <c r="X229" i="3"/>
  <c r="Q229" i="3"/>
  <c r="AC228" i="3"/>
  <c r="Z228" i="3"/>
  <c r="Y228" i="3"/>
  <c r="X228" i="3"/>
  <c r="Q228" i="3"/>
  <c r="AC227" i="3"/>
  <c r="Z227" i="3"/>
  <c r="Y227" i="3"/>
  <c r="X227" i="3"/>
  <c r="Q227" i="3"/>
  <c r="AC226" i="3"/>
  <c r="Z226" i="3"/>
  <c r="Y226" i="3"/>
  <c r="X226" i="3"/>
  <c r="Q226" i="3"/>
  <c r="AC225" i="3"/>
  <c r="Z225" i="3"/>
  <c r="Y225" i="3"/>
  <c r="X225" i="3"/>
  <c r="Q225" i="3"/>
  <c r="AC224" i="3"/>
  <c r="Z224" i="3"/>
  <c r="Y224" i="3"/>
  <c r="X224" i="3"/>
  <c r="Q224" i="3"/>
  <c r="AC223" i="3"/>
  <c r="Z223" i="3"/>
  <c r="Y223" i="3"/>
  <c r="X223" i="3"/>
  <c r="Q223" i="3"/>
  <c r="AC222" i="3"/>
  <c r="Z222" i="3"/>
  <c r="Y222" i="3"/>
  <c r="X222" i="3"/>
  <c r="Q222" i="3"/>
  <c r="AC221" i="3"/>
  <c r="Z221" i="3"/>
  <c r="Y221" i="3"/>
  <c r="X221" i="3"/>
  <c r="Q221" i="3"/>
  <c r="AC220" i="3"/>
  <c r="Z220" i="3"/>
  <c r="Y220" i="3"/>
  <c r="X220" i="3"/>
  <c r="Q220" i="3"/>
  <c r="AC219" i="3"/>
  <c r="Z219" i="3"/>
  <c r="Y219" i="3"/>
  <c r="X219" i="3"/>
  <c r="Q219" i="3"/>
  <c r="AC218" i="3"/>
  <c r="Z218" i="3"/>
  <c r="Y218" i="3"/>
  <c r="X218" i="3"/>
  <c r="Q218" i="3"/>
  <c r="AC217" i="3"/>
  <c r="Z217" i="3"/>
  <c r="Y217" i="3"/>
  <c r="X217" i="3"/>
  <c r="Q217" i="3"/>
  <c r="AC216" i="3"/>
  <c r="Z216" i="3"/>
  <c r="Y216" i="3"/>
  <c r="X216" i="3"/>
  <c r="Q216" i="3"/>
  <c r="AC215" i="3"/>
  <c r="Z215" i="3"/>
  <c r="Y215" i="3"/>
  <c r="X215" i="3"/>
  <c r="Q215" i="3"/>
  <c r="AC214" i="3"/>
  <c r="Z214" i="3"/>
  <c r="Y214" i="3"/>
  <c r="X214" i="3"/>
  <c r="Q214" i="3"/>
  <c r="AC213" i="3"/>
  <c r="Z213" i="3"/>
  <c r="Y213" i="3"/>
  <c r="X213" i="3"/>
  <c r="Q213" i="3"/>
  <c r="AC212" i="3"/>
  <c r="Z212" i="3"/>
  <c r="Z205" i="3" s="1"/>
  <c r="Y212" i="3"/>
  <c r="X212" i="3"/>
  <c r="Q212" i="3"/>
  <c r="AC211" i="3"/>
  <c r="Z211" i="3"/>
  <c r="Y211" i="3"/>
  <c r="X211" i="3"/>
  <c r="Q211" i="3"/>
  <c r="AC210" i="3"/>
  <c r="Z210" i="3"/>
  <c r="Y210" i="3"/>
  <c r="X210" i="3"/>
  <c r="Q210" i="3"/>
  <c r="AC209" i="3"/>
  <c r="Z209" i="3"/>
  <c r="Y209" i="3"/>
  <c r="Y205" i="3" s="1"/>
  <c r="X209" i="3"/>
  <c r="Q209" i="3"/>
  <c r="AC208" i="3"/>
  <c r="Z208" i="3"/>
  <c r="Y208" i="3"/>
  <c r="X208" i="3"/>
  <c r="Q208" i="3"/>
  <c r="AC207" i="3"/>
  <c r="Z207" i="3"/>
  <c r="Y207" i="3"/>
  <c r="X207" i="3"/>
  <c r="Q207" i="3"/>
  <c r="AC206" i="3"/>
  <c r="Z206" i="3"/>
  <c r="Y206" i="3"/>
  <c r="X206" i="3"/>
  <c r="Q206" i="3"/>
  <c r="AA205" i="3"/>
  <c r="W205" i="3"/>
  <c r="W3" i="3" s="1"/>
  <c r="V205" i="3"/>
  <c r="U205" i="3"/>
  <c r="T205" i="3"/>
  <c r="S205" i="3"/>
  <c r="S3" i="3" s="1"/>
  <c r="R205" i="3"/>
  <c r="P205" i="3"/>
  <c r="O205" i="3"/>
  <c r="N205" i="3"/>
  <c r="N3" i="3" s="1"/>
  <c r="M205" i="3"/>
  <c r="M3" i="3" s="1"/>
  <c r="G205" i="3"/>
  <c r="AC204" i="3"/>
  <c r="Z204" i="3"/>
  <c r="Y204" i="3"/>
  <c r="X204" i="3"/>
  <c r="Q204" i="3"/>
  <c r="AC203" i="3"/>
  <c r="Z203" i="3"/>
  <c r="Y203" i="3"/>
  <c r="X203" i="3"/>
  <c r="Q203" i="3"/>
  <c r="AC202" i="3"/>
  <c r="Z202" i="3"/>
  <c r="Y202" i="3"/>
  <c r="X202" i="3"/>
  <c r="Q202" i="3"/>
  <c r="AC201" i="3"/>
  <c r="Z201" i="3"/>
  <c r="Y201" i="3"/>
  <c r="X201" i="3"/>
  <c r="Q201" i="3"/>
  <c r="AC200" i="3"/>
  <c r="Z200" i="3"/>
  <c r="Y200" i="3"/>
  <c r="X200" i="3"/>
  <c r="Q200" i="3"/>
  <c r="AC199" i="3"/>
  <c r="Z199" i="3"/>
  <c r="Y199" i="3"/>
  <c r="X199" i="3"/>
  <c r="Q199" i="3"/>
  <c r="AC198" i="3"/>
  <c r="Z198" i="3"/>
  <c r="Y198" i="3"/>
  <c r="X198" i="3"/>
  <c r="Q198" i="3"/>
  <c r="AC197" i="3"/>
  <c r="Z197" i="3"/>
  <c r="Y197" i="3"/>
  <c r="X197" i="3"/>
  <c r="Q197" i="3"/>
  <c r="AC196" i="3"/>
  <c r="Z196" i="3"/>
  <c r="Y196" i="3"/>
  <c r="X196" i="3"/>
  <c r="Q196" i="3"/>
  <c r="AC195" i="3"/>
  <c r="Z195" i="3"/>
  <c r="Y195" i="3"/>
  <c r="X195" i="3"/>
  <c r="Q195" i="3"/>
  <c r="AC194" i="3"/>
  <c r="Z194" i="3"/>
  <c r="Y194" i="3"/>
  <c r="X194" i="3"/>
  <c r="Q194" i="3"/>
  <c r="AC193" i="3"/>
  <c r="Z193" i="3"/>
  <c r="Y193" i="3"/>
  <c r="X193" i="3"/>
  <c r="Q193" i="3"/>
  <c r="AC192" i="3"/>
  <c r="Z192" i="3"/>
  <c r="Y192" i="3"/>
  <c r="X192" i="3"/>
  <c r="Q192" i="3"/>
  <c r="AC191" i="3"/>
  <c r="Z191" i="3"/>
  <c r="Y191" i="3"/>
  <c r="X191" i="3"/>
  <c r="Q191" i="3"/>
  <c r="AC190" i="3"/>
  <c r="Z190" i="3"/>
  <c r="Y190" i="3"/>
  <c r="X190" i="3"/>
  <c r="Q190" i="3"/>
  <c r="AC189" i="3"/>
  <c r="Z189" i="3"/>
  <c r="Y189" i="3"/>
  <c r="X189" i="3"/>
  <c r="Q189" i="3"/>
  <c r="AC188" i="3"/>
  <c r="Z188" i="3"/>
  <c r="Y188" i="3"/>
  <c r="X188" i="3"/>
  <c r="Q188" i="3"/>
  <c r="AC187" i="3"/>
  <c r="Z187" i="3"/>
  <c r="Y187" i="3"/>
  <c r="X187" i="3"/>
  <c r="Q187" i="3"/>
  <c r="AC186" i="3"/>
  <c r="Z186" i="3"/>
  <c r="Y186" i="3"/>
  <c r="X186" i="3"/>
  <c r="Q186" i="3"/>
  <c r="AC185" i="3"/>
  <c r="Z185" i="3"/>
  <c r="Y185" i="3"/>
  <c r="X185" i="3"/>
  <c r="Q185" i="3"/>
  <c r="AC184" i="3"/>
  <c r="Z184" i="3"/>
  <c r="Y184" i="3"/>
  <c r="X184" i="3"/>
  <c r="Q184" i="3"/>
  <c r="AC183" i="3"/>
  <c r="Z183" i="3"/>
  <c r="Y183" i="3"/>
  <c r="X183" i="3"/>
  <c r="Q183" i="3"/>
  <c r="AC182" i="3"/>
  <c r="Z182" i="3"/>
  <c r="Y182" i="3"/>
  <c r="X182" i="3"/>
  <c r="Q182" i="3"/>
  <c r="AC181" i="3"/>
  <c r="Z181" i="3"/>
  <c r="Y181" i="3"/>
  <c r="X181" i="3"/>
  <c r="Q181" i="3"/>
  <c r="AC180" i="3"/>
  <c r="Z180" i="3"/>
  <c r="Y180" i="3"/>
  <c r="X180" i="3"/>
  <c r="Q180" i="3"/>
  <c r="AC179" i="3"/>
  <c r="Z179" i="3"/>
  <c r="Y179" i="3"/>
  <c r="X179" i="3"/>
  <c r="Q179" i="3"/>
  <c r="AC178" i="3"/>
  <c r="Z178" i="3"/>
  <c r="Y178" i="3"/>
  <c r="X178" i="3"/>
  <c r="Q178" i="3"/>
  <c r="AC177" i="3"/>
  <c r="Z177" i="3"/>
  <c r="Y177" i="3"/>
  <c r="X177" i="3"/>
  <c r="Q177" i="3"/>
  <c r="AC176" i="3"/>
  <c r="Z176" i="3"/>
  <c r="Y176" i="3"/>
  <c r="X176" i="3"/>
  <c r="Q176" i="3"/>
  <c r="AC175" i="3"/>
  <c r="Z175" i="3"/>
  <c r="Y175" i="3"/>
  <c r="X175" i="3"/>
  <c r="Q175" i="3"/>
  <c r="AC174" i="3"/>
  <c r="Z174" i="3"/>
  <c r="Y174" i="3"/>
  <c r="X174" i="3"/>
  <c r="Q174" i="3"/>
  <c r="AC173" i="3"/>
  <c r="Z173" i="3"/>
  <c r="Y173" i="3"/>
  <c r="X173" i="3"/>
  <c r="Q173" i="3"/>
  <c r="AC172" i="3"/>
  <c r="Z172" i="3"/>
  <c r="Y172" i="3"/>
  <c r="X172" i="3"/>
  <c r="Q172" i="3"/>
  <c r="AC171" i="3"/>
  <c r="Z171" i="3"/>
  <c r="Y171" i="3"/>
  <c r="X171" i="3"/>
  <c r="Q171" i="3"/>
  <c r="AC170" i="3"/>
  <c r="Z170" i="3"/>
  <c r="Y170" i="3"/>
  <c r="X170" i="3"/>
  <c r="Q170" i="3"/>
  <c r="AC169" i="3"/>
  <c r="Z169" i="3"/>
  <c r="Y169" i="3"/>
  <c r="X169" i="3"/>
  <c r="Q169" i="3"/>
  <c r="AC168" i="3"/>
  <c r="Z168" i="3"/>
  <c r="Y168" i="3"/>
  <c r="X168" i="3"/>
  <c r="Q168" i="3"/>
  <c r="AC167" i="3"/>
  <c r="Z167" i="3"/>
  <c r="Y167" i="3"/>
  <c r="X167" i="3"/>
  <c r="Q167" i="3"/>
  <c r="AC166" i="3"/>
  <c r="Z166" i="3"/>
  <c r="Y166" i="3"/>
  <c r="X166" i="3"/>
  <c r="Q166" i="3"/>
  <c r="AC165" i="3"/>
  <c r="Z165" i="3"/>
  <c r="Y165" i="3"/>
  <c r="X165" i="3"/>
  <c r="Q165" i="3"/>
  <c r="AC164" i="3"/>
  <c r="Z164" i="3"/>
  <c r="Y164" i="3"/>
  <c r="X164" i="3"/>
  <c r="Q164" i="3"/>
  <c r="AC163" i="3"/>
  <c r="Z163" i="3"/>
  <c r="Y163" i="3"/>
  <c r="X163" i="3"/>
  <c r="Q163" i="3"/>
  <c r="AC162" i="3"/>
  <c r="Z162" i="3"/>
  <c r="Y162" i="3"/>
  <c r="X162" i="3"/>
  <c r="Q162" i="3"/>
  <c r="AC161" i="3"/>
  <c r="Z161" i="3"/>
  <c r="Y161" i="3"/>
  <c r="X161" i="3"/>
  <c r="Q161" i="3"/>
  <c r="AC160" i="3"/>
  <c r="Z160" i="3"/>
  <c r="Y160" i="3"/>
  <c r="X160" i="3"/>
  <c r="Q160" i="3"/>
  <c r="AC159" i="3"/>
  <c r="Z159" i="3"/>
  <c r="Y159" i="3"/>
  <c r="X159" i="3"/>
  <c r="Q159" i="3"/>
  <c r="AC158" i="3"/>
  <c r="Z158" i="3"/>
  <c r="Y158" i="3"/>
  <c r="X158" i="3"/>
  <c r="Q158" i="3"/>
  <c r="AC157" i="3"/>
  <c r="Z157" i="3"/>
  <c r="Y157" i="3"/>
  <c r="X157" i="3"/>
  <c r="Q157" i="3"/>
  <c r="AC156" i="3"/>
  <c r="Z156" i="3"/>
  <c r="Y156" i="3"/>
  <c r="X156" i="3"/>
  <c r="Q156" i="3"/>
  <c r="AC155" i="3"/>
  <c r="Z155" i="3"/>
  <c r="Y155" i="3"/>
  <c r="X155" i="3"/>
  <c r="Q155" i="3"/>
  <c r="AC154" i="3"/>
  <c r="Z154" i="3"/>
  <c r="Y154" i="3"/>
  <c r="X154" i="3"/>
  <c r="Q154" i="3"/>
  <c r="AC153" i="3"/>
  <c r="Z153" i="3"/>
  <c r="Y153" i="3"/>
  <c r="X153" i="3"/>
  <c r="Q153" i="3"/>
  <c r="AC152" i="3"/>
  <c r="Z152" i="3"/>
  <c r="Y152" i="3"/>
  <c r="X152" i="3"/>
  <c r="Q152" i="3"/>
  <c r="AC151" i="3"/>
  <c r="Z151" i="3"/>
  <c r="Y151" i="3"/>
  <c r="X151" i="3"/>
  <c r="Q151" i="3"/>
  <c r="AC150" i="3"/>
  <c r="Z150" i="3"/>
  <c r="Y150" i="3"/>
  <c r="X150" i="3"/>
  <c r="Q150" i="3"/>
  <c r="AC149" i="3"/>
  <c r="Z149" i="3"/>
  <c r="Y149" i="3"/>
  <c r="X149" i="3"/>
  <c r="Q149" i="3"/>
  <c r="AC148" i="3"/>
  <c r="Z148" i="3"/>
  <c r="Y148" i="3"/>
  <c r="X148" i="3"/>
  <c r="Q148" i="3"/>
  <c r="AC147" i="3"/>
  <c r="Z147" i="3"/>
  <c r="Y147" i="3"/>
  <c r="X147" i="3"/>
  <c r="Q147" i="3"/>
  <c r="AC146" i="3"/>
  <c r="Z146" i="3"/>
  <c r="Y146" i="3"/>
  <c r="X146" i="3"/>
  <c r="Q146" i="3"/>
  <c r="AC145" i="3"/>
  <c r="Z145" i="3"/>
  <c r="Y145" i="3"/>
  <c r="X145" i="3"/>
  <c r="Q145" i="3"/>
  <c r="AC144" i="3"/>
  <c r="Z144" i="3"/>
  <c r="Y144" i="3"/>
  <c r="X144" i="3"/>
  <c r="Q144" i="3"/>
  <c r="AC143" i="3"/>
  <c r="Z143" i="3"/>
  <c r="Y143" i="3"/>
  <c r="X143" i="3"/>
  <c r="Q143" i="3"/>
  <c r="AC142" i="3"/>
  <c r="Z142" i="3"/>
  <c r="Y142" i="3"/>
  <c r="X142" i="3"/>
  <c r="Q142" i="3"/>
  <c r="AC141" i="3"/>
  <c r="Z141" i="3"/>
  <c r="Y141" i="3"/>
  <c r="X141" i="3"/>
  <c r="Q141" i="3"/>
  <c r="AC140" i="3"/>
  <c r="Z140" i="3"/>
  <c r="Y140" i="3"/>
  <c r="X140" i="3"/>
  <c r="Q140" i="3"/>
  <c r="AC139" i="3"/>
  <c r="Z139" i="3"/>
  <c r="Y139" i="3"/>
  <c r="X139" i="3"/>
  <c r="Q139" i="3"/>
  <c r="AC138" i="3"/>
  <c r="Z138" i="3"/>
  <c r="Y138" i="3"/>
  <c r="X138" i="3"/>
  <c r="Q138" i="3"/>
  <c r="AC137" i="3"/>
  <c r="Z137" i="3"/>
  <c r="Y137" i="3"/>
  <c r="X137" i="3"/>
  <c r="Q137" i="3"/>
  <c r="AC136" i="3"/>
  <c r="Z136" i="3"/>
  <c r="Y136" i="3"/>
  <c r="X136" i="3"/>
  <c r="Q136" i="3"/>
  <c r="AC135" i="3"/>
  <c r="Z135" i="3"/>
  <c r="Y135" i="3"/>
  <c r="X135" i="3"/>
  <c r="Q135" i="3"/>
  <c r="AC134" i="3"/>
  <c r="Z134" i="3"/>
  <c r="Y134" i="3"/>
  <c r="X134" i="3"/>
  <c r="Q134" i="3"/>
  <c r="AC133" i="3"/>
  <c r="Z133" i="3"/>
  <c r="Y133" i="3"/>
  <c r="X133" i="3"/>
  <c r="Q133" i="3"/>
  <c r="AC132" i="3"/>
  <c r="Z132" i="3"/>
  <c r="Y132" i="3"/>
  <c r="X132" i="3"/>
  <c r="Q132" i="3"/>
  <c r="AC131" i="3"/>
  <c r="Z131" i="3"/>
  <c r="Y131" i="3"/>
  <c r="X131" i="3"/>
  <c r="Q131" i="3"/>
  <c r="AC130" i="3"/>
  <c r="Z130" i="3"/>
  <c r="Y130" i="3"/>
  <c r="X130" i="3"/>
  <c r="Q130" i="3"/>
  <c r="AC129" i="3"/>
  <c r="Z129" i="3"/>
  <c r="Y129" i="3"/>
  <c r="X129" i="3"/>
  <c r="Q129" i="3"/>
  <c r="AC128" i="3"/>
  <c r="Z128" i="3"/>
  <c r="Y128" i="3"/>
  <c r="X128" i="3"/>
  <c r="Q128" i="3"/>
  <c r="AC127" i="3"/>
  <c r="Z127" i="3"/>
  <c r="Y127" i="3"/>
  <c r="X127" i="3"/>
  <c r="Q127" i="3"/>
  <c r="AC126" i="3"/>
  <c r="Z126" i="3"/>
  <c r="Y126" i="3"/>
  <c r="X126" i="3"/>
  <c r="Q126" i="3"/>
  <c r="AC125" i="3"/>
  <c r="Z125" i="3"/>
  <c r="Y125" i="3"/>
  <c r="X125" i="3"/>
  <c r="Q125" i="3"/>
  <c r="AC124" i="3"/>
  <c r="Z124" i="3"/>
  <c r="Y124" i="3"/>
  <c r="X124" i="3"/>
  <c r="Q124" i="3"/>
  <c r="AC123" i="3"/>
  <c r="Z123" i="3"/>
  <c r="Y123" i="3"/>
  <c r="X123" i="3"/>
  <c r="Q123" i="3"/>
  <c r="AC122" i="3"/>
  <c r="Z122" i="3"/>
  <c r="Y122" i="3"/>
  <c r="X122" i="3"/>
  <c r="Q122" i="3"/>
  <c r="AC121" i="3"/>
  <c r="Z121" i="3"/>
  <c r="Y121" i="3"/>
  <c r="X121" i="3"/>
  <c r="Q121" i="3"/>
  <c r="AC120" i="3"/>
  <c r="Z120" i="3"/>
  <c r="Y120" i="3"/>
  <c r="X120" i="3"/>
  <c r="Q120" i="3"/>
  <c r="AC119" i="3"/>
  <c r="Z119" i="3"/>
  <c r="Y119" i="3"/>
  <c r="X119" i="3"/>
  <c r="Q119" i="3"/>
  <c r="AC118" i="3"/>
  <c r="Z118" i="3"/>
  <c r="Y118" i="3"/>
  <c r="X118" i="3"/>
  <c r="Q118" i="3"/>
  <c r="AC117" i="3"/>
  <c r="Z117" i="3"/>
  <c r="Y117" i="3"/>
  <c r="X117" i="3"/>
  <c r="Q117" i="3"/>
  <c r="AC116" i="3"/>
  <c r="Z116" i="3"/>
  <c r="Y116" i="3"/>
  <c r="X116" i="3"/>
  <c r="Q116" i="3"/>
  <c r="AC115" i="3"/>
  <c r="Z115" i="3"/>
  <c r="Y115" i="3"/>
  <c r="X115" i="3"/>
  <c r="Q115" i="3"/>
  <c r="AC114" i="3"/>
  <c r="Z114" i="3"/>
  <c r="Y114" i="3"/>
  <c r="X114" i="3"/>
  <c r="Q114" i="3"/>
  <c r="AC113" i="3"/>
  <c r="Z113" i="3"/>
  <c r="Y113" i="3"/>
  <c r="X113" i="3"/>
  <c r="Q113" i="3"/>
  <c r="AC112" i="3"/>
  <c r="Z112" i="3"/>
  <c r="Y112" i="3"/>
  <c r="X112" i="3"/>
  <c r="Q112" i="3"/>
  <c r="AC111" i="3"/>
  <c r="Z111" i="3"/>
  <c r="Y111" i="3"/>
  <c r="X111" i="3"/>
  <c r="Q111" i="3"/>
  <c r="AC110" i="3"/>
  <c r="Z110" i="3"/>
  <c r="Y110" i="3"/>
  <c r="X110" i="3"/>
  <c r="Q110" i="3"/>
  <c r="AC109" i="3"/>
  <c r="Z109" i="3"/>
  <c r="Y109" i="3"/>
  <c r="X109" i="3"/>
  <c r="Q109" i="3"/>
  <c r="AC108" i="3"/>
  <c r="Z108" i="3"/>
  <c r="Y108" i="3"/>
  <c r="X108" i="3"/>
  <c r="Q108" i="3"/>
  <c r="AC107" i="3"/>
  <c r="Z107" i="3"/>
  <c r="Y107" i="3"/>
  <c r="X107" i="3"/>
  <c r="Q107" i="3"/>
  <c r="AC106" i="3"/>
  <c r="Z106" i="3"/>
  <c r="Y106" i="3"/>
  <c r="X106" i="3"/>
  <c r="Q106" i="3"/>
  <c r="AC105" i="3"/>
  <c r="Z105" i="3"/>
  <c r="Y105" i="3"/>
  <c r="X105" i="3"/>
  <c r="Q105" i="3"/>
  <c r="AC104" i="3"/>
  <c r="Z104" i="3"/>
  <c r="Y104" i="3"/>
  <c r="X104" i="3"/>
  <c r="Q104" i="3"/>
  <c r="AC103" i="3"/>
  <c r="Z103" i="3"/>
  <c r="Y103" i="3"/>
  <c r="X103" i="3"/>
  <c r="Q103" i="3"/>
  <c r="AC102" i="3"/>
  <c r="Z102" i="3"/>
  <c r="Y102" i="3"/>
  <c r="X102" i="3"/>
  <c r="Q102" i="3"/>
  <c r="AC101" i="3"/>
  <c r="Z101" i="3"/>
  <c r="Y101" i="3"/>
  <c r="X101" i="3"/>
  <c r="Q101" i="3"/>
  <c r="AC100" i="3"/>
  <c r="Z100" i="3"/>
  <c r="Y100" i="3"/>
  <c r="X100" i="3"/>
  <c r="Q100" i="3"/>
  <c r="AC99" i="3"/>
  <c r="Z99" i="3"/>
  <c r="Y99" i="3"/>
  <c r="X99" i="3"/>
  <c r="Q99" i="3"/>
  <c r="AC98" i="3"/>
  <c r="Z98" i="3"/>
  <c r="Y98" i="3"/>
  <c r="X98" i="3"/>
  <c r="Q98" i="3"/>
  <c r="AC97" i="3"/>
  <c r="Z97" i="3"/>
  <c r="Y97" i="3"/>
  <c r="X97" i="3"/>
  <c r="Q97" i="3"/>
  <c r="AC96" i="3"/>
  <c r="Z96" i="3"/>
  <c r="Y96" i="3"/>
  <c r="X96" i="3"/>
  <c r="Q96" i="3"/>
  <c r="AC95" i="3"/>
  <c r="Z95" i="3"/>
  <c r="Y95" i="3"/>
  <c r="X95" i="3"/>
  <c r="Q95" i="3"/>
  <c r="AC94" i="3"/>
  <c r="Z94" i="3"/>
  <c r="Y94" i="3"/>
  <c r="X94" i="3"/>
  <c r="Q94" i="3"/>
  <c r="AC93" i="3"/>
  <c r="Z93" i="3"/>
  <c r="Y93" i="3"/>
  <c r="X93" i="3"/>
  <c r="Q93" i="3"/>
  <c r="AC92" i="3"/>
  <c r="Z92" i="3"/>
  <c r="Y92" i="3"/>
  <c r="X92" i="3"/>
  <c r="Q92" i="3"/>
  <c r="AC91" i="3"/>
  <c r="Z91" i="3"/>
  <c r="Y91" i="3"/>
  <c r="X91" i="3"/>
  <c r="Q91" i="3"/>
  <c r="AC90" i="3"/>
  <c r="Z90" i="3"/>
  <c r="Y90" i="3"/>
  <c r="X90" i="3"/>
  <c r="Q90" i="3"/>
  <c r="AC89" i="3"/>
  <c r="Z89" i="3"/>
  <c r="Y89" i="3"/>
  <c r="X89" i="3"/>
  <c r="Q89" i="3"/>
  <c r="AC88" i="3"/>
  <c r="Z88" i="3"/>
  <c r="Y88" i="3"/>
  <c r="X88" i="3"/>
  <c r="Q88" i="3"/>
  <c r="AC87" i="3"/>
  <c r="Z87" i="3"/>
  <c r="Y87" i="3"/>
  <c r="X87" i="3"/>
  <c r="Q87" i="3"/>
  <c r="AC86" i="3"/>
  <c r="Z86" i="3"/>
  <c r="Y86" i="3"/>
  <c r="X86" i="3"/>
  <c r="Q86" i="3"/>
  <c r="AC85" i="3"/>
  <c r="Z85" i="3"/>
  <c r="Y85" i="3"/>
  <c r="X85" i="3"/>
  <c r="Q85" i="3"/>
  <c r="AC84" i="3"/>
  <c r="Z84" i="3"/>
  <c r="Y84" i="3"/>
  <c r="X84" i="3"/>
  <c r="Q84" i="3"/>
  <c r="AC83" i="3"/>
  <c r="Z83" i="3"/>
  <c r="Y83" i="3"/>
  <c r="X83" i="3"/>
  <c r="Q83" i="3"/>
  <c r="AC82" i="3"/>
  <c r="Z82" i="3"/>
  <c r="Y82" i="3"/>
  <c r="X82" i="3"/>
  <c r="Q82" i="3"/>
  <c r="AC81" i="3"/>
  <c r="Z81" i="3"/>
  <c r="Y81" i="3"/>
  <c r="X81" i="3"/>
  <c r="Q81" i="3"/>
  <c r="AC80" i="3"/>
  <c r="Z80" i="3"/>
  <c r="Y80" i="3"/>
  <c r="X80" i="3"/>
  <c r="Q80" i="3"/>
  <c r="AC79" i="3"/>
  <c r="Z79" i="3"/>
  <c r="Y79" i="3"/>
  <c r="X79" i="3"/>
  <c r="Q79" i="3"/>
  <c r="AC78" i="3"/>
  <c r="Z78" i="3"/>
  <c r="Y78" i="3"/>
  <c r="X78" i="3"/>
  <c r="Q78" i="3"/>
  <c r="AC77" i="3"/>
  <c r="Z77" i="3"/>
  <c r="Y77" i="3"/>
  <c r="X77" i="3"/>
  <c r="Q77" i="3"/>
  <c r="AC76" i="3"/>
  <c r="Z76" i="3"/>
  <c r="Y76" i="3"/>
  <c r="X76" i="3"/>
  <c r="Q76" i="3"/>
  <c r="AC75" i="3"/>
  <c r="Z75" i="3"/>
  <c r="Y75" i="3"/>
  <c r="X75" i="3"/>
  <c r="Q75" i="3"/>
  <c r="AC74" i="3"/>
  <c r="Z74" i="3"/>
  <c r="Y74" i="3"/>
  <c r="X74" i="3"/>
  <c r="Q74" i="3"/>
  <c r="AC73" i="3"/>
  <c r="Z73" i="3"/>
  <c r="Y73" i="3"/>
  <c r="X73" i="3"/>
  <c r="Q73" i="3"/>
  <c r="AC72" i="3"/>
  <c r="Z72" i="3"/>
  <c r="Y72" i="3"/>
  <c r="X72" i="3"/>
  <c r="Q72" i="3"/>
  <c r="AC71" i="3"/>
  <c r="Z71" i="3"/>
  <c r="Y71" i="3"/>
  <c r="X71" i="3"/>
  <c r="Q71" i="3"/>
  <c r="AC70" i="3"/>
  <c r="Z70" i="3"/>
  <c r="Y70" i="3"/>
  <c r="X70" i="3"/>
  <c r="Q70" i="3"/>
  <c r="AC69" i="3"/>
  <c r="Z69" i="3"/>
  <c r="Y69" i="3"/>
  <c r="X69" i="3"/>
  <c r="Q69" i="3"/>
  <c r="AC68" i="3"/>
  <c r="Z68" i="3"/>
  <c r="Y68" i="3"/>
  <c r="X68" i="3"/>
  <c r="Q68" i="3"/>
  <c r="AC67" i="3"/>
  <c r="Z67" i="3"/>
  <c r="Y67" i="3"/>
  <c r="X67" i="3"/>
  <c r="Q67" i="3"/>
  <c r="AC66" i="3"/>
  <c r="Z66" i="3"/>
  <c r="Y66" i="3"/>
  <c r="X66" i="3"/>
  <c r="Q66" i="3"/>
  <c r="AC65" i="3"/>
  <c r="Z65" i="3"/>
  <c r="Y65" i="3"/>
  <c r="X65" i="3"/>
  <c r="Q65" i="3"/>
  <c r="AC64" i="3"/>
  <c r="Z64" i="3"/>
  <c r="Y64" i="3"/>
  <c r="X64" i="3"/>
  <c r="Q64" i="3"/>
  <c r="AC63" i="3"/>
  <c r="Z63" i="3"/>
  <c r="Y63" i="3"/>
  <c r="X63" i="3"/>
  <c r="Q63" i="3"/>
  <c r="AC62" i="3"/>
  <c r="Z62" i="3"/>
  <c r="Y62" i="3"/>
  <c r="X62" i="3"/>
  <c r="Q62" i="3"/>
  <c r="AC61" i="3"/>
  <c r="Z61" i="3"/>
  <c r="Y61" i="3"/>
  <c r="X61" i="3"/>
  <c r="Q61" i="3"/>
  <c r="AC60" i="3"/>
  <c r="Z60" i="3"/>
  <c r="Y60" i="3"/>
  <c r="X60" i="3"/>
  <c r="Q60" i="3"/>
  <c r="AC59" i="3"/>
  <c r="Z59" i="3"/>
  <c r="Y59" i="3"/>
  <c r="X59" i="3"/>
  <c r="Q59" i="3"/>
  <c r="AC58" i="3"/>
  <c r="Z58" i="3"/>
  <c r="Y58" i="3"/>
  <c r="X58" i="3"/>
  <c r="Q58" i="3"/>
  <c r="AC57" i="3"/>
  <c r="Z57" i="3"/>
  <c r="Y57" i="3"/>
  <c r="X57" i="3"/>
  <c r="Q57" i="3"/>
  <c r="AC56" i="3"/>
  <c r="Z56" i="3"/>
  <c r="Y56" i="3"/>
  <c r="X56" i="3"/>
  <c r="Q56" i="3"/>
  <c r="AC55" i="3"/>
  <c r="Z55" i="3"/>
  <c r="Y55" i="3"/>
  <c r="X55" i="3"/>
  <c r="Q55" i="3"/>
  <c r="AC54" i="3"/>
  <c r="Z54" i="3"/>
  <c r="Y54" i="3"/>
  <c r="X54" i="3"/>
  <c r="Q54" i="3"/>
  <c r="AC53" i="3"/>
  <c r="Z53" i="3"/>
  <c r="Y53" i="3"/>
  <c r="X53" i="3"/>
  <c r="Q53" i="3"/>
  <c r="AC52" i="3"/>
  <c r="Z52" i="3"/>
  <c r="Y52" i="3"/>
  <c r="X52" i="3"/>
  <c r="Q52" i="3"/>
  <c r="AC51" i="3"/>
  <c r="Z51" i="3"/>
  <c r="Y51" i="3"/>
  <c r="X51" i="3"/>
  <c r="Q51" i="3"/>
  <c r="AC50" i="3"/>
  <c r="Z50" i="3"/>
  <c r="Y50" i="3"/>
  <c r="X50" i="3"/>
  <c r="Q50" i="3"/>
  <c r="AC49" i="3"/>
  <c r="Z49" i="3"/>
  <c r="Y49" i="3"/>
  <c r="X49" i="3"/>
  <c r="Q49" i="3"/>
  <c r="AC48" i="3"/>
  <c r="Z48" i="3"/>
  <c r="Y48" i="3"/>
  <c r="X48" i="3"/>
  <c r="Q48" i="3"/>
  <c r="AC47" i="3"/>
  <c r="Z47" i="3"/>
  <c r="Y47" i="3"/>
  <c r="X47" i="3"/>
  <c r="Q47" i="3"/>
  <c r="AC46" i="3"/>
  <c r="Z46" i="3"/>
  <c r="Y46" i="3"/>
  <c r="X46" i="3"/>
  <c r="Q46" i="3"/>
  <c r="AC45" i="3"/>
  <c r="Z45" i="3"/>
  <c r="Y45" i="3"/>
  <c r="X45" i="3"/>
  <c r="Q45" i="3"/>
  <c r="AC44" i="3"/>
  <c r="Z44" i="3"/>
  <c r="Y44" i="3"/>
  <c r="X44" i="3"/>
  <c r="Q44" i="3"/>
  <c r="AC43" i="3"/>
  <c r="Z43" i="3"/>
  <c r="Y43" i="3"/>
  <c r="X43" i="3"/>
  <c r="Q43" i="3"/>
  <c r="AC42" i="3"/>
  <c r="Z42" i="3"/>
  <c r="Y42" i="3"/>
  <c r="X42" i="3"/>
  <c r="Q42" i="3"/>
  <c r="AC41" i="3"/>
  <c r="Z41" i="3"/>
  <c r="Y41" i="3"/>
  <c r="X41" i="3"/>
  <c r="Q41" i="3"/>
  <c r="AC40" i="3"/>
  <c r="Z40" i="3"/>
  <c r="Y40" i="3"/>
  <c r="X40" i="3"/>
  <c r="Q40" i="3"/>
  <c r="AC39" i="3"/>
  <c r="Z39" i="3"/>
  <c r="Y39" i="3"/>
  <c r="X39" i="3"/>
  <c r="Q39" i="3"/>
  <c r="AC38" i="3"/>
  <c r="Z38" i="3"/>
  <c r="Y38" i="3"/>
  <c r="X38" i="3"/>
  <c r="Q38" i="3"/>
  <c r="AC37" i="3"/>
  <c r="Z37" i="3"/>
  <c r="Y37" i="3"/>
  <c r="X37" i="3"/>
  <c r="Q37" i="3"/>
  <c r="AC36" i="3"/>
  <c r="Z36" i="3"/>
  <c r="Y36" i="3"/>
  <c r="X36" i="3"/>
  <c r="Q36" i="3"/>
  <c r="AC35" i="3"/>
  <c r="Z35" i="3"/>
  <c r="Y35" i="3"/>
  <c r="X35" i="3"/>
  <c r="Q35" i="3"/>
  <c r="AC34" i="3"/>
  <c r="Z34" i="3"/>
  <c r="Y34" i="3"/>
  <c r="X34" i="3"/>
  <c r="Q34" i="3"/>
  <c r="AC33" i="3"/>
  <c r="Z33" i="3"/>
  <c r="Y33" i="3"/>
  <c r="X33" i="3"/>
  <c r="Q33" i="3"/>
  <c r="AC32" i="3"/>
  <c r="Z32" i="3"/>
  <c r="Y32" i="3"/>
  <c r="X32" i="3"/>
  <c r="Q32" i="3"/>
  <c r="AC31" i="3"/>
  <c r="Z31" i="3"/>
  <c r="Y31" i="3"/>
  <c r="X31" i="3"/>
  <c r="Q31" i="3"/>
  <c r="AC30" i="3"/>
  <c r="Z30" i="3"/>
  <c r="Y30" i="3"/>
  <c r="X30" i="3"/>
  <c r="Q30" i="3"/>
  <c r="AC29" i="3"/>
  <c r="Z29" i="3"/>
  <c r="Y29" i="3"/>
  <c r="X29" i="3"/>
  <c r="Q29" i="3"/>
  <c r="AC28" i="3"/>
  <c r="Z28" i="3"/>
  <c r="Y28" i="3"/>
  <c r="X28" i="3"/>
  <c r="Q28" i="3"/>
  <c r="AC27" i="3"/>
  <c r="Z27" i="3"/>
  <c r="Y27" i="3"/>
  <c r="X27" i="3"/>
  <c r="Q27" i="3"/>
  <c r="AC26" i="3"/>
  <c r="Z26" i="3"/>
  <c r="Y26" i="3"/>
  <c r="X26" i="3"/>
  <c r="Q26" i="3"/>
  <c r="AC25" i="3"/>
  <c r="Z25" i="3"/>
  <c r="Y25" i="3"/>
  <c r="X25" i="3"/>
  <c r="Q25" i="3"/>
  <c r="AC24" i="3"/>
  <c r="Z24" i="3"/>
  <c r="Y24" i="3"/>
  <c r="X24" i="3"/>
  <c r="Q24" i="3"/>
  <c r="AC23" i="3"/>
  <c r="Z23" i="3"/>
  <c r="Y23" i="3"/>
  <c r="X23" i="3"/>
  <c r="Q23" i="3"/>
  <c r="AC22" i="3"/>
  <c r="Z22" i="3"/>
  <c r="Y22" i="3"/>
  <c r="X22" i="3"/>
  <c r="Q22" i="3"/>
  <c r="AC21" i="3"/>
  <c r="Z21" i="3"/>
  <c r="Y21" i="3"/>
  <c r="X21" i="3"/>
  <c r="Q21" i="3"/>
  <c r="AC20" i="3"/>
  <c r="Z20" i="3"/>
  <c r="Y20" i="3"/>
  <c r="X20" i="3"/>
  <c r="Q20" i="3"/>
  <c r="AC19" i="3"/>
  <c r="Z19" i="3"/>
  <c r="Y19" i="3"/>
  <c r="X19" i="3"/>
  <c r="Q19" i="3"/>
  <c r="AC18" i="3"/>
  <c r="Z18" i="3"/>
  <c r="Y18" i="3"/>
  <c r="X18" i="3"/>
  <c r="Q18" i="3"/>
  <c r="AC17" i="3"/>
  <c r="Z17" i="3"/>
  <c r="Y17" i="3"/>
  <c r="X17" i="3"/>
  <c r="Q17" i="3"/>
  <c r="AC16" i="3"/>
  <c r="Z16" i="3"/>
  <c r="Y16" i="3"/>
  <c r="X16" i="3"/>
  <c r="Q16" i="3"/>
  <c r="AC15" i="3"/>
  <c r="Z15" i="3"/>
  <c r="Y15" i="3"/>
  <c r="X15" i="3"/>
  <c r="Q15" i="3"/>
  <c r="AC14" i="3"/>
  <c r="Z14" i="3"/>
  <c r="Y14" i="3"/>
  <c r="X14" i="3"/>
  <c r="Q14" i="3"/>
  <c r="AC13" i="3"/>
  <c r="Z13" i="3"/>
  <c r="Y13" i="3"/>
  <c r="X13" i="3"/>
  <c r="Q13" i="3"/>
  <c r="AC12" i="3"/>
  <c r="Z12" i="3"/>
  <c r="Y12" i="3"/>
  <c r="X12" i="3"/>
  <c r="Q12" i="3"/>
  <c r="AC11" i="3"/>
  <c r="Z11" i="3"/>
  <c r="Y11" i="3"/>
  <c r="X11" i="3"/>
  <c r="Q11" i="3"/>
  <c r="AC10" i="3"/>
  <c r="Z10" i="3"/>
  <c r="Y10" i="3"/>
  <c r="X10" i="3"/>
  <c r="Q10" i="3"/>
  <c r="AC9" i="3"/>
  <c r="Z9" i="3"/>
  <c r="Y9" i="3"/>
  <c r="X9" i="3"/>
  <c r="Q9" i="3"/>
  <c r="AC8" i="3"/>
  <c r="Z8" i="3"/>
  <c r="Y8" i="3"/>
  <c r="X8" i="3"/>
  <c r="Q8" i="3"/>
  <c r="AC7" i="3"/>
  <c r="Z7" i="3"/>
  <c r="Y7" i="3"/>
  <c r="X7" i="3"/>
  <c r="Q7" i="3"/>
  <c r="AC6" i="3"/>
  <c r="Z6" i="3"/>
  <c r="Y6" i="3"/>
  <c r="X6" i="3"/>
  <c r="Q6" i="3"/>
  <c r="AC5" i="3"/>
  <c r="Z5" i="3"/>
  <c r="Y5" i="3"/>
  <c r="X5" i="3"/>
  <c r="Q5" i="3"/>
  <c r="AC4" i="3"/>
  <c r="Z4" i="3"/>
  <c r="Y4" i="3"/>
  <c r="X4" i="3"/>
  <c r="Q4" i="3"/>
  <c r="AA3" i="3"/>
  <c r="V3" i="3"/>
  <c r="U3" i="3"/>
  <c r="T3" i="3"/>
  <c r="R3" i="3"/>
  <c r="P3" i="3"/>
  <c r="O3" i="3"/>
  <c r="AL897" i="1"/>
  <c r="AK897" i="1"/>
  <c r="AJ897" i="1"/>
  <c r="AH897" i="1"/>
  <c r="AB897" i="1"/>
  <c r="AA897" i="1"/>
  <c r="Z897" i="1"/>
  <c r="Y897" i="1"/>
  <c r="S897" i="1"/>
  <c r="AL896" i="1"/>
  <c r="AK896" i="1"/>
  <c r="AJ896" i="1"/>
  <c r="AH896" i="1"/>
  <c r="AB896" i="1"/>
  <c r="AA896" i="1"/>
  <c r="Z896" i="1"/>
  <c r="Y896" i="1"/>
  <c r="S896" i="1"/>
  <c r="AL895" i="1"/>
  <c r="AK895" i="1"/>
  <c r="AJ895" i="1"/>
  <c r="AH895" i="1"/>
  <c r="AB895" i="1"/>
  <c r="AA895" i="1"/>
  <c r="Z895" i="1"/>
  <c r="Y895" i="1"/>
  <c r="S895" i="1"/>
  <c r="AL894" i="1"/>
  <c r="AK894" i="1"/>
  <c r="AJ894" i="1"/>
  <c r="AH894" i="1"/>
  <c r="AB894" i="1"/>
  <c r="AA894" i="1"/>
  <c r="Z894" i="1"/>
  <c r="Y894" i="1"/>
  <c r="S894" i="1"/>
  <c r="AL893" i="1"/>
  <c r="AK893" i="1"/>
  <c r="AJ893" i="1"/>
  <c r="AH893" i="1"/>
  <c r="AB893" i="1"/>
  <c r="AA893" i="1"/>
  <c r="Z893" i="1"/>
  <c r="Y893" i="1"/>
  <c r="S893" i="1"/>
  <c r="AL892" i="1"/>
  <c r="AK892" i="1"/>
  <c r="AJ892" i="1"/>
  <c r="AH892" i="1"/>
  <c r="AB892" i="1"/>
  <c r="AA892" i="1"/>
  <c r="Z892" i="1"/>
  <c r="Y892" i="1"/>
  <c r="S892" i="1"/>
  <c r="AL891" i="1"/>
  <c r="AK891" i="1"/>
  <c r="AJ891" i="1"/>
  <c r="AH891" i="1"/>
  <c r="AB891" i="1"/>
  <c r="AA891" i="1"/>
  <c r="Z891" i="1"/>
  <c r="Y891" i="1"/>
  <c r="S891" i="1"/>
  <c r="AL890" i="1"/>
  <c r="AK890" i="1"/>
  <c r="AJ890" i="1"/>
  <c r="AH890" i="1"/>
  <c r="AB890" i="1"/>
  <c r="AA890" i="1"/>
  <c r="Z890" i="1"/>
  <c r="Y890" i="1"/>
  <c r="S890" i="1"/>
  <c r="AL889" i="1"/>
  <c r="AK889" i="1"/>
  <c r="AJ889" i="1"/>
  <c r="AH889" i="1"/>
  <c r="AB889" i="1"/>
  <c r="AA889" i="1"/>
  <c r="Z889" i="1"/>
  <c r="Y889" i="1"/>
  <c r="S889" i="1"/>
  <c r="AK888" i="1"/>
  <c r="AJ888" i="1"/>
  <c r="AH888" i="1"/>
  <c r="AB888" i="1"/>
  <c r="AA888" i="1"/>
  <c r="Z888" i="1"/>
  <c r="Y888" i="1"/>
  <c r="R888" i="1"/>
  <c r="AL888" i="1" s="1"/>
  <c r="AL887" i="1"/>
  <c r="AK887" i="1"/>
  <c r="AJ887" i="1"/>
  <c r="AH887" i="1"/>
  <c r="AB887" i="1"/>
  <c r="AA887" i="1"/>
  <c r="Z887" i="1"/>
  <c r="Y887" i="1"/>
  <c r="S887" i="1"/>
  <c r="AK886" i="1"/>
  <c r="AJ886" i="1"/>
  <c r="AH886" i="1"/>
  <c r="AB886" i="1"/>
  <c r="AA886" i="1"/>
  <c r="Z886" i="1"/>
  <c r="Y886" i="1"/>
  <c r="R886" i="1"/>
  <c r="S886" i="1" s="1"/>
  <c r="AK885" i="1"/>
  <c r="AJ885" i="1"/>
  <c r="AH885" i="1"/>
  <c r="AG885" i="1"/>
  <c r="AA885" i="1"/>
  <c r="Z885" i="1"/>
  <c r="Y885" i="1"/>
  <c r="R885" i="1"/>
  <c r="S885" i="1" s="1"/>
  <c r="AL884" i="1"/>
  <c r="AK884" i="1"/>
  <c r="AJ884" i="1"/>
  <c r="AH884" i="1"/>
  <c r="AB884" i="1"/>
  <c r="AA884" i="1"/>
  <c r="Z884" i="1"/>
  <c r="Y884" i="1"/>
  <c r="S884" i="1"/>
  <c r="AK883" i="1"/>
  <c r="AJ883" i="1"/>
  <c r="AH883" i="1"/>
  <c r="AB883" i="1"/>
  <c r="AA883" i="1"/>
  <c r="Z883" i="1"/>
  <c r="Y883" i="1"/>
  <c r="R883" i="1"/>
  <c r="AL883" i="1" s="1"/>
  <c r="AL882" i="1"/>
  <c r="AK882" i="1"/>
  <c r="AJ882" i="1"/>
  <c r="AH882" i="1"/>
  <c r="AB882" i="1"/>
  <c r="AA882" i="1"/>
  <c r="Z882" i="1"/>
  <c r="Y882" i="1"/>
  <c r="S882" i="1"/>
  <c r="AL881" i="1"/>
  <c r="AK881" i="1"/>
  <c r="AJ881" i="1"/>
  <c r="AH881" i="1"/>
  <c r="AB881" i="1"/>
  <c r="AA881" i="1"/>
  <c r="Z881" i="1"/>
  <c r="Y881" i="1"/>
  <c r="S881" i="1"/>
  <c r="AL880" i="1"/>
  <c r="AK880" i="1"/>
  <c r="AJ880" i="1"/>
  <c r="AH880" i="1"/>
  <c r="AB880" i="1"/>
  <c r="AA880" i="1"/>
  <c r="Z880" i="1"/>
  <c r="Y880" i="1"/>
  <c r="S880" i="1"/>
  <c r="AL879" i="1"/>
  <c r="AK879" i="1"/>
  <c r="AJ879" i="1"/>
  <c r="AH879" i="1"/>
  <c r="AB879" i="1"/>
  <c r="AA879" i="1"/>
  <c r="Z879" i="1"/>
  <c r="Y879" i="1"/>
  <c r="S879" i="1"/>
  <c r="AL878" i="1"/>
  <c r="AK878" i="1"/>
  <c r="AJ878" i="1"/>
  <c r="AH878" i="1"/>
  <c r="AB878" i="1"/>
  <c r="AA878" i="1"/>
  <c r="Z878" i="1"/>
  <c r="Y878" i="1"/>
  <c r="S878" i="1"/>
  <c r="AL877" i="1"/>
  <c r="AK877" i="1"/>
  <c r="AJ877" i="1"/>
  <c r="AH877" i="1"/>
  <c r="AB877" i="1"/>
  <c r="AA877" i="1"/>
  <c r="Z877" i="1"/>
  <c r="Y877" i="1"/>
  <c r="S877" i="1"/>
  <c r="AL876" i="1"/>
  <c r="AK876" i="1"/>
  <c r="AJ876" i="1"/>
  <c r="AH876" i="1"/>
  <c r="AB876" i="1"/>
  <c r="AA876" i="1"/>
  <c r="Z876" i="1"/>
  <c r="Y876" i="1"/>
  <c r="S876" i="1"/>
  <c r="AL875" i="1"/>
  <c r="AK875" i="1"/>
  <c r="AJ875" i="1"/>
  <c r="AH875" i="1"/>
  <c r="AB875" i="1"/>
  <c r="AA875" i="1"/>
  <c r="Z875" i="1"/>
  <c r="Y875" i="1"/>
  <c r="S875" i="1"/>
  <c r="AL874" i="1"/>
  <c r="AK874" i="1"/>
  <c r="AJ874" i="1"/>
  <c r="AH874" i="1"/>
  <c r="AB874" i="1"/>
  <c r="AA874" i="1"/>
  <c r="Z874" i="1"/>
  <c r="Y874" i="1"/>
  <c r="S874" i="1"/>
  <c r="AL873" i="1"/>
  <c r="AK873" i="1"/>
  <c r="AJ873" i="1"/>
  <c r="AH873" i="1"/>
  <c r="AB873" i="1"/>
  <c r="AA873" i="1"/>
  <c r="Z873" i="1"/>
  <c r="Y873" i="1"/>
  <c r="S873" i="1"/>
  <c r="AK872" i="1"/>
  <c r="AJ872" i="1"/>
  <c r="AH872" i="1"/>
  <c r="AG872" i="1"/>
  <c r="AB872" i="1" s="1"/>
  <c r="AA872" i="1"/>
  <c r="Z872" i="1"/>
  <c r="Y872" i="1"/>
  <c r="R872" i="1"/>
  <c r="AL872" i="1" s="1"/>
  <c r="AL871" i="1"/>
  <c r="AK871" i="1"/>
  <c r="AJ871" i="1"/>
  <c r="AH871" i="1"/>
  <c r="AB871" i="1"/>
  <c r="AA871" i="1"/>
  <c r="Z871" i="1"/>
  <c r="Y871" i="1"/>
  <c r="S871" i="1"/>
  <c r="AK870" i="1"/>
  <c r="AH870" i="1"/>
  <c r="AG870" i="1"/>
  <c r="AB870" i="1" s="1"/>
  <c r="AA870" i="1"/>
  <c r="Z870" i="1"/>
  <c r="Y870" i="1"/>
  <c r="R870" i="1"/>
  <c r="AL870" i="1" s="1"/>
  <c r="P870" i="1"/>
  <c r="AJ870" i="1" s="1"/>
  <c r="AL869" i="1"/>
  <c r="AK869" i="1"/>
  <c r="AJ869" i="1"/>
  <c r="AH869" i="1"/>
  <c r="AB869" i="1"/>
  <c r="AA869" i="1"/>
  <c r="Z869" i="1"/>
  <c r="Y869" i="1"/>
  <c r="S869" i="1"/>
  <c r="AL868" i="1"/>
  <c r="AK868" i="1"/>
  <c r="AJ868" i="1"/>
  <c r="AH868" i="1"/>
  <c r="AB868" i="1"/>
  <c r="AA868" i="1"/>
  <c r="Z868" i="1"/>
  <c r="Y868" i="1"/>
  <c r="S868" i="1"/>
  <c r="AK867" i="1"/>
  <c r="AJ867" i="1"/>
  <c r="AH867" i="1"/>
  <c r="AG867" i="1"/>
  <c r="AB867" i="1" s="1"/>
  <c r="AA867" i="1"/>
  <c r="Z867" i="1"/>
  <c r="Y867" i="1"/>
  <c r="R867" i="1"/>
  <c r="AK866" i="1"/>
  <c r="AJ866" i="1"/>
  <c r="AH866" i="1"/>
  <c r="AG866" i="1"/>
  <c r="AB866" i="1" s="1"/>
  <c r="AA866" i="1"/>
  <c r="Z866" i="1"/>
  <c r="Y866" i="1"/>
  <c r="R866" i="1"/>
  <c r="S866" i="1" s="1"/>
  <c r="AL865" i="1"/>
  <c r="AK865" i="1"/>
  <c r="AJ865" i="1"/>
  <c r="AH865" i="1"/>
  <c r="AB865" i="1"/>
  <c r="AA865" i="1"/>
  <c r="Z865" i="1"/>
  <c r="Y865" i="1"/>
  <c r="S865" i="1"/>
  <c r="AL864" i="1"/>
  <c r="AK864" i="1"/>
  <c r="AJ864" i="1"/>
  <c r="AH864" i="1"/>
  <c r="AB864" i="1"/>
  <c r="AA864" i="1"/>
  <c r="Z864" i="1"/>
  <c r="Y864" i="1"/>
  <c r="S864" i="1"/>
  <c r="AL863" i="1"/>
  <c r="AK863" i="1"/>
  <c r="AJ863" i="1"/>
  <c r="AH863" i="1"/>
  <c r="AB863" i="1"/>
  <c r="AA863" i="1"/>
  <c r="Z863" i="1"/>
  <c r="Y863" i="1"/>
  <c r="S863" i="1"/>
  <c r="AK862" i="1"/>
  <c r="AJ862" i="1"/>
  <c r="AH862" i="1"/>
  <c r="AG862" i="1"/>
  <c r="AB862" i="1"/>
  <c r="AA862" i="1"/>
  <c r="Z862" i="1"/>
  <c r="Y862" i="1"/>
  <c r="R862" i="1"/>
  <c r="S862" i="1" s="1"/>
  <c r="AL861" i="1"/>
  <c r="AK861" i="1"/>
  <c r="AJ861" i="1"/>
  <c r="AH861" i="1"/>
  <c r="AB861" i="1"/>
  <c r="AA861" i="1"/>
  <c r="Z861" i="1"/>
  <c r="Y861" i="1"/>
  <c r="S861" i="1"/>
  <c r="AK860" i="1"/>
  <c r="AJ860" i="1"/>
  <c r="AH860" i="1"/>
  <c r="AB860" i="1"/>
  <c r="AA860" i="1"/>
  <c r="Z860" i="1"/>
  <c r="Y860" i="1"/>
  <c r="R860" i="1"/>
  <c r="AL860" i="1" s="1"/>
  <c r="AL859" i="1"/>
  <c r="AK859" i="1"/>
  <c r="AJ859" i="1"/>
  <c r="AH859" i="1"/>
  <c r="AB859" i="1"/>
  <c r="AA859" i="1"/>
  <c r="Z859" i="1"/>
  <c r="Y859" i="1"/>
  <c r="S859" i="1"/>
  <c r="AL858" i="1"/>
  <c r="AK858" i="1"/>
  <c r="AJ858" i="1"/>
  <c r="AH858" i="1"/>
  <c r="AB858" i="1"/>
  <c r="AA858" i="1"/>
  <c r="Z858" i="1"/>
  <c r="Y858" i="1"/>
  <c r="S858" i="1"/>
  <c r="AL857" i="1"/>
  <c r="AK857" i="1"/>
  <c r="AJ857" i="1"/>
  <c r="AH857" i="1"/>
  <c r="AB857" i="1"/>
  <c r="AA857" i="1"/>
  <c r="Z857" i="1"/>
  <c r="Y857" i="1"/>
  <c r="S857" i="1"/>
  <c r="AL856" i="1"/>
  <c r="AK856" i="1"/>
  <c r="AJ856" i="1"/>
  <c r="AH856" i="1"/>
  <c r="AB856" i="1"/>
  <c r="AA856" i="1"/>
  <c r="Z856" i="1"/>
  <c r="Y856" i="1"/>
  <c r="S856" i="1"/>
  <c r="AL855" i="1"/>
  <c r="AK855" i="1"/>
  <c r="AJ855" i="1"/>
  <c r="AH855" i="1"/>
  <c r="AB855" i="1"/>
  <c r="AA855" i="1"/>
  <c r="Z855" i="1"/>
  <c r="Y855" i="1"/>
  <c r="S855" i="1"/>
  <c r="AL854" i="1"/>
  <c r="AK854" i="1"/>
  <c r="AJ854" i="1"/>
  <c r="AH854" i="1"/>
  <c r="AB854" i="1"/>
  <c r="AA854" i="1"/>
  <c r="Z854" i="1"/>
  <c r="Y854" i="1"/>
  <c r="S854" i="1"/>
  <c r="AL853" i="1"/>
  <c r="AK853" i="1"/>
  <c r="AJ853" i="1"/>
  <c r="AH853" i="1"/>
  <c r="AB853" i="1"/>
  <c r="AA853" i="1"/>
  <c r="Z853" i="1"/>
  <c r="Y853" i="1"/>
  <c r="S853" i="1"/>
  <c r="AL852" i="1"/>
  <c r="AK852" i="1"/>
  <c r="AJ852" i="1"/>
  <c r="AH852" i="1"/>
  <c r="AB852" i="1"/>
  <c r="AA852" i="1"/>
  <c r="Z852" i="1"/>
  <c r="Y852" i="1"/>
  <c r="S852" i="1"/>
  <c r="AL851" i="1"/>
  <c r="AK851" i="1"/>
  <c r="AH851" i="1"/>
  <c r="AB851" i="1"/>
  <c r="AA851" i="1"/>
  <c r="Z851" i="1"/>
  <c r="Y851" i="1"/>
  <c r="P851" i="1"/>
  <c r="S851" i="1" s="1"/>
  <c r="AL850" i="1"/>
  <c r="AK850" i="1"/>
  <c r="AJ850" i="1"/>
  <c r="AH850" i="1"/>
  <c r="AB850" i="1"/>
  <c r="AA850" i="1"/>
  <c r="Z850" i="1"/>
  <c r="Y850" i="1"/>
  <c r="S850" i="1"/>
  <c r="AL849" i="1"/>
  <c r="AK849" i="1"/>
  <c r="AJ849" i="1"/>
  <c r="AH849" i="1"/>
  <c r="AB849" i="1"/>
  <c r="AA849" i="1"/>
  <c r="Z849" i="1"/>
  <c r="Y849" i="1"/>
  <c r="S849" i="1"/>
  <c r="AL848" i="1"/>
  <c r="AK848" i="1"/>
  <c r="AJ848" i="1"/>
  <c r="AH848" i="1"/>
  <c r="AB848" i="1"/>
  <c r="AA848" i="1"/>
  <c r="Z848" i="1"/>
  <c r="Y848" i="1"/>
  <c r="S848" i="1"/>
  <c r="AL847" i="1"/>
  <c r="AK847" i="1"/>
  <c r="AJ847" i="1"/>
  <c r="AH847" i="1"/>
  <c r="AB847" i="1"/>
  <c r="AA847" i="1"/>
  <c r="Z847" i="1"/>
  <c r="Y847" i="1"/>
  <c r="S847" i="1"/>
  <c r="AL846" i="1"/>
  <c r="AK846" i="1"/>
  <c r="AJ846" i="1"/>
  <c r="AH846" i="1"/>
  <c r="AB846" i="1"/>
  <c r="AA846" i="1"/>
  <c r="Z846" i="1"/>
  <c r="Y846" i="1"/>
  <c r="S846" i="1"/>
  <c r="AL845" i="1"/>
  <c r="AK845" i="1"/>
  <c r="AJ845" i="1"/>
  <c r="AH845" i="1"/>
  <c r="AB845" i="1"/>
  <c r="AA845" i="1"/>
  <c r="Z845" i="1"/>
  <c r="Y845" i="1"/>
  <c r="S845" i="1"/>
  <c r="AL844" i="1"/>
  <c r="AK844" i="1"/>
  <c r="AJ844" i="1"/>
  <c r="AH844" i="1"/>
  <c r="AB844" i="1"/>
  <c r="AA844" i="1"/>
  <c r="Z844" i="1"/>
  <c r="Y844" i="1"/>
  <c r="S844" i="1"/>
  <c r="AL843" i="1"/>
  <c r="AK843" i="1"/>
  <c r="AJ843" i="1"/>
  <c r="AH843" i="1"/>
  <c r="AB843" i="1"/>
  <c r="AA843" i="1"/>
  <c r="Z843" i="1"/>
  <c r="Y843" i="1"/>
  <c r="S843" i="1"/>
  <c r="AL842" i="1"/>
  <c r="AK842" i="1"/>
  <c r="AJ842" i="1"/>
  <c r="AH842" i="1"/>
  <c r="AB842" i="1"/>
  <c r="AA842" i="1"/>
  <c r="Z842" i="1"/>
  <c r="Y842" i="1"/>
  <c r="S842" i="1"/>
  <c r="AL841" i="1"/>
  <c r="AK841" i="1"/>
  <c r="AJ841" i="1"/>
  <c r="AH841" i="1"/>
  <c r="AB841" i="1"/>
  <c r="AA841" i="1"/>
  <c r="Z841" i="1"/>
  <c r="Y841" i="1"/>
  <c r="S841" i="1"/>
  <c r="AL840" i="1"/>
  <c r="AK840" i="1"/>
  <c r="AJ840" i="1"/>
  <c r="AH840" i="1"/>
  <c r="AB840" i="1"/>
  <c r="AA840" i="1"/>
  <c r="Z840" i="1"/>
  <c r="Y840" i="1"/>
  <c r="S840" i="1"/>
  <c r="AL839" i="1"/>
  <c r="AK839" i="1"/>
  <c r="AJ839" i="1"/>
  <c r="AH839" i="1"/>
  <c r="AB839" i="1"/>
  <c r="AA839" i="1"/>
  <c r="Z839" i="1"/>
  <c r="Y839" i="1"/>
  <c r="S839" i="1"/>
  <c r="AL838" i="1"/>
  <c r="AK838" i="1"/>
  <c r="AJ838" i="1"/>
  <c r="AH838" i="1"/>
  <c r="AB838" i="1"/>
  <c r="AA838" i="1"/>
  <c r="Z838" i="1"/>
  <c r="Y838" i="1"/>
  <c r="S838" i="1"/>
  <c r="AL837" i="1"/>
  <c r="AK837" i="1"/>
  <c r="AJ837" i="1"/>
  <c r="AH837" i="1"/>
  <c r="AB837" i="1"/>
  <c r="AA837" i="1"/>
  <c r="Z837" i="1"/>
  <c r="Y837" i="1"/>
  <c r="S837" i="1"/>
  <c r="AK836" i="1"/>
  <c r="AJ836" i="1"/>
  <c r="AH836" i="1"/>
  <c r="AG836" i="1"/>
  <c r="AB836" i="1" s="1"/>
  <c r="AA836" i="1"/>
  <c r="Z836" i="1"/>
  <c r="Y836" i="1"/>
  <c r="R836" i="1"/>
  <c r="S836" i="1" s="1"/>
  <c r="AK835" i="1"/>
  <c r="AJ835" i="1"/>
  <c r="AH835" i="1"/>
  <c r="AB835" i="1"/>
  <c r="AA835" i="1"/>
  <c r="Z835" i="1"/>
  <c r="Y835" i="1"/>
  <c r="R835" i="1"/>
  <c r="AL835" i="1" s="1"/>
  <c r="AL834" i="1"/>
  <c r="AK834" i="1"/>
  <c r="AJ834" i="1"/>
  <c r="AH834" i="1"/>
  <c r="AB834" i="1"/>
  <c r="AA834" i="1"/>
  <c r="Z834" i="1"/>
  <c r="Y834" i="1"/>
  <c r="S834" i="1"/>
  <c r="AL833" i="1"/>
  <c r="AK833" i="1"/>
  <c r="AJ833" i="1"/>
  <c r="AH833" i="1"/>
  <c r="AB833" i="1"/>
  <c r="AA833" i="1"/>
  <c r="Z833" i="1"/>
  <c r="Y833" i="1"/>
  <c r="S833" i="1"/>
  <c r="AK832" i="1"/>
  <c r="AJ832" i="1"/>
  <c r="AH832" i="1"/>
  <c r="AG832" i="1"/>
  <c r="AB832" i="1" s="1"/>
  <c r="AA832" i="1"/>
  <c r="Z832" i="1"/>
  <c r="Y832" i="1"/>
  <c r="R832" i="1"/>
  <c r="S832" i="1" s="1"/>
  <c r="AL831" i="1"/>
  <c r="AK831" i="1"/>
  <c r="AJ831" i="1"/>
  <c r="AH831" i="1"/>
  <c r="AB831" i="1"/>
  <c r="AA831" i="1"/>
  <c r="Z831" i="1"/>
  <c r="Y831" i="1"/>
  <c r="S831" i="1"/>
  <c r="AL830" i="1"/>
  <c r="AK830" i="1"/>
  <c r="AJ830" i="1"/>
  <c r="AH830" i="1"/>
  <c r="AB830" i="1"/>
  <c r="AA830" i="1"/>
  <c r="Z830" i="1"/>
  <c r="Y830" i="1"/>
  <c r="S830" i="1"/>
  <c r="AL829" i="1"/>
  <c r="AK829" i="1"/>
  <c r="AJ829" i="1"/>
  <c r="AH829" i="1"/>
  <c r="AB829" i="1"/>
  <c r="AA829" i="1"/>
  <c r="Z829" i="1"/>
  <c r="Y829" i="1"/>
  <c r="S829" i="1"/>
  <c r="AL828" i="1"/>
  <c r="AK828" i="1"/>
  <c r="AJ828" i="1"/>
  <c r="AH828" i="1"/>
  <c r="AB828" i="1"/>
  <c r="AA828" i="1"/>
  <c r="Z828" i="1"/>
  <c r="Y828" i="1"/>
  <c r="S828" i="1"/>
  <c r="AL827" i="1"/>
  <c r="AK827" i="1"/>
  <c r="AJ827" i="1"/>
  <c r="AH827" i="1"/>
  <c r="AB827" i="1"/>
  <c r="AA827" i="1"/>
  <c r="Z827" i="1"/>
  <c r="Y827" i="1"/>
  <c r="S827" i="1"/>
  <c r="AL826" i="1"/>
  <c r="AK826" i="1"/>
  <c r="AJ826" i="1"/>
  <c r="AH826" i="1"/>
  <c r="AB826" i="1"/>
  <c r="AA826" i="1"/>
  <c r="Z826" i="1"/>
  <c r="Y826" i="1"/>
  <c r="S826" i="1"/>
  <c r="AL825" i="1"/>
  <c r="AK825" i="1"/>
  <c r="AJ825" i="1"/>
  <c r="AH825" i="1"/>
  <c r="AB825" i="1"/>
  <c r="AA825" i="1"/>
  <c r="Z825" i="1"/>
  <c r="Y825" i="1"/>
  <c r="S825" i="1"/>
  <c r="AL824" i="1"/>
  <c r="AK824" i="1"/>
  <c r="AJ824" i="1"/>
  <c r="AH824" i="1"/>
  <c r="AB824" i="1"/>
  <c r="AA824" i="1"/>
  <c r="Z824" i="1"/>
  <c r="Y824" i="1"/>
  <c r="S824" i="1"/>
  <c r="AL823" i="1"/>
  <c r="AK823" i="1"/>
  <c r="AJ823" i="1"/>
  <c r="AH823" i="1"/>
  <c r="AB823" i="1"/>
  <c r="AA823" i="1"/>
  <c r="Z823" i="1"/>
  <c r="Y823" i="1"/>
  <c r="S823" i="1"/>
  <c r="AL822" i="1"/>
  <c r="AK822" i="1"/>
  <c r="AJ822" i="1"/>
  <c r="AH822" i="1"/>
  <c r="AB822" i="1"/>
  <c r="AA822" i="1"/>
  <c r="Z822" i="1"/>
  <c r="Y822" i="1"/>
  <c r="S822" i="1"/>
  <c r="AK821" i="1"/>
  <c r="AH821" i="1"/>
  <c r="AG821" i="1"/>
  <c r="AB821" i="1" s="1"/>
  <c r="AE821" i="1"/>
  <c r="AA821" i="1"/>
  <c r="Y821" i="1"/>
  <c r="R821" i="1"/>
  <c r="P821" i="1"/>
  <c r="AK820" i="1"/>
  <c r="AJ820" i="1"/>
  <c r="AH820" i="1"/>
  <c r="AG820" i="1"/>
  <c r="AB820" i="1" s="1"/>
  <c r="AA820" i="1"/>
  <c r="Z820" i="1"/>
  <c r="Y820" i="1"/>
  <c r="R820" i="1"/>
  <c r="AL820" i="1" s="1"/>
  <c r="AK819" i="1"/>
  <c r="AJ819" i="1"/>
  <c r="AH819" i="1"/>
  <c r="AG819" i="1"/>
  <c r="AB819" i="1" s="1"/>
  <c r="AA819" i="1"/>
  <c r="Z819" i="1"/>
  <c r="Y819" i="1"/>
  <c r="R819" i="1"/>
  <c r="S819" i="1" s="1"/>
  <c r="AL818" i="1"/>
  <c r="AK818" i="1"/>
  <c r="AJ818" i="1"/>
  <c r="AH818" i="1"/>
  <c r="AB818" i="1"/>
  <c r="AA818" i="1"/>
  <c r="Z818" i="1"/>
  <c r="Y818" i="1"/>
  <c r="S818" i="1"/>
  <c r="AK817" i="1"/>
  <c r="AH817" i="1"/>
  <c r="AG817" i="1"/>
  <c r="AB817" i="1" s="1"/>
  <c r="AE817" i="1"/>
  <c r="Z817" i="1" s="1"/>
  <c r="AA817" i="1"/>
  <c r="Y817" i="1"/>
  <c r="R817" i="1"/>
  <c r="P817" i="1"/>
  <c r="AL816" i="1"/>
  <c r="AK816" i="1"/>
  <c r="AJ816" i="1"/>
  <c r="AH816" i="1"/>
  <c r="AB816" i="1"/>
  <c r="AA816" i="1"/>
  <c r="Z816" i="1"/>
  <c r="Y816" i="1"/>
  <c r="S816" i="1"/>
  <c r="AK815" i="1"/>
  <c r="AJ815" i="1"/>
  <c r="AH815" i="1"/>
  <c r="AG815" i="1"/>
  <c r="AB815" i="1" s="1"/>
  <c r="AA815" i="1"/>
  <c r="Z815" i="1"/>
  <c r="Y815" i="1"/>
  <c r="R815" i="1"/>
  <c r="S815" i="1" s="1"/>
  <c r="AL814" i="1"/>
  <c r="AK814" i="1"/>
  <c r="AJ814" i="1"/>
  <c r="AH814" i="1"/>
  <c r="AB814" i="1"/>
  <c r="AA814" i="1"/>
  <c r="Z814" i="1"/>
  <c r="Y814" i="1"/>
  <c r="S814" i="1"/>
  <c r="AL813" i="1"/>
  <c r="AK813" i="1"/>
  <c r="AJ813" i="1"/>
  <c r="AH813" i="1"/>
  <c r="AB813" i="1"/>
  <c r="AA813" i="1"/>
  <c r="Z813" i="1"/>
  <c r="Y813" i="1"/>
  <c r="S813" i="1"/>
  <c r="AL812" i="1"/>
  <c r="AK812" i="1"/>
  <c r="AJ812" i="1"/>
  <c r="AH812" i="1"/>
  <c r="AB812" i="1"/>
  <c r="AA812" i="1"/>
  <c r="Z812" i="1"/>
  <c r="Y812" i="1"/>
  <c r="S812" i="1"/>
  <c r="AL811" i="1"/>
  <c r="AK811" i="1"/>
  <c r="AJ811" i="1"/>
  <c r="AH811" i="1"/>
  <c r="AB811" i="1"/>
  <c r="AA811" i="1"/>
  <c r="Z811" i="1"/>
  <c r="Y811" i="1"/>
  <c r="S811" i="1"/>
  <c r="AL810" i="1"/>
  <c r="AK810" i="1"/>
  <c r="AJ810" i="1"/>
  <c r="AH810" i="1"/>
  <c r="AB810" i="1"/>
  <c r="AA810" i="1"/>
  <c r="Z810" i="1"/>
  <c r="Y810" i="1"/>
  <c r="S810" i="1"/>
  <c r="AK809" i="1"/>
  <c r="AJ809" i="1"/>
  <c r="AH809" i="1"/>
  <c r="AG809" i="1"/>
  <c r="AB809" i="1" s="1"/>
  <c r="AA809" i="1"/>
  <c r="Z809" i="1"/>
  <c r="Y809" i="1"/>
  <c r="R809" i="1"/>
  <c r="AL809" i="1" s="1"/>
  <c r="AK808" i="1"/>
  <c r="AJ808" i="1"/>
  <c r="AH808" i="1"/>
  <c r="AB808" i="1"/>
  <c r="AA808" i="1"/>
  <c r="Z808" i="1"/>
  <c r="Y808" i="1"/>
  <c r="R808" i="1"/>
  <c r="AL808" i="1" s="1"/>
  <c r="AL807" i="1"/>
  <c r="AK807" i="1"/>
  <c r="AJ807" i="1"/>
  <c r="AH807" i="1"/>
  <c r="AB807" i="1"/>
  <c r="AA807" i="1"/>
  <c r="Z807" i="1"/>
  <c r="Y807" i="1"/>
  <c r="S807" i="1"/>
  <c r="AL806" i="1"/>
  <c r="AK806" i="1"/>
  <c r="AJ806" i="1"/>
  <c r="AH806" i="1"/>
  <c r="AB806" i="1"/>
  <c r="AA806" i="1"/>
  <c r="Z806" i="1"/>
  <c r="Y806" i="1"/>
  <c r="S806" i="1"/>
  <c r="AL805" i="1"/>
  <c r="AK805" i="1"/>
  <c r="AJ805" i="1"/>
  <c r="AH805" i="1"/>
  <c r="AB805" i="1"/>
  <c r="AA805" i="1"/>
  <c r="Z805" i="1"/>
  <c r="Y805" i="1"/>
  <c r="S805" i="1"/>
  <c r="AL804" i="1"/>
  <c r="AK804" i="1"/>
  <c r="AJ804" i="1"/>
  <c r="AH804" i="1"/>
  <c r="AB804" i="1"/>
  <c r="AA804" i="1"/>
  <c r="Z804" i="1"/>
  <c r="Y804" i="1"/>
  <c r="S804" i="1"/>
  <c r="AK803" i="1"/>
  <c r="AJ803" i="1"/>
  <c r="AH803" i="1"/>
  <c r="AB803" i="1"/>
  <c r="AA803" i="1"/>
  <c r="Z803" i="1"/>
  <c r="Y803" i="1"/>
  <c r="R803" i="1"/>
  <c r="AL803" i="1" s="1"/>
  <c r="AL802" i="1"/>
  <c r="AK802" i="1"/>
  <c r="AJ802" i="1"/>
  <c r="AH802" i="1"/>
  <c r="AB802" i="1"/>
  <c r="AA802" i="1"/>
  <c r="Z802" i="1"/>
  <c r="Y802" i="1"/>
  <c r="S802" i="1"/>
  <c r="AL801" i="1"/>
  <c r="AK801" i="1"/>
  <c r="AJ801" i="1"/>
  <c r="AH801" i="1"/>
  <c r="AB801" i="1"/>
  <c r="AA801" i="1"/>
  <c r="Z801" i="1"/>
  <c r="Y801" i="1"/>
  <c r="S801" i="1"/>
  <c r="AK800" i="1"/>
  <c r="AJ800" i="1"/>
  <c r="AH800" i="1"/>
  <c r="AG800" i="1"/>
  <c r="AB800" i="1" s="1"/>
  <c r="AA800" i="1"/>
  <c r="Z800" i="1"/>
  <c r="Y800" i="1"/>
  <c r="R800" i="1"/>
  <c r="AL800" i="1" s="1"/>
  <c r="AL799" i="1"/>
  <c r="AK799" i="1"/>
  <c r="AJ799" i="1"/>
  <c r="AH799" i="1"/>
  <c r="AB799" i="1"/>
  <c r="AA799" i="1"/>
  <c r="Z799" i="1"/>
  <c r="Y799" i="1"/>
  <c r="S799" i="1"/>
  <c r="AL798" i="1"/>
  <c r="AK798" i="1"/>
  <c r="AJ798" i="1"/>
  <c r="AH798" i="1"/>
  <c r="AB798" i="1"/>
  <c r="AA798" i="1"/>
  <c r="Z798" i="1"/>
  <c r="Y798" i="1"/>
  <c r="S798" i="1"/>
  <c r="AL797" i="1"/>
  <c r="AK797" i="1"/>
  <c r="AJ797" i="1"/>
  <c r="AH797" i="1"/>
  <c r="AB797" i="1"/>
  <c r="AA797" i="1"/>
  <c r="Z797" i="1"/>
  <c r="Y797" i="1"/>
  <c r="S797" i="1"/>
  <c r="AK796" i="1"/>
  <c r="AJ796" i="1"/>
  <c r="AH796" i="1"/>
  <c r="AG796" i="1"/>
  <c r="AB796" i="1" s="1"/>
  <c r="AA796" i="1"/>
  <c r="Z796" i="1"/>
  <c r="Y796" i="1"/>
  <c r="R796" i="1"/>
  <c r="S796" i="1" s="1"/>
  <c r="AL795" i="1"/>
  <c r="AK795" i="1"/>
  <c r="AJ795" i="1"/>
  <c r="AH795" i="1"/>
  <c r="AB795" i="1"/>
  <c r="AA795" i="1"/>
  <c r="Z795" i="1"/>
  <c r="Y795" i="1"/>
  <c r="S795" i="1"/>
  <c r="AL794" i="1"/>
  <c r="AK794" i="1"/>
  <c r="AJ794" i="1"/>
  <c r="AH794" i="1"/>
  <c r="AB794" i="1"/>
  <c r="AA794" i="1"/>
  <c r="Z794" i="1"/>
  <c r="Y794" i="1"/>
  <c r="S794" i="1"/>
  <c r="AL793" i="1"/>
  <c r="AK793" i="1"/>
  <c r="AJ793" i="1"/>
  <c r="AH793" i="1"/>
  <c r="AB793" i="1"/>
  <c r="AA793" i="1"/>
  <c r="Z793" i="1"/>
  <c r="Y793" i="1"/>
  <c r="S793" i="1"/>
  <c r="AL792" i="1"/>
  <c r="AK792" i="1"/>
  <c r="AJ792" i="1"/>
  <c r="AH792" i="1"/>
  <c r="AB792" i="1"/>
  <c r="AA792" i="1"/>
  <c r="Z792" i="1"/>
  <c r="Y792" i="1"/>
  <c r="S792" i="1"/>
  <c r="AK791" i="1"/>
  <c r="AJ791" i="1"/>
  <c r="AH791" i="1"/>
  <c r="AG791" i="1"/>
  <c r="AB791" i="1"/>
  <c r="AA791" i="1"/>
  <c r="Z791" i="1"/>
  <c r="Y791" i="1"/>
  <c r="R791" i="1"/>
  <c r="S791" i="1" s="1"/>
  <c r="AL790" i="1"/>
  <c r="AK790" i="1"/>
  <c r="AJ790" i="1"/>
  <c r="AH790" i="1"/>
  <c r="AB790" i="1"/>
  <c r="AA790" i="1"/>
  <c r="Z790" i="1"/>
  <c r="Y790" i="1"/>
  <c r="S790" i="1"/>
  <c r="AL789" i="1"/>
  <c r="AK789" i="1"/>
  <c r="AJ789" i="1"/>
  <c r="AH789" i="1"/>
  <c r="AB789" i="1"/>
  <c r="AA789" i="1"/>
  <c r="Z789" i="1"/>
  <c r="Y789" i="1"/>
  <c r="S789" i="1"/>
  <c r="AK788" i="1"/>
  <c r="AJ788" i="1"/>
  <c r="AH788" i="1"/>
  <c r="AG788" i="1"/>
  <c r="AB788" i="1" s="1"/>
  <c r="AA788" i="1"/>
  <c r="Z788" i="1"/>
  <c r="Y788" i="1"/>
  <c r="R788" i="1"/>
  <c r="S788" i="1" s="1"/>
  <c r="AL787" i="1"/>
  <c r="AK787" i="1"/>
  <c r="AJ787" i="1"/>
  <c r="AH787" i="1"/>
  <c r="AB787" i="1"/>
  <c r="AA787" i="1"/>
  <c r="Z787" i="1"/>
  <c r="Y787" i="1"/>
  <c r="S787" i="1"/>
  <c r="AL786" i="1"/>
  <c r="AK786" i="1"/>
  <c r="AJ786" i="1"/>
  <c r="AH786" i="1"/>
  <c r="AB786" i="1"/>
  <c r="AA786" i="1"/>
  <c r="Z786" i="1"/>
  <c r="Y786" i="1"/>
  <c r="S786" i="1"/>
  <c r="AL785" i="1"/>
  <c r="AK785" i="1"/>
  <c r="AJ785" i="1"/>
  <c r="AH785" i="1"/>
  <c r="AB785" i="1"/>
  <c r="AA785" i="1"/>
  <c r="Z785" i="1"/>
  <c r="Y785" i="1"/>
  <c r="S785" i="1"/>
  <c r="AL784" i="1"/>
  <c r="AK784" i="1"/>
  <c r="AJ784" i="1"/>
  <c r="AH784" i="1"/>
  <c r="AB784" i="1"/>
  <c r="AA784" i="1"/>
  <c r="Z784" i="1"/>
  <c r="Y784" i="1"/>
  <c r="S784" i="1"/>
  <c r="AL783" i="1"/>
  <c r="AK783" i="1"/>
  <c r="AJ783" i="1"/>
  <c r="AH783" i="1"/>
  <c r="AB783" i="1"/>
  <c r="AA783" i="1"/>
  <c r="Z783" i="1"/>
  <c r="Y783" i="1"/>
  <c r="S783" i="1"/>
  <c r="AL782" i="1"/>
  <c r="AK782" i="1"/>
  <c r="AJ782" i="1"/>
  <c r="AH782" i="1"/>
  <c r="AB782" i="1"/>
  <c r="AA782" i="1"/>
  <c r="Z782" i="1"/>
  <c r="Y782" i="1"/>
  <c r="S782" i="1"/>
  <c r="AK781" i="1"/>
  <c r="AJ781" i="1"/>
  <c r="AH781" i="1"/>
  <c r="AG781" i="1"/>
  <c r="AB781" i="1" s="1"/>
  <c r="AA781" i="1"/>
  <c r="Z781" i="1"/>
  <c r="Y781" i="1"/>
  <c r="R781" i="1"/>
  <c r="S781" i="1" s="1"/>
  <c r="AL780" i="1"/>
  <c r="AK780" i="1"/>
  <c r="AJ780" i="1"/>
  <c r="AH780" i="1"/>
  <c r="AB780" i="1"/>
  <c r="AA780" i="1"/>
  <c r="Z780" i="1"/>
  <c r="Y780" i="1"/>
  <c r="S780" i="1"/>
  <c r="AL779" i="1"/>
  <c r="AK779" i="1"/>
  <c r="AJ779" i="1"/>
  <c r="AH779" i="1"/>
  <c r="AB779" i="1"/>
  <c r="AA779" i="1"/>
  <c r="Z779" i="1"/>
  <c r="Y779" i="1"/>
  <c r="S779" i="1"/>
  <c r="AL778" i="1"/>
  <c r="AK778" i="1"/>
  <c r="AJ778" i="1"/>
  <c r="AH778" i="1"/>
  <c r="AB778" i="1"/>
  <c r="AA778" i="1"/>
  <c r="Z778" i="1"/>
  <c r="Y778" i="1"/>
  <c r="S778" i="1"/>
  <c r="AL777" i="1"/>
  <c r="AK777" i="1"/>
  <c r="AJ777" i="1"/>
  <c r="AH777" i="1"/>
  <c r="AB777" i="1"/>
  <c r="AA777" i="1"/>
  <c r="Z777" i="1"/>
  <c r="Y777" i="1"/>
  <c r="S777" i="1"/>
  <c r="AK776" i="1"/>
  <c r="AJ776" i="1"/>
  <c r="AH776" i="1"/>
  <c r="AB776" i="1"/>
  <c r="AA776" i="1"/>
  <c r="Z776" i="1"/>
  <c r="Y776" i="1"/>
  <c r="R776" i="1"/>
  <c r="AL776" i="1" s="1"/>
  <c r="AK775" i="1"/>
  <c r="AJ775" i="1"/>
  <c r="AH775" i="1"/>
  <c r="AB775" i="1"/>
  <c r="AA775" i="1"/>
  <c r="Z775" i="1"/>
  <c r="Y775" i="1"/>
  <c r="R775" i="1"/>
  <c r="AL775" i="1" s="1"/>
  <c r="AL774" i="1"/>
  <c r="AK774" i="1"/>
  <c r="AJ774" i="1"/>
  <c r="AH774" i="1"/>
  <c r="AB774" i="1"/>
  <c r="AA774" i="1"/>
  <c r="Z774" i="1"/>
  <c r="Y774" i="1"/>
  <c r="S774" i="1"/>
  <c r="AK773" i="1"/>
  <c r="AJ773" i="1"/>
  <c r="AH773" i="1"/>
  <c r="AG773" i="1"/>
  <c r="AB773" i="1" s="1"/>
  <c r="AA773" i="1"/>
  <c r="Z773" i="1"/>
  <c r="Y773" i="1"/>
  <c r="R773" i="1"/>
  <c r="S773" i="1" s="1"/>
  <c r="AL772" i="1"/>
  <c r="AK772" i="1"/>
  <c r="AJ772" i="1"/>
  <c r="AH772" i="1"/>
  <c r="AB772" i="1"/>
  <c r="AA772" i="1"/>
  <c r="Z772" i="1"/>
  <c r="Y772" i="1"/>
  <c r="S772" i="1"/>
  <c r="AL771" i="1"/>
  <c r="AK771" i="1"/>
  <c r="AJ771" i="1"/>
  <c r="AH771" i="1"/>
  <c r="AB771" i="1"/>
  <c r="AA771" i="1"/>
  <c r="Z771" i="1"/>
  <c r="Y771" i="1"/>
  <c r="S771" i="1"/>
  <c r="AL770" i="1"/>
  <c r="AK770" i="1"/>
  <c r="AJ770" i="1"/>
  <c r="AH770" i="1"/>
  <c r="AB770" i="1"/>
  <c r="AA770" i="1"/>
  <c r="Z770" i="1"/>
  <c r="Y770" i="1"/>
  <c r="S770" i="1"/>
  <c r="AK769" i="1"/>
  <c r="AH769" i="1"/>
  <c r="AE769" i="1"/>
  <c r="Z769" i="1" s="1"/>
  <c r="AB769" i="1"/>
  <c r="AA769" i="1"/>
  <c r="Y769" i="1"/>
  <c r="R769" i="1"/>
  <c r="AL769" i="1" s="1"/>
  <c r="P769" i="1"/>
  <c r="AK768" i="1"/>
  <c r="AJ768" i="1"/>
  <c r="AH768" i="1"/>
  <c r="AG768" i="1"/>
  <c r="AB768" i="1" s="1"/>
  <c r="AA768" i="1"/>
  <c r="Z768" i="1"/>
  <c r="Y768" i="1"/>
  <c r="R768" i="1"/>
  <c r="S768" i="1" s="1"/>
  <c r="AL767" i="1"/>
  <c r="AK767" i="1"/>
  <c r="AJ767" i="1"/>
  <c r="AH767" i="1"/>
  <c r="AB767" i="1"/>
  <c r="AA767" i="1"/>
  <c r="Z767" i="1"/>
  <c r="Y767" i="1"/>
  <c r="S767" i="1"/>
  <c r="AL766" i="1"/>
  <c r="AK766" i="1"/>
  <c r="AJ766" i="1"/>
  <c r="AH766" i="1"/>
  <c r="AB766" i="1"/>
  <c r="AA766" i="1"/>
  <c r="Z766" i="1"/>
  <c r="Y766" i="1"/>
  <c r="S766" i="1"/>
  <c r="AL765" i="1"/>
  <c r="AK765" i="1"/>
  <c r="AJ765" i="1"/>
  <c r="AH765" i="1"/>
  <c r="AB765" i="1"/>
  <c r="AA765" i="1"/>
  <c r="Z765" i="1"/>
  <c r="Y765" i="1"/>
  <c r="S765" i="1"/>
  <c r="AL764" i="1"/>
  <c r="AK764" i="1"/>
  <c r="AJ764" i="1"/>
  <c r="AH764" i="1"/>
  <c r="AB764" i="1"/>
  <c r="AA764" i="1"/>
  <c r="Z764" i="1"/>
  <c r="Y764" i="1"/>
  <c r="S764" i="1"/>
  <c r="AK763" i="1"/>
  <c r="AJ763" i="1"/>
  <c r="AH763" i="1"/>
  <c r="AG763" i="1"/>
  <c r="AB763" i="1" s="1"/>
  <c r="AA763" i="1"/>
  <c r="Z763" i="1"/>
  <c r="Y763" i="1"/>
  <c r="R763" i="1"/>
  <c r="AL763" i="1" s="1"/>
  <c r="AK762" i="1"/>
  <c r="AJ762" i="1"/>
  <c r="AH762" i="1"/>
  <c r="AG762" i="1"/>
  <c r="AB762" i="1" s="1"/>
  <c r="AA762" i="1"/>
  <c r="Z762" i="1"/>
  <c r="Y762" i="1"/>
  <c r="R762" i="1"/>
  <c r="S762" i="1" s="1"/>
  <c r="AL761" i="1"/>
  <c r="AK761" i="1"/>
  <c r="AJ761" i="1"/>
  <c r="AH761" i="1"/>
  <c r="AB761" i="1"/>
  <c r="AA761" i="1"/>
  <c r="Z761" i="1"/>
  <c r="Y761" i="1"/>
  <c r="S761" i="1"/>
  <c r="AK760" i="1"/>
  <c r="AJ760" i="1"/>
  <c r="AH760" i="1"/>
  <c r="AG760" i="1"/>
  <c r="AB760" i="1" s="1"/>
  <c r="AA760" i="1"/>
  <c r="Z760" i="1"/>
  <c r="Y760" i="1"/>
  <c r="R760" i="1"/>
  <c r="AL760" i="1" s="1"/>
  <c r="AK759" i="1"/>
  <c r="AJ759" i="1"/>
  <c r="AH759" i="1"/>
  <c r="AG759" i="1"/>
  <c r="AB759" i="1" s="1"/>
  <c r="AA759" i="1"/>
  <c r="Z759" i="1"/>
  <c r="Y759" i="1"/>
  <c r="R759" i="1"/>
  <c r="AL759" i="1" s="1"/>
  <c r="AK758" i="1"/>
  <c r="AJ758" i="1"/>
  <c r="AH758" i="1"/>
  <c r="AB758" i="1"/>
  <c r="AA758" i="1"/>
  <c r="Z758" i="1"/>
  <c r="Y758" i="1"/>
  <c r="R758" i="1"/>
  <c r="S758" i="1" s="1"/>
  <c r="AK757" i="1"/>
  <c r="AJ757" i="1"/>
  <c r="AH757" i="1"/>
  <c r="AG757" i="1"/>
  <c r="AB757" i="1" s="1"/>
  <c r="AA757" i="1"/>
  <c r="Z757" i="1"/>
  <c r="Y757" i="1"/>
  <c r="R757" i="1"/>
  <c r="S757" i="1" s="1"/>
  <c r="AK756" i="1"/>
  <c r="AJ756" i="1"/>
  <c r="AH756" i="1"/>
  <c r="AB756" i="1"/>
  <c r="AA756" i="1"/>
  <c r="Z756" i="1"/>
  <c r="Y756" i="1"/>
  <c r="R756" i="1"/>
  <c r="AL756" i="1" s="1"/>
  <c r="AL755" i="1"/>
  <c r="AK755" i="1"/>
  <c r="AJ755" i="1"/>
  <c r="AH755" i="1"/>
  <c r="AB755" i="1"/>
  <c r="AA755" i="1"/>
  <c r="Z755" i="1"/>
  <c r="Y755" i="1"/>
  <c r="S755" i="1"/>
  <c r="AL754" i="1"/>
  <c r="AK754" i="1"/>
  <c r="AJ754" i="1"/>
  <c r="AH754" i="1"/>
  <c r="AB754" i="1"/>
  <c r="AA754" i="1"/>
  <c r="Z754" i="1"/>
  <c r="Y754" i="1"/>
  <c r="S754" i="1"/>
  <c r="AL753" i="1"/>
  <c r="AK753" i="1"/>
  <c r="AJ753" i="1"/>
  <c r="AH753" i="1"/>
  <c r="AB753" i="1"/>
  <c r="AA753" i="1"/>
  <c r="Z753" i="1"/>
  <c r="Y753" i="1"/>
  <c r="S753" i="1"/>
  <c r="AL752" i="1"/>
  <c r="AK752" i="1"/>
  <c r="AJ752" i="1"/>
  <c r="AH752" i="1"/>
  <c r="AB752" i="1"/>
  <c r="AA752" i="1"/>
  <c r="Z752" i="1"/>
  <c r="Y752" i="1"/>
  <c r="S752" i="1"/>
  <c r="AL751" i="1"/>
  <c r="AK751" i="1"/>
  <c r="AJ751" i="1"/>
  <c r="AH751" i="1"/>
  <c r="AB751" i="1"/>
  <c r="AA751" i="1"/>
  <c r="Z751" i="1"/>
  <c r="Y751" i="1"/>
  <c r="S751" i="1"/>
  <c r="AL750" i="1"/>
  <c r="AK750" i="1"/>
  <c r="AJ750" i="1"/>
  <c r="AH750" i="1"/>
  <c r="AB750" i="1"/>
  <c r="AA750" i="1"/>
  <c r="Z750" i="1"/>
  <c r="Y750" i="1"/>
  <c r="S750" i="1"/>
  <c r="AL749" i="1"/>
  <c r="AK749" i="1"/>
  <c r="AJ749" i="1"/>
  <c r="AH749" i="1"/>
  <c r="AB749" i="1"/>
  <c r="AA749" i="1"/>
  <c r="Z749" i="1"/>
  <c r="Y749" i="1"/>
  <c r="S749" i="1"/>
  <c r="AK748" i="1"/>
  <c r="AJ748" i="1"/>
  <c r="AH748" i="1"/>
  <c r="AG748" i="1"/>
  <c r="AB748" i="1" s="1"/>
  <c r="AA748" i="1"/>
  <c r="Z748" i="1"/>
  <c r="Y748" i="1"/>
  <c r="R748" i="1"/>
  <c r="S748" i="1" s="1"/>
  <c r="AL747" i="1"/>
  <c r="AK747" i="1"/>
  <c r="AJ747" i="1"/>
  <c r="AH747" i="1"/>
  <c r="AB747" i="1"/>
  <c r="AA747" i="1"/>
  <c r="Z747" i="1"/>
  <c r="Y747" i="1"/>
  <c r="S747" i="1"/>
  <c r="AL746" i="1"/>
  <c r="AK746" i="1"/>
  <c r="AJ746" i="1"/>
  <c r="AH746" i="1"/>
  <c r="AB746" i="1"/>
  <c r="AA746" i="1"/>
  <c r="Z746" i="1"/>
  <c r="Y746" i="1"/>
  <c r="S746" i="1"/>
  <c r="AL745" i="1"/>
  <c r="AK745" i="1"/>
  <c r="AJ745" i="1"/>
  <c r="AH745" i="1"/>
  <c r="AB745" i="1"/>
  <c r="AA745" i="1"/>
  <c r="Z745" i="1"/>
  <c r="Y745" i="1"/>
  <c r="S745" i="1"/>
  <c r="AL744" i="1"/>
  <c r="AK744" i="1"/>
  <c r="AJ744" i="1"/>
  <c r="AH744" i="1"/>
  <c r="AB744" i="1"/>
  <c r="AA744" i="1"/>
  <c r="Z744" i="1"/>
  <c r="Y744" i="1"/>
  <c r="S744" i="1"/>
  <c r="AK743" i="1"/>
  <c r="AJ743" i="1"/>
  <c r="AH743" i="1"/>
  <c r="AG743" i="1"/>
  <c r="AB743" i="1" s="1"/>
  <c r="AA743" i="1"/>
  <c r="Z743" i="1"/>
  <c r="Y743" i="1"/>
  <c r="R743" i="1"/>
  <c r="S743" i="1" s="1"/>
  <c r="AL742" i="1"/>
  <c r="AK742" i="1"/>
  <c r="AJ742" i="1"/>
  <c r="AH742" i="1"/>
  <c r="AB742" i="1"/>
  <c r="AA742" i="1"/>
  <c r="Z742" i="1"/>
  <c r="Y742" i="1"/>
  <c r="S742" i="1"/>
  <c r="AK741" i="1"/>
  <c r="AJ741" i="1"/>
  <c r="AH741" i="1"/>
  <c r="AG741" i="1"/>
  <c r="AB741" i="1" s="1"/>
  <c r="AA741" i="1"/>
  <c r="Z741" i="1"/>
  <c r="Y741" i="1"/>
  <c r="R741" i="1"/>
  <c r="AL740" i="1"/>
  <c r="AK740" i="1"/>
  <c r="AJ740" i="1"/>
  <c r="AH740" i="1"/>
  <c r="AB740" i="1"/>
  <c r="AA740" i="1"/>
  <c r="Z740" i="1"/>
  <c r="Y740" i="1"/>
  <c r="S740" i="1"/>
  <c r="AK739" i="1"/>
  <c r="AJ739" i="1"/>
  <c r="AH739" i="1"/>
  <c r="AG739" i="1"/>
  <c r="AB739" i="1" s="1"/>
  <c r="AA739" i="1"/>
  <c r="Z739" i="1"/>
  <c r="Y739" i="1"/>
  <c r="R739" i="1"/>
  <c r="AL739" i="1" s="1"/>
  <c r="AK738" i="1"/>
  <c r="AJ738" i="1"/>
  <c r="AH738" i="1"/>
  <c r="AG738" i="1"/>
  <c r="AB738" i="1" s="1"/>
  <c r="AA738" i="1"/>
  <c r="Z738" i="1"/>
  <c r="Y738" i="1"/>
  <c r="R738" i="1"/>
  <c r="S738" i="1" s="1"/>
  <c r="AL737" i="1"/>
  <c r="AK737" i="1"/>
  <c r="AJ737" i="1"/>
  <c r="AH737" i="1"/>
  <c r="AB737" i="1"/>
  <c r="AA737" i="1"/>
  <c r="Z737" i="1"/>
  <c r="Y737" i="1"/>
  <c r="S737" i="1"/>
  <c r="AL736" i="1"/>
  <c r="AK736" i="1"/>
  <c r="AJ736" i="1"/>
  <c r="AH736" i="1"/>
  <c r="AB736" i="1"/>
  <c r="AA736" i="1"/>
  <c r="Z736" i="1"/>
  <c r="Y736" i="1"/>
  <c r="S736" i="1"/>
  <c r="AL735" i="1"/>
  <c r="AK735" i="1"/>
  <c r="AJ735" i="1"/>
  <c r="AH735" i="1"/>
  <c r="AB735" i="1"/>
  <c r="AA735" i="1"/>
  <c r="Z735" i="1"/>
  <c r="Y735" i="1"/>
  <c r="S735" i="1"/>
  <c r="AL734" i="1"/>
  <c r="AK734" i="1"/>
  <c r="AJ734" i="1"/>
  <c r="AH734" i="1"/>
  <c r="AB734" i="1"/>
  <c r="AA734" i="1"/>
  <c r="Z734" i="1"/>
  <c r="Y734" i="1"/>
  <c r="S734" i="1"/>
  <c r="AL733" i="1"/>
  <c r="AK733" i="1"/>
  <c r="AJ733" i="1"/>
  <c r="AH733" i="1"/>
  <c r="AB733" i="1"/>
  <c r="AA733" i="1"/>
  <c r="Z733" i="1"/>
  <c r="Y733" i="1"/>
  <c r="S733" i="1"/>
  <c r="AK732" i="1"/>
  <c r="AJ732" i="1"/>
  <c r="AH732" i="1"/>
  <c r="AG732" i="1"/>
  <c r="AB732" i="1" s="1"/>
  <c r="AA732" i="1"/>
  <c r="Z732" i="1"/>
  <c r="Y732" i="1"/>
  <c r="R732" i="1"/>
  <c r="S732" i="1" s="1"/>
  <c r="AL731" i="1"/>
  <c r="AK731" i="1"/>
  <c r="AJ731" i="1"/>
  <c r="AH731" i="1"/>
  <c r="AB731" i="1"/>
  <c r="AA731" i="1"/>
  <c r="Z731" i="1"/>
  <c r="Y731" i="1"/>
  <c r="S731" i="1"/>
  <c r="AK730" i="1"/>
  <c r="AJ730" i="1"/>
  <c r="AH730" i="1"/>
  <c r="AG730" i="1"/>
  <c r="AB730" i="1" s="1"/>
  <c r="AA730" i="1"/>
  <c r="Z730" i="1"/>
  <c r="Y730" i="1"/>
  <c r="R730" i="1"/>
  <c r="S730" i="1" s="1"/>
  <c r="AL729" i="1"/>
  <c r="AK729" i="1"/>
  <c r="AJ729" i="1"/>
  <c r="AH729" i="1"/>
  <c r="AB729" i="1"/>
  <c r="AA729" i="1"/>
  <c r="Z729" i="1"/>
  <c r="Y729" i="1"/>
  <c r="S729" i="1"/>
  <c r="AL728" i="1"/>
  <c r="AK728" i="1"/>
  <c r="AJ728" i="1"/>
  <c r="AH728" i="1"/>
  <c r="AB728" i="1"/>
  <c r="AA728" i="1"/>
  <c r="Z728" i="1"/>
  <c r="Y728" i="1"/>
  <c r="S728" i="1"/>
  <c r="AL727" i="1"/>
  <c r="AK727" i="1"/>
  <c r="AJ727" i="1"/>
  <c r="AH727" i="1"/>
  <c r="AB727" i="1"/>
  <c r="AA727" i="1"/>
  <c r="Z727" i="1"/>
  <c r="Y727" i="1"/>
  <c r="S727" i="1"/>
  <c r="AL726" i="1"/>
  <c r="AK726" i="1"/>
  <c r="AJ726" i="1"/>
  <c r="AH726" i="1"/>
  <c r="AB726" i="1"/>
  <c r="AA726" i="1"/>
  <c r="Z726" i="1"/>
  <c r="Y726" i="1"/>
  <c r="S726" i="1"/>
  <c r="AL725" i="1"/>
  <c r="AK725" i="1"/>
  <c r="AJ725" i="1"/>
  <c r="AH725" i="1"/>
  <c r="AB725" i="1"/>
  <c r="AA725" i="1"/>
  <c r="Z725" i="1"/>
  <c r="Y725" i="1"/>
  <c r="S725" i="1"/>
  <c r="AK724" i="1"/>
  <c r="AJ724" i="1"/>
  <c r="AH724" i="1"/>
  <c r="AG724" i="1"/>
  <c r="AB724" i="1" s="1"/>
  <c r="AA724" i="1"/>
  <c r="Z724" i="1"/>
  <c r="Y724" i="1"/>
  <c r="R724" i="1"/>
  <c r="S724" i="1" s="1"/>
  <c r="AL723" i="1"/>
  <c r="AK723" i="1"/>
  <c r="AJ723" i="1"/>
  <c r="AH723" i="1"/>
  <c r="AB723" i="1"/>
  <c r="AA723" i="1"/>
  <c r="Z723" i="1"/>
  <c r="Y723" i="1"/>
  <c r="S723" i="1"/>
  <c r="AL722" i="1"/>
  <c r="AK722" i="1"/>
  <c r="AJ722" i="1"/>
  <c r="AH722" i="1"/>
  <c r="AB722" i="1"/>
  <c r="AA722" i="1"/>
  <c r="Z722" i="1"/>
  <c r="Y722" i="1"/>
  <c r="S722" i="1"/>
  <c r="AL721" i="1"/>
  <c r="AK721" i="1"/>
  <c r="AJ721" i="1"/>
  <c r="AH721" i="1"/>
  <c r="AB721" i="1"/>
  <c r="AA721" i="1"/>
  <c r="Z721" i="1"/>
  <c r="Y721" i="1"/>
  <c r="S721" i="1"/>
  <c r="AL720" i="1"/>
  <c r="AK720" i="1"/>
  <c r="AJ720" i="1"/>
  <c r="AH720" i="1"/>
  <c r="AB720" i="1"/>
  <c r="AA720" i="1"/>
  <c r="Z720" i="1"/>
  <c r="Y720" i="1"/>
  <c r="S720" i="1"/>
  <c r="AL719" i="1"/>
  <c r="AK719" i="1"/>
  <c r="AJ719" i="1"/>
  <c r="AH719" i="1"/>
  <c r="AB719" i="1"/>
  <c r="AA719" i="1"/>
  <c r="Z719" i="1"/>
  <c r="Y719" i="1"/>
  <c r="S719" i="1"/>
  <c r="AL718" i="1"/>
  <c r="AK718" i="1"/>
  <c r="AJ718" i="1"/>
  <c r="AH718" i="1"/>
  <c r="AB718" i="1"/>
  <c r="AA718" i="1"/>
  <c r="Z718" i="1"/>
  <c r="Y718" i="1"/>
  <c r="S718" i="1"/>
  <c r="AL717" i="1"/>
  <c r="AK717" i="1"/>
  <c r="AJ717" i="1"/>
  <c r="AH717" i="1"/>
  <c r="AB717" i="1"/>
  <c r="AA717" i="1"/>
  <c r="Z717" i="1"/>
  <c r="Y717" i="1"/>
  <c r="S717" i="1"/>
  <c r="AK716" i="1"/>
  <c r="AJ716" i="1"/>
  <c r="AH716" i="1"/>
  <c r="AG716" i="1"/>
  <c r="AB716" i="1" s="1"/>
  <c r="AA716" i="1"/>
  <c r="Z716" i="1"/>
  <c r="Y716" i="1"/>
  <c r="R716" i="1"/>
  <c r="AL715" i="1"/>
  <c r="AK715" i="1"/>
  <c r="AJ715" i="1"/>
  <c r="AH715" i="1"/>
  <c r="AB715" i="1"/>
  <c r="AA715" i="1"/>
  <c r="Z715" i="1"/>
  <c r="Y715" i="1"/>
  <c r="S715" i="1"/>
  <c r="AK714" i="1"/>
  <c r="AJ714" i="1"/>
  <c r="AH714" i="1"/>
  <c r="AG714" i="1"/>
  <c r="AB714" i="1" s="1"/>
  <c r="AA714" i="1"/>
  <c r="Z714" i="1"/>
  <c r="Y714" i="1"/>
  <c r="R714" i="1"/>
  <c r="AL714" i="1" s="1"/>
  <c r="AL713" i="1"/>
  <c r="AK713" i="1"/>
  <c r="AJ713" i="1"/>
  <c r="AH713" i="1"/>
  <c r="AB713" i="1"/>
  <c r="AA713" i="1"/>
  <c r="Z713" i="1"/>
  <c r="Y713" i="1"/>
  <c r="S713" i="1"/>
  <c r="AL712" i="1"/>
  <c r="AK712" i="1"/>
  <c r="AJ712" i="1"/>
  <c r="AH712" i="1"/>
  <c r="AB712" i="1"/>
  <c r="AA712" i="1"/>
  <c r="Z712" i="1"/>
  <c r="Y712" i="1"/>
  <c r="S712" i="1"/>
  <c r="AK711" i="1"/>
  <c r="AJ711" i="1"/>
  <c r="AH711" i="1"/>
  <c r="AB711" i="1"/>
  <c r="AA711" i="1"/>
  <c r="Z711" i="1"/>
  <c r="Y711" i="1"/>
  <c r="R711" i="1"/>
  <c r="AL711" i="1" s="1"/>
  <c r="AL710" i="1"/>
  <c r="AK710" i="1"/>
  <c r="AJ710" i="1"/>
  <c r="AH710" i="1"/>
  <c r="AB710" i="1"/>
  <c r="AA710" i="1"/>
  <c r="Z710" i="1"/>
  <c r="Y710" i="1"/>
  <c r="S710" i="1"/>
  <c r="AK709" i="1"/>
  <c r="AJ709" i="1"/>
  <c r="AH709" i="1"/>
  <c r="AG709" i="1"/>
  <c r="AB709" i="1" s="1"/>
  <c r="AA709" i="1"/>
  <c r="Z709" i="1"/>
  <c r="Y709" i="1"/>
  <c r="R709" i="1"/>
  <c r="S709" i="1" s="1"/>
  <c r="AL708" i="1"/>
  <c r="AK708" i="1"/>
  <c r="AJ708" i="1"/>
  <c r="AH708" i="1"/>
  <c r="AB708" i="1"/>
  <c r="AA708" i="1"/>
  <c r="Z708" i="1"/>
  <c r="Y708" i="1"/>
  <c r="S708" i="1"/>
  <c r="AL707" i="1"/>
  <c r="AK707" i="1"/>
  <c r="AJ707" i="1"/>
  <c r="AH707" i="1"/>
  <c r="AB707" i="1"/>
  <c r="AA707" i="1"/>
  <c r="Z707" i="1"/>
  <c r="Y707" i="1"/>
  <c r="S707" i="1"/>
  <c r="AL706" i="1"/>
  <c r="AK706" i="1"/>
  <c r="AJ706" i="1"/>
  <c r="AH706" i="1"/>
  <c r="AB706" i="1"/>
  <c r="AA706" i="1"/>
  <c r="Z706" i="1"/>
  <c r="Y706" i="1"/>
  <c r="S706" i="1"/>
  <c r="AK705" i="1"/>
  <c r="AJ705" i="1"/>
  <c r="AH705" i="1"/>
  <c r="AG705" i="1"/>
  <c r="AB705" i="1" s="1"/>
  <c r="AA705" i="1"/>
  <c r="Z705" i="1"/>
  <c r="Y705" i="1"/>
  <c r="R705" i="1"/>
  <c r="S705" i="1" s="1"/>
  <c r="AL704" i="1"/>
  <c r="AK704" i="1"/>
  <c r="AJ704" i="1"/>
  <c r="AH704" i="1"/>
  <c r="AB704" i="1"/>
  <c r="AA704" i="1"/>
  <c r="Z704" i="1"/>
  <c r="Y704" i="1"/>
  <c r="S704" i="1"/>
  <c r="AK703" i="1"/>
  <c r="AJ703" i="1"/>
  <c r="AH703" i="1"/>
  <c r="AG703" i="1"/>
  <c r="AB703" i="1" s="1"/>
  <c r="AA703" i="1"/>
  <c r="Z703" i="1"/>
  <c r="Y703" i="1"/>
  <c r="R703" i="1"/>
  <c r="S703" i="1" s="1"/>
  <c r="AL702" i="1"/>
  <c r="AK702" i="1"/>
  <c r="AJ702" i="1"/>
  <c r="AH702" i="1"/>
  <c r="AB702" i="1"/>
  <c r="AA702" i="1"/>
  <c r="Z702" i="1"/>
  <c r="Y702" i="1"/>
  <c r="S702" i="1"/>
  <c r="AL701" i="1"/>
  <c r="AK701" i="1"/>
  <c r="AJ701" i="1"/>
  <c r="AH701" i="1"/>
  <c r="AB701" i="1"/>
  <c r="AA701" i="1"/>
  <c r="Z701" i="1"/>
  <c r="Y701" i="1"/>
  <c r="S701" i="1"/>
  <c r="AL700" i="1"/>
  <c r="AK700" i="1"/>
  <c r="AJ700" i="1"/>
  <c r="AH700" i="1"/>
  <c r="AB700" i="1"/>
  <c r="AA700" i="1"/>
  <c r="Z700" i="1"/>
  <c r="Y700" i="1"/>
  <c r="S700" i="1"/>
  <c r="AL699" i="1"/>
  <c r="AK699" i="1"/>
  <c r="AJ699" i="1"/>
  <c r="AH699" i="1"/>
  <c r="AB699" i="1"/>
  <c r="AA699" i="1"/>
  <c r="Z699" i="1"/>
  <c r="Y699" i="1"/>
  <c r="S699" i="1"/>
  <c r="AL698" i="1"/>
  <c r="AK698" i="1"/>
  <c r="AJ698" i="1"/>
  <c r="AH698" i="1"/>
  <c r="AB698" i="1"/>
  <c r="AA698" i="1"/>
  <c r="Z698" i="1"/>
  <c r="Y698" i="1"/>
  <c r="S698" i="1"/>
  <c r="AK697" i="1"/>
  <c r="AJ697" i="1"/>
  <c r="AH697" i="1"/>
  <c r="AG697" i="1"/>
  <c r="AB697" i="1" s="1"/>
  <c r="AA697" i="1"/>
  <c r="Z697" i="1"/>
  <c r="Y697" i="1"/>
  <c r="R697" i="1"/>
  <c r="S697" i="1" s="1"/>
  <c r="AL696" i="1"/>
  <c r="AK696" i="1"/>
  <c r="AJ696" i="1"/>
  <c r="AH696" i="1"/>
  <c r="AB696" i="1"/>
  <c r="AA696" i="1"/>
  <c r="Z696" i="1"/>
  <c r="Y696" i="1"/>
  <c r="S696" i="1"/>
  <c r="AL695" i="1"/>
  <c r="AK695" i="1"/>
  <c r="AJ695" i="1"/>
  <c r="AH695" i="1"/>
  <c r="AB695" i="1"/>
  <c r="AA695" i="1"/>
  <c r="Z695" i="1"/>
  <c r="Y695" i="1"/>
  <c r="S695" i="1"/>
  <c r="AL694" i="1"/>
  <c r="AK694" i="1"/>
  <c r="AJ694" i="1"/>
  <c r="AH694" i="1"/>
  <c r="AB694" i="1"/>
  <c r="AA694" i="1"/>
  <c r="Z694" i="1"/>
  <c r="Y694" i="1"/>
  <c r="S694" i="1"/>
  <c r="AL693" i="1"/>
  <c r="AK693" i="1"/>
  <c r="AJ693" i="1"/>
  <c r="AH693" i="1"/>
  <c r="AB693" i="1"/>
  <c r="AA693" i="1"/>
  <c r="Z693" i="1"/>
  <c r="Y693" i="1"/>
  <c r="S693" i="1"/>
  <c r="AL692" i="1"/>
  <c r="AK692" i="1"/>
  <c r="AJ692" i="1"/>
  <c r="AH692" i="1"/>
  <c r="AB692" i="1"/>
  <c r="AA692" i="1"/>
  <c r="Z692" i="1"/>
  <c r="Y692" i="1"/>
  <c r="S692" i="1"/>
  <c r="AL691" i="1"/>
  <c r="AK691" i="1"/>
  <c r="AJ691" i="1"/>
  <c r="AH691" i="1"/>
  <c r="AB691" i="1"/>
  <c r="AA691" i="1"/>
  <c r="Z691" i="1"/>
  <c r="Y691" i="1"/>
  <c r="S691" i="1"/>
  <c r="AL690" i="1"/>
  <c r="AK690" i="1"/>
  <c r="AJ690" i="1"/>
  <c r="AH690" i="1"/>
  <c r="AB690" i="1"/>
  <c r="AA690" i="1"/>
  <c r="Z690" i="1"/>
  <c r="Y690" i="1"/>
  <c r="S690" i="1"/>
  <c r="AL689" i="1"/>
  <c r="AK689" i="1"/>
  <c r="AJ689" i="1"/>
  <c r="AH689" i="1"/>
  <c r="AB689" i="1"/>
  <c r="AA689" i="1"/>
  <c r="Z689" i="1"/>
  <c r="Y689" i="1"/>
  <c r="S689" i="1"/>
  <c r="AL688" i="1"/>
  <c r="AK688" i="1"/>
  <c r="AJ688" i="1"/>
  <c r="AH688" i="1"/>
  <c r="AB688" i="1"/>
  <c r="AA688" i="1"/>
  <c r="Z688" i="1"/>
  <c r="Y688" i="1"/>
  <c r="S688" i="1"/>
  <c r="AL687" i="1"/>
  <c r="AK687" i="1"/>
  <c r="AJ687" i="1"/>
  <c r="AH687" i="1"/>
  <c r="AB687" i="1"/>
  <c r="AA687" i="1"/>
  <c r="Z687" i="1"/>
  <c r="Y687" i="1"/>
  <c r="S687" i="1"/>
  <c r="AL686" i="1"/>
  <c r="AK686" i="1"/>
  <c r="AJ686" i="1"/>
  <c r="AH686" i="1"/>
  <c r="AB686" i="1"/>
  <c r="AA686" i="1"/>
  <c r="Z686" i="1"/>
  <c r="Y686" i="1"/>
  <c r="S686" i="1"/>
  <c r="AL685" i="1"/>
  <c r="AK685" i="1"/>
  <c r="AJ685" i="1"/>
  <c r="AH685" i="1"/>
  <c r="AB685" i="1"/>
  <c r="AA685" i="1"/>
  <c r="Z685" i="1"/>
  <c r="Y685" i="1"/>
  <c r="S685" i="1"/>
  <c r="AL684" i="1"/>
  <c r="AK684" i="1"/>
  <c r="AJ684" i="1"/>
  <c r="AH684" i="1"/>
  <c r="AB684" i="1"/>
  <c r="AA684" i="1"/>
  <c r="Z684" i="1"/>
  <c r="Y684" i="1"/>
  <c r="S684" i="1"/>
  <c r="AL683" i="1"/>
  <c r="AK683" i="1"/>
  <c r="AJ683" i="1"/>
  <c r="AH683" i="1"/>
  <c r="AB683" i="1"/>
  <c r="AA683" i="1"/>
  <c r="Z683" i="1"/>
  <c r="Y683" i="1"/>
  <c r="S683" i="1"/>
  <c r="AL682" i="1"/>
  <c r="AK682" i="1"/>
  <c r="AJ682" i="1"/>
  <c r="AH682" i="1"/>
  <c r="AB682" i="1"/>
  <c r="AA682" i="1"/>
  <c r="Z682" i="1"/>
  <c r="Y682" i="1"/>
  <c r="S682" i="1"/>
  <c r="AL681" i="1"/>
  <c r="AK681" i="1"/>
  <c r="AJ681" i="1"/>
  <c r="AH681" i="1"/>
  <c r="AB681" i="1"/>
  <c r="AA681" i="1"/>
  <c r="Z681" i="1"/>
  <c r="Y681" i="1"/>
  <c r="S681" i="1"/>
  <c r="AL680" i="1"/>
  <c r="AH680" i="1"/>
  <c r="AE680" i="1"/>
  <c r="Z680" i="1" s="1"/>
  <c r="AB680" i="1"/>
  <c r="AA680" i="1"/>
  <c r="Y680" i="1"/>
  <c r="Q680" i="1"/>
  <c r="AK680" i="1" s="1"/>
  <c r="P680" i="1"/>
  <c r="AL679" i="1"/>
  <c r="AK679" i="1"/>
  <c r="AJ679" i="1"/>
  <c r="AH679" i="1"/>
  <c r="AB679" i="1"/>
  <c r="AA679" i="1"/>
  <c r="Z679" i="1"/>
  <c r="Y679" i="1"/>
  <c r="S679" i="1"/>
  <c r="AL678" i="1"/>
  <c r="AK678" i="1"/>
  <c r="AJ678" i="1"/>
  <c r="AH678" i="1"/>
  <c r="AB678" i="1"/>
  <c r="AA678" i="1"/>
  <c r="Z678" i="1"/>
  <c r="Y678" i="1"/>
  <c r="S678" i="1"/>
  <c r="AL677" i="1"/>
  <c r="AK677" i="1"/>
  <c r="AH677" i="1"/>
  <c r="AE677" i="1"/>
  <c r="Z677" i="1" s="1"/>
  <c r="AB677" i="1"/>
  <c r="AA677" i="1"/>
  <c r="Y677" i="1"/>
  <c r="P677" i="1"/>
  <c r="S677" i="1" s="1"/>
  <c r="AL676" i="1"/>
  <c r="AK676" i="1"/>
  <c r="AJ676" i="1"/>
  <c r="AH676" i="1"/>
  <c r="AB676" i="1"/>
  <c r="AA676" i="1"/>
  <c r="Z676" i="1"/>
  <c r="Y676" i="1"/>
  <c r="S676" i="1"/>
  <c r="AL675" i="1"/>
  <c r="AK675" i="1"/>
  <c r="AJ675" i="1"/>
  <c r="AH675" i="1"/>
  <c r="AB675" i="1"/>
  <c r="AA675" i="1"/>
  <c r="Z675" i="1"/>
  <c r="Y675" i="1"/>
  <c r="S675" i="1"/>
  <c r="AL674" i="1"/>
  <c r="AK674" i="1"/>
  <c r="AJ674" i="1"/>
  <c r="AH674" i="1"/>
  <c r="AB674" i="1"/>
  <c r="AA674" i="1"/>
  <c r="Z674" i="1"/>
  <c r="Y674" i="1"/>
  <c r="S674" i="1"/>
  <c r="AK673" i="1"/>
  <c r="AJ673" i="1"/>
  <c r="AH673" i="1"/>
  <c r="AG673" i="1"/>
  <c r="AB673" i="1" s="1"/>
  <c r="AA673" i="1"/>
  <c r="Z673" i="1"/>
  <c r="Y673" i="1"/>
  <c r="R673" i="1"/>
  <c r="S673" i="1" s="1"/>
  <c r="AL672" i="1"/>
  <c r="AK672" i="1"/>
  <c r="AJ672" i="1"/>
  <c r="AH672" i="1"/>
  <c r="AB672" i="1"/>
  <c r="AA672" i="1"/>
  <c r="Z672" i="1"/>
  <c r="Y672" i="1"/>
  <c r="S672" i="1"/>
  <c r="AL671" i="1"/>
  <c r="AK671" i="1"/>
  <c r="AJ671" i="1"/>
  <c r="AH671" i="1"/>
  <c r="AB671" i="1"/>
  <c r="AA671" i="1"/>
  <c r="Z671" i="1"/>
  <c r="Y671" i="1"/>
  <c r="S671" i="1"/>
  <c r="AL670" i="1"/>
  <c r="AK670" i="1"/>
  <c r="AJ670" i="1"/>
  <c r="AH670" i="1"/>
  <c r="AB670" i="1"/>
  <c r="AA670" i="1"/>
  <c r="Z670" i="1"/>
  <c r="Y670" i="1"/>
  <c r="S670" i="1"/>
  <c r="AL669" i="1"/>
  <c r="AK669" i="1"/>
  <c r="AJ669" i="1"/>
  <c r="AH669" i="1"/>
  <c r="AB669" i="1"/>
  <c r="AA669" i="1"/>
  <c r="Z669" i="1"/>
  <c r="Y669" i="1"/>
  <c r="S669" i="1"/>
  <c r="AL668" i="1"/>
  <c r="AK668" i="1"/>
  <c r="AJ668" i="1"/>
  <c r="AH668" i="1"/>
  <c r="AB668" i="1"/>
  <c r="AA668" i="1"/>
  <c r="Z668" i="1"/>
  <c r="Y668" i="1"/>
  <c r="S668" i="1"/>
  <c r="AL667" i="1"/>
  <c r="AK667" i="1"/>
  <c r="AJ667" i="1"/>
  <c r="AH667" i="1"/>
  <c r="AB667" i="1"/>
  <c r="AA667" i="1"/>
  <c r="Z667" i="1"/>
  <c r="Y667" i="1"/>
  <c r="S667" i="1"/>
  <c r="AL666" i="1"/>
  <c r="AK666" i="1"/>
  <c r="AJ666" i="1"/>
  <c r="AH666" i="1"/>
  <c r="AB666" i="1"/>
  <c r="AA666" i="1"/>
  <c r="Z666" i="1"/>
  <c r="Y666" i="1"/>
  <c r="S666" i="1"/>
  <c r="AL665" i="1"/>
  <c r="AK665" i="1"/>
  <c r="AJ665" i="1"/>
  <c r="AH665" i="1"/>
  <c r="AB665" i="1"/>
  <c r="AA665" i="1"/>
  <c r="Z665" i="1"/>
  <c r="Y665" i="1"/>
  <c r="S665" i="1"/>
  <c r="AL664" i="1"/>
  <c r="AK664" i="1"/>
  <c r="AJ664" i="1"/>
  <c r="AH664" i="1"/>
  <c r="AB664" i="1"/>
  <c r="AA664" i="1"/>
  <c r="Z664" i="1"/>
  <c r="Y664" i="1"/>
  <c r="S664" i="1"/>
  <c r="AL663" i="1"/>
  <c r="AK663" i="1"/>
  <c r="AJ663" i="1"/>
  <c r="AH663" i="1"/>
  <c r="AB663" i="1"/>
  <c r="AA663" i="1"/>
  <c r="Z663" i="1"/>
  <c r="Y663" i="1"/>
  <c r="S663" i="1"/>
  <c r="AL662" i="1"/>
  <c r="AK662" i="1"/>
  <c r="AJ662" i="1"/>
  <c r="AH662" i="1"/>
  <c r="AB662" i="1"/>
  <c r="AA662" i="1"/>
  <c r="Z662" i="1"/>
  <c r="Y662" i="1"/>
  <c r="S662" i="1"/>
  <c r="AL661" i="1"/>
  <c r="AK661" i="1"/>
  <c r="AJ661" i="1"/>
  <c r="AH661" i="1"/>
  <c r="AB661" i="1"/>
  <c r="AA661" i="1"/>
  <c r="Z661" i="1"/>
  <c r="Y661" i="1"/>
  <c r="S661" i="1"/>
  <c r="AL660" i="1"/>
  <c r="AK660" i="1"/>
  <c r="AJ660" i="1"/>
  <c r="AH660" i="1"/>
  <c r="AB660" i="1"/>
  <c r="AA660" i="1"/>
  <c r="Z660" i="1"/>
  <c r="Y660" i="1"/>
  <c r="S660" i="1"/>
  <c r="AK659" i="1"/>
  <c r="AJ659" i="1"/>
  <c r="AH659" i="1"/>
  <c r="AG659" i="1"/>
  <c r="AB659" i="1" s="1"/>
  <c r="AA659" i="1"/>
  <c r="Z659" i="1"/>
  <c r="Y659" i="1"/>
  <c r="R659" i="1"/>
  <c r="S659" i="1" s="1"/>
  <c r="AL658" i="1"/>
  <c r="AK658" i="1"/>
  <c r="AJ658" i="1"/>
  <c r="AH658" i="1"/>
  <c r="AB658" i="1"/>
  <c r="AA658" i="1"/>
  <c r="Z658" i="1"/>
  <c r="Y658" i="1"/>
  <c r="S658" i="1"/>
  <c r="AK657" i="1"/>
  <c r="AJ657" i="1"/>
  <c r="AH657" i="1"/>
  <c r="AB657" i="1"/>
  <c r="AA657" i="1"/>
  <c r="Z657" i="1"/>
  <c r="Y657" i="1"/>
  <c r="R657" i="1"/>
  <c r="AL657" i="1" s="1"/>
  <c r="AL656" i="1"/>
  <c r="AK656" i="1"/>
  <c r="AJ656" i="1"/>
  <c r="AH656" i="1"/>
  <c r="AB656" i="1"/>
  <c r="AA656" i="1"/>
  <c r="Z656" i="1"/>
  <c r="Y656" i="1"/>
  <c r="S656" i="1"/>
  <c r="AL655" i="1"/>
  <c r="AK655" i="1"/>
  <c r="AJ655" i="1"/>
  <c r="AH655" i="1"/>
  <c r="AB655" i="1"/>
  <c r="AA655" i="1"/>
  <c r="Z655" i="1"/>
  <c r="Y655" i="1"/>
  <c r="S655" i="1"/>
  <c r="AL654" i="1"/>
  <c r="AK654" i="1"/>
  <c r="AJ654" i="1"/>
  <c r="AH654" i="1"/>
  <c r="AB654" i="1"/>
  <c r="AA654" i="1"/>
  <c r="Z654" i="1"/>
  <c r="Y654" i="1"/>
  <c r="S654" i="1"/>
  <c r="AL653" i="1"/>
  <c r="AK653" i="1"/>
  <c r="AJ653" i="1"/>
  <c r="AH653" i="1"/>
  <c r="AB653" i="1"/>
  <c r="AA653" i="1"/>
  <c r="Z653" i="1"/>
  <c r="Y653" i="1"/>
  <c r="S653" i="1"/>
  <c r="AL652" i="1"/>
  <c r="AK652" i="1"/>
  <c r="AJ652" i="1"/>
  <c r="AH652" i="1"/>
  <c r="AB652" i="1"/>
  <c r="AA652" i="1"/>
  <c r="Z652" i="1"/>
  <c r="Y652" i="1"/>
  <c r="S652" i="1"/>
  <c r="AL651" i="1"/>
  <c r="AK651" i="1"/>
  <c r="AJ651" i="1"/>
  <c r="AH651" i="1"/>
  <c r="AB651" i="1"/>
  <c r="AA651" i="1"/>
  <c r="Z651" i="1"/>
  <c r="Y651" i="1"/>
  <c r="S651" i="1"/>
  <c r="AL650" i="1"/>
  <c r="AK650" i="1"/>
  <c r="AJ650" i="1"/>
  <c r="AH650" i="1"/>
  <c r="AB650" i="1"/>
  <c r="AA650" i="1"/>
  <c r="Z650" i="1"/>
  <c r="Y650" i="1"/>
  <c r="S650" i="1"/>
  <c r="AL649" i="1"/>
  <c r="AK649" i="1"/>
  <c r="AJ649" i="1"/>
  <c r="AH649" i="1"/>
  <c r="AB649" i="1"/>
  <c r="AA649" i="1"/>
  <c r="Z649" i="1"/>
  <c r="Y649" i="1"/>
  <c r="S649" i="1"/>
  <c r="AL648" i="1"/>
  <c r="AK648" i="1"/>
  <c r="AJ648" i="1"/>
  <c r="AH648" i="1"/>
  <c r="AB648" i="1"/>
  <c r="AA648" i="1"/>
  <c r="Z648" i="1"/>
  <c r="Y648" i="1"/>
  <c r="S648" i="1"/>
  <c r="AL647" i="1"/>
  <c r="AK647" i="1"/>
  <c r="AJ647" i="1"/>
  <c r="AH647" i="1"/>
  <c r="AB647" i="1"/>
  <c r="AA647" i="1"/>
  <c r="Z647" i="1"/>
  <c r="Y647" i="1"/>
  <c r="S647" i="1"/>
  <c r="AL646" i="1"/>
  <c r="AK646" i="1"/>
  <c r="AJ646" i="1"/>
  <c r="AH646" i="1"/>
  <c r="AB646" i="1"/>
  <c r="AA646" i="1"/>
  <c r="Z646" i="1"/>
  <c r="Y646" i="1"/>
  <c r="S646" i="1"/>
  <c r="AL645" i="1"/>
  <c r="AK645" i="1"/>
  <c r="AJ645" i="1"/>
  <c r="AH645" i="1"/>
  <c r="AB645" i="1"/>
  <c r="AA645" i="1"/>
  <c r="Z645" i="1"/>
  <c r="Y645" i="1"/>
  <c r="S645" i="1"/>
  <c r="AL644" i="1"/>
  <c r="AK644" i="1"/>
  <c r="AJ644" i="1"/>
  <c r="AH644" i="1"/>
  <c r="AB644" i="1"/>
  <c r="AA644" i="1"/>
  <c r="Z644" i="1"/>
  <c r="Y644" i="1"/>
  <c r="S644" i="1"/>
  <c r="AL643" i="1"/>
  <c r="AK643" i="1"/>
  <c r="AJ643" i="1"/>
  <c r="AH643" i="1"/>
  <c r="AB643" i="1"/>
  <c r="AA643" i="1"/>
  <c r="Z643" i="1"/>
  <c r="Y643" i="1"/>
  <c r="S643" i="1"/>
  <c r="AL642" i="1"/>
  <c r="AK642" i="1"/>
  <c r="AJ642" i="1"/>
  <c r="AH642" i="1"/>
  <c r="AB642" i="1"/>
  <c r="AA642" i="1"/>
  <c r="Z642" i="1"/>
  <c r="Y642" i="1"/>
  <c r="S642" i="1"/>
  <c r="AL641" i="1"/>
  <c r="AK641" i="1"/>
  <c r="AJ641" i="1"/>
  <c r="AH641" i="1"/>
  <c r="AB641" i="1"/>
  <c r="AA641" i="1"/>
  <c r="Z641" i="1"/>
  <c r="Y641" i="1"/>
  <c r="S641" i="1"/>
  <c r="AL640" i="1"/>
  <c r="AK640" i="1"/>
  <c r="AJ640" i="1"/>
  <c r="AH640" i="1"/>
  <c r="AB640" i="1"/>
  <c r="AA640" i="1"/>
  <c r="Z640" i="1"/>
  <c r="Y640" i="1"/>
  <c r="S640" i="1"/>
  <c r="AL639" i="1"/>
  <c r="AK639" i="1"/>
  <c r="AJ639" i="1"/>
  <c r="AH639" i="1"/>
  <c r="AB639" i="1"/>
  <c r="AA639" i="1"/>
  <c r="Z639" i="1"/>
  <c r="Y639" i="1"/>
  <c r="S639" i="1"/>
  <c r="AL638" i="1"/>
  <c r="AK638" i="1"/>
  <c r="AJ638" i="1"/>
  <c r="AH638" i="1"/>
  <c r="AB638" i="1"/>
  <c r="AA638" i="1"/>
  <c r="Z638" i="1"/>
  <c r="Y638" i="1"/>
  <c r="S638" i="1"/>
  <c r="AL637" i="1"/>
  <c r="AK637" i="1"/>
  <c r="AJ637" i="1"/>
  <c r="AH637" i="1"/>
  <c r="AB637" i="1"/>
  <c r="AA637" i="1"/>
  <c r="Z637" i="1"/>
  <c r="Y637" i="1"/>
  <c r="S637" i="1"/>
  <c r="AL636" i="1"/>
  <c r="AK636" i="1"/>
  <c r="AJ636" i="1"/>
  <c r="AH636" i="1"/>
  <c r="AB636" i="1"/>
  <c r="AA636" i="1"/>
  <c r="Z636" i="1"/>
  <c r="Y636" i="1"/>
  <c r="S636" i="1"/>
  <c r="AK635" i="1"/>
  <c r="AJ635" i="1"/>
  <c r="AH635" i="1"/>
  <c r="AG635" i="1"/>
  <c r="AB635" i="1" s="1"/>
  <c r="AA635" i="1"/>
  <c r="Z635" i="1"/>
  <c r="Y635" i="1"/>
  <c r="R635" i="1"/>
  <c r="AL635" i="1" s="1"/>
  <c r="AK634" i="1"/>
  <c r="AJ634" i="1"/>
  <c r="AH634" i="1"/>
  <c r="AG634" i="1"/>
  <c r="AB634" i="1" s="1"/>
  <c r="AA634" i="1"/>
  <c r="Z634" i="1"/>
  <c r="Y634" i="1"/>
  <c r="R634" i="1"/>
  <c r="AL633" i="1"/>
  <c r="AK633" i="1"/>
  <c r="AJ633" i="1"/>
  <c r="AH633" i="1"/>
  <c r="AB633" i="1"/>
  <c r="AA633" i="1"/>
  <c r="Z633" i="1"/>
  <c r="Y633" i="1"/>
  <c r="S633" i="1"/>
  <c r="AL632" i="1"/>
  <c r="AK632" i="1"/>
  <c r="AJ632" i="1"/>
  <c r="AH632" i="1"/>
  <c r="AB632" i="1"/>
  <c r="AA632" i="1"/>
  <c r="Z632" i="1"/>
  <c r="Y632" i="1"/>
  <c r="S632" i="1"/>
  <c r="AL631" i="1"/>
  <c r="AK631" i="1"/>
  <c r="AH631" i="1"/>
  <c r="AE631" i="1"/>
  <c r="Z631" i="1" s="1"/>
  <c r="AB631" i="1"/>
  <c r="AA631" i="1"/>
  <c r="Y631" i="1"/>
  <c r="P631" i="1"/>
  <c r="S631" i="1" s="1"/>
  <c r="AL630" i="1"/>
  <c r="AK630" i="1"/>
  <c r="AJ630" i="1"/>
  <c r="AH630" i="1"/>
  <c r="AB630" i="1"/>
  <c r="AA630" i="1"/>
  <c r="Z630" i="1"/>
  <c r="Y630" i="1"/>
  <c r="S630" i="1"/>
  <c r="AL629" i="1"/>
  <c r="AK629" i="1"/>
  <c r="AJ629" i="1"/>
  <c r="AH629" i="1"/>
  <c r="AB629" i="1"/>
  <c r="AA629" i="1"/>
  <c r="Z629" i="1"/>
  <c r="Y629" i="1"/>
  <c r="S629" i="1"/>
  <c r="AK628" i="1"/>
  <c r="AJ628" i="1"/>
  <c r="AH628" i="1"/>
  <c r="AG628" i="1"/>
  <c r="AB628" i="1" s="1"/>
  <c r="AA628" i="1"/>
  <c r="Z628" i="1"/>
  <c r="Y628" i="1"/>
  <c r="R628" i="1"/>
  <c r="S628" i="1" s="1"/>
  <c r="AL627" i="1"/>
  <c r="AK627" i="1"/>
  <c r="AJ627" i="1"/>
  <c r="AH627" i="1"/>
  <c r="AB627" i="1"/>
  <c r="AA627" i="1"/>
  <c r="Z627" i="1"/>
  <c r="Y627" i="1"/>
  <c r="S627" i="1"/>
  <c r="AL626" i="1"/>
  <c r="AK626" i="1"/>
  <c r="AJ626" i="1"/>
  <c r="AH626" i="1"/>
  <c r="AB626" i="1"/>
  <c r="AA626" i="1"/>
  <c r="Z626" i="1"/>
  <c r="Y626" i="1"/>
  <c r="S626" i="1"/>
  <c r="AL625" i="1"/>
  <c r="AK625" i="1"/>
  <c r="AJ625" i="1"/>
  <c r="AH625" i="1"/>
  <c r="AB625" i="1"/>
  <c r="AA625" i="1"/>
  <c r="Z625" i="1"/>
  <c r="Y625" i="1"/>
  <c r="S625" i="1"/>
  <c r="AL624" i="1"/>
  <c r="AK624" i="1"/>
  <c r="AJ624" i="1"/>
  <c r="AH624" i="1"/>
  <c r="AB624" i="1"/>
  <c r="AA624" i="1"/>
  <c r="Z624" i="1"/>
  <c r="Y624" i="1"/>
  <c r="S624" i="1"/>
  <c r="AL623" i="1"/>
  <c r="AK623" i="1"/>
  <c r="AJ623" i="1"/>
  <c r="AH623" i="1"/>
  <c r="AB623" i="1"/>
  <c r="AA623" i="1"/>
  <c r="Z623" i="1"/>
  <c r="Y623" i="1"/>
  <c r="S623" i="1"/>
  <c r="AL622" i="1"/>
  <c r="AK622" i="1"/>
  <c r="AJ622" i="1"/>
  <c r="AH622" i="1"/>
  <c r="AB622" i="1"/>
  <c r="AA622" i="1"/>
  <c r="Z622" i="1"/>
  <c r="Y622" i="1"/>
  <c r="S622" i="1"/>
  <c r="AL621" i="1"/>
  <c r="AK621" i="1"/>
  <c r="AJ621" i="1"/>
  <c r="AH621" i="1"/>
  <c r="AB621" i="1"/>
  <c r="AA621" i="1"/>
  <c r="Z621" i="1"/>
  <c r="Y621" i="1"/>
  <c r="S621" i="1"/>
  <c r="AL620" i="1"/>
  <c r="AK620" i="1"/>
  <c r="AJ620" i="1"/>
  <c r="AH620" i="1"/>
  <c r="AB620" i="1"/>
  <c r="AA620" i="1"/>
  <c r="Z620" i="1"/>
  <c r="Y620" i="1"/>
  <c r="S620" i="1"/>
  <c r="AL619" i="1"/>
  <c r="AK619" i="1"/>
  <c r="AJ619" i="1"/>
  <c r="AH619" i="1"/>
  <c r="AB619" i="1"/>
  <c r="AA619" i="1"/>
  <c r="Z619" i="1"/>
  <c r="Y619" i="1"/>
  <c r="S619" i="1"/>
  <c r="AL618" i="1"/>
  <c r="AK618" i="1"/>
  <c r="AJ618" i="1"/>
  <c r="AH618" i="1"/>
  <c r="AB618" i="1"/>
  <c r="AA618" i="1"/>
  <c r="Z618" i="1"/>
  <c r="Y618" i="1"/>
  <c r="S618" i="1"/>
  <c r="AK617" i="1"/>
  <c r="AJ617" i="1"/>
  <c r="AH617" i="1"/>
  <c r="AG617" i="1"/>
  <c r="AB617" i="1" s="1"/>
  <c r="AA617" i="1"/>
  <c r="Z617" i="1"/>
  <c r="Y617" i="1"/>
  <c r="R617" i="1"/>
  <c r="S617" i="1" s="1"/>
  <c r="AL616" i="1"/>
  <c r="AK616" i="1"/>
  <c r="AJ616" i="1"/>
  <c r="AH616" i="1"/>
  <c r="AB616" i="1"/>
  <c r="AA616" i="1"/>
  <c r="Z616" i="1"/>
  <c r="Y616" i="1"/>
  <c r="S616" i="1"/>
  <c r="AL615" i="1"/>
  <c r="AK615" i="1"/>
  <c r="AJ615" i="1"/>
  <c r="AH615" i="1"/>
  <c r="AB615" i="1"/>
  <c r="AA615" i="1"/>
  <c r="Z615" i="1"/>
  <c r="Y615" i="1"/>
  <c r="S615" i="1"/>
  <c r="AK614" i="1"/>
  <c r="AJ614" i="1"/>
  <c r="AH614" i="1"/>
  <c r="AG614" i="1"/>
  <c r="AB614" i="1" s="1"/>
  <c r="AA614" i="1"/>
  <c r="Z614" i="1"/>
  <c r="Y614" i="1"/>
  <c r="R614" i="1"/>
  <c r="S614" i="1" s="1"/>
  <c r="AL613" i="1"/>
  <c r="AK613" i="1"/>
  <c r="AJ613" i="1"/>
  <c r="AH613" i="1"/>
  <c r="AB613" i="1"/>
  <c r="AA613" i="1"/>
  <c r="Z613" i="1"/>
  <c r="Y613" i="1"/>
  <c r="S613" i="1"/>
  <c r="AL612" i="1"/>
  <c r="AK612" i="1"/>
  <c r="AJ612" i="1"/>
  <c r="AH612" i="1"/>
  <c r="AB612" i="1"/>
  <c r="AA612" i="1"/>
  <c r="Z612" i="1"/>
  <c r="Y612" i="1"/>
  <c r="S612" i="1"/>
  <c r="AL611" i="1"/>
  <c r="AK611" i="1"/>
  <c r="AJ611" i="1"/>
  <c r="AH611" i="1"/>
  <c r="AB611" i="1"/>
  <c r="AA611" i="1"/>
  <c r="Z611" i="1"/>
  <c r="Y611" i="1"/>
  <c r="S611" i="1"/>
  <c r="AK610" i="1"/>
  <c r="AJ610" i="1"/>
  <c r="AH610" i="1"/>
  <c r="AB610" i="1"/>
  <c r="AA610" i="1"/>
  <c r="Z610" i="1"/>
  <c r="Y610" i="1"/>
  <c r="R610" i="1"/>
  <c r="AL610" i="1" s="1"/>
  <c r="AL609" i="1"/>
  <c r="AK609" i="1"/>
  <c r="AJ609" i="1"/>
  <c r="AH609" i="1"/>
  <c r="AB609" i="1"/>
  <c r="AA609" i="1"/>
  <c r="Z609" i="1"/>
  <c r="Y609" i="1"/>
  <c r="S609" i="1"/>
  <c r="AL608" i="1"/>
  <c r="AK608" i="1"/>
  <c r="AJ608" i="1"/>
  <c r="AH608" i="1"/>
  <c r="AB608" i="1"/>
  <c r="AA608" i="1"/>
  <c r="Z608" i="1"/>
  <c r="Y608" i="1"/>
  <c r="S608" i="1"/>
  <c r="AL607" i="1"/>
  <c r="AK607" i="1"/>
  <c r="AJ607" i="1"/>
  <c r="AH607" i="1"/>
  <c r="AB607" i="1"/>
  <c r="AA607" i="1"/>
  <c r="Z607" i="1"/>
  <c r="Y607" i="1"/>
  <c r="S607" i="1"/>
  <c r="AL606" i="1"/>
  <c r="AK606" i="1"/>
  <c r="AJ606" i="1"/>
  <c r="AH606" i="1"/>
  <c r="AB606" i="1"/>
  <c r="AA606" i="1"/>
  <c r="Z606" i="1"/>
  <c r="Y606" i="1"/>
  <c r="S606" i="1"/>
  <c r="AL605" i="1"/>
  <c r="AH605" i="1"/>
  <c r="AE605" i="1"/>
  <c r="Z605" i="1" s="1"/>
  <c r="AB605" i="1"/>
  <c r="AA605" i="1"/>
  <c r="Y605" i="1"/>
  <c r="Q605" i="1"/>
  <c r="P605" i="1"/>
  <c r="AL604" i="1"/>
  <c r="AK604" i="1"/>
  <c r="AJ604" i="1"/>
  <c r="AH604" i="1"/>
  <c r="AB604" i="1"/>
  <c r="AA604" i="1"/>
  <c r="Z604" i="1"/>
  <c r="Y604" i="1"/>
  <c r="S604" i="1"/>
  <c r="AL603" i="1"/>
  <c r="AK603" i="1"/>
  <c r="AJ603" i="1"/>
  <c r="AH603" i="1"/>
  <c r="AB603" i="1"/>
  <c r="AA603" i="1"/>
  <c r="Z603" i="1"/>
  <c r="Y603" i="1"/>
  <c r="S603" i="1"/>
  <c r="AK602" i="1"/>
  <c r="AJ602" i="1"/>
  <c r="AH602" i="1"/>
  <c r="AB602" i="1"/>
  <c r="AA602" i="1"/>
  <c r="Z602" i="1"/>
  <c r="Y602" i="1"/>
  <c r="R602" i="1"/>
  <c r="S602" i="1" s="1"/>
  <c r="AL601" i="1"/>
  <c r="AK601" i="1"/>
  <c r="AJ601" i="1"/>
  <c r="AH601" i="1"/>
  <c r="AB601" i="1"/>
  <c r="AA601" i="1"/>
  <c r="Z601" i="1"/>
  <c r="Y601" i="1"/>
  <c r="S601" i="1"/>
  <c r="AL600" i="1"/>
  <c r="AK600" i="1"/>
  <c r="AJ600" i="1"/>
  <c r="AH600" i="1"/>
  <c r="AB600" i="1"/>
  <c r="AA600" i="1"/>
  <c r="Z600" i="1"/>
  <c r="Y600" i="1"/>
  <c r="S600" i="1"/>
  <c r="AK599" i="1"/>
  <c r="AJ599" i="1"/>
  <c r="AH599" i="1"/>
  <c r="AG599" i="1"/>
  <c r="AB599" i="1" s="1"/>
  <c r="AA599" i="1"/>
  <c r="Z599" i="1"/>
  <c r="Y599" i="1"/>
  <c r="R599" i="1"/>
  <c r="S599" i="1" s="1"/>
  <c r="AL598" i="1"/>
  <c r="AK598" i="1"/>
  <c r="AJ598" i="1"/>
  <c r="AH598" i="1"/>
  <c r="AB598" i="1"/>
  <c r="AA598" i="1"/>
  <c r="Z598" i="1"/>
  <c r="Y598" i="1"/>
  <c r="S598" i="1"/>
  <c r="AL597" i="1"/>
  <c r="AK597" i="1"/>
  <c r="AJ597" i="1"/>
  <c r="AH597" i="1"/>
  <c r="AB597" i="1"/>
  <c r="AA597" i="1"/>
  <c r="Z597" i="1"/>
  <c r="Y597" i="1"/>
  <c r="S597" i="1"/>
  <c r="AL596" i="1"/>
  <c r="AK596" i="1"/>
  <c r="AJ596" i="1"/>
  <c r="AH596" i="1"/>
  <c r="AB596" i="1"/>
  <c r="AA596" i="1"/>
  <c r="Z596" i="1"/>
  <c r="Y596" i="1"/>
  <c r="S596" i="1"/>
  <c r="AL595" i="1"/>
  <c r="AK595" i="1"/>
  <c r="AJ595" i="1"/>
  <c r="AH595" i="1"/>
  <c r="AB595" i="1"/>
  <c r="AA595" i="1"/>
  <c r="Z595" i="1"/>
  <c r="Y595" i="1"/>
  <c r="S595" i="1"/>
  <c r="AL594" i="1"/>
  <c r="AK594" i="1"/>
  <c r="AJ594" i="1"/>
  <c r="AH594" i="1"/>
  <c r="AB594" i="1"/>
  <c r="AA594" i="1"/>
  <c r="Z594" i="1"/>
  <c r="Y594" i="1"/>
  <c r="S594" i="1"/>
  <c r="AL593" i="1"/>
  <c r="AK593" i="1"/>
  <c r="AJ593" i="1"/>
  <c r="AH593" i="1"/>
  <c r="AB593" i="1"/>
  <c r="AA593" i="1"/>
  <c r="Z593" i="1"/>
  <c r="Y593" i="1"/>
  <c r="S593" i="1"/>
  <c r="AL592" i="1"/>
  <c r="AK592" i="1"/>
  <c r="AH592" i="1"/>
  <c r="AB592" i="1"/>
  <c r="AA592" i="1"/>
  <c r="Z592" i="1"/>
  <c r="Y592" i="1"/>
  <c r="P592" i="1"/>
  <c r="S592" i="1" s="1"/>
  <c r="AL591" i="1"/>
  <c r="AK591" i="1"/>
  <c r="AJ591" i="1"/>
  <c r="AH591" i="1"/>
  <c r="AB591" i="1"/>
  <c r="AA591" i="1"/>
  <c r="Z591" i="1"/>
  <c r="Y591" i="1"/>
  <c r="S591" i="1"/>
  <c r="AK590" i="1"/>
  <c r="AJ590" i="1"/>
  <c r="AH590" i="1"/>
  <c r="AB590" i="1"/>
  <c r="AA590" i="1"/>
  <c r="Z590" i="1"/>
  <c r="Y590" i="1"/>
  <c r="R590" i="1"/>
  <c r="AL590" i="1" s="1"/>
  <c r="AK589" i="1"/>
  <c r="AJ589" i="1"/>
  <c r="AH589" i="1"/>
  <c r="AB589" i="1"/>
  <c r="AA589" i="1"/>
  <c r="Z589" i="1"/>
  <c r="Y589" i="1"/>
  <c r="R589" i="1"/>
  <c r="AL589" i="1" s="1"/>
  <c r="AL588" i="1"/>
  <c r="AK588" i="1"/>
  <c r="AJ588" i="1"/>
  <c r="AH588" i="1"/>
  <c r="AB588" i="1"/>
  <c r="AA588" i="1"/>
  <c r="Z588" i="1"/>
  <c r="Y588" i="1"/>
  <c r="S588" i="1"/>
  <c r="AL587" i="1"/>
  <c r="AK587" i="1"/>
  <c r="AJ587" i="1"/>
  <c r="AH587" i="1"/>
  <c r="AB587" i="1"/>
  <c r="AA587" i="1"/>
  <c r="Z587" i="1"/>
  <c r="Y587" i="1"/>
  <c r="S587" i="1"/>
  <c r="AL586" i="1"/>
  <c r="AK586" i="1"/>
  <c r="AJ586" i="1"/>
  <c r="AH586" i="1"/>
  <c r="AB586" i="1"/>
  <c r="AA586" i="1"/>
  <c r="Z586" i="1"/>
  <c r="Y586" i="1"/>
  <c r="S586" i="1"/>
  <c r="AL585" i="1"/>
  <c r="AK585" i="1"/>
  <c r="AJ585" i="1"/>
  <c r="AH585" i="1"/>
  <c r="AB585" i="1"/>
  <c r="AA585" i="1"/>
  <c r="Z585" i="1"/>
  <c r="Y585" i="1"/>
  <c r="S585" i="1"/>
  <c r="AL584" i="1"/>
  <c r="AK584" i="1"/>
  <c r="AJ584" i="1"/>
  <c r="AH584" i="1"/>
  <c r="AB584" i="1"/>
  <c r="AA584" i="1"/>
  <c r="Z584" i="1"/>
  <c r="Y584" i="1"/>
  <c r="S584" i="1"/>
  <c r="AL583" i="1"/>
  <c r="AK583" i="1"/>
  <c r="AJ583" i="1"/>
  <c r="AH583" i="1"/>
  <c r="AB583" i="1"/>
  <c r="AA583" i="1"/>
  <c r="Z583" i="1"/>
  <c r="Y583" i="1"/>
  <c r="S583" i="1"/>
  <c r="AL582" i="1"/>
  <c r="AK582" i="1"/>
  <c r="AJ582" i="1"/>
  <c r="AH582" i="1"/>
  <c r="AB582" i="1"/>
  <c r="AA582" i="1"/>
  <c r="Z582" i="1"/>
  <c r="Y582" i="1"/>
  <c r="S582" i="1"/>
  <c r="AK581" i="1"/>
  <c r="AJ581" i="1"/>
  <c r="AH581" i="1"/>
  <c r="AG581" i="1"/>
  <c r="AB581" i="1" s="1"/>
  <c r="AA581" i="1"/>
  <c r="Z581" i="1"/>
  <c r="Y581" i="1"/>
  <c r="R581" i="1"/>
  <c r="AL581" i="1" s="1"/>
  <c r="AL580" i="1"/>
  <c r="AK580" i="1"/>
  <c r="AJ580" i="1"/>
  <c r="AH580" i="1"/>
  <c r="AB580" i="1"/>
  <c r="AA580" i="1"/>
  <c r="Z580" i="1"/>
  <c r="Y580" i="1"/>
  <c r="S580" i="1"/>
  <c r="AL579" i="1"/>
  <c r="AK579" i="1"/>
  <c r="AJ579" i="1"/>
  <c r="AH579" i="1"/>
  <c r="AB579" i="1"/>
  <c r="AA579" i="1"/>
  <c r="Z579" i="1"/>
  <c r="Y579" i="1"/>
  <c r="S579" i="1"/>
  <c r="AL578" i="1"/>
  <c r="AK578" i="1"/>
  <c r="AJ578" i="1"/>
  <c r="AH578" i="1"/>
  <c r="AB578" i="1"/>
  <c r="AA578" i="1"/>
  <c r="Z578" i="1"/>
  <c r="Y578" i="1"/>
  <c r="S578" i="1"/>
  <c r="AL577" i="1"/>
  <c r="AK577" i="1"/>
  <c r="AJ577" i="1"/>
  <c r="AH577" i="1"/>
  <c r="AB577" i="1"/>
  <c r="AA577" i="1"/>
  <c r="Z577" i="1"/>
  <c r="Y577" i="1"/>
  <c r="S577" i="1"/>
  <c r="AL576" i="1"/>
  <c r="AK576" i="1"/>
  <c r="AJ576" i="1"/>
  <c r="AH576" i="1"/>
  <c r="AB576" i="1"/>
  <c r="AA576" i="1"/>
  <c r="Z576" i="1"/>
  <c r="Y576" i="1"/>
  <c r="S576" i="1"/>
  <c r="AL575" i="1"/>
  <c r="AK575" i="1"/>
  <c r="AJ575" i="1"/>
  <c r="AH575" i="1"/>
  <c r="AB575" i="1"/>
  <c r="AA575" i="1"/>
  <c r="Z575" i="1"/>
  <c r="Y575" i="1"/>
  <c r="S575" i="1"/>
  <c r="AL574" i="1"/>
  <c r="AK574" i="1"/>
  <c r="AJ574" i="1"/>
  <c r="AH574" i="1"/>
  <c r="AB574" i="1"/>
  <c r="AA574" i="1"/>
  <c r="Z574" i="1"/>
  <c r="Y574" i="1"/>
  <c r="S574" i="1"/>
  <c r="AL573" i="1"/>
  <c r="AK573" i="1"/>
  <c r="AJ573" i="1"/>
  <c r="AH573" i="1"/>
  <c r="AB573" i="1"/>
  <c r="AA573" i="1"/>
  <c r="Z573" i="1"/>
  <c r="Y573" i="1"/>
  <c r="S573" i="1"/>
  <c r="AL572" i="1"/>
  <c r="AK572" i="1"/>
  <c r="AJ572" i="1"/>
  <c r="AH572" i="1"/>
  <c r="AB572" i="1"/>
  <c r="AA572" i="1"/>
  <c r="Z572" i="1"/>
  <c r="Y572" i="1"/>
  <c r="S572" i="1"/>
  <c r="AL571" i="1"/>
  <c r="AK571" i="1"/>
  <c r="AJ571" i="1"/>
  <c r="AH571" i="1"/>
  <c r="AB571" i="1"/>
  <c r="AA571" i="1"/>
  <c r="Z571" i="1"/>
  <c r="Y571" i="1"/>
  <c r="S571" i="1"/>
  <c r="AL570" i="1"/>
  <c r="AK570" i="1"/>
  <c r="AJ570" i="1"/>
  <c r="AH570" i="1"/>
  <c r="AB570" i="1"/>
  <c r="AA570" i="1"/>
  <c r="Z570" i="1"/>
  <c r="Y570" i="1"/>
  <c r="S570" i="1"/>
  <c r="AL569" i="1"/>
  <c r="AK569" i="1"/>
  <c r="AJ569" i="1"/>
  <c r="AH569" i="1"/>
  <c r="AB569" i="1"/>
  <c r="AA569" i="1"/>
  <c r="Z569" i="1"/>
  <c r="Y569" i="1"/>
  <c r="S569" i="1"/>
  <c r="AL568" i="1"/>
  <c r="AK568" i="1"/>
  <c r="AJ568" i="1"/>
  <c r="AH568" i="1"/>
  <c r="AB568" i="1"/>
  <c r="AA568" i="1"/>
  <c r="Z568" i="1"/>
  <c r="Y568" i="1"/>
  <c r="S568" i="1"/>
  <c r="AL567" i="1"/>
  <c r="AK567" i="1"/>
  <c r="AJ567" i="1"/>
  <c r="AH567" i="1"/>
  <c r="AB567" i="1"/>
  <c r="AA567" i="1"/>
  <c r="Z567" i="1"/>
  <c r="Y567" i="1"/>
  <c r="S567" i="1"/>
  <c r="AL566" i="1"/>
  <c r="AK566" i="1"/>
  <c r="AJ566" i="1"/>
  <c r="AH566" i="1"/>
  <c r="AB566" i="1"/>
  <c r="AA566" i="1"/>
  <c r="Z566" i="1"/>
  <c r="Y566" i="1"/>
  <c r="S566" i="1"/>
  <c r="AL565" i="1"/>
  <c r="AJ565" i="1"/>
  <c r="AH565" i="1"/>
  <c r="AF565" i="1"/>
  <c r="AF13" i="1" s="1"/>
  <c r="AB565" i="1"/>
  <c r="Z565" i="1"/>
  <c r="Y565" i="1"/>
  <c r="S565" i="1"/>
  <c r="AL564" i="1"/>
  <c r="AK564" i="1"/>
  <c r="AJ564" i="1"/>
  <c r="AH564" i="1"/>
  <c r="AB564" i="1"/>
  <c r="AA564" i="1"/>
  <c r="Z564" i="1"/>
  <c r="Y564" i="1"/>
  <c r="S564" i="1"/>
  <c r="AL563" i="1"/>
  <c r="AK563" i="1"/>
  <c r="AJ563" i="1"/>
  <c r="AH563" i="1"/>
  <c r="AB563" i="1"/>
  <c r="AA563" i="1"/>
  <c r="Z563" i="1"/>
  <c r="Y563" i="1"/>
  <c r="S563" i="1"/>
  <c r="AL562" i="1"/>
  <c r="AK562" i="1"/>
  <c r="AJ562" i="1"/>
  <c r="AH562" i="1"/>
  <c r="AB562" i="1"/>
  <c r="AA562" i="1"/>
  <c r="Z562" i="1"/>
  <c r="Y562" i="1"/>
  <c r="S562" i="1"/>
  <c r="AL561" i="1"/>
  <c r="AK561" i="1"/>
  <c r="AJ561" i="1"/>
  <c r="AH561" i="1"/>
  <c r="AB561" i="1"/>
  <c r="AA561" i="1"/>
  <c r="Z561" i="1"/>
  <c r="Y561" i="1"/>
  <c r="S561" i="1"/>
  <c r="AL560" i="1"/>
  <c r="AK560" i="1"/>
  <c r="AJ560" i="1"/>
  <c r="AH560" i="1"/>
  <c r="AB560" i="1"/>
  <c r="AA560" i="1"/>
  <c r="Z560" i="1"/>
  <c r="Y560" i="1"/>
  <c r="S560" i="1"/>
  <c r="AL559" i="1"/>
  <c r="AK559" i="1"/>
  <c r="AJ559" i="1"/>
  <c r="AH559" i="1"/>
  <c r="AB559" i="1"/>
  <c r="AA559" i="1"/>
  <c r="Z559" i="1"/>
  <c r="Y559" i="1"/>
  <c r="S559" i="1"/>
  <c r="AL558" i="1"/>
  <c r="AK558" i="1"/>
  <c r="AJ558" i="1"/>
  <c r="AH558" i="1"/>
  <c r="AB558" i="1"/>
  <c r="AA558" i="1"/>
  <c r="Z558" i="1"/>
  <c r="Y558" i="1"/>
  <c r="S558" i="1"/>
  <c r="AK557" i="1"/>
  <c r="AJ557" i="1"/>
  <c r="AH557" i="1"/>
  <c r="AG557" i="1"/>
  <c r="AA557" i="1"/>
  <c r="Z557" i="1"/>
  <c r="Y557" i="1"/>
  <c r="R557" i="1"/>
  <c r="S557" i="1" s="1"/>
  <c r="AK556" i="1"/>
  <c r="AJ556" i="1"/>
  <c r="AH556" i="1"/>
  <c r="AG556" i="1"/>
  <c r="AB556" i="1" s="1"/>
  <c r="AA556" i="1"/>
  <c r="Z556" i="1"/>
  <c r="Y556" i="1"/>
  <c r="R556" i="1"/>
  <c r="S556" i="1" s="1"/>
  <c r="AL555" i="1"/>
  <c r="AK555" i="1"/>
  <c r="AJ555" i="1"/>
  <c r="AH555" i="1"/>
  <c r="AB555" i="1"/>
  <c r="AA555" i="1"/>
  <c r="Z555" i="1"/>
  <c r="Y555" i="1"/>
  <c r="S555" i="1"/>
  <c r="AL554" i="1"/>
  <c r="AK554" i="1"/>
  <c r="AJ554" i="1"/>
  <c r="AH554" i="1"/>
  <c r="AB554" i="1"/>
  <c r="AA554" i="1"/>
  <c r="Z554" i="1"/>
  <c r="Y554" i="1"/>
  <c r="S554" i="1"/>
  <c r="AL553" i="1"/>
  <c r="AK553" i="1"/>
  <c r="AJ553" i="1"/>
  <c r="AH553" i="1"/>
  <c r="AB553" i="1"/>
  <c r="AA553" i="1"/>
  <c r="Z553" i="1"/>
  <c r="Y553" i="1"/>
  <c r="S553" i="1"/>
  <c r="AL552" i="1"/>
  <c r="AK552" i="1"/>
  <c r="AJ552" i="1"/>
  <c r="AH552" i="1"/>
  <c r="AB552" i="1"/>
  <c r="AA552" i="1"/>
  <c r="Z552" i="1"/>
  <c r="Y552" i="1"/>
  <c r="S552" i="1"/>
  <c r="AL551" i="1"/>
  <c r="AK551" i="1"/>
  <c r="AJ551" i="1"/>
  <c r="AH551" i="1"/>
  <c r="AB551" i="1"/>
  <c r="AA551" i="1"/>
  <c r="Z551" i="1"/>
  <c r="Y551" i="1"/>
  <c r="S551" i="1"/>
  <c r="AL550" i="1"/>
  <c r="AK550" i="1"/>
  <c r="AJ550" i="1"/>
  <c r="AH550" i="1"/>
  <c r="AB550" i="1"/>
  <c r="AA550" i="1"/>
  <c r="Z550" i="1"/>
  <c r="Y550" i="1"/>
  <c r="S550" i="1"/>
  <c r="AL549" i="1"/>
  <c r="AK549" i="1"/>
  <c r="AJ549" i="1"/>
  <c r="AH549" i="1"/>
  <c r="AB549" i="1"/>
  <c r="AA549" i="1"/>
  <c r="Z549" i="1"/>
  <c r="Y549" i="1"/>
  <c r="S549" i="1"/>
  <c r="AL548" i="1"/>
  <c r="AK548" i="1"/>
  <c r="AJ548" i="1"/>
  <c r="AH548" i="1"/>
  <c r="AB548" i="1"/>
  <c r="AA548" i="1"/>
  <c r="Z548" i="1"/>
  <c r="Y548" i="1"/>
  <c r="S548" i="1"/>
  <c r="AL547" i="1"/>
  <c r="AK547" i="1"/>
  <c r="AJ547" i="1"/>
  <c r="AH547" i="1"/>
  <c r="AB547" i="1"/>
  <c r="AA547" i="1"/>
  <c r="Z547" i="1"/>
  <c r="Y547" i="1"/>
  <c r="S547" i="1"/>
  <c r="AL546" i="1"/>
  <c r="AK546" i="1"/>
  <c r="AJ546" i="1"/>
  <c r="AH546" i="1"/>
  <c r="AB546" i="1"/>
  <c r="AA546" i="1"/>
  <c r="Z546" i="1"/>
  <c r="Y546" i="1"/>
  <c r="S546" i="1"/>
  <c r="AL545" i="1"/>
  <c r="AK545" i="1"/>
  <c r="AJ545" i="1"/>
  <c r="AH545" i="1"/>
  <c r="AB545" i="1"/>
  <c r="AA545" i="1"/>
  <c r="Z545" i="1"/>
  <c r="Y545" i="1"/>
  <c r="S545" i="1"/>
  <c r="AL544" i="1"/>
  <c r="AK544" i="1"/>
  <c r="AJ544" i="1"/>
  <c r="AH544" i="1"/>
  <c r="AB544" i="1"/>
  <c r="AA544" i="1"/>
  <c r="Z544" i="1"/>
  <c r="Y544" i="1"/>
  <c r="S544" i="1"/>
  <c r="AL543" i="1"/>
  <c r="AK543" i="1"/>
  <c r="AJ543" i="1"/>
  <c r="AH543" i="1"/>
  <c r="AB543" i="1"/>
  <c r="AA543" i="1"/>
  <c r="Z543" i="1"/>
  <c r="Y543" i="1"/>
  <c r="S543" i="1"/>
  <c r="AL542" i="1"/>
  <c r="AK542" i="1"/>
  <c r="AJ542" i="1"/>
  <c r="AH542" i="1"/>
  <c r="AB542" i="1"/>
  <c r="AA542" i="1"/>
  <c r="Z542" i="1"/>
  <c r="Y542" i="1"/>
  <c r="S542" i="1"/>
  <c r="AL541" i="1"/>
  <c r="AK541" i="1"/>
  <c r="AJ541" i="1"/>
  <c r="AH541" i="1"/>
  <c r="AB541" i="1"/>
  <c r="AA541" i="1"/>
  <c r="Z541" i="1"/>
  <c r="Y541" i="1"/>
  <c r="S541" i="1"/>
  <c r="AL540" i="1"/>
  <c r="AK540" i="1"/>
  <c r="AJ540" i="1"/>
  <c r="AH540" i="1"/>
  <c r="AB540" i="1"/>
  <c r="AA540" i="1"/>
  <c r="Z540" i="1"/>
  <c r="Y540" i="1"/>
  <c r="S540" i="1"/>
  <c r="AL539" i="1"/>
  <c r="AK539" i="1"/>
  <c r="AJ539" i="1"/>
  <c r="AH539" i="1"/>
  <c r="AB539" i="1"/>
  <c r="AA539" i="1"/>
  <c r="Z539" i="1"/>
  <c r="Y539" i="1"/>
  <c r="S539" i="1"/>
  <c r="AL538" i="1"/>
  <c r="AK538" i="1"/>
  <c r="AJ538" i="1"/>
  <c r="AH538" i="1"/>
  <c r="AB538" i="1"/>
  <c r="AA538" i="1"/>
  <c r="Z538" i="1"/>
  <c r="Y538" i="1"/>
  <c r="S538" i="1"/>
  <c r="AL537" i="1"/>
  <c r="AK537" i="1"/>
  <c r="AJ537" i="1"/>
  <c r="AH537" i="1"/>
  <c r="AB537" i="1"/>
  <c r="AA537" i="1"/>
  <c r="Z537" i="1"/>
  <c r="Y537" i="1"/>
  <c r="S537" i="1"/>
  <c r="AL536" i="1"/>
  <c r="AK536" i="1"/>
  <c r="AJ536" i="1"/>
  <c r="AH536" i="1"/>
  <c r="AB536" i="1"/>
  <c r="AA536" i="1"/>
  <c r="Z536" i="1"/>
  <c r="Y536" i="1"/>
  <c r="S536" i="1"/>
  <c r="AL535" i="1"/>
  <c r="AK535" i="1"/>
  <c r="AJ535" i="1"/>
  <c r="AH535" i="1"/>
  <c r="AB535" i="1"/>
  <c r="AA535" i="1"/>
  <c r="Z535" i="1"/>
  <c r="Y535" i="1"/>
  <c r="S535" i="1"/>
  <c r="AL534" i="1"/>
  <c r="AK534" i="1"/>
  <c r="AJ534" i="1"/>
  <c r="AH534" i="1"/>
  <c r="AB534" i="1"/>
  <c r="AA534" i="1"/>
  <c r="Z534" i="1"/>
  <c r="Y534" i="1"/>
  <c r="S534" i="1"/>
  <c r="AL533" i="1"/>
  <c r="AK533" i="1"/>
  <c r="AJ533" i="1"/>
  <c r="AH533" i="1"/>
  <c r="AB533" i="1"/>
  <c r="AA533" i="1"/>
  <c r="Z533" i="1"/>
  <c r="Y533" i="1"/>
  <c r="S533" i="1"/>
  <c r="AL532" i="1"/>
  <c r="AK532" i="1"/>
  <c r="AJ532" i="1"/>
  <c r="AH532" i="1"/>
  <c r="AB532" i="1"/>
  <c r="AA532" i="1"/>
  <c r="Z532" i="1"/>
  <c r="Y532" i="1"/>
  <c r="S532" i="1"/>
  <c r="AL531" i="1"/>
  <c r="AK531" i="1"/>
  <c r="AJ531" i="1"/>
  <c r="AH531" i="1"/>
  <c r="AB531" i="1"/>
  <c r="AA531" i="1"/>
  <c r="Z531" i="1"/>
  <c r="Y531" i="1"/>
  <c r="S531" i="1"/>
  <c r="AL530" i="1"/>
  <c r="AK530" i="1"/>
  <c r="AJ530" i="1"/>
  <c r="AH530" i="1"/>
  <c r="AB530" i="1"/>
  <c r="AA530" i="1"/>
  <c r="Z530" i="1"/>
  <c r="Y530" i="1"/>
  <c r="S530" i="1"/>
  <c r="AL529" i="1"/>
  <c r="AK529" i="1"/>
  <c r="AJ529" i="1"/>
  <c r="AH529" i="1"/>
  <c r="AB529" i="1"/>
  <c r="AA529" i="1"/>
  <c r="Z529" i="1"/>
  <c r="Y529" i="1"/>
  <c r="S529" i="1"/>
  <c r="AL528" i="1"/>
  <c r="AK528" i="1"/>
  <c r="AJ528" i="1"/>
  <c r="AH528" i="1"/>
  <c r="AB528" i="1"/>
  <c r="AA528" i="1"/>
  <c r="Z528" i="1"/>
  <c r="Y528" i="1"/>
  <c r="S528" i="1"/>
  <c r="AL527" i="1"/>
  <c r="AK527" i="1"/>
  <c r="AJ527" i="1"/>
  <c r="AH527" i="1"/>
  <c r="AB527" i="1"/>
  <c r="AA527" i="1"/>
  <c r="Z527" i="1"/>
  <c r="Y527" i="1"/>
  <c r="S527" i="1"/>
  <c r="AL526" i="1"/>
  <c r="AK526" i="1"/>
  <c r="AJ526" i="1"/>
  <c r="AH526" i="1"/>
  <c r="AB526" i="1"/>
  <c r="AA526" i="1"/>
  <c r="Z526" i="1"/>
  <c r="Y526" i="1"/>
  <c r="S526" i="1"/>
  <c r="AL525" i="1"/>
  <c r="AK525" i="1"/>
  <c r="AJ525" i="1"/>
  <c r="AH525" i="1"/>
  <c r="AB525" i="1"/>
  <c r="AA525" i="1"/>
  <c r="Z525" i="1"/>
  <c r="Y525" i="1"/>
  <c r="S525" i="1"/>
  <c r="AL524" i="1"/>
  <c r="AK524" i="1"/>
  <c r="AJ524" i="1"/>
  <c r="AH524" i="1"/>
  <c r="AB524" i="1"/>
  <c r="AA524" i="1"/>
  <c r="Z524" i="1"/>
  <c r="Y524" i="1"/>
  <c r="S524" i="1"/>
  <c r="AL523" i="1"/>
  <c r="AK523" i="1"/>
  <c r="AJ523" i="1"/>
  <c r="AH523" i="1"/>
  <c r="AB523" i="1"/>
  <c r="AA523" i="1"/>
  <c r="Z523" i="1"/>
  <c r="Y523" i="1"/>
  <c r="S523" i="1"/>
  <c r="AL522" i="1"/>
  <c r="AK522" i="1"/>
  <c r="AJ522" i="1"/>
  <c r="AH522" i="1"/>
  <c r="AB522" i="1"/>
  <c r="AA522" i="1"/>
  <c r="Z522" i="1"/>
  <c r="Y522" i="1"/>
  <c r="S522" i="1"/>
  <c r="AL521" i="1"/>
  <c r="AK521" i="1"/>
  <c r="AJ521" i="1"/>
  <c r="AH521" i="1"/>
  <c r="AB521" i="1"/>
  <c r="AA521" i="1"/>
  <c r="Z521" i="1"/>
  <c r="Y521" i="1"/>
  <c r="S521" i="1"/>
  <c r="AL520" i="1"/>
  <c r="AK520" i="1"/>
  <c r="AJ520" i="1"/>
  <c r="AH520" i="1"/>
  <c r="AB520" i="1"/>
  <c r="AA520" i="1"/>
  <c r="Z520" i="1"/>
  <c r="Y520" i="1"/>
  <c r="S520" i="1"/>
  <c r="AK519" i="1"/>
  <c r="AJ519" i="1"/>
  <c r="AH519" i="1"/>
  <c r="AG519" i="1"/>
  <c r="AB519" i="1" s="1"/>
  <c r="AA519" i="1"/>
  <c r="Z519" i="1"/>
  <c r="Y519" i="1"/>
  <c r="R519" i="1"/>
  <c r="S519" i="1" s="1"/>
  <c r="AL518" i="1"/>
  <c r="AK518" i="1"/>
  <c r="AJ518" i="1"/>
  <c r="AH518" i="1"/>
  <c r="AB518" i="1"/>
  <c r="AA518" i="1"/>
  <c r="Z518" i="1"/>
  <c r="Y518" i="1"/>
  <c r="S518" i="1"/>
  <c r="AL517" i="1"/>
  <c r="AK517" i="1"/>
  <c r="AJ517" i="1"/>
  <c r="AH517" i="1"/>
  <c r="AB517" i="1"/>
  <c r="AA517" i="1"/>
  <c r="Z517" i="1"/>
  <c r="Y517" i="1"/>
  <c r="S517" i="1"/>
  <c r="AL516" i="1"/>
  <c r="AK516" i="1"/>
  <c r="AJ516" i="1"/>
  <c r="AH516" i="1"/>
  <c r="AB516" i="1"/>
  <c r="AA516" i="1"/>
  <c r="Z516" i="1"/>
  <c r="Y516" i="1"/>
  <c r="S516" i="1"/>
  <c r="AL515" i="1"/>
  <c r="AK515" i="1"/>
  <c r="AJ515" i="1"/>
  <c r="AH515" i="1"/>
  <c r="AB515" i="1"/>
  <c r="AA515" i="1"/>
  <c r="Z515" i="1"/>
  <c r="Y515" i="1"/>
  <c r="S515" i="1"/>
  <c r="AL514" i="1"/>
  <c r="AK514" i="1"/>
  <c r="AJ514" i="1"/>
  <c r="AH514" i="1"/>
  <c r="AB514" i="1"/>
  <c r="AA514" i="1"/>
  <c r="Z514" i="1"/>
  <c r="Y514" i="1"/>
  <c r="S514" i="1"/>
  <c r="AL513" i="1"/>
  <c r="AK513" i="1"/>
  <c r="AJ513" i="1"/>
  <c r="AH513" i="1"/>
  <c r="AB513" i="1"/>
  <c r="AA513" i="1"/>
  <c r="Z513" i="1"/>
  <c r="Y513" i="1"/>
  <c r="S513" i="1"/>
  <c r="AL512" i="1"/>
  <c r="AK512" i="1"/>
  <c r="AJ512" i="1"/>
  <c r="AH512" i="1"/>
  <c r="AB512" i="1"/>
  <c r="AA512" i="1"/>
  <c r="Z512" i="1"/>
  <c r="Y512" i="1"/>
  <c r="S512" i="1"/>
  <c r="AL511" i="1"/>
  <c r="AK511" i="1"/>
  <c r="AJ511" i="1"/>
  <c r="AH511" i="1"/>
  <c r="AB511" i="1"/>
  <c r="AA511" i="1"/>
  <c r="Z511" i="1"/>
  <c r="Y511" i="1"/>
  <c r="S511" i="1"/>
  <c r="AL510" i="1"/>
  <c r="AK510" i="1"/>
  <c r="AJ510" i="1"/>
  <c r="AH510" i="1"/>
  <c r="AB510" i="1"/>
  <c r="AA510" i="1"/>
  <c r="Z510" i="1"/>
  <c r="Y510" i="1"/>
  <c r="S510" i="1"/>
  <c r="AL509" i="1"/>
  <c r="AK509" i="1"/>
  <c r="AJ509" i="1"/>
  <c r="AH509" i="1"/>
  <c r="AB509" i="1"/>
  <c r="AA509" i="1"/>
  <c r="Z509" i="1"/>
  <c r="Y509" i="1"/>
  <c r="S509" i="1"/>
  <c r="AK508" i="1"/>
  <c r="AJ508" i="1"/>
  <c r="AH508" i="1"/>
  <c r="AB508" i="1"/>
  <c r="AA508" i="1"/>
  <c r="Z508" i="1"/>
  <c r="Y508" i="1"/>
  <c r="R508" i="1"/>
  <c r="S508" i="1" s="1"/>
  <c r="AK507" i="1"/>
  <c r="AJ507" i="1"/>
  <c r="AH507" i="1"/>
  <c r="AG507" i="1"/>
  <c r="AB507" i="1" s="1"/>
  <c r="AA507" i="1"/>
  <c r="Z507" i="1"/>
  <c r="Y507" i="1"/>
  <c r="R507" i="1"/>
  <c r="S507" i="1" s="1"/>
  <c r="AK506" i="1"/>
  <c r="AJ506" i="1"/>
  <c r="AH506" i="1"/>
  <c r="AB506" i="1"/>
  <c r="AA506" i="1"/>
  <c r="Z506" i="1"/>
  <c r="Y506" i="1"/>
  <c r="R506" i="1"/>
  <c r="S506" i="1" s="1"/>
  <c r="AL505" i="1"/>
  <c r="AK505" i="1"/>
  <c r="AJ505" i="1"/>
  <c r="AH505" i="1"/>
  <c r="AB505" i="1"/>
  <c r="AA505" i="1"/>
  <c r="Z505" i="1"/>
  <c r="Y505" i="1"/>
  <c r="S505" i="1"/>
  <c r="AK504" i="1"/>
  <c r="AJ504" i="1"/>
  <c r="AH504" i="1"/>
  <c r="AB504" i="1"/>
  <c r="AA504" i="1"/>
  <c r="Z504" i="1"/>
  <c r="Y504" i="1"/>
  <c r="R504" i="1"/>
  <c r="S504" i="1" s="1"/>
  <c r="AL503" i="1"/>
  <c r="AK503" i="1"/>
  <c r="AJ503" i="1"/>
  <c r="AH503" i="1"/>
  <c r="AB503" i="1"/>
  <c r="AA503" i="1"/>
  <c r="Z503" i="1"/>
  <c r="Y503" i="1"/>
  <c r="S503" i="1"/>
  <c r="AK502" i="1"/>
  <c r="AJ502" i="1"/>
  <c r="AH502" i="1"/>
  <c r="AG502" i="1"/>
  <c r="AB502" i="1" s="1"/>
  <c r="AA502" i="1"/>
  <c r="Z502" i="1"/>
  <c r="Y502" i="1"/>
  <c r="R502" i="1"/>
  <c r="S502" i="1" s="1"/>
  <c r="AL501" i="1"/>
  <c r="AK501" i="1"/>
  <c r="AJ501" i="1"/>
  <c r="AH501" i="1"/>
  <c r="AB501" i="1"/>
  <c r="AA501" i="1"/>
  <c r="Z501" i="1"/>
  <c r="Y501" i="1"/>
  <c r="S501" i="1"/>
  <c r="AL500" i="1"/>
  <c r="AK500" i="1"/>
  <c r="AJ500" i="1"/>
  <c r="AH500" i="1"/>
  <c r="AB500" i="1"/>
  <c r="AA500" i="1"/>
  <c r="Z500" i="1"/>
  <c r="Y500" i="1"/>
  <c r="S500" i="1"/>
  <c r="AL499" i="1"/>
  <c r="AK499" i="1"/>
  <c r="AJ499" i="1"/>
  <c r="AH499" i="1"/>
  <c r="AB499" i="1"/>
  <c r="AA499" i="1"/>
  <c r="Z499" i="1"/>
  <c r="Y499" i="1"/>
  <c r="S499" i="1"/>
  <c r="AK498" i="1"/>
  <c r="AJ498" i="1"/>
  <c r="AH498" i="1"/>
  <c r="AG498" i="1"/>
  <c r="AB498" i="1" s="1"/>
  <c r="AA498" i="1"/>
  <c r="Z498" i="1"/>
  <c r="Y498" i="1"/>
  <c r="R498" i="1"/>
  <c r="AL497" i="1"/>
  <c r="AK497" i="1"/>
  <c r="AJ497" i="1"/>
  <c r="AH497" i="1"/>
  <c r="AB497" i="1"/>
  <c r="AA497" i="1"/>
  <c r="Z497" i="1"/>
  <c r="Y497" i="1"/>
  <c r="S497" i="1"/>
  <c r="AK496" i="1"/>
  <c r="AJ496" i="1"/>
  <c r="AH496" i="1"/>
  <c r="AG496" i="1"/>
  <c r="AB496" i="1" s="1"/>
  <c r="AA496" i="1"/>
  <c r="Z496" i="1"/>
  <c r="Y496" i="1"/>
  <c r="R496" i="1"/>
  <c r="S496" i="1" s="1"/>
  <c r="AL495" i="1"/>
  <c r="AK495" i="1"/>
  <c r="AJ495" i="1"/>
  <c r="AH495" i="1"/>
  <c r="AB495" i="1"/>
  <c r="AA495" i="1"/>
  <c r="Z495" i="1"/>
  <c r="Y495" i="1"/>
  <c r="S495" i="1"/>
  <c r="AL494" i="1"/>
  <c r="AK494" i="1"/>
  <c r="AJ494" i="1"/>
  <c r="AH494" i="1"/>
  <c r="AB494" i="1"/>
  <c r="AA494" i="1"/>
  <c r="Z494" i="1"/>
  <c r="Y494" i="1"/>
  <c r="S494" i="1"/>
  <c r="AL493" i="1"/>
  <c r="AK493" i="1"/>
  <c r="AJ493" i="1"/>
  <c r="AH493" i="1"/>
  <c r="AB493" i="1"/>
  <c r="AA493" i="1"/>
  <c r="Z493" i="1"/>
  <c r="Y493" i="1"/>
  <c r="S493" i="1"/>
  <c r="AL492" i="1"/>
  <c r="AK492" i="1"/>
  <c r="AJ492" i="1"/>
  <c r="AH492" i="1"/>
  <c r="AB492" i="1"/>
  <c r="AA492" i="1"/>
  <c r="Z492" i="1"/>
  <c r="Y492" i="1"/>
  <c r="S492" i="1"/>
  <c r="AL491" i="1"/>
  <c r="AK491" i="1"/>
  <c r="AJ491" i="1"/>
  <c r="AH491" i="1"/>
  <c r="AB491" i="1"/>
  <c r="AA491" i="1"/>
  <c r="Z491" i="1"/>
  <c r="Y491" i="1"/>
  <c r="S491" i="1"/>
  <c r="AL490" i="1"/>
  <c r="AK490" i="1"/>
  <c r="AJ490" i="1"/>
  <c r="AH490" i="1"/>
  <c r="AB490" i="1"/>
  <c r="AA490" i="1"/>
  <c r="Z490" i="1"/>
  <c r="Y490" i="1"/>
  <c r="S490" i="1"/>
  <c r="AL489" i="1"/>
  <c r="AK489" i="1"/>
  <c r="AJ489" i="1"/>
  <c r="AH489" i="1"/>
  <c r="AB489" i="1"/>
  <c r="AA489" i="1"/>
  <c r="Z489" i="1"/>
  <c r="Y489" i="1"/>
  <c r="S489" i="1"/>
  <c r="AL488" i="1"/>
  <c r="AK488" i="1"/>
  <c r="AJ488" i="1"/>
  <c r="AH488" i="1"/>
  <c r="AB488" i="1"/>
  <c r="AA488" i="1"/>
  <c r="Z488" i="1"/>
  <c r="Y488" i="1"/>
  <c r="S488" i="1"/>
  <c r="AL487" i="1"/>
  <c r="AK487" i="1"/>
  <c r="AJ487" i="1"/>
  <c r="AH487" i="1"/>
  <c r="AB487" i="1"/>
  <c r="AA487" i="1"/>
  <c r="Z487" i="1"/>
  <c r="Y487" i="1"/>
  <c r="S487" i="1"/>
  <c r="AL486" i="1"/>
  <c r="AK486" i="1"/>
  <c r="AJ486" i="1"/>
  <c r="AH486" i="1"/>
  <c r="AB486" i="1"/>
  <c r="AA486" i="1"/>
  <c r="Z486" i="1"/>
  <c r="Y486" i="1"/>
  <c r="S486" i="1"/>
  <c r="AL485" i="1"/>
  <c r="AK485" i="1"/>
  <c r="AJ485" i="1"/>
  <c r="AH485" i="1"/>
  <c r="AB485" i="1"/>
  <c r="AA485" i="1"/>
  <c r="Z485" i="1"/>
  <c r="Y485" i="1"/>
  <c r="S485" i="1"/>
  <c r="AL484" i="1"/>
  <c r="AK484" i="1"/>
  <c r="AJ484" i="1"/>
  <c r="AH484" i="1"/>
  <c r="AB484" i="1"/>
  <c r="AA484" i="1"/>
  <c r="Z484" i="1"/>
  <c r="Y484" i="1"/>
  <c r="S484" i="1"/>
  <c r="AL483" i="1"/>
  <c r="AK483" i="1"/>
  <c r="AJ483" i="1"/>
  <c r="AH483" i="1"/>
  <c r="AB483" i="1"/>
  <c r="AA483" i="1"/>
  <c r="Z483" i="1"/>
  <c r="Y483" i="1"/>
  <c r="S483" i="1"/>
  <c r="AL482" i="1"/>
  <c r="AK482" i="1"/>
  <c r="AJ482" i="1"/>
  <c r="AH482" i="1"/>
  <c r="AB482" i="1"/>
  <c r="AA482" i="1"/>
  <c r="Z482" i="1"/>
  <c r="Y482" i="1"/>
  <c r="S482" i="1"/>
  <c r="AL481" i="1"/>
  <c r="AK481" i="1"/>
  <c r="AJ481" i="1"/>
  <c r="AH481" i="1"/>
  <c r="AB481" i="1"/>
  <c r="AA481" i="1"/>
  <c r="Z481" i="1"/>
  <c r="Y481" i="1"/>
  <c r="S481" i="1"/>
  <c r="AL480" i="1"/>
  <c r="AK480" i="1"/>
  <c r="AJ480" i="1"/>
  <c r="AH480" i="1"/>
  <c r="AB480" i="1"/>
  <c r="AA480" i="1"/>
  <c r="Z480" i="1"/>
  <c r="Y480" i="1"/>
  <c r="S480" i="1"/>
  <c r="AL479" i="1"/>
  <c r="AK479" i="1"/>
  <c r="AJ479" i="1"/>
  <c r="AH479" i="1"/>
  <c r="AB479" i="1"/>
  <c r="AA479" i="1"/>
  <c r="Z479" i="1"/>
  <c r="Y479" i="1"/>
  <c r="S479" i="1"/>
  <c r="AL478" i="1"/>
  <c r="AK478" i="1"/>
  <c r="AJ478" i="1"/>
  <c r="AH478" i="1"/>
  <c r="AB478" i="1"/>
  <c r="AA478" i="1"/>
  <c r="Z478" i="1"/>
  <c r="Y478" i="1"/>
  <c r="S478" i="1"/>
  <c r="AL477" i="1"/>
  <c r="AK477" i="1"/>
  <c r="AJ477" i="1"/>
  <c r="AH477" i="1"/>
  <c r="AB477" i="1"/>
  <c r="AA477" i="1"/>
  <c r="Z477" i="1"/>
  <c r="Y477" i="1"/>
  <c r="S477" i="1"/>
  <c r="AL476" i="1"/>
  <c r="AK476" i="1"/>
  <c r="AJ476" i="1"/>
  <c r="AH476" i="1"/>
  <c r="AB476" i="1"/>
  <c r="AA476" i="1"/>
  <c r="Z476" i="1"/>
  <c r="Y476" i="1"/>
  <c r="S476" i="1"/>
  <c r="AL475" i="1"/>
  <c r="AK475" i="1"/>
  <c r="AJ475" i="1"/>
  <c r="AH475" i="1"/>
  <c r="AB475" i="1"/>
  <c r="AA475" i="1"/>
  <c r="Z475" i="1"/>
  <c r="Y475" i="1"/>
  <c r="S475" i="1"/>
  <c r="AL474" i="1"/>
  <c r="AK474" i="1"/>
  <c r="AJ474" i="1"/>
  <c r="AH474" i="1"/>
  <c r="AB474" i="1"/>
  <c r="AA474" i="1"/>
  <c r="Z474" i="1"/>
  <c r="Y474" i="1"/>
  <c r="S474" i="1"/>
  <c r="AL473" i="1"/>
  <c r="AK473" i="1"/>
  <c r="AJ473" i="1"/>
  <c r="AH473" i="1"/>
  <c r="AB473" i="1"/>
  <c r="AA473" i="1"/>
  <c r="Z473" i="1"/>
  <c r="Y473" i="1"/>
  <c r="S473" i="1"/>
  <c r="AL472" i="1"/>
  <c r="AK472" i="1"/>
  <c r="AJ472" i="1"/>
  <c r="AH472" i="1"/>
  <c r="AB472" i="1"/>
  <c r="AA472" i="1"/>
  <c r="Z472" i="1"/>
  <c r="Y472" i="1"/>
  <c r="S472" i="1"/>
  <c r="AL471" i="1"/>
  <c r="AK471" i="1"/>
  <c r="AJ471" i="1"/>
  <c r="AH471" i="1"/>
  <c r="AB471" i="1"/>
  <c r="AA471" i="1"/>
  <c r="Z471" i="1"/>
  <c r="Y471" i="1"/>
  <c r="S471" i="1"/>
  <c r="AL470" i="1"/>
  <c r="AK470" i="1"/>
  <c r="AJ470" i="1"/>
  <c r="AH470" i="1"/>
  <c r="AB470" i="1"/>
  <c r="AA470" i="1"/>
  <c r="Z470" i="1"/>
  <c r="Y470" i="1"/>
  <c r="S470" i="1"/>
  <c r="AL469" i="1"/>
  <c r="AK469" i="1"/>
  <c r="AJ469" i="1"/>
  <c r="AH469" i="1"/>
  <c r="AB469" i="1"/>
  <c r="AA469" i="1"/>
  <c r="Z469" i="1"/>
  <c r="Y469" i="1"/>
  <c r="S469" i="1"/>
  <c r="AL468" i="1"/>
  <c r="AK468" i="1"/>
  <c r="AJ468" i="1"/>
  <c r="AH468" i="1"/>
  <c r="AB468" i="1"/>
  <c r="AA468" i="1"/>
  <c r="Z468" i="1"/>
  <c r="Y468" i="1"/>
  <c r="S468" i="1"/>
  <c r="AL467" i="1"/>
  <c r="AK467" i="1"/>
  <c r="AJ467" i="1"/>
  <c r="AH467" i="1"/>
  <c r="AB467" i="1"/>
  <c r="AA467" i="1"/>
  <c r="Z467" i="1"/>
  <c r="Y467" i="1"/>
  <c r="S467" i="1"/>
  <c r="AL466" i="1"/>
  <c r="AK466" i="1"/>
  <c r="AJ466" i="1"/>
  <c r="AH466" i="1"/>
  <c r="AB466" i="1"/>
  <c r="AA466" i="1"/>
  <c r="Z466" i="1"/>
  <c r="Y466" i="1"/>
  <c r="S466" i="1"/>
  <c r="AL465" i="1"/>
  <c r="AK465" i="1"/>
  <c r="AJ465" i="1"/>
  <c r="AH465" i="1"/>
  <c r="AB465" i="1"/>
  <c r="AA465" i="1"/>
  <c r="Z465" i="1"/>
  <c r="Y465" i="1"/>
  <c r="S465" i="1"/>
  <c r="AL464" i="1"/>
  <c r="AK464" i="1"/>
  <c r="AJ464" i="1"/>
  <c r="AH464" i="1"/>
  <c r="AB464" i="1"/>
  <c r="AA464" i="1"/>
  <c r="Z464" i="1"/>
  <c r="Y464" i="1"/>
  <c r="S464" i="1"/>
  <c r="AL463" i="1"/>
  <c r="AK463" i="1"/>
  <c r="AJ463" i="1"/>
  <c r="AH463" i="1"/>
  <c r="AB463" i="1"/>
  <c r="AA463" i="1"/>
  <c r="Z463" i="1"/>
  <c r="Y463" i="1"/>
  <c r="S463" i="1"/>
  <c r="AL462" i="1"/>
  <c r="AK462" i="1"/>
  <c r="AJ462" i="1"/>
  <c r="AH462" i="1"/>
  <c r="AB462" i="1"/>
  <c r="AA462" i="1"/>
  <c r="Z462" i="1"/>
  <c r="Y462" i="1"/>
  <c r="S462" i="1"/>
  <c r="AK461" i="1"/>
  <c r="AJ461" i="1"/>
  <c r="AH461" i="1"/>
  <c r="AG461" i="1"/>
  <c r="AB461" i="1" s="1"/>
  <c r="AA461" i="1"/>
  <c r="Z461" i="1"/>
  <c r="Y461" i="1"/>
  <c r="R461" i="1"/>
  <c r="AL461" i="1" s="1"/>
  <c r="AK460" i="1"/>
  <c r="AJ460" i="1"/>
  <c r="AH460" i="1"/>
  <c r="AG460" i="1"/>
  <c r="AB460" i="1" s="1"/>
  <c r="AA460" i="1"/>
  <c r="Z460" i="1"/>
  <c r="Y460" i="1"/>
  <c r="R460" i="1"/>
  <c r="AL460" i="1" s="1"/>
  <c r="AL459" i="1"/>
  <c r="AK459" i="1"/>
  <c r="AJ459" i="1"/>
  <c r="AH459" i="1"/>
  <c r="AB459" i="1"/>
  <c r="AA459" i="1"/>
  <c r="Z459" i="1"/>
  <c r="Y459" i="1"/>
  <c r="S459" i="1"/>
  <c r="AL458" i="1"/>
  <c r="AK458" i="1"/>
  <c r="AJ458" i="1"/>
  <c r="AH458" i="1"/>
  <c r="AB458" i="1"/>
  <c r="AA458" i="1"/>
  <c r="Z458" i="1"/>
  <c r="Y458" i="1"/>
  <c r="S458" i="1"/>
  <c r="AL457" i="1"/>
  <c r="AK457" i="1"/>
  <c r="AJ457" i="1"/>
  <c r="AH457" i="1"/>
  <c r="AB457" i="1"/>
  <c r="AA457" i="1"/>
  <c r="Z457" i="1"/>
  <c r="Y457" i="1"/>
  <c r="S457" i="1"/>
  <c r="AL456" i="1"/>
  <c r="AK456" i="1"/>
  <c r="AJ456" i="1"/>
  <c r="AH456" i="1"/>
  <c r="AB456" i="1"/>
  <c r="AA456" i="1"/>
  <c r="Z456" i="1"/>
  <c r="Y456" i="1"/>
  <c r="S456" i="1"/>
  <c r="AL455" i="1"/>
  <c r="AK455" i="1"/>
  <c r="AJ455" i="1"/>
  <c r="AH455" i="1"/>
  <c r="AB455" i="1"/>
  <c r="AA455" i="1"/>
  <c r="Z455" i="1"/>
  <c r="Y455" i="1"/>
  <c r="S455" i="1"/>
  <c r="AL454" i="1"/>
  <c r="AK454" i="1"/>
  <c r="AJ454" i="1"/>
  <c r="AH454" i="1"/>
  <c r="AB454" i="1"/>
  <c r="AA454" i="1"/>
  <c r="Z454" i="1"/>
  <c r="Y454" i="1"/>
  <c r="S454" i="1"/>
  <c r="AL453" i="1"/>
  <c r="AK453" i="1"/>
  <c r="AJ453" i="1"/>
  <c r="AH453" i="1"/>
  <c r="AB453" i="1"/>
  <c r="AA453" i="1"/>
  <c r="Z453" i="1"/>
  <c r="Y453" i="1"/>
  <c r="S453" i="1"/>
  <c r="AL452" i="1"/>
  <c r="AK452" i="1"/>
  <c r="AJ452" i="1"/>
  <c r="AH452" i="1"/>
  <c r="AB452" i="1"/>
  <c r="AA452" i="1"/>
  <c r="Z452" i="1"/>
  <c r="Y452" i="1"/>
  <c r="S452" i="1"/>
  <c r="AL451" i="1"/>
  <c r="AK451" i="1"/>
  <c r="AJ451" i="1"/>
  <c r="AH451" i="1"/>
  <c r="AB451" i="1"/>
  <c r="AA451" i="1"/>
  <c r="Z451" i="1"/>
  <c r="Y451" i="1"/>
  <c r="S451" i="1"/>
  <c r="AL450" i="1"/>
  <c r="AK450" i="1"/>
  <c r="AJ450" i="1"/>
  <c r="AH450" i="1"/>
  <c r="AB450" i="1"/>
  <c r="AA450" i="1"/>
  <c r="Z450" i="1"/>
  <c r="Y450" i="1"/>
  <c r="S450" i="1"/>
  <c r="AL449" i="1"/>
  <c r="AK449" i="1"/>
  <c r="AJ449" i="1"/>
  <c r="AH449" i="1"/>
  <c r="AB449" i="1"/>
  <c r="AA449" i="1"/>
  <c r="Z449" i="1"/>
  <c r="Y449" i="1"/>
  <c r="S449" i="1"/>
  <c r="AL448" i="1"/>
  <c r="AK448" i="1"/>
  <c r="AJ448" i="1"/>
  <c r="AH448" i="1"/>
  <c r="AB448" i="1"/>
  <c r="AA448" i="1"/>
  <c r="Z448" i="1"/>
  <c r="Y448" i="1"/>
  <c r="S448" i="1"/>
  <c r="AK447" i="1"/>
  <c r="AJ447" i="1"/>
  <c r="AH447" i="1"/>
  <c r="AB447" i="1"/>
  <c r="AA447" i="1"/>
  <c r="Z447" i="1"/>
  <c r="Y447" i="1"/>
  <c r="R447" i="1"/>
  <c r="S447" i="1" s="1"/>
  <c r="AL446" i="1"/>
  <c r="AK446" i="1"/>
  <c r="AJ446" i="1"/>
  <c r="AH446" i="1"/>
  <c r="AB446" i="1"/>
  <c r="AA446" i="1"/>
  <c r="Z446" i="1"/>
  <c r="Y446" i="1"/>
  <c r="S446" i="1"/>
  <c r="AL445" i="1"/>
  <c r="AK445" i="1"/>
  <c r="AJ445" i="1"/>
  <c r="AH445" i="1"/>
  <c r="AB445" i="1"/>
  <c r="AA445" i="1"/>
  <c r="Z445" i="1"/>
  <c r="Y445" i="1"/>
  <c r="S445" i="1"/>
  <c r="AL444" i="1"/>
  <c r="AK444" i="1"/>
  <c r="AJ444" i="1"/>
  <c r="AH444" i="1"/>
  <c r="AB444" i="1"/>
  <c r="AA444" i="1"/>
  <c r="Z444" i="1"/>
  <c r="Y444" i="1"/>
  <c r="S444" i="1"/>
  <c r="AL443" i="1"/>
  <c r="AK443" i="1"/>
  <c r="AJ443" i="1"/>
  <c r="AH443" i="1"/>
  <c r="AB443" i="1"/>
  <c r="AA443" i="1"/>
  <c r="Z443" i="1"/>
  <c r="Y443" i="1"/>
  <c r="S443" i="1"/>
  <c r="AL442" i="1"/>
  <c r="AK442" i="1"/>
  <c r="AJ442" i="1"/>
  <c r="AH442" i="1"/>
  <c r="AB442" i="1"/>
  <c r="AA442" i="1"/>
  <c r="Z442" i="1"/>
  <c r="Y442" i="1"/>
  <c r="S442" i="1"/>
  <c r="AL441" i="1"/>
  <c r="AK441" i="1"/>
  <c r="AJ441" i="1"/>
  <c r="AH441" i="1"/>
  <c r="AB441" i="1"/>
  <c r="AA441" i="1"/>
  <c r="Z441" i="1"/>
  <c r="Y441" i="1"/>
  <c r="S441" i="1"/>
  <c r="AK440" i="1"/>
  <c r="AJ440" i="1"/>
  <c r="AH440" i="1"/>
  <c r="AB440" i="1"/>
  <c r="AA440" i="1"/>
  <c r="Z440" i="1"/>
  <c r="Y440" i="1"/>
  <c r="R440" i="1"/>
  <c r="AL440" i="1" s="1"/>
  <c r="AL439" i="1"/>
  <c r="AK439" i="1"/>
  <c r="AJ439" i="1"/>
  <c r="AH439" i="1"/>
  <c r="AB439" i="1"/>
  <c r="AA439" i="1"/>
  <c r="Z439" i="1"/>
  <c r="Y439" i="1"/>
  <c r="S439" i="1"/>
  <c r="AL438" i="1"/>
  <c r="AK438" i="1"/>
  <c r="AJ438" i="1"/>
  <c r="AH438" i="1"/>
  <c r="AB438" i="1"/>
  <c r="AA438" i="1"/>
  <c r="Z438" i="1"/>
  <c r="Y438" i="1"/>
  <c r="S438" i="1"/>
  <c r="AL437" i="1"/>
  <c r="AK437" i="1"/>
  <c r="AJ437" i="1"/>
  <c r="AH437" i="1"/>
  <c r="AB437" i="1"/>
  <c r="AA437" i="1"/>
  <c r="Z437" i="1"/>
  <c r="Y437" i="1"/>
  <c r="S437" i="1"/>
  <c r="AL436" i="1"/>
  <c r="AK436" i="1"/>
  <c r="AJ436" i="1"/>
  <c r="AH436" i="1"/>
  <c r="AB436" i="1"/>
  <c r="AA436" i="1"/>
  <c r="Z436" i="1"/>
  <c r="Y436" i="1"/>
  <c r="S436" i="1"/>
  <c r="AL435" i="1"/>
  <c r="AK435" i="1"/>
  <c r="AJ435" i="1"/>
  <c r="AH435" i="1"/>
  <c r="AB435" i="1"/>
  <c r="AA435" i="1"/>
  <c r="Z435" i="1"/>
  <c r="Y435" i="1"/>
  <c r="S435" i="1"/>
  <c r="AL434" i="1"/>
  <c r="AK434" i="1"/>
  <c r="AJ434" i="1"/>
  <c r="AH434" i="1"/>
  <c r="AB434" i="1"/>
  <c r="AA434" i="1"/>
  <c r="Z434" i="1"/>
  <c r="Y434" i="1"/>
  <c r="S434" i="1"/>
  <c r="AL433" i="1"/>
  <c r="AK433" i="1"/>
  <c r="AJ433" i="1"/>
  <c r="AH433" i="1"/>
  <c r="AB433" i="1"/>
  <c r="AA433" i="1"/>
  <c r="Z433" i="1"/>
  <c r="Y433" i="1"/>
  <c r="S433" i="1"/>
  <c r="AL432" i="1"/>
  <c r="AK432" i="1"/>
  <c r="AJ432" i="1"/>
  <c r="AH432" i="1"/>
  <c r="AB432" i="1"/>
  <c r="AA432" i="1"/>
  <c r="Z432" i="1"/>
  <c r="Y432" i="1"/>
  <c r="S432" i="1"/>
  <c r="AL431" i="1"/>
  <c r="AK431" i="1"/>
  <c r="AJ431" i="1"/>
  <c r="AH431" i="1"/>
  <c r="AB431" i="1"/>
  <c r="AA431" i="1"/>
  <c r="Z431" i="1"/>
  <c r="Y431" i="1"/>
  <c r="S431" i="1"/>
  <c r="AL430" i="1"/>
  <c r="AK430" i="1"/>
  <c r="AJ430" i="1"/>
  <c r="AH430" i="1"/>
  <c r="AB430" i="1"/>
  <c r="AA430" i="1"/>
  <c r="Z430" i="1"/>
  <c r="Y430" i="1"/>
  <c r="S430" i="1"/>
  <c r="AL429" i="1"/>
  <c r="AK429" i="1"/>
  <c r="AJ429" i="1"/>
  <c r="AH429" i="1"/>
  <c r="AB429" i="1"/>
  <c r="AA429" i="1"/>
  <c r="Z429" i="1"/>
  <c r="Y429" i="1"/>
  <c r="S429" i="1"/>
  <c r="AL428" i="1"/>
  <c r="AK428" i="1"/>
  <c r="AJ428" i="1"/>
  <c r="AH428" i="1"/>
  <c r="AB428" i="1"/>
  <c r="AA428" i="1"/>
  <c r="Z428" i="1"/>
  <c r="Y428" i="1"/>
  <c r="S428" i="1"/>
  <c r="AL427" i="1"/>
  <c r="AK427" i="1"/>
  <c r="AJ427" i="1"/>
  <c r="AH427" i="1"/>
  <c r="AB427" i="1"/>
  <c r="AA427" i="1"/>
  <c r="Z427" i="1"/>
  <c r="Y427" i="1"/>
  <c r="S427" i="1"/>
  <c r="AL426" i="1"/>
  <c r="AK426" i="1"/>
  <c r="AJ426" i="1"/>
  <c r="AH426" i="1"/>
  <c r="AB426" i="1"/>
  <c r="AA426" i="1"/>
  <c r="Z426" i="1"/>
  <c r="Y426" i="1"/>
  <c r="S426" i="1"/>
  <c r="AL425" i="1"/>
  <c r="AK425" i="1"/>
  <c r="AJ425" i="1"/>
  <c r="AH425" i="1"/>
  <c r="AB425" i="1"/>
  <c r="AA425" i="1"/>
  <c r="Z425" i="1"/>
  <c r="Y425" i="1"/>
  <c r="S425" i="1"/>
  <c r="AK424" i="1"/>
  <c r="AJ424" i="1"/>
  <c r="AH424" i="1"/>
  <c r="AG424" i="1"/>
  <c r="AB424" i="1" s="1"/>
  <c r="AA424" i="1"/>
  <c r="Z424" i="1"/>
  <c r="Y424" i="1"/>
  <c r="R424" i="1"/>
  <c r="AL424" i="1" s="1"/>
  <c r="AL423" i="1"/>
  <c r="AK423" i="1"/>
  <c r="AJ423" i="1"/>
  <c r="AH423" i="1"/>
  <c r="AB423" i="1"/>
  <c r="AA423" i="1"/>
  <c r="Z423" i="1"/>
  <c r="Y423" i="1"/>
  <c r="S423" i="1"/>
  <c r="AL422" i="1"/>
  <c r="AK422" i="1"/>
  <c r="AJ422" i="1"/>
  <c r="AH422" i="1"/>
  <c r="AB422" i="1"/>
  <c r="AA422" i="1"/>
  <c r="Z422" i="1"/>
  <c r="Y422" i="1"/>
  <c r="S422" i="1"/>
  <c r="AL421" i="1"/>
  <c r="AK421" i="1"/>
  <c r="AJ421" i="1"/>
  <c r="AH421" i="1"/>
  <c r="AB421" i="1"/>
  <c r="AA421" i="1"/>
  <c r="Z421" i="1"/>
  <c r="Y421" i="1"/>
  <c r="S421" i="1"/>
  <c r="AL420" i="1"/>
  <c r="AK420" i="1"/>
  <c r="AJ420" i="1"/>
  <c r="AH420" i="1"/>
  <c r="AB420" i="1"/>
  <c r="AA420" i="1"/>
  <c r="Z420" i="1"/>
  <c r="Y420" i="1"/>
  <c r="S420" i="1"/>
  <c r="AL419" i="1"/>
  <c r="AK419" i="1"/>
  <c r="AJ419" i="1"/>
  <c r="AH419" i="1"/>
  <c r="AB419" i="1"/>
  <c r="AA419" i="1"/>
  <c r="Z419" i="1"/>
  <c r="Y419" i="1"/>
  <c r="S419" i="1"/>
  <c r="AL418" i="1"/>
  <c r="AK418" i="1"/>
  <c r="AJ418" i="1"/>
  <c r="AH418" i="1"/>
  <c r="AB418" i="1"/>
  <c r="AA418" i="1"/>
  <c r="Z418" i="1"/>
  <c r="Y418" i="1"/>
  <c r="S418" i="1"/>
  <c r="AL417" i="1"/>
  <c r="AK417" i="1"/>
  <c r="AJ417" i="1"/>
  <c r="AH417" i="1"/>
  <c r="AB417" i="1"/>
  <c r="AA417" i="1"/>
  <c r="Z417" i="1"/>
  <c r="Y417" i="1"/>
  <c r="S417" i="1"/>
  <c r="AL416" i="1"/>
  <c r="AK416" i="1"/>
  <c r="AJ416" i="1"/>
  <c r="AH416" i="1"/>
  <c r="AB416" i="1"/>
  <c r="AA416" i="1"/>
  <c r="Z416" i="1"/>
  <c r="Y416" i="1"/>
  <c r="S416" i="1"/>
  <c r="AK415" i="1"/>
  <c r="AJ415" i="1"/>
  <c r="AH415" i="1"/>
  <c r="AG415" i="1"/>
  <c r="AB415" i="1" s="1"/>
  <c r="AA415" i="1"/>
  <c r="Z415" i="1"/>
  <c r="Y415" i="1"/>
  <c r="R415" i="1"/>
  <c r="S415" i="1" s="1"/>
  <c r="AL414" i="1"/>
  <c r="AK414" i="1"/>
  <c r="AJ414" i="1"/>
  <c r="AH414" i="1"/>
  <c r="AB414" i="1"/>
  <c r="AA414" i="1"/>
  <c r="Z414" i="1"/>
  <c r="Y414" i="1"/>
  <c r="S414" i="1"/>
  <c r="AL413" i="1"/>
  <c r="AK413" i="1"/>
  <c r="AJ413" i="1"/>
  <c r="AH413" i="1"/>
  <c r="AB413" i="1"/>
  <c r="AA413" i="1"/>
  <c r="Z413" i="1"/>
  <c r="Y413" i="1"/>
  <c r="S413" i="1"/>
  <c r="AL412" i="1"/>
  <c r="AK412" i="1"/>
  <c r="AJ412" i="1"/>
  <c r="AH412" i="1"/>
  <c r="AB412" i="1"/>
  <c r="AA412" i="1"/>
  <c r="Z412" i="1"/>
  <c r="Y412" i="1"/>
  <c r="S412" i="1"/>
  <c r="AL411" i="1"/>
  <c r="AK411" i="1"/>
  <c r="AJ411" i="1"/>
  <c r="AH411" i="1"/>
  <c r="AB411" i="1"/>
  <c r="AA411" i="1"/>
  <c r="Z411" i="1"/>
  <c r="Y411" i="1"/>
  <c r="S411" i="1"/>
  <c r="AL410" i="1"/>
  <c r="AK410" i="1"/>
  <c r="AJ410" i="1"/>
  <c r="AH410" i="1"/>
  <c r="AB410" i="1"/>
  <c r="AA410" i="1"/>
  <c r="Z410" i="1"/>
  <c r="Y410" i="1"/>
  <c r="S410" i="1"/>
  <c r="AL409" i="1"/>
  <c r="AK409" i="1"/>
  <c r="AJ409" i="1"/>
  <c r="AH409" i="1"/>
  <c r="AB409" i="1"/>
  <c r="AA409" i="1"/>
  <c r="Z409" i="1"/>
  <c r="Y409" i="1"/>
  <c r="S409" i="1"/>
  <c r="AL408" i="1"/>
  <c r="AK408" i="1"/>
  <c r="AJ408" i="1"/>
  <c r="AH408" i="1"/>
  <c r="AB408" i="1"/>
  <c r="AA408" i="1"/>
  <c r="Z408" i="1"/>
  <c r="Y408" i="1"/>
  <c r="S408" i="1"/>
  <c r="AL407" i="1"/>
  <c r="AK407" i="1"/>
  <c r="AJ407" i="1"/>
  <c r="AH407" i="1"/>
  <c r="AB407" i="1"/>
  <c r="AA407" i="1"/>
  <c r="Z407" i="1"/>
  <c r="Y407" i="1"/>
  <c r="S407" i="1"/>
  <c r="AL406" i="1"/>
  <c r="AK406" i="1"/>
  <c r="AJ406" i="1"/>
  <c r="AH406" i="1"/>
  <c r="AB406" i="1"/>
  <c r="AA406" i="1"/>
  <c r="Z406" i="1"/>
  <c r="Y406" i="1"/>
  <c r="S406" i="1"/>
  <c r="AL405" i="1"/>
  <c r="AK405" i="1"/>
  <c r="AJ405" i="1"/>
  <c r="AH405" i="1"/>
  <c r="AB405" i="1"/>
  <c r="AA405" i="1"/>
  <c r="Z405" i="1"/>
  <c r="Y405" i="1"/>
  <c r="S405" i="1"/>
  <c r="AL404" i="1"/>
  <c r="AK404" i="1"/>
  <c r="AJ404" i="1"/>
  <c r="AH404" i="1"/>
  <c r="AB404" i="1"/>
  <c r="AA404" i="1"/>
  <c r="Z404" i="1"/>
  <c r="Y404" i="1"/>
  <c r="S404" i="1"/>
  <c r="AL403" i="1"/>
  <c r="AK403" i="1"/>
  <c r="AJ403" i="1"/>
  <c r="AH403" i="1"/>
  <c r="AB403" i="1"/>
  <c r="AA403" i="1"/>
  <c r="Z403" i="1"/>
  <c r="Y403" i="1"/>
  <c r="S403" i="1"/>
  <c r="AL402" i="1"/>
  <c r="AK402" i="1"/>
  <c r="AJ402" i="1"/>
  <c r="AH402" i="1"/>
  <c r="AB402" i="1"/>
  <c r="AA402" i="1"/>
  <c r="Z402" i="1"/>
  <c r="Y402" i="1"/>
  <c r="S402" i="1"/>
  <c r="AL401" i="1"/>
  <c r="AK401" i="1"/>
  <c r="AJ401" i="1"/>
  <c r="AH401" i="1"/>
  <c r="AB401" i="1"/>
  <c r="AA401" i="1"/>
  <c r="Z401" i="1"/>
  <c r="Y401" i="1"/>
  <c r="S401" i="1"/>
  <c r="AL400" i="1"/>
  <c r="AK400" i="1"/>
  <c r="AJ400" i="1"/>
  <c r="AH400" i="1"/>
  <c r="AB400" i="1"/>
  <c r="AA400" i="1"/>
  <c r="Z400" i="1"/>
  <c r="Y400" i="1"/>
  <c r="S400" i="1"/>
  <c r="AL399" i="1"/>
  <c r="AK399" i="1"/>
  <c r="AJ399" i="1"/>
  <c r="AH399" i="1"/>
  <c r="AB399" i="1"/>
  <c r="AA399" i="1"/>
  <c r="Z399" i="1"/>
  <c r="Y399" i="1"/>
  <c r="S399" i="1"/>
  <c r="AL398" i="1"/>
  <c r="AK398" i="1"/>
  <c r="AJ398" i="1"/>
  <c r="AH398" i="1"/>
  <c r="AB398" i="1"/>
  <c r="AA398" i="1"/>
  <c r="Z398" i="1"/>
  <c r="Y398" i="1"/>
  <c r="S398" i="1"/>
  <c r="AK397" i="1"/>
  <c r="AJ397" i="1"/>
  <c r="AH397" i="1"/>
  <c r="AG397" i="1"/>
  <c r="AB397" i="1" s="1"/>
  <c r="AA397" i="1"/>
  <c r="Z397" i="1"/>
  <c r="Y397" i="1"/>
  <c r="R397" i="1"/>
  <c r="S397" i="1" s="1"/>
  <c r="AL396" i="1"/>
  <c r="AK396" i="1"/>
  <c r="AJ396" i="1"/>
  <c r="AH396" i="1"/>
  <c r="AB396" i="1"/>
  <c r="AA396" i="1"/>
  <c r="Z396" i="1"/>
  <c r="Y396" i="1"/>
  <c r="S396" i="1"/>
  <c r="AL395" i="1"/>
  <c r="AK395" i="1"/>
  <c r="AJ395" i="1"/>
  <c r="AH395" i="1"/>
  <c r="AB395" i="1"/>
  <c r="AA395" i="1"/>
  <c r="Z395" i="1"/>
  <c r="Y395" i="1"/>
  <c r="S395" i="1"/>
  <c r="AL394" i="1"/>
  <c r="AK394" i="1"/>
  <c r="AJ394" i="1"/>
  <c r="AH394" i="1"/>
  <c r="AB394" i="1"/>
  <c r="AA394" i="1"/>
  <c r="Z394" i="1"/>
  <c r="Y394" i="1"/>
  <c r="S394" i="1"/>
  <c r="AL393" i="1"/>
  <c r="AK393" i="1"/>
  <c r="AJ393" i="1"/>
  <c r="AH393" i="1"/>
  <c r="AB393" i="1"/>
  <c r="AA393" i="1"/>
  <c r="Z393" i="1"/>
  <c r="Y393" i="1"/>
  <c r="S393" i="1"/>
  <c r="AL392" i="1"/>
  <c r="AK392" i="1"/>
  <c r="AJ392" i="1"/>
  <c r="AH392" i="1"/>
  <c r="AB392" i="1"/>
  <c r="AA392" i="1"/>
  <c r="Z392" i="1"/>
  <c r="Y392" i="1"/>
  <c r="S392" i="1"/>
  <c r="AL391" i="1"/>
  <c r="AK391" i="1"/>
  <c r="AJ391" i="1"/>
  <c r="AH391" i="1"/>
  <c r="AB391" i="1"/>
  <c r="AA391" i="1"/>
  <c r="Z391" i="1"/>
  <c r="Y391" i="1"/>
  <c r="S391" i="1"/>
  <c r="AL390" i="1"/>
  <c r="AK390" i="1"/>
  <c r="AJ390" i="1"/>
  <c r="AH390" i="1"/>
  <c r="AB390" i="1"/>
  <c r="AA390" i="1"/>
  <c r="Z390" i="1"/>
  <c r="Y390" i="1"/>
  <c r="S390" i="1"/>
  <c r="AL389" i="1"/>
  <c r="AK389" i="1"/>
  <c r="AJ389" i="1"/>
  <c r="AH389" i="1"/>
  <c r="AB389" i="1"/>
  <c r="AA389" i="1"/>
  <c r="Z389" i="1"/>
  <c r="Y389" i="1"/>
  <c r="S389" i="1"/>
  <c r="AL388" i="1"/>
  <c r="AK388" i="1"/>
  <c r="AJ388" i="1"/>
  <c r="AH388" i="1"/>
  <c r="AB388" i="1"/>
  <c r="AA388" i="1"/>
  <c r="Z388" i="1"/>
  <c r="Y388" i="1"/>
  <c r="S388" i="1"/>
  <c r="AL387" i="1"/>
  <c r="AK387" i="1"/>
  <c r="AJ387" i="1"/>
  <c r="AH387" i="1"/>
  <c r="AB387" i="1"/>
  <c r="AA387" i="1"/>
  <c r="Z387" i="1"/>
  <c r="Y387" i="1"/>
  <c r="S387" i="1"/>
  <c r="AL386" i="1"/>
  <c r="AK386" i="1"/>
  <c r="AJ386" i="1"/>
  <c r="AH386" i="1"/>
  <c r="AB386" i="1"/>
  <c r="AA386" i="1"/>
  <c r="Z386" i="1"/>
  <c r="Y386" i="1"/>
  <c r="S386" i="1"/>
  <c r="AL385" i="1"/>
  <c r="AK385" i="1"/>
  <c r="AJ385" i="1"/>
  <c r="AH385" i="1"/>
  <c r="AB385" i="1"/>
  <c r="AA385" i="1"/>
  <c r="Z385" i="1"/>
  <c r="Y385" i="1"/>
  <c r="S385" i="1"/>
  <c r="AL384" i="1"/>
  <c r="AK384" i="1"/>
  <c r="AJ384" i="1"/>
  <c r="AH384" i="1"/>
  <c r="AB384" i="1"/>
  <c r="AA384" i="1"/>
  <c r="Z384" i="1"/>
  <c r="Y384" i="1"/>
  <c r="S384" i="1"/>
  <c r="AL383" i="1"/>
  <c r="AK383" i="1"/>
  <c r="AH383" i="1"/>
  <c r="AE383" i="1"/>
  <c r="Z383" i="1" s="1"/>
  <c r="AB383" i="1"/>
  <c r="AA383" i="1"/>
  <c r="Y383" i="1"/>
  <c r="P383" i="1"/>
  <c r="S383" i="1" s="1"/>
  <c r="AL382" i="1"/>
  <c r="AK382" i="1"/>
  <c r="AJ382" i="1"/>
  <c r="AH382" i="1"/>
  <c r="AB382" i="1"/>
  <c r="AA382" i="1"/>
  <c r="Z382" i="1"/>
  <c r="Y382" i="1"/>
  <c r="S382" i="1"/>
  <c r="AL381" i="1"/>
  <c r="AK381" i="1"/>
  <c r="AJ381" i="1"/>
  <c r="AH381" i="1"/>
  <c r="AB381" i="1"/>
  <c r="AA381" i="1"/>
  <c r="Z381" i="1"/>
  <c r="Y381" i="1"/>
  <c r="S381" i="1"/>
  <c r="AL380" i="1"/>
  <c r="AK380" i="1"/>
  <c r="AJ380" i="1"/>
  <c r="AH380" i="1"/>
  <c r="AB380" i="1"/>
  <c r="AA380" i="1"/>
  <c r="Z380" i="1"/>
  <c r="Y380" i="1"/>
  <c r="S380" i="1"/>
  <c r="AL379" i="1"/>
  <c r="AK379" i="1"/>
  <c r="AH379" i="1"/>
  <c r="AB379" i="1"/>
  <c r="AA379" i="1"/>
  <c r="Z379" i="1"/>
  <c r="Y379" i="1"/>
  <c r="P379" i="1"/>
  <c r="S379" i="1" s="1"/>
  <c r="AL378" i="1"/>
  <c r="AK378" i="1"/>
  <c r="AJ378" i="1"/>
  <c r="AH378" i="1"/>
  <c r="AB378" i="1"/>
  <c r="AA378" i="1"/>
  <c r="Z378" i="1"/>
  <c r="Y378" i="1"/>
  <c r="S378" i="1"/>
  <c r="AL377" i="1"/>
  <c r="AK377" i="1"/>
  <c r="AJ377" i="1"/>
  <c r="AH377" i="1"/>
  <c r="AB377" i="1"/>
  <c r="AA377" i="1"/>
  <c r="Z377" i="1"/>
  <c r="Y377" i="1"/>
  <c r="S377" i="1"/>
  <c r="AL376" i="1"/>
  <c r="AK376" i="1"/>
  <c r="AJ376" i="1"/>
  <c r="AH376" i="1"/>
  <c r="AB376" i="1"/>
  <c r="AA376" i="1"/>
  <c r="Z376" i="1"/>
  <c r="Y376" i="1"/>
  <c r="S376" i="1"/>
  <c r="AL375" i="1"/>
  <c r="AK375" i="1"/>
  <c r="AJ375" i="1"/>
  <c r="AH375" i="1"/>
  <c r="AB375" i="1"/>
  <c r="AA375" i="1"/>
  <c r="Z375" i="1"/>
  <c r="Y375" i="1"/>
  <c r="S375" i="1"/>
  <c r="AL374" i="1"/>
  <c r="AK374" i="1"/>
  <c r="AJ374" i="1"/>
  <c r="AH374" i="1"/>
  <c r="AB374" i="1"/>
  <c r="AA374" i="1"/>
  <c r="Z374" i="1"/>
  <c r="Y374" i="1"/>
  <c r="S374" i="1"/>
  <c r="AL373" i="1"/>
  <c r="AK373" i="1"/>
  <c r="AJ373" i="1"/>
  <c r="AH373" i="1"/>
  <c r="AB373" i="1"/>
  <c r="AA373" i="1"/>
  <c r="Z373" i="1"/>
  <c r="Y373" i="1"/>
  <c r="S373" i="1"/>
  <c r="AL372" i="1"/>
  <c r="AK372" i="1"/>
  <c r="AJ372" i="1"/>
  <c r="AH372" i="1"/>
  <c r="AB372" i="1"/>
  <c r="AA372" i="1"/>
  <c r="Z372" i="1"/>
  <c r="Y372" i="1"/>
  <c r="S372" i="1"/>
  <c r="AK371" i="1"/>
  <c r="AJ371" i="1"/>
  <c r="AH371" i="1"/>
  <c r="AB371" i="1"/>
  <c r="AA371" i="1"/>
  <c r="Z371" i="1"/>
  <c r="Y371" i="1"/>
  <c r="R371" i="1"/>
  <c r="AL371" i="1" s="1"/>
  <c r="AL370" i="1"/>
  <c r="AK370" i="1"/>
  <c r="AJ370" i="1"/>
  <c r="AH370" i="1"/>
  <c r="AB370" i="1"/>
  <c r="AA370" i="1"/>
  <c r="Z370" i="1"/>
  <c r="Y370" i="1"/>
  <c r="S370" i="1"/>
  <c r="AL369" i="1"/>
  <c r="AK369" i="1"/>
  <c r="AJ369" i="1"/>
  <c r="AH369" i="1"/>
  <c r="AB369" i="1"/>
  <c r="AA369" i="1"/>
  <c r="Z369" i="1"/>
  <c r="Y369" i="1"/>
  <c r="S369" i="1"/>
  <c r="AL368" i="1"/>
  <c r="AK368" i="1"/>
  <c r="AJ368" i="1"/>
  <c r="AH368" i="1"/>
  <c r="AB368" i="1"/>
  <c r="AA368" i="1"/>
  <c r="Z368" i="1"/>
  <c r="Y368" i="1"/>
  <c r="S368" i="1"/>
  <c r="AL367" i="1"/>
  <c r="AK367" i="1"/>
  <c r="AJ367" i="1"/>
  <c r="AH367" i="1"/>
  <c r="AB367" i="1"/>
  <c r="AA367" i="1"/>
  <c r="Z367" i="1"/>
  <c r="Y367" i="1"/>
  <c r="S367" i="1"/>
  <c r="AL366" i="1"/>
  <c r="AK366" i="1"/>
  <c r="AJ366" i="1"/>
  <c r="AH366" i="1"/>
  <c r="AB366" i="1"/>
  <c r="AA366" i="1"/>
  <c r="Z366" i="1"/>
  <c r="Y366" i="1"/>
  <c r="S366" i="1"/>
  <c r="AL365" i="1"/>
  <c r="AK365" i="1"/>
  <c r="AJ365" i="1"/>
  <c r="AH365" i="1"/>
  <c r="AB365" i="1"/>
  <c r="AA365" i="1"/>
  <c r="Z365" i="1"/>
  <c r="Y365" i="1"/>
  <c r="S365" i="1"/>
  <c r="AL364" i="1"/>
  <c r="AK364" i="1"/>
  <c r="AJ364" i="1"/>
  <c r="AH364" i="1"/>
  <c r="AB364" i="1"/>
  <c r="AA364" i="1"/>
  <c r="Z364" i="1"/>
  <c r="Y364" i="1"/>
  <c r="S364" i="1"/>
  <c r="AL363" i="1"/>
  <c r="AK363" i="1"/>
  <c r="AJ363" i="1"/>
  <c r="AH363" i="1"/>
  <c r="AB363" i="1"/>
  <c r="AA363" i="1"/>
  <c r="Z363" i="1"/>
  <c r="Y363" i="1"/>
  <c r="S363" i="1"/>
  <c r="AL362" i="1"/>
  <c r="AK362" i="1"/>
  <c r="AJ362" i="1"/>
  <c r="AH362" i="1"/>
  <c r="AB362" i="1"/>
  <c r="AA362" i="1"/>
  <c r="Z362" i="1"/>
  <c r="Y362" i="1"/>
  <c r="S362" i="1"/>
  <c r="AL361" i="1"/>
  <c r="AK361" i="1"/>
  <c r="AJ361" i="1"/>
  <c r="AH361" i="1"/>
  <c r="AB361" i="1"/>
  <c r="AA361" i="1"/>
  <c r="Z361" i="1"/>
  <c r="Y361" i="1"/>
  <c r="S361" i="1"/>
  <c r="AL360" i="1"/>
  <c r="AK360" i="1"/>
  <c r="AJ360" i="1"/>
  <c r="AH360" i="1"/>
  <c r="AB360" i="1"/>
  <c r="AA360" i="1"/>
  <c r="Z360" i="1"/>
  <c r="Y360" i="1"/>
  <c r="S360" i="1"/>
  <c r="AL359" i="1"/>
  <c r="AK359" i="1"/>
  <c r="AJ359" i="1"/>
  <c r="AH359" i="1"/>
  <c r="AB359" i="1"/>
  <c r="AA359" i="1"/>
  <c r="Z359" i="1"/>
  <c r="Y359" i="1"/>
  <c r="S359" i="1"/>
  <c r="AL358" i="1"/>
  <c r="AK358" i="1"/>
  <c r="AJ358" i="1"/>
  <c r="AH358" i="1"/>
  <c r="AB358" i="1"/>
  <c r="AA358" i="1"/>
  <c r="Z358" i="1"/>
  <c r="Y358" i="1"/>
  <c r="S358" i="1"/>
  <c r="AL357" i="1"/>
  <c r="AK357" i="1"/>
  <c r="AJ357" i="1"/>
  <c r="AH357" i="1"/>
  <c r="AB357" i="1"/>
  <c r="AA357" i="1"/>
  <c r="Z357" i="1"/>
  <c r="Y357" i="1"/>
  <c r="S357" i="1"/>
  <c r="AL356" i="1"/>
  <c r="AK356" i="1"/>
  <c r="AJ356" i="1"/>
  <c r="AH356" i="1"/>
  <c r="AB356" i="1"/>
  <c r="AA356" i="1"/>
  <c r="Z356" i="1"/>
  <c r="Y356" i="1"/>
  <c r="S356" i="1"/>
  <c r="AL355" i="1"/>
  <c r="AK355" i="1"/>
  <c r="AJ355" i="1"/>
  <c r="AH355" i="1"/>
  <c r="AB355" i="1"/>
  <c r="AA355" i="1"/>
  <c r="Z355" i="1"/>
  <c r="Y355" i="1"/>
  <c r="S355" i="1"/>
  <c r="AL354" i="1"/>
  <c r="AK354" i="1"/>
  <c r="AJ354" i="1"/>
  <c r="AH354" i="1"/>
  <c r="AB354" i="1"/>
  <c r="AA354" i="1"/>
  <c r="Z354" i="1"/>
  <c r="Y354" i="1"/>
  <c r="S354" i="1"/>
  <c r="AL353" i="1"/>
  <c r="AK353" i="1"/>
  <c r="AJ353" i="1"/>
  <c r="AH353" i="1"/>
  <c r="AB353" i="1"/>
  <c r="AA353" i="1"/>
  <c r="Z353" i="1"/>
  <c r="Y353" i="1"/>
  <c r="S353" i="1"/>
  <c r="AL352" i="1"/>
  <c r="AK352" i="1"/>
  <c r="AJ352" i="1"/>
  <c r="AH352" i="1"/>
  <c r="AB352" i="1"/>
  <c r="AA352" i="1"/>
  <c r="Z352" i="1"/>
  <c r="Y352" i="1"/>
  <c r="S352" i="1"/>
  <c r="AH351" i="1"/>
  <c r="AE351" i="1"/>
  <c r="Z351" i="1" s="1"/>
  <c r="AB351" i="1"/>
  <c r="AA351" i="1"/>
  <c r="Y351" i="1"/>
  <c r="R351" i="1"/>
  <c r="AL351" i="1" s="1"/>
  <c r="Q351" i="1"/>
  <c r="AK351" i="1" s="1"/>
  <c r="P351" i="1"/>
  <c r="AL350" i="1"/>
  <c r="AK350" i="1"/>
  <c r="AJ350" i="1"/>
  <c r="AH350" i="1"/>
  <c r="AB350" i="1"/>
  <c r="AA350" i="1"/>
  <c r="Z350" i="1"/>
  <c r="Y350" i="1"/>
  <c r="S350" i="1"/>
  <c r="AL349" i="1"/>
  <c r="AK349" i="1"/>
  <c r="AJ349" i="1"/>
  <c r="AH349" i="1"/>
  <c r="AB349" i="1"/>
  <c r="AA349" i="1"/>
  <c r="Z349" i="1"/>
  <c r="Y349" i="1"/>
  <c r="S349" i="1"/>
  <c r="AL348" i="1"/>
  <c r="AK348" i="1"/>
  <c r="AJ348" i="1"/>
  <c r="AH348" i="1"/>
  <c r="AB348" i="1"/>
  <c r="AA348" i="1"/>
  <c r="Z348" i="1"/>
  <c r="Y348" i="1"/>
  <c r="S348" i="1"/>
  <c r="AL347" i="1"/>
  <c r="AK347" i="1"/>
  <c r="AJ347" i="1"/>
  <c r="AH347" i="1"/>
  <c r="AB347" i="1"/>
  <c r="AA347" i="1"/>
  <c r="Z347" i="1"/>
  <c r="Y347" i="1"/>
  <c r="S347" i="1"/>
  <c r="AL346" i="1"/>
  <c r="AK346" i="1"/>
  <c r="AJ346" i="1"/>
  <c r="AH346" i="1"/>
  <c r="AB346" i="1"/>
  <c r="AA346" i="1"/>
  <c r="Z346" i="1"/>
  <c r="Y346" i="1"/>
  <c r="S346" i="1"/>
  <c r="AL345" i="1"/>
  <c r="AK345" i="1"/>
  <c r="AJ345" i="1"/>
  <c r="AH345" i="1"/>
  <c r="AB345" i="1"/>
  <c r="AA345" i="1"/>
  <c r="Z345" i="1"/>
  <c r="Y345" i="1"/>
  <c r="S345" i="1"/>
  <c r="AL344" i="1"/>
  <c r="AK344" i="1"/>
  <c r="AJ344" i="1"/>
  <c r="AH344" i="1"/>
  <c r="AB344" i="1"/>
  <c r="AA344" i="1"/>
  <c r="Z344" i="1"/>
  <c r="Y344" i="1"/>
  <c r="S344" i="1"/>
  <c r="AL343" i="1"/>
  <c r="AK343" i="1"/>
  <c r="AJ343" i="1"/>
  <c r="AH343" i="1"/>
  <c r="AB343" i="1"/>
  <c r="AA343" i="1"/>
  <c r="Z343" i="1"/>
  <c r="Y343" i="1"/>
  <c r="S343" i="1"/>
  <c r="AL342" i="1"/>
  <c r="AK342" i="1"/>
  <c r="AJ342" i="1"/>
  <c r="AH342" i="1"/>
  <c r="AB342" i="1"/>
  <c r="AA342" i="1"/>
  <c r="Z342" i="1"/>
  <c r="Y342" i="1"/>
  <c r="S342" i="1"/>
  <c r="AL341" i="1"/>
  <c r="AK341" i="1"/>
  <c r="AJ341" i="1"/>
  <c r="AH341" i="1"/>
  <c r="AB341" i="1"/>
  <c r="AA341" i="1"/>
  <c r="Z341" i="1"/>
  <c r="Y341" i="1"/>
  <c r="S341" i="1"/>
  <c r="AL340" i="1"/>
  <c r="AK340" i="1"/>
  <c r="AJ340" i="1"/>
  <c r="AH340" i="1"/>
  <c r="AB340" i="1"/>
  <c r="AA340" i="1"/>
  <c r="Z340" i="1"/>
  <c r="Y340" i="1"/>
  <c r="S340" i="1"/>
  <c r="AL339" i="1"/>
  <c r="AK339" i="1"/>
  <c r="AJ339" i="1"/>
  <c r="AH339" i="1"/>
  <c r="AB339" i="1"/>
  <c r="AA339" i="1"/>
  <c r="Z339" i="1"/>
  <c r="Y339" i="1"/>
  <c r="S339" i="1"/>
  <c r="AL338" i="1"/>
  <c r="AK338" i="1"/>
  <c r="AJ338" i="1"/>
  <c r="AH338" i="1"/>
  <c r="AB338" i="1"/>
  <c r="AA338" i="1"/>
  <c r="Z338" i="1"/>
  <c r="Y338" i="1"/>
  <c r="S338" i="1"/>
  <c r="AL337" i="1"/>
  <c r="AK337" i="1"/>
  <c r="AJ337" i="1"/>
  <c r="AH337" i="1"/>
  <c r="AB337" i="1"/>
  <c r="AA337" i="1"/>
  <c r="Z337" i="1"/>
  <c r="Y337" i="1"/>
  <c r="S337" i="1"/>
  <c r="AL336" i="1"/>
  <c r="AK336" i="1"/>
  <c r="AJ336" i="1"/>
  <c r="AH336" i="1"/>
  <c r="AB336" i="1"/>
  <c r="AA336" i="1"/>
  <c r="Z336" i="1"/>
  <c r="Y336" i="1"/>
  <c r="S336" i="1"/>
  <c r="AL335" i="1"/>
  <c r="AK335" i="1"/>
  <c r="AJ335" i="1"/>
  <c r="AH335" i="1"/>
  <c r="AB335" i="1"/>
  <c r="AA335" i="1"/>
  <c r="Z335" i="1"/>
  <c r="Y335" i="1"/>
  <c r="S335" i="1"/>
  <c r="AL334" i="1"/>
  <c r="AK334" i="1"/>
  <c r="AJ334" i="1"/>
  <c r="AH334" i="1"/>
  <c r="AB334" i="1"/>
  <c r="AA334" i="1"/>
  <c r="Z334" i="1"/>
  <c r="Y334" i="1"/>
  <c r="S334" i="1"/>
  <c r="AL333" i="1"/>
  <c r="AK333" i="1"/>
  <c r="AJ333" i="1"/>
  <c r="AH333" i="1"/>
  <c r="AB333" i="1"/>
  <c r="AA333" i="1"/>
  <c r="Z333" i="1"/>
  <c r="Y333" i="1"/>
  <c r="S333" i="1"/>
  <c r="AK332" i="1"/>
  <c r="AJ332" i="1"/>
  <c r="AH332" i="1"/>
  <c r="AB332" i="1"/>
  <c r="AA332" i="1"/>
  <c r="Z332" i="1"/>
  <c r="Y332" i="1"/>
  <c r="R332" i="1"/>
  <c r="AL332" i="1" s="1"/>
  <c r="AL331" i="1"/>
  <c r="AK331" i="1"/>
  <c r="AJ331" i="1"/>
  <c r="AH331" i="1"/>
  <c r="AB331" i="1"/>
  <c r="AA331" i="1"/>
  <c r="Z331" i="1"/>
  <c r="Y331" i="1"/>
  <c r="S331" i="1"/>
  <c r="AL330" i="1"/>
  <c r="AK330" i="1"/>
  <c r="AJ330" i="1"/>
  <c r="AH330" i="1"/>
  <c r="AB330" i="1"/>
  <c r="AA330" i="1"/>
  <c r="Z330" i="1"/>
  <c r="Y330" i="1"/>
  <c r="S330" i="1"/>
  <c r="AL329" i="1"/>
  <c r="AK329" i="1"/>
  <c r="AJ329" i="1"/>
  <c r="AH329" i="1"/>
  <c r="AB329" i="1"/>
  <c r="AA329" i="1"/>
  <c r="Z329" i="1"/>
  <c r="Y329" i="1"/>
  <c r="S329" i="1"/>
  <c r="AL328" i="1"/>
  <c r="AK328" i="1"/>
  <c r="AJ328" i="1"/>
  <c r="AH328" i="1"/>
  <c r="AB328" i="1"/>
  <c r="AA328" i="1"/>
  <c r="Z328" i="1"/>
  <c r="Y328" i="1"/>
  <c r="S328" i="1"/>
  <c r="AL327" i="1"/>
  <c r="AK327" i="1"/>
  <c r="AJ327" i="1"/>
  <c r="AH327" i="1"/>
  <c r="AB327" i="1"/>
  <c r="AA327" i="1"/>
  <c r="Z327" i="1"/>
  <c r="Y327" i="1"/>
  <c r="S327" i="1"/>
  <c r="AL326" i="1"/>
  <c r="AK326" i="1"/>
  <c r="AJ326" i="1"/>
  <c r="AH326" i="1"/>
  <c r="AD326" i="1"/>
  <c r="Y326" i="1" s="1"/>
  <c r="AB326" i="1"/>
  <c r="AA326" i="1"/>
  <c r="Z326" i="1"/>
  <c r="S326" i="1"/>
  <c r="AL325" i="1"/>
  <c r="AK325" i="1"/>
  <c r="AJ325" i="1"/>
  <c r="AH325" i="1"/>
  <c r="AB325" i="1"/>
  <c r="AA325" i="1"/>
  <c r="Z325" i="1"/>
  <c r="Y325" i="1"/>
  <c r="S325" i="1"/>
  <c r="AL324" i="1"/>
  <c r="AK324" i="1"/>
  <c r="AJ324" i="1"/>
  <c r="AH324" i="1"/>
  <c r="AB324" i="1"/>
  <c r="AA324" i="1"/>
  <c r="Z324" i="1"/>
  <c r="Y324" i="1"/>
  <c r="S324" i="1"/>
  <c r="AL323" i="1"/>
  <c r="AK323" i="1"/>
  <c r="AJ323" i="1"/>
  <c r="AH323" i="1"/>
  <c r="AB323" i="1"/>
  <c r="AA323" i="1"/>
  <c r="Z323" i="1"/>
  <c r="Y323" i="1"/>
  <c r="S323" i="1"/>
  <c r="AL322" i="1"/>
  <c r="AK322" i="1"/>
  <c r="AJ322" i="1"/>
  <c r="AH322" i="1"/>
  <c r="AB322" i="1"/>
  <c r="AA322" i="1"/>
  <c r="Z322" i="1"/>
  <c r="Y322" i="1"/>
  <c r="S322" i="1"/>
  <c r="AL321" i="1"/>
  <c r="AK321" i="1"/>
  <c r="AJ321" i="1"/>
  <c r="AH321" i="1"/>
  <c r="AB321" i="1"/>
  <c r="AA321" i="1"/>
  <c r="Z321" i="1"/>
  <c r="Y321" i="1"/>
  <c r="S321" i="1"/>
  <c r="AL320" i="1"/>
  <c r="AK320" i="1"/>
  <c r="AH320" i="1"/>
  <c r="AB320" i="1"/>
  <c r="AA320" i="1"/>
  <c r="Z320" i="1"/>
  <c r="Y320" i="1"/>
  <c r="P320" i="1"/>
  <c r="S320" i="1" s="1"/>
  <c r="AL319" i="1"/>
  <c r="AK319" i="1"/>
  <c r="AJ319" i="1"/>
  <c r="AH319" i="1"/>
  <c r="AB319" i="1"/>
  <c r="AA319" i="1"/>
  <c r="Z319" i="1"/>
  <c r="Y319" i="1"/>
  <c r="S319" i="1"/>
  <c r="AL318" i="1"/>
  <c r="AK318" i="1"/>
  <c r="AJ318" i="1"/>
  <c r="AH318" i="1"/>
  <c r="AB318" i="1"/>
  <c r="AA318" i="1"/>
  <c r="Z318" i="1"/>
  <c r="Y318" i="1"/>
  <c r="S318" i="1"/>
  <c r="AL317" i="1"/>
  <c r="AK317" i="1"/>
  <c r="AJ317" i="1"/>
  <c r="AH317" i="1"/>
  <c r="AB317" i="1"/>
  <c r="AA317" i="1"/>
  <c r="Z317" i="1"/>
  <c r="Y317" i="1"/>
  <c r="S317" i="1"/>
  <c r="AL316" i="1"/>
  <c r="AK316" i="1"/>
  <c r="AJ316" i="1"/>
  <c r="AH316" i="1"/>
  <c r="AB316" i="1"/>
  <c r="AA316" i="1"/>
  <c r="Z316" i="1"/>
  <c r="Y316" i="1"/>
  <c r="S316" i="1"/>
  <c r="AL315" i="1"/>
  <c r="AK315" i="1"/>
  <c r="AJ315" i="1"/>
  <c r="AH315" i="1"/>
  <c r="AB315" i="1"/>
  <c r="AA315" i="1"/>
  <c r="Z315" i="1"/>
  <c r="Y315" i="1"/>
  <c r="S315" i="1"/>
  <c r="AL314" i="1"/>
  <c r="AK314" i="1"/>
  <c r="AH314" i="1"/>
  <c r="AE314" i="1"/>
  <c r="Z314" i="1" s="1"/>
  <c r="AB314" i="1"/>
  <c r="AA314" i="1"/>
  <c r="Y314" i="1"/>
  <c r="P314" i="1"/>
  <c r="AL313" i="1"/>
  <c r="AK313" i="1"/>
  <c r="AJ313" i="1"/>
  <c r="AH313" i="1"/>
  <c r="AB313" i="1"/>
  <c r="AA313" i="1"/>
  <c r="Z313" i="1"/>
  <c r="Y313" i="1"/>
  <c r="S313" i="1"/>
  <c r="AL312" i="1"/>
  <c r="AK312" i="1"/>
  <c r="AJ312" i="1"/>
  <c r="AH312" i="1"/>
  <c r="AB312" i="1"/>
  <c r="AA312" i="1"/>
  <c r="Z312" i="1"/>
  <c r="Y312" i="1"/>
  <c r="S312" i="1"/>
  <c r="AL311" i="1"/>
  <c r="AK311" i="1"/>
  <c r="AH311" i="1"/>
  <c r="AE311" i="1"/>
  <c r="AB311" i="1"/>
  <c r="AA311" i="1"/>
  <c r="Y311" i="1"/>
  <c r="P311" i="1"/>
  <c r="S311" i="1" s="1"/>
  <c r="AL310" i="1"/>
  <c r="AK310" i="1"/>
  <c r="AJ310" i="1"/>
  <c r="AH310" i="1"/>
  <c r="AB310" i="1"/>
  <c r="AA310" i="1"/>
  <c r="Z310" i="1"/>
  <c r="Y310" i="1"/>
  <c r="S310" i="1"/>
  <c r="AK309" i="1"/>
  <c r="AJ309" i="1"/>
  <c r="AH309" i="1"/>
  <c r="AB309" i="1"/>
  <c r="AA309" i="1"/>
  <c r="Z309" i="1"/>
  <c r="Y309" i="1"/>
  <c r="R309" i="1"/>
  <c r="AL309" i="1" s="1"/>
  <c r="AK308" i="1"/>
  <c r="AJ308" i="1"/>
  <c r="AH308" i="1"/>
  <c r="AG308" i="1"/>
  <c r="AB308" i="1" s="1"/>
  <c r="AA308" i="1"/>
  <c r="Z308" i="1"/>
  <c r="Y308" i="1"/>
  <c r="R308" i="1"/>
  <c r="S308" i="1" s="1"/>
  <c r="AL307" i="1"/>
  <c r="AK307" i="1"/>
  <c r="AJ307" i="1"/>
  <c r="AH307" i="1"/>
  <c r="AB307" i="1"/>
  <c r="AA307" i="1"/>
  <c r="Z307" i="1"/>
  <c r="Y307" i="1"/>
  <c r="S307" i="1"/>
  <c r="AL306" i="1"/>
  <c r="AK306" i="1"/>
  <c r="AJ306" i="1"/>
  <c r="AH306" i="1"/>
  <c r="AB306" i="1"/>
  <c r="AA306" i="1"/>
  <c r="Z306" i="1"/>
  <c r="Y306" i="1"/>
  <c r="S306" i="1"/>
  <c r="AL305" i="1"/>
  <c r="AK305" i="1"/>
  <c r="AJ305" i="1"/>
  <c r="AH305" i="1"/>
  <c r="AB305" i="1"/>
  <c r="AA305" i="1"/>
  <c r="Z305" i="1"/>
  <c r="Y305" i="1"/>
  <c r="S305" i="1"/>
  <c r="AL304" i="1"/>
  <c r="AK304" i="1"/>
  <c r="AJ304" i="1"/>
  <c r="AH304" i="1"/>
  <c r="AB304" i="1"/>
  <c r="AA304" i="1"/>
  <c r="Z304" i="1"/>
  <c r="Y304" i="1"/>
  <c r="S304" i="1"/>
  <c r="AL303" i="1"/>
  <c r="AK303" i="1"/>
  <c r="AJ303" i="1"/>
  <c r="AH303" i="1"/>
  <c r="AB303" i="1"/>
  <c r="AA303" i="1"/>
  <c r="Z303" i="1"/>
  <c r="Y303" i="1"/>
  <c r="S303" i="1"/>
  <c r="AL302" i="1"/>
  <c r="AK302" i="1"/>
  <c r="AJ302" i="1"/>
  <c r="AH302" i="1"/>
  <c r="AB302" i="1"/>
  <c r="AA302" i="1"/>
  <c r="Z302" i="1"/>
  <c r="Y302" i="1"/>
  <c r="S302" i="1"/>
  <c r="AL301" i="1"/>
  <c r="AK301" i="1"/>
  <c r="AJ301" i="1"/>
  <c r="AH301" i="1"/>
  <c r="AB301" i="1"/>
  <c r="AA301" i="1"/>
  <c r="Z301" i="1"/>
  <c r="Y301" i="1"/>
  <c r="S301" i="1"/>
  <c r="AL300" i="1"/>
  <c r="AK300" i="1"/>
  <c r="AJ300" i="1"/>
  <c r="AH300" i="1"/>
  <c r="AB300" i="1"/>
  <c r="AA300" i="1"/>
  <c r="Z300" i="1"/>
  <c r="Y300" i="1"/>
  <c r="S300" i="1"/>
  <c r="AL299" i="1"/>
  <c r="AK299" i="1"/>
  <c r="AJ299" i="1"/>
  <c r="AH299" i="1"/>
  <c r="AB299" i="1"/>
  <c r="AA299" i="1"/>
  <c r="Z299" i="1"/>
  <c r="Y299" i="1"/>
  <c r="S299" i="1"/>
  <c r="AK298" i="1"/>
  <c r="AJ298" i="1"/>
  <c r="AH298" i="1"/>
  <c r="AB298" i="1"/>
  <c r="AA298" i="1"/>
  <c r="Z298" i="1"/>
  <c r="Y298" i="1"/>
  <c r="R298" i="1"/>
  <c r="S298" i="1" s="1"/>
  <c r="AL297" i="1"/>
  <c r="AK297" i="1"/>
  <c r="AJ297" i="1"/>
  <c r="AH297" i="1"/>
  <c r="AB297" i="1"/>
  <c r="AA297" i="1"/>
  <c r="Z297" i="1"/>
  <c r="Y297" i="1"/>
  <c r="S297" i="1"/>
  <c r="AK296" i="1"/>
  <c r="AJ296" i="1"/>
  <c r="AH296" i="1"/>
  <c r="AG296" i="1"/>
  <c r="AA296" i="1"/>
  <c r="Z296" i="1"/>
  <c r="Y296" i="1"/>
  <c r="R296" i="1"/>
  <c r="S296" i="1" s="1"/>
  <c r="AL295" i="1"/>
  <c r="AK295" i="1"/>
  <c r="AJ295" i="1"/>
  <c r="AH295" i="1"/>
  <c r="AB295" i="1"/>
  <c r="AA295" i="1"/>
  <c r="Z295" i="1"/>
  <c r="Y295" i="1"/>
  <c r="S295" i="1"/>
  <c r="AL294" i="1"/>
  <c r="AK294" i="1"/>
  <c r="AJ294" i="1"/>
  <c r="AH294" i="1"/>
  <c r="AB294" i="1"/>
  <c r="AA294" i="1"/>
  <c r="Z294" i="1"/>
  <c r="Y294" i="1"/>
  <c r="S294" i="1"/>
  <c r="AL293" i="1"/>
  <c r="AK293" i="1"/>
  <c r="AJ293" i="1"/>
  <c r="AH293" i="1"/>
  <c r="AB293" i="1"/>
  <c r="AA293" i="1"/>
  <c r="Z293" i="1"/>
  <c r="Y293" i="1"/>
  <c r="S293" i="1"/>
  <c r="AK292" i="1"/>
  <c r="AJ292" i="1"/>
  <c r="AH292" i="1"/>
  <c r="AG292" i="1"/>
  <c r="AB292" i="1" s="1"/>
  <c r="AA292" i="1"/>
  <c r="Z292" i="1"/>
  <c r="Y292" i="1"/>
  <c r="R292" i="1"/>
  <c r="S292" i="1" s="1"/>
  <c r="AL291" i="1"/>
  <c r="AK291" i="1"/>
  <c r="AJ291" i="1"/>
  <c r="AH291" i="1"/>
  <c r="AB291" i="1"/>
  <c r="AA291" i="1"/>
  <c r="Z291" i="1"/>
  <c r="Y291" i="1"/>
  <c r="S291" i="1"/>
  <c r="AK290" i="1"/>
  <c r="AJ290" i="1"/>
  <c r="AH290" i="1"/>
  <c r="AG290" i="1"/>
  <c r="AB290" i="1" s="1"/>
  <c r="AA290" i="1"/>
  <c r="Z290" i="1"/>
  <c r="Y290" i="1"/>
  <c r="R290" i="1"/>
  <c r="AL289" i="1"/>
  <c r="AK289" i="1"/>
  <c r="AJ289" i="1"/>
  <c r="AH289" i="1"/>
  <c r="AB289" i="1"/>
  <c r="AA289" i="1"/>
  <c r="Z289" i="1"/>
  <c r="Y289" i="1"/>
  <c r="S289" i="1"/>
  <c r="AL288" i="1"/>
  <c r="AK288" i="1"/>
  <c r="AJ288" i="1"/>
  <c r="AH288" i="1"/>
  <c r="AB288" i="1"/>
  <c r="AA288" i="1"/>
  <c r="Z288" i="1"/>
  <c r="Y288" i="1"/>
  <c r="S288" i="1"/>
  <c r="AL287" i="1"/>
  <c r="AK287" i="1"/>
  <c r="AJ287" i="1"/>
  <c r="AH287" i="1"/>
  <c r="AB287" i="1"/>
  <c r="AA287" i="1"/>
  <c r="Z287" i="1"/>
  <c r="Y287" i="1"/>
  <c r="S287" i="1"/>
  <c r="AL286" i="1"/>
  <c r="AK286" i="1"/>
  <c r="AJ286" i="1"/>
  <c r="AH286" i="1"/>
  <c r="AB286" i="1"/>
  <c r="AA286" i="1"/>
  <c r="Z286" i="1"/>
  <c r="Y286" i="1"/>
  <c r="S286" i="1"/>
  <c r="AL285" i="1"/>
  <c r="AK285" i="1"/>
  <c r="AJ285" i="1"/>
  <c r="AH285" i="1"/>
  <c r="AB285" i="1"/>
  <c r="AA285" i="1"/>
  <c r="Z285" i="1"/>
  <c r="Y285" i="1"/>
  <c r="S285" i="1"/>
  <c r="AL284" i="1"/>
  <c r="AK284" i="1"/>
  <c r="AJ284" i="1"/>
  <c r="AH284" i="1"/>
  <c r="AB284" i="1"/>
  <c r="AA284" i="1"/>
  <c r="Z284" i="1"/>
  <c r="Y284" i="1"/>
  <c r="S284" i="1"/>
  <c r="AK283" i="1"/>
  <c r="AJ283" i="1"/>
  <c r="AH283" i="1"/>
  <c r="AG283" i="1"/>
  <c r="AB283" i="1" s="1"/>
  <c r="AA283" i="1"/>
  <c r="Z283" i="1"/>
  <c r="Y283" i="1"/>
  <c r="R283" i="1"/>
  <c r="AL282" i="1"/>
  <c r="AK282" i="1"/>
  <c r="AJ282" i="1"/>
  <c r="AH282" i="1"/>
  <c r="AB282" i="1"/>
  <c r="AA282" i="1"/>
  <c r="Z282" i="1"/>
  <c r="Y282" i="1"/>
  <c r="S282" i="1"/>
  <c r="AL281" i="1"/>
  <c r="AK281" i="1"/>
  <c r="AJ281" i="1"/>
  <c r="AH281" i="1"/>
  <c r="AB281" i="1"/>
  <c r="AA281" i="1"/>
  <c r="Z281" i="1"/>
  <c r="Y281" i="1"/>
  <c r="S281" i="1"/>
  <c r="AL280" i="1"/>
  <c r="AK280" i="1"/>
  <c r="AJ280" i="1"/>
  <c r="AH280" i="1"/>
  <c r="AB280" i="1"/>
  <c r="AA280" i="1"/>
  <c r="Z280" i="1"/>
  <c r="Y280" i="1"/>
  <c r="S280" i="1"/>
  <c r="AL279" i="1"/>
  <c r="AK279" i="1"/>
  <c r="AH279" i="1"/>
  <c r="AB279" i="1"/>
  <c r="AA279" i="1"/>
  <c r="Z279" i="1"/>
  <c r="Y279" i="1"/>
  <c r="P279" i="1"/>
  <c r="S279" i="1" s="1"/>
  <c r="AL278" i="1"/>
  <c r="AK278" i="1"/>
  <c r="AJ278" i="1"/>
  <c r="AH278" i="1"/>
  <c r="AD278" i="1"/>
  <c r="Y278" i="1" s="1"/>
  <c r="AB278" i="1"/>
  <c r="AA278" i="1"/>
  <c r="Z278" i="1"/>
  <c r="S278" i="1"/>
  <c r="AL277" i="1"/>
  <c r="AK277" i="1"/>
  <c r="AJ277" i="1"/>
  <c r="AH277" i="1"/>
  <c r="AB277" i="1"/>
  <c r="AA277" i="1"/>
  <c r="Z277" i="1"/>
  <c r="Y277" i="1"/>
  <c r="S277" i="1"/>
  <c r="AL276" i="1"/>
  <c r="AK276" i="1"/>
  <c r="AJ276" i="1"/>
  <c r="AH276" i="1"/>
  <c r="AB276" i="1"/>
  <c r="AA276" i="1"/>
  <c r="Z276" i="1"/>
  <c r="Y276" i="1"/>
  <c r="S276" i="1"/>
  <c r="AL275" i="1"/>
  <c r="AK275" i="1"/>
  <c r="AJ275" i="1"/>
  <c r="AH275" i="1"/>
  <c r="AB275" i="1"/>
  <c r="AA275" i="1"/>
  <c r="Z275" i="1"/>
  <c r="Y275" i="1"/>
  <c r="S275" i="1"/>
  <c r="AK274" i="1"/>
  <c r="AJ274" i="1"/>
  <c r="AH274" i="1"/>
  <c r="AB274" i="1"/>
  <c r="AA274" i="1"/>
  <c r="Z274" i="1"/>
  <c r="Y274" i="1"/>
  <c r="R274" i="1"/>
  <c r="AL274" i="1" s="1"/>
  <c r="AL273" i="1"/>
  <c r="AK273" i="1"/>
  <c r="AJ273" i="1"/>
  <c r="AH273" i="1"/>
  <c r="AB273" i="1"/>
  <c r="AA273" i="1"/>
  <c r="Z273" i="1"/>
  <c r="Y273" i="1"/>
  <c r="S273" i="1"/>
  <c r="AL272" i="1"/>
  <c r="AK272" i="1"/>
  <c r="AJ272" i="1"/>
  <c r="AH272" i="1"/>
  <c r="AB272" i="1"/>
  <c r="AA272" i="1"/>
  <c r="Z272" i="1"/>
  <c r="Y272" i="1"/>
  <c r="S272" i="1"/>
  <c r="AL271" i="1"/>
  <c r="AK271" i="1"/>
  <c r="AJ271" i="1"/>
  <c r="AH271" i="1"/>
  <c r="AB271" i="1"/>
  <c r="AA271" i="1"/>
  <c r="Z271" i="1"/>
  <c r="Y271" i="1"/>
  <c r="S271" i="1"/>
  <c r="AL270" i="1"/>
  <c r="AK270" i="1"/>
  <c r="AJ270" i="1"/>
  <c r="AH270" i="1"/>
  <c r="AB270" i="1"/>
  <c r="AA270" i="1"/>
  <c r="Z270" i="1"/>
  <c r="Y270" i="1"/>
  <c r="S270" i="1"/>
  <c r="AL269" i="1"/>
  <c r="AK269" i="1"/>
  <c r="AJ269" i="1"/>
  <c r="AH269" i="1"/>
  <c r="AB269" i="1"/>
  <c r="AA269" i="1"/>
  <c r="Z269" i="1"/>
  <c r="Y269" i="1"/>
  <c r="S269" i="1"/>
  <c r="AL268" i="1"/>
  <c r="AK268" i="1"/>
  <c r="AJ268" i="1"/>
  <c r="AH268" i="1"/>
  <c r="AB268" i="1"/>
  <c r="AA268" i="1"/>
  <c r="Z268" i="1"/>
  <c r="Y268" i="1"/>
  <c r="S268" i="1"/>
  <c r="AL267" i="1"/>
  <c r="AK267" i="1"/>
  <c r="AJ267" i="1"/>
  <c r="AH267" i="1"/>
  <c r="AB267" i="1"/>
  <c r="AA267" i="1"/>
  <c r="Z267" i="1"/>
  <c r="Y267" i="1"/>
  <c r="S267" i="1"/>
  <c r="AL266" i="1"/>
  <c r="AK266" i="1"/>
  <c r="AJ266" i="1"/>
  <c r="AH266" i="1"/>
  <c r="AB266" i="1"/>
  <c r="AA266" i="1"/>
  <c r="Z266" i="1"/>
  <c r="Y266" i="1"/>
  <c r="S266" i="1"/>
  <c r="AL265" i="1"/>
  <c r="AK265" i="1"/>
  <c r="AJ265" i="1"/>
  <c r="AH265" i="1"/>
  <c r="AB265" i="1"/>
  <c r="AA265" i="1"/>
  <c r="Z265" i="1"/>
  <c r="Y265" i="1"/>
  <c r="S265" i="1"/>
  <c r="AL264" i="1"/>
  <c r="AK264" i="1"/>
  <c r="AJ264" i="1"/>
  <c r="AH264" i="1"/>
  <c r="AB264" i="1"/>
  <c r="AA264" i="1"/>
  <c r="Z264" i="1"/>
  <c r="Y264" i="1"/>
  <c r="S264" i="1"/>
  <c r="AL263" i="1"/>
  <c r="AK263" i="1"/>
  <c r="AJ263" i="1"/>
  <c r="AH263" i="1"/>
  <c r="AB263" i="1"/>
  <c r="AA263" i="1"/>
  <c r="Z263" i="1"/>
  <c r="Y263" i="1"/>
  <c r="S263" i="1"/>
  <c r="AK262" i="1"/>
  <c r="AJ262" i="1"/>
  <c r="AH262" i="1"/>
  <c r="AG262" i="1"/>
  <c r="AB262" i="1" s="1"/>
  <c r="AA262" i="1"/>
  <c r="Z262" i="1"/>
  <c r="Y262" i="1"/>
  <c r="R262" i="1"/>
  <c r="S262" i="1" s="1"/>
  <c r="AL261" i="1"/>
  <c r="AK261" i="1"/>
  <c r="AJ261" i="1"/>
  <c r="AH261" i="1"/>
  <c r="AB261" i="1"/>
  <c r="AA261" i="1"/>
  <c r="Z261" i="1"/>
  <c r="Y261" i="1"/>
  <c r="S261" i="1"/>
  <c r="AL260" i="1"/>
  <c r="AK260" i="1"/>
  <c r="AJ260" i="1"/>
  <c r="AH260" i="1"/>
  <c r="AB260" i="1"/>
  <c r="AA260" i="1"/>
  <c r="Z260" i="1"/>
  <c r="Y260" i="1"/>
  <c r="S260" i="1"/>
  <c r="AL259" i="1"/>
  <c r="AK259" i="1"/>
  <c r="AJ259" i="1"/>
  <c r="AH259" i="1"/>
  <c r="AB259" i="1"/>
  <c r="AA259" i="1"/>
  <c r="Z259" i="1"/>
  <c r="Y259" i="1"/>
  <c r="S259" i="1"/>
  <c r="AL258" i="1"/>
  <c r="AK258" i="1"/>
  <c r="AJ258" i="1"/>
  <c r="AH258" i="1"/>
  <c r="AB258" i="1"/>
  <c r="AA258" i="1"/>
  <c r="Z258" i="1"/>
  <c r="Y258" i="1"/>
  <c r="S258" i="1"/>
  <c r="AL257" i="1"/>
  <c r="AK257" i="1"/>
  <c r="AJ257" i="1"/>
  <c r="AH257" i="1"/>
  <c r="AB257" i="1"/>
  <c r="AA257" i="1"/>
  <c r="Z257" i="1"/>
  <c r="Y257" i="1"/>
  <c r="S257" i="1"/>
  <c r="AL256" i="1"/>
  <c r="AK256" i="1"/>
  <c r="AJ256" i="1"/>
  <c r="AH256" i="1"/>
  <c r="AB256" i="1"/>
  <c r="AA256" i="1"/>
  <c r="Z256" i="1"/>
  <c r="Y256" i="1"/>
  <c r="S256" i="1"/>
  <c r="AL255" i="1"/>
  <c r="AK255" i="1"/>
  <c r="AJ255" i="1"/>
  <c r="AH255" i="1"/>
  <c r="AB255" i="1"/>
  <c r="AA255" i="1"/>
  <c r="Z255" i="1"/>
  <c r="Y255" i="1"/>
  <c r="S255" i="1"/>
  <c r="AL254" i="1"/>
  <c r="AK254" i="1"/>
  <c r="AJ254" i="1"/>
  <c r="AH254" i="1"/>
  <c r="AB254" i="1"/>
  <c r="AA254" i="1"/>
  <c r="Z254" i="1"/>
  <c r="Y254" i="1"/>
  <c r="S254" i="1"/>
  <c r="AK253" i="1"/>
  <c r="AJ253" i="1"/>
  <c r="AH253" i="1"/>
  <c r="AG253" i="1"/>
  <c r="AB253" i="1" s="1"/>
  <c r="AA253" i="1"/>
  <c r="Z253" i="1"/>
  <c r="Y253" i="1"/>
  <c r="R253" i="1"/>
  <c r="S253" i="1" s="1"/>
  <c r="AL252" i="1"/>
  <c r="AK252" i="1"/>
  <c r="AJ252" i="1"/>
  <c r="AH252" i="1"/>
  <c r="AB252" i="1"/>
  <c r="AA252" i="1"/>
  <c r="Z252" i="1"/>
  <c r="Y252" i="1"/>
  <c r="S252" i="1"/>
  <c r="AL251" i="1"/>
  <c r="AK251" i="1"/>
  <c r="AJ251" i="1"/>
  <c r="AH251" i="1"/>
  <c r="AB251" i="1"/>
  <c r="AA251" i="1"/>
  <c r="Z251" i="1"/>
  <c r="Y251" i="1"/>
  <c r="S251" i="1"/>
  <c r="AL250" i="1"/>
  <c r="AK250" i="1"/>
  <c r="AJ250" i="1"/>
  <c r="AH250" i="1"/>
  <c r="AB250" i="1"/>
  <c r="AA250" i="1"/>
  <c r="Z250" i="1"/>
  <c r="Y250" i="1"/>
  <c r="S250" i="1"/>
  <c r="AL249" i="1"/>
  <c r="AK249" i="1"/>
  <c r="AJ249" i="1"/>
  <c r="AH249" i="1"/>
  <c r="AB249" i="1"/>
  <c r="AA249" i="1"/>
  <c r="Z249" i="1"/>
  <c r="Y249" i="1"/>
  <c r="S249" i="1"/>
  <c r="AL248" i="1"/>
  <c r="AK248" i="1"/>
  <c r="AJ248" i="1"/>
  <c r="AH248" i="1"/>
  <c r="AB248" i="1"/>
  <c r="AA248" i="1"/>
  <c r="Z248" i="1"/>
  <c r="Y248" i="1"/>
  <c r="S248" i="1"/>
  <c r="AL247" i="1"/>
  <c r="AK247" i="1"/>
  <c r="AJ247" i="1"/>
  <c r="AH247" i="1"/>
  <c r="AB247" i="1"/>
  <c r="AA247" i="1"/>
  <c r="Z247" i="1"/>
  <c r="Y247" i="1"/>
  <c r="S247" i="1"/>
  <c r="AL246" i="1"/>
  <c r="AK246" i="1"/>
  <c r="AJ246" i="1"/>
  <c r="AH246" i="1"/>
  <c r="AB246" i="1"/>
  <c r="AA246" i="1"/>
  <c r="Z246" i="1"/>
  <c r="Y246" i="1"/>
  <c r="S246" i="1"/>
  <c r="AL245" i="1"/>
  <c r="AK245" i="1"/>
  <c r="AJ245" i="1"/>
  <c r="AH245" i="1"/>
  <c r="AB245" i="1"/>
  <c r="AA245" i="1"/>
  <c r="Z245" i="1"/>
  <c r="Y245" i="1"/>
  <c r="S245" i="1"/>
  <c r="AL244" i="1"/>
  <c r="AK244" i="1"/>
  <c r="AJ244" i="1"/>
  <c r="AH244" i="1"/>
  <c r="AB244" i="1"/>
  <c r="AA244" i="1"/>
  <c r="Z244" i="1"/>
  <c r="Y244" i="1"/>
  <c r="S244" i="1"/>
  <c r="AL243" i="1"/>
  <c r="AK243" i="1"/>
  <c r="AJ243" i="1"/>
  <c r="AH243" i="1"/>
  <c r="AB243" i="1"/>
  <c r="AA243" i="1"/>
  <c r="Z243" i="1"/>
  <c r="Y243" i="1"/>
  <c r="S243" i="1"/>
  <c r="AL242" i="1"/>
  <c r="AK242" i="1"/>
  <c r="AJ242" i="1"/>
  <c r="AH242" i="1"/>
  <c r="AB242" i="1"/>
  <c r="AA242" i="1"/>
  <c r="Z242" i="1"/>
  <c r="Y242" i="1"/>
  <c r="S242" i="1"/>
  <c r="AL241" i="1"/>
  <c r="AK241" i="1"/>
  <c r="AJ241" i="1"/>
  <c r="AH241" i="1"/>
  <c r="AB241" i="1"/>
  <c r="AA241" i="1"/>
  <c r="Z241" i="1"/>
  <c r="Y241" i="1"/>
  <c r="S241" i="1"/>
  <c r="AL240" i="1"/>
  <c r="AK240" i="1"/>
  <c r="AJ240" i="1"/>
  <c r="AH240" i="1"/>
  <c r="AB240" i="1"/>
  <c r="AA240" i="1"/>
  <c r="Z240" i="1"/>
  <c r="Y240" i="1"/>
  <c r="S240" i="1"/>
  <c r="AL239" i="1"/>
  <c r="AK239" i="1"/>
  <c r="AJ239" i="1"/>
  <c r="AH239" i="1"/>
  <c r="AB239" i="1"/>
  <c r="AA239" i="1"/>
  <c r="Z239" i="1"/>
  <c r="Y239" i="1"/>
  <c r="S239" i="1"/>
  <c r="AL238" i="1"/>
  <c r="AK238" i="1"/>
  <c r="AJ238" i="1"/>
  <c r="AH238" i="1"/>
  <c r="AB238" i="1"/>
  <c r="AA238" i="1"/>
  <c r="Z238" i="1"/>
  <c r="Y238" i="1"/>
  <c r="S238" i="1"/>
  <c r="AL237" i="1"/>
  <c r="AK237" i="1"/>
  <c r="AJ237" i="1"/>
  <c r="AH237" i="1"/>
  <c r="AB237" i="1"/>
  <c r="AA237" i="1"/>
  <c r="Z237" i="1"/>
  <c r="Y237" i="1"/>
  <c r="S237" i="1"/>
  <c r="AL236" i="1"/>
  <c r="AK236" i="1"/>
  <c r="AJ236" i="1"/>
  <c r="AH236" i="1"/>
  <c r="AB236" i="1"/>
  <c r="AA236" i="1"/>
  <c r="Z236" i="1"/>
  <c r="Y236" i="1"/>
  <c r="S236" i="1"/>
  <c r="AL235" i="1"/>
  <c r="AK235" i="1"/>
  <c r="AJ235" i="1"/>
  <c r="AH235" i="1"/>
  <c r="AB235" i="1"/>
  <c r="AA235" i="1"/>
  <c r="Z235" i="1"/>
  <c r="Y235" i="1"/>
  <c r="S235" i="1"/>
  <c r="AL234" i="1"/>
  <c r="AK234" i="1"/>
  <c r="AJ234" i="1"/>
  <c r="AH234" i="1"/>
  <c r="AB234" i="1"/>
  <c r="AA234" i="1"/>
  <c r="Z234" i="1"/>
  <c r="Y234" i="1"/>
  <c r="S234" i="1"/>
  <c r="AL233" i="1"/>
  <c r="AK233" i="1"/>
  <c r="AJ233" i="1"/>
  <c r="AH233" i="1"/>
  <c r="AB233" i="1"/>
  <c r="AA233" i="1"/>
  <c r="Z233" i="1"/>
  <c r="Y233" i="1"/>
  <c r="S233" i="1"/>
  <c r="AL232" i="1"/>
  <c r="AK232" i="1"/>
  <c r="AJ232" i="1"/>
  <c r="AH232" i="1"/>
  <c r="AB232" i="1"/>
  <c r="AA232" i="1"/>
  <c r="Z232" i="1"/>
  <c r="Y232" i="1"/>
  <c r="S232" i="1"/>
  <c r="AL231" i="1"/>
  <c r="AK231" i="1"/>
  <c r="AJ231" i="1"/>
  <c r="AH231" i="1"/>
  <c r="AB231" i="1"/>
  <c r="AA231" i="1"/>
  <c r="Z231" i="1"/>
  <c r="Y231" i="1"/>
  <c r="S231" i="1"/>
  <c r="AL230" i="1"/>
  <c r="AK230" i="1"/>
  <c r="AJ230" i="1"/>
  <c r="AH230" i="1"/>
  <c r="AB230" i="1"/>
  <c r="AA230" i="1"/>
  <c r="Z230" i="1"/>
  <c r="Y230" i="1"/>
  <c r="S230" i="1"/>
  <c r="AL229" i="1"/>
  <c r="AK229" i="1"/>
  <c r="AJ229" i="1"/>
  <c r="AH229" i="1"/>
  <c r="AB229" i="1"/>
  <c r="AA229" i="1"/>
  <c r="Z229" i="1"/>
  <c r="Y229" i="1"/>
  <c r="S229" i="1"/>
  <c r="AL228" i="1"/>
  <c r="AK228" i="1"/>
  <c r="AJ228" i="1"/>
  <c r="AH228" i="1"/>
  <c r="AB228" i="1"/>
  <c r="AA228" i="1"/>
  <c r="Z228" i="1"/>
  <c r="Y228" i="1"/>
  <c r="S228" i="1"/>
  <c r="AL227" i="1"/>
  <c r="AK227" i="1"/>
  <c r="AJ227" i="1"/>
  <c r="AH227" i="1"/>
  <c r="AB227" i="1"/>
  <c r="AA227" i="1"/>
  <c r="Z227" i="1"/>
  <c r="Y227" i="1"/>
  <c r="S227" i="1"/>
  <c r="AL226" i="1"/>
  <c r="AK226" i="1"/>
  <c r="AJ226" i="1"/>
  <c r="AH226" i="1"/>
  <c r="AB226" i="1"/>
  <c r="AA226" i="1"/>
  <c r="Z226" i="1"/>
  <c r="Y226" i="1"/>
  <c r="S226" i="1"/>
  <c r="AL225" i="1"/>
  <c r="AK225" i="1"/>
  <c r="AJ225" i="1"/>
  <c r="AH225" i="1"/>
  <c r="AB225" i="1"/>
  <c r="AA225" i="1"/>
  <c r="Z225" i="1"/>
  <c r="Y225" i="1"/>
  <c r="S225" i="1"/>
  <c r="AL224" i="1"/>
  <c r="AK224" i="1"/>
  <c r="AJ224" i="1"/>
  <c r="AH224" i="1"/>
  <c r="AB224" i="1"/>
  <c r="AA224" i="1"/>
  <c r="Z224" i="1"/>
  <c r="Y224" i="1"/>
  <c r="S224" i="1"/>
  <c r="AL223" i="1"/>
  <c r="AK223" i="1"/>
  <c r="AJ223" i="1"/>
  <c r="AH223" i="1"/>
  <c r="AB223" i="1"/>
  <c r="AA223" i="1"/>
  <c r="Z223" i="1"/>
  <c r="Y223" i="1"/>
  <c r="S223" i="1"/>
  <c r="AL222" i="1"/>
  <c r="AK222" i="1"/>
  <c r="AJ222" i="1"/>
  <c r="AH222" i="1"/>
  <c r="AB222" i="1"/>
  <c r="AA222" i="1"/>
  <c r="Z222" i="1"/>
  <c r="Y222" i="1"/>
  <c r="S222" i="1"/>
  <c r="AL221" i="1"/>
  <c r="AK221" i="1"/>
  <c r="AJ221" i="1"/>
  <c r="AH221" i="1"/>
  <c r="AB221" i="1"/>
  <c r="AA221" i="1"/>
  <c r="Z221" i="1"/>
  <c r="Y221" i="1"/>
  <c r="S221" i="1"/>
  <c r="AL220" i="1"/>
  <c r="AK220" i="1"/>
  <c r="AJ220" i="1"/>
  <c r="AH220" i="1"/>
  <c r="AB220" i="1"/>
  <c r="AA220" i="1"/>
  <c r="Z220" i="1"/>
  <c r="Y220" i="1"/>
  <c r="S220" i="1"/>
  <c r="AL219" i="1"/>
  <c r="AK219" i="1"/>
  <c r="AJ219" i="1"/>
  <c r="AH219" i="1"/>
  <c r="AB219" i="1"/>
  <c r="AA219" i="1"/>
  <c r="Z219" i="1"/>
  <c r="Y219" i="1"/>
  <c r="S219" i="1"/>
  <c r="AL218" i="1"/>
  <c r="AK218" i="1"/>
  <c r="AJ218" i="1"/>
  <c r="AH218" i="1"/>
  <c r="AB218" i="1"/>
  <c r="AA218" i="1"/>
  <c r="Z218" i="1"/>
  <c r="Y218" i="1"/>
  <c r="S218" i="1"/>
  <c r="AL217" i="1"/>
  <c r="AK217" i="1"/>
  <c r="AJ217" i="1"/>
  <c r="AH217" i="1"/>
  <c r="AB217" i="1"/>
  <c r="AA217" i="1"/>
  <c r="Z217" i="1"/>
  <c r="Y217" i="1"/>
  <c r="S217" i="1"/>
  <c r="AL216" i="1"/>
  <c r="AK216" i="1"/>
  <c r="AJ216" i="1"/>
  <c r="AH216" i="1"/>
  <c r="AB216" i="1"/>
  <c r="AA216" i="1"/>
  <c r="Z216" i="1"/>
  <c r="Y216" i="1"/>
  <c r="S216" i="1"/>
  <c r="AL215" i="1"/>
  <c r="AK215" i="1"/>
  <c r="AJ215" i="1"/>
  <c r="AH215" i="1"/>
  <c r="AB215" i="1"/>
  <c r="AA215" i="1"/>
  <c r="Z215" i="1"/>
  <c r="Y215" i="1"/>
  <c r="S215" i="1"/>
  <c r="AL214" i="1"/>
  <c r="AK214" i="1"/>
  <c r="AJ214" i="1"/>
  <c r="AH214" i="1"/>
  <c r="AB214" i="1"/>
  <c r="AA214" i="1"/>
  <c r="Z214" i="1"/>
  <c r="Y214" i="1"/>
  <c r="S214" i="1"/>
  <c r="AL213" i="1"/>
  <c r="AK213" i="1"/>
  <c r="AJ213" i="1"/>
  <c r="AH213" i="1"/>
  <c r="AB213" i="1"/>
  <c r="AA213" i="1"/>
  <c r="Z213" i="1"/>
  <c r="Y213" i="1"/>
  <c r="S213" i="1"/>
  <c r="AL212" i="1"/>
  <c r="AK212" i="1"/>
  <c r="AJ212" i="1"/>
  <c r="AH212" i="1"/>
  <c r="AB212" i="1"/>
  <c r="AA212" i="1"/>
  <c r="Z212" i="1"/>
  <c r="Y212" i="1"/>
  <c r="S212" i="1"/>
  <c r="AL211" i="1"/>
  <c r="AK211" i="1"/>
  <c r="AJ211" i="1"/>
  <c r="AH211" i="1"/>
  <c r="AB211" i="1"/>
  <c r="AA211" i="1"/>
  <c r="Z211" i="1"/>
  <c r="Y211" i="1"/>
  <c r="S211" i="1"/>
  <c r="AL210" i="1"/>
  <c r="AK210" i="1"/>
  <c r="AJ210" i="1"/>
  <c r="AH210" i="1"/>
  <c r="AB210" i="1"/>
  <c r="AA210" i="1"/>
  <c r="Z210" i="1"/>
  <c r="Y210" i="1"/>
  <c r="S210" i="1"/>
  <c r="AL209" i="1"/>
  <c r="AK209" i="1"/>
  <c r="AJ209" i="1"/>
  <c r="AH209" i="1"/>
  <c r="AB209" i="1"/>
  <c r="AA209" i="1"/>
  <c r="Z209" i="1"/>
  <c r="Y209" i="1"/>
  <c r="S209" i="1"/>
  <c r="AL208" i="1"/>
  <c r="AK208" i="1"/>
  <c r="AJ208" i="1"/>
  <c r="AH208" i="1"/>
  <c r="AB208" i="1"/>
  <c r="AA208" i="1"/>
  <c r="Z208" i="1"/>
  <c r="Y208" i="1"/>
  <c r="S208" i="1"/>
  <c r="AL207" i="1"/>
  <c r="AK207" i="1"/>
  <c r="AJ207" i="1"/>
  <c r="AH207" i="1"/>
  <c r="AB207" i="1"/>
  <c r="AA207" i="1"/>
  <c r="Z207" i="1"/>
  <c r="Y207" i="1"/>
  <c r="S207" i="1"/>
  <c r="AL206" i="1"/>
  <c r="AK206" i="1"/>
  <c r="AH206" i="1"/>
  <c r="AB206" i="1"/>
  <c r="AA206" i="1"/>
  <c r="Z206" i="1"/>
  <c r="Y206" i="1"/>
  <c r="P206" i="1"/>
  <c r="AJ206" i="1" s="1"/>
  <c r="AL205" i="1"/>
  <c r="AK205" i="1"/>
  <c r="AJ205" i="1"/>
  <c r="AH205" i="1"/>
  <c r="AB205" i="1"/>
  <c r="AA205" i="1"/>
  <c r="Z205" i="1"/>
  <c r="Y205" i="1"/>
  <c r="S205" i="1"/>
  <c r="AL204" i="1"/>
  <c r="AK204" i="1"/>
  <c r="AJ204" i="1"/>
  <c r="AH204" i="1"/>
  <c r="AB204" i="1"/>
  <c r="AA204" i="1"/>
  <c r="Z204" i="1"/>
  <c r="Y204" i="1"/>
  <c r="S204" i="1"/>
  <c r="AL203" i="1"/>
  <c r="AK203" i="1"/>
  <c r="AJ203" i="1"/>
  <c r="AH203" i="1"/>
  <c r="AB203" i="1"/>
  <c r="AA203" i="1"/>
  <c r="Z203" i="1"/>
  <c r="Y203" i="1"/>
  <c r="S203" i="1"/>
  <c r="AL202" i="1"/>
  <c r="AK202" i="1"/>
  <c r="AJ202" i="1"/>
  <c r="AH202" i="1"/>
  <c r="AB202" i="1"/>
  <c r="AA202" i="1"/>
  <c r="Z202" i="1"/>
  <c r="Y202" i="1"/>
  <c r="S202" i="1"/>
  <c r="AL201" i="1"/>
  <c r="AK201" i="1"/>
  <c r="AJ201" i="1"/>
  <c r="AH201" i="1"/>
  <c r="AB201" i="1"/>
  <c r="AA201" i="1"/>
  <c r="Z201" i="1"/>
  <c r="Y201" i="1"/>
  <c r="S201" i="1"/>
  <c r="AL200" i="1"/>
  <c r="AK200" i="1"/>
  <c r="AH200" i="1"/>
  <c r="AE200" i="1"/>
  <c r="Z200" i="1" s="1"/>
  <c r="AB200" i="1"/>
  <c r="AA200" i="1"/>
  <c r="Y200" i="1"/>
  <c r="P200" i="1"/>
  <c r="S200" i="1" s="1"/>
  <c r="AL199" i="1"/>
  <c r="AK199" i="1"/>
  <c r="AJ199" i="1"/>
  <c r="AH199" i="1"/>
  <c r="AB199" i="1"/>
  <c r="AA199" i="1"/>
  <c r="Z199" i="1"/>
  <c r="Y199" i="1"/>
  <c r="S199" i="1"/>
  <c r="AL198" i="1"/>
  <c r="AK198" i="1"/>
  <c r="AJ198" i="1"/>
  <c r="AH198" i="1"/>
  <c r="AB198" i="1"/>
  <c r="AA198" i="1"/>
  <c r="Z198" i="1"/>
  <c r="Y198" i="1"/>
  <c r="S198" i="1"/>
  <c r="AL197" i="1"/>
  <c r="AK197" i="1"/>
  <c r="AJ197" i="1"/>
  <c r="AH197" i="1"/>
  <c r="AB197" i="1"/>
  <c r="AA197" i="1"/>
  <c r="Z197" i="1"/>
  <c r="Y197" i="1"/>
  <c r="S197" i="1"/>
  <c r="AL196" i="1"/>
  <c r="AK196" i="1"/>
  <c r="AJ196" i="1"/>
  <c r="AH196" i="1"/>
  <c r="AB196" i="1"/>
  <c r="AA196" i="1"/>
  <c r="Z196" i="1"/>
  <c r="Y196" i="1"/>
  <c r="S196" i="1"/>
  <c r="AL195" i="1"/>
  <c r="AK195" i="1"/>
  <c r="AH195" i="1"/>
  <c r="AE195" i="1"/>
  <c r="AB195" i="1"/>
  <c r="AA195" i="1"/>
  <c r="Y195" i="1"/>
  <c r="P195" i="1"/>
  <c r="S195" i="1" s="1"/>
  <c r="AL194" i="1"/>
  <c r="AK194" i="1"/>
  <c r="AJ194" i="1"/>
  <c r="AH194" i="1"/>
  <c r="AB194" i="1"/>
  <c r="AA194" i="1"/>
  <c r="Z194" i="1"/>
  <c r="Y194" i="1"/>
  <c r="S194" i="1"/>
  <c r="AL193" i="1"/>
  <c r="AK193" i="1"/>
  <c r="AJ193" i="1"/>
  <c r="AH193" i="1"/>
  <c r="AB193" i="1"/>
  <c r="AA193" i="1"/>
  <c r="Z193" i="1"/>
  <c r="Y193" i="1"/>
  <c r="S193" i="1"/>
  <c r="AL192" i="1"/>
  <c r="AK192" i="1"/>
  <c r="AJ192" i="1"/>
  <c r="AH192" i="1"/>
  <c r="AB192" i="1"/>
  <c r="AA192" i="1"/>
  <c r="Z192" i="1"/>
  <c r="Y192" i="1"/>
  <c r="S192" i="1"/>
  <c r="AL191" i="1"/>
  <c r="AK191" i="1"/>
  <c r="AJ191" i="1"/>
  <c r="AH191" i="1"/>
  <c r="AB191" i="1"/>
  <c r="AA191" i="1"/>
  <c r="Z191" i="1"/>
  <c r="Y191" i="1"/>
  <c r="S191" i="1"/>
  <c r="AL190" i="1"/>
  <c r="AK190" i="1"/>
  <c r="AJ190" i="1"/>
  <c r="AH190" i="1"/>
  <c r="AB190" i="1"/>
  <c r="AA190" i="1"/>
  <c r="Z190" i="1"/>
  <c r="Y190" i="1"/>
  <c r="S190" i="1"/>
  <c r="AL189" i="1"/>
  <c r="AK189" i="1"/>
  <c r="AJ189" i="1"/>
  <c r="AH189" i="1"/>
  <c r="AB189" i="1"/>
  <c r="AA189" i="1"/>
  <c r="Z189" i="1"/>
  <c r="Y189" i="1"/>
  <c r="S189" i="1"/>
  <c r="AL188" i="1"/>
  <c r="AK188" i="1"/>
  <c r="AH188" i="1"/>
  <c r="AB188" i="1"/>
  <c r="AA188" i="1"/>
  <c r="Z188" i="1"/>
  <c r="Y188" i="1"/>
  <c r="P188" i="1"/>
  <c r="S188" i="1" s="1"/>
  <c r="AL187" i="1"/>
  <c r="AK187" i="1"/>
  <c r="AJ187" i="1"/>
  <c r="AH187" i="1"/>
  <c r="AB187" i="1"/>
  <c r="AA187" i="1"/>
  <c r="Z187" i="1"/>
  <c r="Y187" i="1"/>
  <c r="S187" i="1"/>
  <c r="AL186" i="1"/>
  <c r="AK186" i="1"/>
  <c r="AJ186" i="1"/>
  <c r="AH186" i="1"/>
  <c r="AB186" i="1"/>
  <c r="AA186" i="1"/>
  <c r="Z186" i="1"/>
  <c r="Y186" i="1"/>
  <c r="S186" i="1"/>
  <c r="AL185" i="1"/>
  <c r="AK185" i="1"/>
  <c r="AJ185" i="1"/>
  <c r="AH185" i="1"/>
  <c r="AB185" i="1"/>
  <c r="AA185" i="1"/>
  <c r="Z185" i="1"/>
  <c r="Y185" i="1"/>
  <c r="S185" i="1"/>
  <c r="AL184" i="1"/>
  <c r="AK184" i="1"/>
  <c r="AJ184" i="1"/>
  <c r="AH184" i="1"/>
  <c r="AB184" i="1"/>
  <c r="AA184" i="1"/>
  <c r="Z184" i="1"/>
  <c r="Y184" i="1"/>
  <c r="S184" i="1"/>
  <c r="AL183" i="1"/>
  <c r="AK183" i="1"/>
  <c r="AJ183" i="1"/>
  <c r="AH183" i="1"/>
  <c r="AB183" i="1"/>
  <c r="AA183" i="1"/>
  <c r="Z183" i="1"/>
  <c r="Y183" i="1"/>
  <c r="S183" i="1"/>
  <c r="AL182" i="1"/>
  <c r="AK182" i="1"/>
  <c r="AJ182" i="1"/>
  <c r="AH182" i="1"/>
  <c r="AB182" i="1"/>
  <c r="AA182" i="1"/>
  <c r="Z182" i="1"/>
  <c r="Y182" i="1"/>
  <c r="S182" i="1"/>
  <c r="AL181" i="1"/>
  <c r="AK181" i="1"/>
  <c r="AJ181" i="1"/>
  <c r="AH181" i="1"/>
  <c r="AB181" i="1"/>
  <c r="AA181" i="1"/>
  <c r="Z181" i="1"/>
  <c r="Y181" i="1"/>
  <c r="S181" i="1"/>
  <c r="AL180" i="1"/>
  <c r="AK180" i="1"/>
  <c r="AJ180" i="1"/>
  <c r="AH180" i="1"/>
  <c r="AB180" i="1"/>
  <c r="AA180" i="1"/>
  <c r="Z180" i="1"/>
  <c r="Y180" i="1"/>
  <c r="S180" i="1"/>
  <c r="AL179" i="1"/>
  <c r="AK179" i="1"/>
  <c r="AJ179" i="1"/>
  <c r="AH179" i="1"/>
  <c r="AB179" i="1"/>
  <c r="AA179" i="1"/>
  <c r="Z179" i="1"/>
  <c r="Y179" i="1"/>
  <c r="S179" i="1"/>
  <c r="AL178" i="1"/>
  <c r="AK178" i="1"/>
  <c r="AJ178" i="1"/>
  <c r="AH178" i="1"/>
  <c r="AB178" i="1"/>
  <c r="AA178" i="1"/>
  <c r="Z178" i="1"/>
  <c r="Y178" i="1"/>
  <c r="S178" i="1"/>
  <c r="AL177" i="1"/>
  <c r="AK177" i="1"/>
  <c r="AJ177" i="1"/>
  <c r="AH177" i="1"/>
  <c r="AB177" i="1"/>
  <c r="AA177" i="1"/>
  <c r="Z177" i="1"/>
  <c r="Y177" i="1"/>
  <c r="S177" i="1"/>
  <c r="AL176" i="1"/>
  <c r="AK176" i="1"/>
  <c r="AJ176" i="1"/>
  <c r="AH176" i="1"/>
  <c r="AB176" i="1"/>
  <c r="AA176" i="1"/>
  <c r="Z176" i="1"/>
  <c r="Y176" i="1"/>
  <c r="S176" i="1"/>
  <c r="AL175" i="1"/>
  <c r="AK175" i="1"/>
  <c r="AJ175" i="1"/>
  <c r="AH175" i="1"/>
  <c r="AB175" i="1"/>
  <c r="AA175" i="1"/>
  <c r="Z175" i="1"/>
  <c r="Y175" i="1"/>
  <c r="S175" i="1"/>
  <c r="AL174" i="1"/>
  <c r="AK174" i="1"/>
  <c r="AJ174" i="1"/>
  <c r="AH174" i="1"/>
  <c r="AB174" i="1"/>
  <c r="AA174" i="1"/>
  <c r="Z174" i="1"/>
  <c r="Y174" i="1"/>
  <c r="S174" i="1"/>
  <c r="AL173" i="1"/>
  <c r="AK173" i="1"/>
  <c r="AJ173" i="1"/>
  <c r="AH173" i="1"/>
  <c r="AB173" i="1"/>
  <c r="AA173" i="1"/>
  <c r="Z173" i="1"/>
  <c r="Y173" i="1"/>
  <c r="S173" i="1"/>
  <c r="AL172" i="1"/>
  <c r="AK172" i="1"/>
  <c r="AJ172" i="1"/>
  <c r="AH172" i="1"/>
  <c r="AB172" i="1"/>
  <c r="AA172" i="1"/>
  <c r="Z172" i="1"/>
  <c r="Y172" i="1"/>
  <c r="S172" i="1"/>
  <c r="AL171" i="1"/>
  <c r="AK171" i="1"/>
  <c r="AJ171" i="1"/>
  <c r="AH171" i="1"/>
  <c r="AB171" i="1"/>
  <c r="AA171" i="1"/>
  <c r="Z171" i="1"/>
  <c r="Y171" i="1"/>
  <c r="S171" i="1"/>
  <c r="AL170" i="1"/>
  <c r="AK170" i="1"/>
  <c r="AJ170" i="1"/>
  <c r="AH170" i="1"/>
  <c r="AB170" i="1"/>
  <c r="AA170" i="1"/>
  <c r="Z170" i="1"/>
  <c r="Y170" i="1"/>
  <c r="S170" i="1"/>
  <c r="AL169" i="1"/>
  <c r="AK169" i="1"/>
  <c r="AJ169" i="1"/>
  <c r="AH169" i="1"/>
  <c r="AB169" i="1"/>
  <c r="AA169" i="1"/>
  <c r="Z169" i="1"/>
  <c r="Y169" i="1"/>
  <c r="S169" i="1"/>
  <c r="AL168" i="1"/>
  <c r="AK168" i="1"/>
  <c r="AJ168" i="1"/>
  <c r="AH168" i="1"/>
  <c r="AB168" i="1"/>
  <c r="AA168" i="1"/>
  <c r="Z168" i="1"/>
  <c r="Y168" i="1"/>
  <c r="S168" i="1"/>
  <c r="AL167" i="1"/>
  <c r="AK167" i="1"/>
  <c r="AJ167" i="1"/>
  <c r="AH167" i="1"/>
  <c r="AB167" i="1"/>
  <c r="AA167" i="1"/>
  <c r="Z167" i="1"/>
  <c r="Y167" i="1"/>
  <c r="S167" i="1"/>
  <c r="AL166" i="1"/>
  <c r="AK166" i="1"/>
  <c r="AJ166" i="1"/>
  <c r="AH166" i="1"/>
  <c r="AB166" i="1"/>
  <c r="AA166" i="1"/>
  <c r="Z166" i="1"/>
  <c r="Y166" i="1"/>
  <c r="S166" i="1"/>
  <c r="AL165" i="1"/>
  <c r="AK165" i="1"/>
  <c r="AJ165" i="1"/>
  <c r="AH165" i="1"/>
  <c r="AB165" i="1"/>
  <c r="AA165" i="1"/>
  <c r="Z165" i="1"/>
  <c r="Y165" i="1"/>
  <c r="S165" i="1"/>
  <c r="AL164" i="1"/>
  <c r="AK164" i="1"/>
  <c r="AJ164" i="1"/>
  <c r="AH164" i="1"/>
  <c r="AB164" i="1"/>
  <c r="AA164" i="1"/>
  <c r="Z164" i="1"/>
  <c r="Y164" i="1"/>
  <c r="S164" i="1"/>
  <c r="AL163" i="1"/>
  <c r="AK163" i="1"/>
  <c r="AJ163" i="1"/>
  <c r="AH163" i="1"/>
  <c r="AB163" i="1"/>
  <c r="AA163" i="1"/>
  <c r="Z163" i="1"/>
  <c r="Y163" i="1"/>
  <c r="S163" i="1"/>
  <c r="AL162" i="1"/>
  <c r="AK162" i="1"/>
  <c r="AJ162" i="1"/>
  <c r="AH162" i="1"/>
  <c r="AB162" i="1"/>
  <c r="AA162" i="1"/>
  <c r="Z162" i="1"/>
  <c r="Y162" i="1"/>
  <c r="S162" i="1"/>
  <c r="AL161" i="1"/>
  <c r="AK161" i="1"/>
  <c r="AJ161" i="1"/>
  <c r="AH161" i="1"/>
  <c r="AB161" i="1"/>
  <c r="AA161" i="1"/>
  <c r="Z161" i="1"/>
  <c r="Y161" i="1"/>
  <c r="S161" i="1"/>
  <c r="AL160" i="1"/>
  <c r="AK160" i="1"/>
  <c r="AJ160" i="1"/>
  <c r="AH160" i="1"/>
  <c r="AB160" i="1"/>
  <c r="AA160" i="1"/>
  <c r="Z160" i="1"/>
  <c r="Y160" i="1"/>
  <c r="S160" i="1"/>
  <c r="AL159" i="1"/>
  <c r="AK159" i="1"/>
  <c r="AJ159" i="1"/>
  <c r="AH159" i="1"/>
  <c r="AB159" i="1"/>
  <c r="AA159" i="1"/>
  <c r="Z159" i="1"/>
  <c r="Y159" i="1"/>
  <c r="S159" i="1"/>
  <c r="AL158" i="1"/>
  <c r="AK158" i="1"/>
  <c r="AJ158" i="1"/>
  <c r="AH158" i="1"/>
  <c r="AB158" i="1"/>
  <c r="AA158" i="1"/>
  <c r="Z158" i="1"/>
  <c r="Y158" i="1"/>
  <c r="S158" i="1"/>
  <c r="AL157" i="1"/>
  <c r="AK157" i="1"/>
  <c r="AJ157" i="1"/>
  <c r="AH157" i="1"/>
  <c r="AB157" i="1"/>
  <c r="AA157" i="1"/>
  <c r="Z157" i="1"/>
  <c r="Y157" i="1"/>
  <c r="S157" i="1"/>
  <c r="AL156" i="1"/>
  <c r="AK156" i="1"/>
  <c r="AJ156" i="1"/>
  <c r="AH156" i="1"/>
  <c r="AB156" i="1"/>
  <c r="AA156" i="1"/>
  <c r="Z156" i="1"/>
  <c r="Y156" i="1"/>
  <c r="S156" i="1"/>
  <c r="AL155" i="1"/>
  <c r="AK155" i="1"/>
  <c r="AJ155" i="1"/>
  <c r="AH155" i="1"/>
  <c r="AB155" i="1"/>
  <c r="AA155" i="1"/>
  <c r="Z155" i="1"/>
  <c r="Y155" i="1"/>
  <c r="S155" i="1"/>
  <c r="AL154" i="1"/>
  <c r="AK154" i="1"/>
  <c r="AJ154" i="1"/>
  <c r="AH154" i="1"/>
  <c r="AB154" i="1"/>
  <c r="AA154" i="1"/>
  <c r="Z154" i="1"/>
  <c r="Y154" i="1"/>
  <c r="S154" i="1"/>
  <c r="AL153" i="1"/>
  <c r="AK153" i="1"/>
  <c r="AJ153" i="1"/>
  <c r="AH153" i="1"/>
  <c r="AB153" i="1"/>
  <c r="AA153" i="1"/>
  <c r="Z153" i="1"/>
  <c r="Y153" i="1"/>
  <c r="S153" i="1"/>
  <c r="AL152" i="1"/>
  <c r="AK152" i="1"/>
  <c r="AJ152" i="1"/>
  <c r="AH152" i="1"/>
  <c r="AB152" i="1"/>
  <c r="AA152" i="1"/>
  <c r="Z152" i="1"/>
  <c r="Y152" i="1"/>
  <c r="S152" i="1"/>
  <c r="AL151" i="1"/>
  <c r="AK151" i="1"/>
  <c r="AJ151" i="1"/>
  <c r="AH151" i="1"/>
  <c r="AB151" i="1"/>
  <c r="AA151" i="1"/>
  <c r="Z151" i="1"/>
  <c r="Y151" i="1"/>
  <c r="S151" i="1"/>
  <c r="AL150" i="1"/>
  <c r="AK150" i="1"/>
  <c r="AJ150" i="1"/>
  <c r="AH150" i="1"/>
  <c r="AB150" i="1"/>
  <c r="AA150" i="1"/>
  <c r="Z150" i="1"/>
  <c r="Y150" i="1"/>
  <c r="S150" i="1"/>
  <c r="AL149" i="1"/>
  <c r="AK149" i="1"/>
  <c r="AJ149" i="1"/>
  <c r="AH149" i="1"/>
  <c r="AB149" i="1"/>
  <c r="AA149" i="1"/>
  <c r="Z149" i="1"/>
  <c r="Y149" i="1"/>
  <c r="S149" i="1"/>
  <c r="AL148" i="1"/>
  <c r="AK148" i="1"/>
  <c r="AJ148" i="1"/>
  <c r="AH148" i="1"/>
  <c r="AB148" i="1"/>
  <c r="AA148" i="1"/>
  <c r="Z148" i="1"/>
  <c r="Y148" i="1"/>
  <c r="S148" i="1"/>
  <c r="AL147" i="1"/>
  <c r="AK147" i="1"/>
  <c r="AJ147" i="1"/>
  <c r="AH147" i="1"/>
  <c r="AB147" i="1"/>
  <c r="AA147" i="1"/>
  <c r="Z147" i="1"/>
  <c r="Y147" i="1"/>
  <c r="S147" i="1"/>
  <c r="AL146" i="1"/>
  <c r="AK146" i="1"/>
  <c r="AJ146" i="1"/>
  <c r="AH146" i="1"/>
  <c r="AB146" i="1"/>
  <c r="AA146" i="1"/>
  <c r="Z146" i="1"/>
  <c r="Y146" i="1"/>
  <c r="S146" i="1"/>
  <c r="AL145" i="1"/>
  <c r="AK145" i="1"/>
  <c r="AJ145" i="1"/>
  <c r="AH145" i="1"/>
  <c r="AB145" i="1"/>
  <c r="AA145" i="1"/>
  <c r="Z145" i="1"/>
  <c r="Y145" i="1"/>
  <c r="S145" i="1"/>
  <c r="AL144" i="1"/>
  <c r="AK144" i="1"/>
  <c r="AJ144" i="1"/>
  <c r="AH144" i="1"/>
  <c r="AB144" i="1"/>
  <c r="AA144" i="1"/>
  <c r="Z144" i="1"/>
  <c r="Y144" i="1"/>
  <c r="S144" i="1"/>
  <c r="AL143" i="1"/>
  <c r="AK143" i="1"/>
  <c r="AJ143" i="1"/>
  <c r="AH143" i="1"/>
  <c r="AB143" i="1"/>
  <c r="AA143" i="1"/>
  <c r="Z143" i="1"/>
  <c r="Y143" i="1"/>
  <c r="S143" i="1"/>
  <c r="AL142" i="1"/>
  <c r="AK142" i="1"/>
  <c r="AJ142" i="1"/>
  <c r="AH142" i="1"/>
  <c r="AB142" i="1"/>
  <c r="AA142" i="1"/>
  <c r="Z142" i="1"/>
  <c r="Y142" i="1"/>
  <c r="S142" i="1"/>
  <c r="AL141" i="1"/>
  <c r="AK141" i="1"/>
  <c r="AJ141" i="1"/>
  <c r="AH141" i="1"/>
  <c r="AB141" i="1"/>
  <c r="AA141" i="1"/>
  <c r="Z141" i="1"/>
  <c r="Y141" i="1"/>
  <c r="S141" i="1"/>
  <c r="AL140" i="1"/>
  <c r="AK140" i="1"/>
  <c r="AJ140" i="1"/>
  <c r="AH140" i="1"/>
  <c r="AB140" i="1"/>
  <c r="AA140" i="1"/>
  <c r="Z140" i="1"/>
  <c r="Y140" i="1"/>
  <c r="S140" i="1"/>
  <c r="AL139" i="1"/>
  <c r="AK139" i="1"/>
  <c r="AJ139" i="1"/>
  <c r="AH139" i="1"/>
  <c r="AB139" i="1"/>
  <c r="AA139" i="1"/>
  <c r="Z139" i="1"/>
  <c r="Y139" i="1"/>
  <c r="S139" i="1"/>
  <c r="AL138" i="1"/>
  <c r="AK138" i="1"/>
  <c r="AJ138" i="1"/>
  <c r="AH138" i="1"/>
  <c r="AB138" i="1"/>
  <c r="AA138" i="1"/>
  <c r="Z138" i="1"/>
  <c r="Y138" i="1"/>
  <c r="S138" i="1"/>
  <c r="AL137" i="1"/>
  <c r="AK137" i="1"/>
  <c r="AJ137" i="1"/>
  <c r="AH137" i="1"/>
  <c r="AB137" i="1"/>
  <c r="AA137" i="1"/>
  <c r="Z137" i="1"/>
  <c r="Y137" i="1"/>
  <c r="S137" i="1"/>
  <c r="AL136" i="1"/>
  <c r="AK136" i="1"/>
  <c r="AJ136" i="1"/>
  <c r="AH136" i="1"/>
  <c r="AB136" i="1"/>
  <c r="AA136" i="1"/>
  <c r="Z136" i="1"/>
  <c r="Y136" i="1"/>
  <c r="S136" i="1"/>
  <c r="AL135" i="1"/>
  <c r="AK135" i="1"/>
  <c r="AJ135" i="1"/>
  <c r="AH135" i="1"/>
  <c r="AB135" i="1"/>
  <c r="AA135" i="1"/>
  <c r="Z135" i="1"/>
  <c r="Y135" i="1"/>
  <c r="S135" i="1"/>
  <c r="AL134" i="1"/>
  <c r="AK134" i="1"/>
  <c r="AJ134" i="1"/>
  <c r="AH134" i="1"/>
  <c r="AB134" i="1"/>
  <c r="AA134" i="1"/>
  <c r="Z134" i="1"/>
  <c r="Y134" i="1"/>
  <c r="S134" i="1"/>
  <c r="AL133" i="1"/>
  <c r="AK133" i="1"/>
  <c r="AJ133" i="1"/>
  <c r="AH133" i="1"/>
  <c r="AB133" i="1"/>
  <c r="AA133" i="1"/>
  <c r="Z133" i="1"/>
  <c r="Y133" i="1"/>
  <c r="S133" i="1"/>
  <c r="AL132" i="1"/>
  <c r="AK132" i="1"/>
  <c r="AJ132" i="1"/>
  <c r="AH132" i="1"/>
  <c r="AB132" i="1"/>
  <c r="AA132" i="1"/>
  <c r="Z132" i="1"/>
  <c r="Y132" i="1"/>
  <c r="S132" i="1"/>
  <c r="AL131" i="1"/>
  <c r="AK131" i="1"/>
  <c r="AJ131" i="1"/>
  <c r="AH131" i="1"/>
  <c r="AB131" i="1"/>
  <c r="AA131" i="1"/>
  <c r="Z131" i="1"/>
  <c r="Y131" i="1"/>
  <c r="S131" i="1"/>
  <c r="AL130" i="1"/>
  <c r="AK130" i="1"/>
  <c r="AJ130" i="1"/>
  <c r="AH130" i="1"/>
  <c r="AB130" i="1"/>
  <c r="AA130" i="1"/>
  <c r="Z130" i="1"/>
  <c r="Y130" i="1"/>
  <c r="S130" i="1"/>
  <c r="AL129" i="1"/>
  <c r="AK129" i="1"/>
  <c r="AJ129" i="1"/>
  <c r="AH129" i="1"/>
  <c r="AB129" i="1"/>
  <c r="AA129" i="1"/>
  <c r="Z129" i="1"/>
  <c r="Y129" i="1"/>
  <c r="S129" i="1"/>
  <c r="AL128" i="1"/>
  <c r="AK128" i="1"/>
  <c r="AJ128" i="1"/>
  <c r="AH128" i="1"/>
  <c r="AB128" i="1"/>
  <c r="AA128" i="1"/>
  <c r="Z128" i="1"/>
  <c r="Y128" i="1"/>
  <c r="S128" i="1"/>
  <c r="AL127" i="1"/>
  <c r="AK127" i="1"/>
  <c r="AJ127" i="1"/>
  <c r="AH127" i="1"/>
  <c r="AB127" i="1"/>
  <c r="AA127" i="1"/>
  <c r="Z127" i="1"/>
  <c r="Y127" i="1"/>
  <c r="S127" i="1"/>
  <c r="AL126" i="1"/>
  <c r="AK126" i="1"/>
  <c r="AJ126" i="1"/>
  <c r="AH126" i="1"/>
  <c r="AB126" i="1"/>
  <c r="AA126" i="1"/>
  <c r="Z126" i="1"/>
  <c r="Y126" i="1"/>
  <c r="S126" i="1"/>
  <c r="AL125" i="1"/>
  <c r="AK125" i="1"/>
  <c r="AJ125" i="1"/>
  <c r="AH125" i="1"/>
  <c r="AB125" i="1"/>
  <c r="AA125" i="1"/>
  <c r="Z125" i="1"/>
  <c r="Y125" i="1"/>
  <c r="S125" i="1"/>
  <c r="AL124" i="1"/>
  <c r="AK124" i="1"/>
  <c r="AJ124" i="1"/>
  <c r="AH124" i="1"/>
  <c r="AB124" i="1"/>
  <c r="AA124" i="1"/>
  <c r="Z124" i="1"/>
  <c r="Y124" i="1"/>
  <c r="S124" i="1"/>
  <c r="AL123" i="1"/>
  <c r="AK123" i="1"/>
  <c r="AJ123" i="1"/>
  <c r="AH123" i="1"/>
  <c r="AB123" i="1"/>
  <c r="AA123" i="1"/>
  <c r="Z123" i="1"/>
  <c r="Y123" i="1"/>
  <c r="S123" i="1"/>
  <c r="AL122" i="1"/>
  <c r="AK122" i="1"/>
  <c r="AJ122" i="1"/>
  <c r="AH122" i="1"/>
  <c r="AB122" i="1"/>
  <c r="AA122" i="1"/>
  <c r="Z122" i="1"/>
  <c r="Y122" i="1"/>
  <c r="S122" i="1"/>
  <c r="AL121" i="1"/>
  <c r="AK121" i="1"/>
  <c r="AJ121" i="1"/>
  <c r="AH121" i="1"/>
  <c r="AB121" i="1"/>
  <c r="AA121" i="1"/>
  <c r="Z121" i="1"/>
  <c r="Y121" i="1"/>
  <c r="S121" i="1"/>
  <c r="AL120" i="1"/>
  <c r="AK120" i="1"/>
  <c r="AJ120" i="1"/>
  <c r="AH120" i="1"/>
  <c r="AB120" i="1"/>
  <c r="AA120" i="1"/>
  <c r="Z120" i="1"/>
  <c r="Y120" i="1"/>
  <c r="S120" i="1"/>
  <c r="AL119" i="1"/>
  <c r="AK119" i="1"/>
  <c r="AJ119" i="1"/>
  <c r="AH119" i="1"/>
  <c r="AB119" i="1"/>
  <c r="AA119" i="1"/>
  <c r="Z119" i="1"/>
  <c r="Y119" i="1"/>
  <c r="S119" i="1"/>
  <c r="AL118" i="1"/>
  <c r="AK118" i="1"/>
  <c r="AJ118" i="1"/>
  <c r="AH118" i="1"/>
  <c r="AB118" i="1"/>
  <c r="AA118" i="1"/>
  <c r="Z118" i="1"/>
  <c r="Y118" i="1"/>
  <c r="S118" i="1"/>
  <c r="AL117" i="1"/>
  <c r="AK117" i="1"/>
  <c r="AJ117" i="1"/>
  <c r="AH117" i="1"/>
  <c r="AB117" i="1"/>
  <c r="AA117" i="1"/>
  <c r="Z117" i="1"/>
  <c r="Y117" i="1"/>
  <c r="S117" i="1"/>
  <c r="AL116" i="1"/>
  <c r="AK116" i="1"/>
  <c r="AJ116" i="1"/>
  <c r="AH116" i="1"/>
  <c r="AB116" i="1"/>
  <c r="AA116" i="1"/>
  <c r="Z116" i="1"/>
  <c r="Y116" i="1"/>
  <c r="S116" i="1"/>
  <c r="AL115" i="1"/>
  <c r="AK115" i="1"/>
  <c r="AJ115" i="1"/>
  <c r="AH115" i="1"/>
  <c r="AB115" i="1"/>
  <c r="AA115" i="1"/>
  <c r="Z115" i="1"/>
  <c r="Y115" i="1"/>
  <c r="S115" i="1"/>
  <c r="AL114" i="1"/>
  <c r="AK114" i="1"/>
  <c r="AJ114" i="1"/>
  <c r="AH114" i="1"/>
  <c r="AB114" i="1"/>
  <c r="AA114" i="1"/>
  <c r="Z114" i="1"/>
  <c r="Y114" i="1"/>
  <c r="S114" i="1"/>
  <c r="AL113" i="1"/>
  <c r="AK113" i="1"/>
  <c r="AJ113" i="1"/>
  <c r="AH113" i="1"/>
  <c r="AB113" i="1"/>
  <c r="AA113" i="1"/>
  <c r="Z113" i="1"/>
  <c r="Y113" i="1"/>
  <c r="S113" i="1"/>
  <c r="AL112" i="1"/>
  <c r="AK112" i="1"/>
  <c r="AJ112" i="1"/>
  <c r="AH112" i="1"/>
  <c r="AB112" i="1"/>
  <c r="AA112" i="1"/>
  <c r="Z112" i="1"/>
  <c r="Y112" i="1"/>
  <c r="S112" i="1"/>
  <c r="AL111" i="1"/>
  <c r="AK111" i="1"/>
  <c r="AJ111" i="1"/>
  <c r="AH111" i="1"/>
  <c r="AB111" i="1"/>
  <c r="AA111" i="1"/>
  <c r="Z111" i="1"/>
  <c r="Y111" i="1"/>
  <c r="S111" i="1"/>
  <c r="AL110" i="1"/>
  <c r="AK110" i="1"/>
  <c r="AJ110" i="1"/>
  <c r="AH110" i="1"/>
  <c r="AB110" i="1"/>
  <c r="AA110" i="1"/>
  <c r="Z110" i="1"/>
  <c r="Y110" i="1"/>
  <c r="S110" i="1"/>
  <c r="AL109" i="1"/>
  <c r="AK109" i="1"/>
  <c r="AJ109" i="1"/>
  <c r="AH109" i="1"/>
  <c r="AB109" i="1"/>
  <c r="AA109" i="1"/>
  <c r="Z109" i="1"/>
  <c r="Y109" i="1"/>
  <c r="S109" i="1"/>
  <c r="AL108" i="1"/>
  <c r="AK108" i="1"/>
  <c r="AJ108" i="1"/>
  <c r="AH108" i="1"/>
  <c r="AB108" i="1"/>
  <c r="AA108" i="1"/>
  <c r="Z108" i="1"/>
  <c r="Y108" i="1"/>
  <c r="S108" i="1"/>
  <c r="AL107" i="1"/>
  <c r="AK107" i="1"/>
  <c r="AJ107" i="1"/>
  <c r="AH107" i="1"/>
  <c r="AB107" i="1"/>
  <c r="AA107" i="1"/>
  <c r="Z107" i="1"/>
  <c r="Y107" i="1"/>
  <c r="S107" i="1"/>
  <c r="AL106" i="1"/>
  <c r="AK106" i="1"/>
  <c r="AJ106" i="1"/>
  <c r="AH106" i="1"/>
  <c r="AB106" i="1"/>
  <c r="AA106" i="1"/>
  <c r="Z106" i="1"/>
  <c r="Y106" i="1"/>
  <c r="S106" i="1"/>
  <c r="AL105" i="1"/>
  <c r="AK105" i="1"/>
  <c r="AJ105" i="1"/>
  <c r="AH105" i="1"/>
  <c r="AB105" i="1"/>
  <c r="AA105" i="1"/>
  <c r="Z105" i="1"/>
  <c r="Y105" i="1"/>
  <c r="S105" i="1"/>
  <c r="AL104" i="1"/>
  <c r="AK104" i="1"/>
  <c r="AJ104" i="1"/>
  <c r="AH104" i="1"/>
  <c r="AB104" i="1"/>
  <c r="AA104" i="1"/>
  <c r="Z104" i="1"/>
  <c r="Y104" i="1"/>
  <c r="S104" i="1"/>
  <c r="AL103" i="1"/>
  <c r="AK103" i="1"/>
  <c r="AJ103" i="1"/>
  <c r="AH103" i="1"/>
  <c r="AB103" i="1"/>
  <c r="AA103" i="1"/>
  <c r="Z103" i="1"/>
  <c r="Y103" i="1"/>
  <c r="S103" i="1"/>
  <c r="AL102" i="1"/>
  <c r="AK102" i="1"/>
  <c r="AJ102" i="1"/>
  <c r="AH102" i="1"/>
  <c r="AB102" i="1"/>
  <c r="AA102" i="1"/>
  <c r="Z102" i="1"/>
  <c r="Y102" i="1"/>
  <c r="S102" i="1"/>
  <c r="AL101" i="1"/>
  <c r="AK101" i="1"/>
  <c r="AJ101" i="1"/>
  <c r="AH101" i="1"/>
  <c r="AB101" i="1"/>
  <c r="AA101" i="1"/>
  <c r="Z101" i="1"/>
  <c r="Y101" i="1"/>
  <c r="S101" i="1"/>
  <c r="AL100" i="1"/>
  <c r="AK100" i="1"/>
  <c r="AJ100" i="1"/>
  <c r="AH100" i="1"/>
  <c r="AB100" i="1"/>
  <c r="AA100" i="1"/>
  <c r="Z100" i="1"/>
  <c r="Y100" i="1"/>
  <c r="S100" i="1"/>
  <c r="AL99" i="1"/>
  <c r="AK99" i="1"/>
  <c r="AJ99" i="1"/>
  <c r="AH99" i="1"/>
  <c r="AB99" i="1"/>
  <c r="AA99" i="1"/>
  <c r="Z99" i="1"/>
  <c r="Y99" i="1"/>
  <c r="S99" i="1"/>
  <c r="AL98" i="1"/>
  <c r="AK98" i="1"/>
  <c r="AJ98" i="1"/>
  <c r="AH98" i="1"/>
  <c r="AB98" i="1"/>
  <c r="AA98" i="1"/>
  <c r="Z98" i="1"/>
  <c r="Y98" i="1"/>
  <c r="S98" i="1"/>
  <c r="AL97" i="1"/>
  <c r="AK97" i="1"/>
  <c r="AJ97" i="1"/>
  <c r="AH97" i="1"/>
  <c r="AB97" i="1"/>
  <c r="AA97" i="1"/>
  <c r="Z97" i="1"/>
  <c r="Y97" i="1"/>
  <c r="S97" i="1"/>
  <c r="AL96" i="1"/>
  <c r="AK96" i="1"/>
  <c r="AH96" i="1"/>
  <c r="AE96" i="1"/>
  <c r="Z96" i="1" s="1"/>
  <c r="AB96" i="1"/>
  <c r="AA96" i="1"/>
  <c r="Y96" i="1"/>
  <c r="P96" i="1"/>
  <c r="AJ96" i="1" s="1"/>
  <c r="AL95" i="1"/>
  <c r="AK95" i="1"/>
  <c r="AJ95" i="1"/>
  <c r="AH95" i="1"/>
  <c r="AB95" i="1"/>
  <c r="AA95" i="1"/>
  <c r="Z95" i="1"/>
  <c r="Y95" i="1"/>
  <c r="S95" i="1"/>
  <c r="AL94" i="1"/>
  <c r="AK94" i="1"/>
  <c r="AJ94" i="1"/>
  <c r="AH94" i="1"/>
  <c r="AB94" i="1"/>
  <c r="AA94" i="1"/>
  <c r="Z94" i="1"/>
  <c r="Y94" i="1"/>
  <c r="S94" i="1"/>
  <c r="AL93" i="1"/>
  <c r="AK93" i="1"/>
  <c r="AJ93" i="1"/>
  <c r="AH93" i="1"/>
  <c r="AB93" i="1"/>
  <c r="AA93" i="1"/>
  <c r="Z93" i="1"/>
  <c r="Y93" i="1"/>
  <c r="S93" i="1"/>
  <c r="AL92" i="1"/>
  <c r="AK92" i="1"/>
  <c r="AJ92" i="1"/>
  <c r="AH92" i="1"/>
  <c r="AB92" i="1"/>
  <c r="AA92" i="1"/>
  <c r="Z92" i="1"/>
  <c r="Y92" i="1"/>
  <c r="S92" i="1"/>
  <c r="AL91" i="1"/>
  <c r="AK91" i="1"/>
  <c r="AJ91" i="1"/>
  <c r="AH91" i="1"/>
  <c r="AB91" i="1"/>
  <c r="AA91" i="1"/>
  <c r="Z91" i="1"/>
  <c r="Y91" i="1"/>
  <c r="S91" i="1"/>
  <c r="AL90" i="1"/>
  <c r="AK90" i="1"/>
  <c r="AJ90" i="1"/>
  <c r="AH90" i="1"/>
  <c r="AB90" i="1"/>
  <c r="AA90" i="1"/>
  <c r="Z90" i="1"/>
  <c r="Y90" i="1"/>
  <c r="S90" i="1"/>
  <c r="AL89" i="1"/>
  <c r="AK89" i="1"/>
  <c r="AJ89" i="1"/>
  <c r="AH89" i="1"/>
  <c r="AD89" i="1"/>
  <c r="Y89" i="1" s="1"/>
  <c r="AB89" i="1"/>
  <c r="AA89" i="1"/>
  <c r="Z89" i="1"/>
  <c r="S89" i="1"/>
  <c r="AL88" i="1"/>
  <c r="AK88" i="1"/>
  <c r="AJ88" i="1"/>
  <c r="AH88" i="1"/>
  <c r="AB88" i="1"/>
  <c r="AA88" i="1"/>
  <c r="Z88" i="1"/>
  <c r="Y88" i="1"/>
  <c r="S88" i="1"/>
  <c r="AL87" i="1"/>
  <c r="AK87" i="1"/>
  <c r="AJ87" i="1"/>
  <c r="AH87" i="1"/>
  <c r="AB87" i="1"/>
  <c r="AA87" i="1"/>
  <c r="Z87" i="1"/>
  <c r="Y87" i="1"/>
  <c r="S87" i="1"/>
  <c r="AL86" i="1"/>
  <c r="AK86" i="1"/>
  <c r="AJ86" i="1"/>
  <c r="AH86" i="1"/>
  <c r="AB86" i="1"/>
  <c r="AA86" i="1"/>
  <c r="Z86" i="1"/>
  <c r="Y86" i="1"/>
  <c r="S86" i="1"/>
  <c r="AL85" i="1"/>
  <c r="AK85" i="1"/>
  <c r="AJ85" i="1"/>
  <c r="AH85" i="1"/>
  <c r="AB85" i="1"/>
  <c r="AA85" i="1"/>
  <c r="Z85" i="1"/>
  <c r="Y85" i="1"/>
  <c r="S85" i="1"/>
  <c r="AL84" i="1"/>
  <c r="AK84" i="1"/>
  <c r="AJ84" i="1"/>
  <c r="AH84" i="1"/>
  <c r="AB84" i="1"/>
  <c r="AA84" i="1"/>
  <c r="Z84" i="1"/>
  <c r="Y84" i="1"/>
  <c r="S84" i="1"/>
  <c r="AL83" i="1"/>
  <c r="AK83" i="1"/>
  <c r="AJ83" i="1"/>
  <c r="AH83" i="1"/>
  <c r="AB83" i="1"/>
  <c r="AA83" i="1"/>
  <c r="Z83" i="1"/>
  <c r="Y83" i="1"/>
  <c r="S83" i="1"/>
  <c r="AL82" i="1"/>
  <c r="AK82" i="1"/>
  <c r="AH82" i="1"/>
  <c r="AB82" i="1"/>
  <c r="AA82" i="1"/>
  <c r="Z82" i="1"/>
  <c r="Y82" i="1"/>
  <c r="P82" i="1"/>
  <c r="AJ82" i="1" s="1"/>
  <c r="AL81" i="1"/>
  <c r="AK81" i="1"/>
  <c r="AJ81" i="1"/>
  <c r="AH81" i="1"/>
  <c r="AB81" i="1"/>
  <c r="AA81" i="1"/>
  <c r="Z81" i="1"/>
  <c r="Y81" i="1"/>
  <c r="S81" i="1"/>
  <c r="AL80" i="1"/>
  <c r="AH80" i="1"/>
  <c r="AB80" i="1"/>
  <c r="AA80" i="1"/>
  <c r="Z80" i="1"/>
  <c r="Y80" i="1"/>
  <c r="Q80" i="1"/>
  <c r="P80" i="1"/>
  <c r="AJ80" i="1" s="1"/>
  <c r="AL79" i="1"/>
  <c r="AK79" i="1"/>
  <c r="AJ79" i="1"/>
  <c r="AH79" i="1"/>
  <c r="AB79" i="1"/>
  <c r="AA79" i="1"/>
  <c r="Z79" i="1"/>
  <c r="Y79" i="1"/>
  <c r="S79" i="1"/>
  <c r="AL78" i="1"/>
  <c r="AK78" i="1"/>
  <c r="AJ78" i="1"/>
  <c r="AH78" i="1"/>
  <c r="AB78" i="1"/>
  <c r="AA78" i="1"/>
  <c r="Z78" i="1"/>
  <c r="Y78" i="1"/>
  <c r="S78" i="1"/>
  <c r="AL77" i="1"/>
  <c r="AK77" i="1"/>
  <c r="AJ77" i="1"/>
  <c r="AH77" i="1"/>
  <c r="AB77" i="1"/>
  <c r="AA77" i="1"/>
  <c r="Z77" i="1"/>
  <c r="Y77" i="1"/>
  <c r="S77" i="1"/>
  <c r="AL76" i="1"/>
  <c r="AK76" i="1"/>
  <c r="AJ76" i="1"/>
  <c r="AH76" i="1"/>
  <c r="AB76" i="1"/>
  <c r="AA76" i="1"/>
  <c r="Z76" i="1"/>
  <c r="Y76" i="1"/>
  <c r="S76" i="1"/>
  <c r="AL75" i="1"/>
  <c r="AK75" i="1"/>
  <c r="AJ75" i="1"/>
  <c r="AH75" i="1"/>
  <c r="AB75" i="1"/>
  <c r="AA75" i="1"/>
  <c r="Z75" i="1"/>
  <c r="Y75" i="1"/>
  <c r="S75" i="1"/>
  <c r="AL74" i="1"/>
  <c r="AK74" i="1"/>
  <c r="AJ74" i="1"/>
  <c r="AH74" i="1"/>
  <c r="AB74" i="1"/>
  <c r="AA74" i="1"/>
  <c r="Z74" i="1"/>
  <c r="Y74" i="1"/>
  <c r="S74" i="1"/>
  <c r="AL73" i="1"/>
  <c r="AK73" i="1"/>
  <c r="AJ73" i="1"/>
  <c r="AH73" i="1"/>
  <c r="AB73" i="1"/>
  <c r="AA73" i="1"/>
  <c r="Z73" i="1"/>
  <c r="Y73" i="1"/>
  <c r="S73" i="1"/>
  <c r="AL72" i="1"/>
  <c r="AK72" i="1"/>
  <c r="AJ72" i="1"/>
  <c r="AH72" i="1"/>
  <c r="AB72" i="1"/>
  <c r="AA72" i="1"/>
  <c r="Z72" i="1"/>
  <c r="Y72" i="1"/>
  <c r="S72" i="1"/>
  <c r="AL71" i="1"/>
  <c r="AK71" i="1"/>
  <c r="AJ71" i="1"/>
  <c r="AH71" i="1"/>
  <c r="AB71" i="1"/>
  <c r="AA71" i="1"/>
  <c r="Z71" i="1"/>
  <c r="Y71" i="1"/>
  <c r="S71" i="1"/>
  <c r="AL70" i="1"/>
  <c r="AK70" i="1"/>
  <c r="AJ70" i="1"/>
  <c r="AH70" i="1"/>
  <c r="AB70" i="1"/>
  <c r="AA70" i="1"/>
  <c r="Z70" i="1"/>
  <c r="Y70" i="1"/>
  <c r="S70" i="1"/>
  <c r="AL69" i="1"/>
  <c r="AK69" i="1"/>
  <c r="AJ69" i="1"/>
  <c r="AH69" i="1"/>
  <c r="AB69" i="1"/>
  <c r="AA69" i="1"/>
  <c r="Z69" i="1"/>
  <c r="Y69" i="1"/>
  <c r="S69" i="1"/>
  <c r="AL68" i="1"/>
  <c r="AK68" i="1"/>
  <c r="AJ68" i="1"/>
  <c r="AH68" i="1"/>
  <c r="AB68" i="1"/>
  <c r="AA68" i="1"/>
  <c r="Z68" i="1"/>
  <c r="Y68" i="1"/>
  <c r="S68" i="1"/>
  <c r="AL67" i="1"/>
  <c r="AK67" i="1"/>
  <c r="AJ67" i="1"/>
  <c r="AH67" i="1"/>
  <c r="AB67" i="1"/>
  <c r="AA67" i="1"/>
  <c r="Z67" i="1"/>
  <c r="Y67" i="1"/>
  <c r="S67" i="1"/>
  <c r="AL66" i="1"/>
  <c r="AK66" i="1"/>
  <c r="AJ66" i="1"/>
  <c r="AH66" i="1"/>
  <c r="AB66" i="1"/>
  <c r="AA66" i="1"/>
  <c r="Z66" i="1"/>
  <c r="Y66" i="1"/>
  <c r="S66" i="1"/>
  <c r="AL65" i="1"/>
  <c r="AK65" i="1"/>
  <c r="AJ65" i="1"/>
  <c r="AH65" i="1"/>
  <c r="AB65" i="1"/>
  <c r="AA65" i="1"/>
  <c r="Z65" i="1"/>
  <c r="Y65" i="1"/>
  <c r="S65" i="1"/>
  <c r="AL64" i="1"/>
  <c r="AK64" i="1"/>
  <c r="AJ64" i="1"/>
  <c r="AH64" i="1"/>
  <c r="AB64" i="1"/>
  <c r="AA64" i="1"/>
  <c r="Z64" i="1"/>
  <c r="Y64" i="1"/>
  <c r="S64" i="1"/>
  <c r="AL63" i="1"/>
  <c r="AK63" i="1"/>
  <c r="AJ63" i="1"/>
  <c r="AH63" i="1"/>
  <c r="AB63" i="1"/>
  <c r="AA63" i="1"/>
  <c r="Z63" i="1"/>
  <c r="Y63" i="1"/>
  <c r="S63" i="1"/>
  <c r="AL62" i="1"/>
  <c r="AK62" i="1"/>
  <c r="AJ62" i="1"/>
  <c r="AH62" i="1"/>
  <c r="AB62" i="1"/>
  <c r="AA62" i="1"/>
  <c r="Z62" i="1"/>
  <c r="Y62" i="1"/>
  <c r="S62" i="1"/>
  <c r="AL61" i="1"/>
  <c r="AK61" i="1"/>
  <c r="AJ61" i="1"/>
  <c r="AH61" i="1"/>
  <c r="AB61" i="1"/>
  <c r="AA61" i="1"/>
  <c r="Z61" i="1"/>
  <c r="Y61" i="1"/>
  <c r="S61" i="1"/>
  <c r="AL60" i="1"/>
  <c r="AK60" i="1"/>
  <c r="AJ60" i="1"/>
  <c r="AH60" i="1"/>
  <c r="AB60" i="1"/>
  <c r="AA60" i="1"/>
  <c r="Z60" i="1"/>
  <c r="Y60" i="1"/>
  <c r="S60" i="1"/>
  <c r="AL59" i="1"/>
  <c r="AK59" i="1"/>
  <c r="AJ59" i="1"/>
  <c r="AH59" i="1"/>
  <c r="AB59" i="1"/>
  <c r="AA59" i="1"/>
  <c r="Z59" i="1"/>
  <c r="Y59" i="1"/>
  <c r="S59" i="1"/>
  <c r="AL58" i="1"/>
  <c r="AK58" i="1"/>
  <c r="AJ58" i="1"/>
  <c r="AH58" i="1"/>
  <c r="AB58" i="1"/>
  <c r="AA58" i="1"/>
  <c r="Z58" i="1"/>
  <c r="Y58" i="1"/>
  <c r="S58" i="1"/>
  <c r="AL57" i="1"/>
  <c r="AK57" i="1"/>
  <c r="AJ57" i="1"/>
  <c r="AH57" i="1"/>
  <c r="AB57" i="1"/>
  <c r="AA57" i="1"/>
  <c r="Z57" i="1"/>
  <c r="Y57" i="1"/>
  <c r="S57" i="1"/>
  <c r="AL56" i="1"/>
  <c r="AK56" i="1"/>
  <c r="AJ56" i="1"/>
  <c r="AH56" i="1"/>
  <c r="AB56" i="1"/>
  <c r="AA56" i="1"/>
  <c r="Z56" i="1"/>
  <c r="Y56" i="1"/>
  <c r="S56" i="1"/>
  <c r="AL55" i="1"/>
  <c r="AK55" i="1"/>
  <c r="AJ55" i="1"/>
  <c r="AH55" i="1"/>
  <c r="AB55" i="1"/>
  <c r="AA55" i="1"/>
  <c r="Z55" i="1"/>
  <c r="Y55" i="1"/>
  <c r="S55" i="1"/>
  <c r="AL54" i="1"/>
  <c r="AK54" i="1"/>
  <c r="AJ54" i="1"/>
  <c r="AH54" i="1"/>
  <c r="AB54" i="1"/>
  <c r="AA54" i="1"/>
  <c r="Z54" i="1"/>
  <c r="Y54" i="1"/>
  <c r="S54" i="1"/>
  <c r="AK53" i="1"/>
  <c r="AJ53" i="1"/>
  <c r="AH53" i="1"/>
  <c r="AG53" i="1"/>
  <c r="AB53" i="1" s="1"/>
  <c r="AA53" i="1"/>
  <c r="Z53" i="1"/>
  <c r="Y53" i="1"/>
  <c r="R53" i="1"/>
  <c r="S53" i="1" s="1"/>
  <c r="AL52" i="1"/>
  <c r="AK52" i="1"/>
  <c r="AJ52" i="1"/>
  <c r="AH52" i="1"/>
  <c r="AB52" i="1"/>
  <c r="AA52" i="1"/>
  <c r="Z52" i="1"/>
  <c r="Y52" i="1"/>
  <c r="S52" i="1"/>
  <c r="AL51" i="1"/>
  <c r="AK51" i="1"/>
  <c r="AJ51" i="1"/>
  <c r="AH51" i="1"/>
  <c r="AB51" i="1"/>
  <c r="AA51" i="1"/>
  <c r="Z51" i="1"/>
  <c r="Y51" i="1"/>
  <c r="S51" i="1"/>
  <c r="AL50" i="1"/>
  <c r="AK50" i="1"/>
  <c r="AJ50" i="1"/>
  <c r="AH50" i="1"/>
  <c r="AB50" i="1"/>
  <c r="AA50" i="1"/>
  <c r="Z50" i="1"/>
  <c r="Y50" i="1"/>
  <c r="S50" i="1"/>
  <c r="AL49" i="1"/>
  <c r="AK49" i="1"/>
  <c r="AJ49" i="1"/>
  <c r="AH49" i="1"/>
  <c r="AB49" i="1"/>
  <c r="AA49" i="1"/>
  <c r="Z49" i="1"/>
  <c r="Y49" i="1"/>
  <c r="S49" i="1"/>
  <c r="AL48" i="1"/>
  <c r="AK48" i="1"/>
  <c r="AJ48" i="1"/>
  <c r="AH48" i="1"/>
  <c r="AB48" i="1"/>
  <c r="AA48" i="1"/>
  <c r="Z48" i="1"/>
  <c r="Y48" i="1"/>
  <c r="S48" i="1"/>
  <c r="AL47" i="1"/>
  <c r="AK47" i="1"/>
  <c r="AJ47" i="1"/>
  <c r="AH47" i="1"/>
  <c r="AB47" i="1"/>
  <c r="AA47" i="1"/>
  <c r="Z47" i="1"/>
  <c r="Y47" i="1"/>
  <c r="S47" i="1"/>
  <c r="AL46" i="1"/>
  <c r="AK46" i="1"/>
  <c r="AJ46" i="1"/>
  <c r="AH46" i="1"/>
  <c r="AB46" i="1"/>
  <c r="AA46" i="1"/>
  <c r="Z46" i="1"/>
  <c r="Y46" i="1"/>
  <c r="S46" i="1"/>
  <c r="AL45" i="1"/>
  <c r="AK45" i="1"/>
  <c r="AJ45" i="1"/>
  <c r="AH45" i="1"/>
  <c r="AB45" i="1"/>
  <c r="AA45" i="1"/>
  <c r="Z45" i="1"/>
  <c r="Y45" i="1"/>
  <c r="S45" i="1"/>
  <c r="AL44" i="1"/>
  <c r="AK44" i="1"/>
  <c r="AJ44" i="1"/>
  <c r="AH44" i="1"/>
  <c r="AB44" i="1"/>
  <c r="AA44" i="1"/>
  <c r="Z44" i="1"/>
  <c r="Y44" i="1"/>
  <c r="S44" i="1"/>
  <c r="AL43" i="1"/>
  <c r="AK43" i="1"/>
  <c r="AJ43" i="1"/>
  <c r="AH43" i="1"/>
  <c r="AB43" i="1"/>
  <c r="AA43" i="1"/>
  <c r="Z43" i="1"/>
  <c r="Y43" i="1"/>
  <c r="S43" i="1"/>
  <c r="AL42" i="1"/>
  <c r="AK42" i="1"/>
  <c r="AJ42" i="1"/>
  <c r="AH42" i="1"/>
  <c r="AB42" i="1"/>
  <c r="AA42" i="1"/>
  <c r="Z42" i="1"/>
  <c r="Y42" i="1"/>
  <c r="S42" i="1"/>
  <c r="AL41" i="1"/>
  <c r="AK41" i="1"/>
  <c r="AJ41" i="1"/>
  <c r="AH41" i="1"/>
  <c r="AB41" i="1"/>
  <c r="AA41" i="1"/>
  <c r="Z41" i="1"/>
  <c r="Y41" i="1"/>
  <c r="S41" i="1"/>
  <c r="AL40" i="1"/>
  <c r="AK40" i="1"/>
  <c r="AJ40" i="1"/>
  <c r="AH40" i="1"/>
  <c r="AB40" i="1"/>
  <c r="AA40" i="1"/>
  <c r="Z40" i="1"/>
  <c r="Y40" i="1"/>
  <c r="S40" i="1"/>
  <c r="AL39" i="1"/>
  <c r="AK39" i="1"/>
  <c r="AJ39" i="1"/>
  <c r="AH39" i="1"/>
  <c r="AB39" i="1"/>
  <c r="AA39" i="1"/>
  <c r="Z39" i="1"/>
  <c r="Y39" i="1"/>
  <c r="S39" i="1"/>
  <c r="AL38" i="1"/>
  <c r="AK38" i="1"/>
  <c r="AJ38" i="1"/>
  <c r="AH38" i="1"/>
  <c r="AB38" i="1"/>
  <c r="AA38" i="1"/>
  <c r="Z38" i="1"/>
  <c r="Y38" i="1"/>
  <c r="S38" i="1"/>
  <c r="AL37" i="1"/>
  <c r="AK37" i="1"/>
  <c r="AJ37" i="1"/>
  <c r="AH37" i="1"/>
  <c r="AB37" i="1"/>
  <c r="AA37" i="1"/>
  <c r="Z37" i="1"/>
  <c r="Y37" i="1"/>
  <c r="S37" i="1"/>
  <c r="AL36" i="1"/>
  <c r="AK36" i="1"/>
  <c r="AJ36" i="1"/>
  <c r="AH36" i="1"/>
  <c r="AB36" i="1"/>
  <c r="AA36" i="1"/>
  <c r="Z36" i="1"/>
  <c r="Y36" i="1"/>
  <c r="S36" i="1"/>
  <c r="AL35" i="1"/>
  <c r="AK35" i="1"/>
  <c r="AJ35" i="1"/>
  <c r="AH35" i="1"/>
  <c r="AB35" i="1"/>
  <c r="AA35" i="1"/>
  <c r="Z35" i="1"/>
  <c r="Y35" i="1"/>
  <c r="S35" i="1"/>
  <c r="AL34" i="1"/>
  <c r="AK34" i="1"/>
  <c r="AJ34" i="1"/>
  <c r="AH34" i="1"/>
  <c r="AB34" i="1"/>
  <c r="AA34" i="1"/>
  <c r="Z34" i="1"/>
  <c r="Y34" i="1"/>
  <c r="S34" i="1"/>
  <c r="AL33" i="1"/>
  <c r="AK33" i="1"/>
  <c r="AJ33" i="1"/>
  <c r="AH33" i="1"/>
  <c r="AB33" i="1"/>
  <c r="AA33" i="1"/>
  <c r="Z33" i="1"/>
  <c r="Y33" i="1"/>
  <c r="S33" i="1"/>
  <c r="AL32" i="1"/>
  <c r="AK32" i="1"/>
  <c r="AJ32" i="1"/>
  <c r="AH32" i="1"/>
  <c r="AB32" i="1"/>
  <c r="AA32" i="1"/>
  <c r="Z32" i="1"/>
  <c r="Y32" i="1"/>
  <c r="S32" i="1"/>
  <c r="AL31" i="1"/>
  <c r="AK31" i="1"/>
  <c r="AJ31" i="1"/>
  <c r="AH31" i="1"/>
  <c r="AB31" i="1"/>
  <c r="AA31" i="1"/>
  <c r="Z31" i="1"/>
  <c r="Y31" i="1"/>
  <c r="S31" i="1"/>
  <c r="AL30" i="1"/>
  <c r="AK30" i="1"/>
  <c r="AJ30" i="1"/>
  <c r="AH30" i="1"/>
  <c r="AB30" i="1"/>
  <c r="AA30" i="1"/>
  <c r="Z30" i="1"/>
  <c r="Y30" i="1"/>
  <c r="S30" i="1"/>
  <c r="AL29" i="1"/>
  <c r="AK29" i="1"/>
  <c r="AJ29" i="1"/>
  <c r="AH29" i="1"/>
  <c r="AB29" i="1"/>
  <c r="AA29" i="1"/>
  <c r="Z29" i="1"/>
  <c r="Y29" i="1"/>
  <c r="S29" i="1"/>
  <c r="AL28" i="1"/>
  <c r="AK28" i="1"/>
  <c r="AJ28" i="1"/>
  <c r="AH28" i="1"/>
  <c r="AB28" i="1"/>
  <c r="AA28" i="1"/>
  <c r="Z28" i="1"/>
  <c r="Y28" i="1"/>
  <c r="S28" i="1"/>
  <c r="AL27" i="1"/>
  <c r="AK27" i="1"/>
  <c r="AJ27" i="1"/>
  <c r="AH27" i="1"/>
  <c r="AB27" i="1"/>
  <c r="AA27" i="1"/>
  <c r="Z27" i="1"/>
  <c r="Y27" i="1"/>
  <c r="S27" i="1"/>
  <c r="AL26" i="1"/>
  <c r="AK26" i="1"/>
  <c r="AJ26" i="1"/>
  <c r="AH26" i="1"/>
  <c r="AB26" i="1"/>
  <c r="AA26" i="1"/>
  <c r="Z26" i="1"/>
  <c r="Y26" i="1"/>
  <c r="S26" i="1"/>
  <c r="AL25" i="1"/>
  <c r="AK25" i="1"/>
  <c r="AJ25" i="1"/>
  <c r="AH25" i="1"/>
  <c r="AB25" i="1"/>
  <c r="AA25" i="1"/>
  <c r="Z25" i="1"/>
  <c r="Y25" i="1"/>
  <c r="S25" i="1"/>
  <c r="AL24" i="1"/>
  <c r="AK24" i="1"/>
  <c r="AJ24" i="1"/>
  <c r="AH24" i="1"/>
  <c r="AB24" i="1"/>
  <c r="AA24" i="1"/>
  <c r="Z24" i="1"/>
  <c r="Y24" i="1"/>
  <c r="S24" i="1"/>
  <c r="AL23" i="1"/>
  <c r="AK23" i="1"/>
  <c r="AJ23" i="1"/>
  <c r="AH23" i="1"/>
  <c r="AB23" i="1"/>
  <c r="AA23" i="1"/>
  <c r="Z23" i="1"/>
  <c r="Y23" i="1"/>
  <c r="S23" i="1"/>
  <c r="AL22" i="1"/>
  <c r="AK22" i="1"/>
  <c r="AJ22" i="1"/>
  <c r="AH22" i="1"/>
  <c r="AB22" i="1"/>
  <c r="AA22" i="1"/>
  <c r="Z22" i="1"/>
  <c r="Y22" i="1"/>
  <c r="S22" i="1"/>
  <c r="AL21" i="1"/>
  <c r="AK21" i="1"/>
  <c r="AJ21" i="1"/>
  <c r="AH21" i="1"/>
  <c r="AB21" i="1"/>
  <c r="AA21" i="1"/>
  <c r="Z21" i="1"/>
  <c r="Y21" i="1"/>
  <c r="S21" i="1"/>
  <c r="AL20" i="1"/>
  <c r="AK20" i="1"/>
  <c r="AJ20" i="1"/>
  <c r="AH20" i="1"/>
  <c r="AB20" i="1"/>
  <c r="AA20" i="1"/>
  <c r="Z20" i="1"/>
  <c r="Y20" i="1"/>
  <c r="S20" i="1"/>
  <c r="AL19" i="1"/>
  <c r="AK19" i="1"/>
  <c r="AJ19" i="1"/>
  <c r="AH19" i="1"/>
  <c r="AB19" i="1"/>
  <c r="AA19" i="1"/>
  <c r="Z19" i="1"/>
  <c r="Y19" i="1"/>
  <c r="S19" i="1"/>
  <c r="AL18" i="1"/>
  <c r="AK18" i="1"/>
  <c r="AJ18" i="1"/>
  <c r="AH18" i="1"/>
  <c r="AB18" i="1"/>
  <c r="AA18" i="1"/>
  <c r="Z18" i="1"/>
  <c r="Y18" i="1"/>
  <c r="S18" i="1"/>
  <c r="AL17" i="1"/>
  <c r="AK17" i="1"/>
  <c r="AJ17" i="1"/>
  <c r="AH17" i="1"/>
  <c r="AB17" i="1"/>
  <c r="AA17" i="1"/>
  <c r="Z17" i="1"/>
  <c r="Y17" i="1"/>
  <c r="S17" i="1"/>
  <c r="AL16" i="1"/>
  <c r="AK16" i="1"/>
  <c r="AJ16" i="1"/>
  <c r="AH16" i="1"/>
  <c r="AB16" i="1"/>
  <c r="AA16" i="1"/>
  <c r="Z16" i="1"/>
  <c r="Y16" i="1"/>
  <c r="S16" i="1"/>
  <c r="AL15" i="1"/>
  <c r="AK15" i="1"/>
  <c r="AJ15" i="1"/>
  <c r="AH15" i="1"/>
  <c r="AB15" i="1"/>
  <c r="AA15" i="1"/>
  <c r="Z15" i="1"/>
  <c r="Y15" i="1"/>
  <c r="S15" i="1"/>
  <c r="AL14" i="1"/>
  <c r="AK14" i="1"/>
  <c r="AJ14" i="1"/>
  <c r="AH14" i="1"/>
  <c r="AB14" i="1"/>
  <c r="AA14" i="1"/>
  <c r="Z14" i="1"/>
  <c r="Y14" i="1"/>
  <c r="S14" i="1"/>
  <c r="AM13" i="1"/>
  <c r="AI13" i="1"/>
  <c r="H5" i="1" s="1"/>
  <c r="AC13" i="1"/>
  <c r="X13" i="1"/>
  <c r="W13" i="1"/>
  <c r="G8" i="1" s="1"/>
  <c r="V13" i="1"/>
  <c r="G7" i="1" s="1"/>
  <c r="U13" i="1"/>
  <c r="G6" i="1" s="1"/>
  <c r="T13" i="1"/>
  <c r="G5" i="1" s="1"/>
  <c r="O13" i="1"/>
  <c r="F5" i="1" s="1"/>
  <c r="L13" i="1"/>
  <c r="G13" i="1"/>
  <c r="AM12" i="1"/>
  <c r="AI12" i="1"/>
  <c r="AF12" i="1"/>
  <c r="AC12" i="1"/>
  <c r="X12" i="1"/>
  <c r="W12" i="1"/>
  <c r="V12" i="1"/>
  <c r="U12" i="1"/>
  <c r="T12" i="1"/>
  <c r="O12" i="1"/>
  <c r="AD12" i="1" l="1"/>
  <c r="AL634" i="1"/>
  <c r="Q13" i="1"/>
  <c r="F7" i="1" s="1"/>
  <c r="S769" i="1"/>
  <c r="AL283" i="1"/>
  <c r="AL557" i="1"/>
  <c r="AK80" i="1"/>
  <c r="AL296" i="1"/>
  <c r="S351" i="1"/>
  <c r="S461" i="1"/>
  <c r="AL498" i="1"/>
  <c r="AB557" i="1"/>
  <c r="AK565" i="1"/>
  <c r="AL741" i="1"/>
  <c r="AJ769" i="1"/>
  <c r="AL709" i="1"/>
  <c r="AJ851" i="1"/>
  <c r="S610" i="1"/>
  <c r="S657" i="1"/>
  <c r="AL716" i="1"/>
  <c r="AJ817" i="1"/>
  <c r="AL867" i="1"/>
  <c r="AA565" i="1"/>
  <c r="AA13" i="1" s="1"/>
  <c r="AJ631" i="1"/>
  <c r="AL757" i="1"/>
  <c r="AG13" i="1"/>
  <c r="S274" i="1"/>
  <c r="AL519" i="1"/>
  <c r="S635" i="1"/>
  <c r="S775" i="1"/>
  <c r="S809" i="1"/>
  <c r="AL862" i="1"/>
  <c r="S888" i="1"/>
  <c r="Q205" i="3"/>
  <c r="Q3" i="3" s="1"/>
  <c r="Y12" i="4"/>
  <c r="P13" i="1"/>
  <c r="F6" i="1" s="1"/>
  <c r="AL781" i="1"/>
  <c r="Z3" i="3"/>
  <c r="AE13" i="1"/>
  <c r="AD13" i="1"/>
  <c r="R13" i="1"/>
  <c r="F8" i="1" s="1"/>
  <c r="S498" i="1"/>
  <c r="AL507" i="1"/>
  <c r="AJ592" i="1"/>
  <c r="AJ605" i="1"/>
  <c r="S634" i="1"/>
  <c r="AL673" i="1"/>
  <c r="AJ677" i="1"/>
  <c r="S716" i="1"/>
  <c r="S741" i="1"/>
  <c r="AL748" i="1"/>
  <c r="S760" i="1"/>
  <c r="S763" i="1"/>
  <c r="S817" i="1"/>
  <c r="AJ821" i="1"/>
  <c r="S867" i="1"/>
  <c r="AL885" i="1"/>
  <c r="AL886" i="1"/>
  <c r="X205" i="3"/>
  <c r="Y3" i="3"/>
  <c r="Q12" i="1"/>
  <c r="S82" i="1"/>
  <c r="S283" i="1"/>
  <c r="AJ311" i="1"/>
  <c r="S332" i="1"/>
  <c r="AJ351" i="1"/>
  <c r="AL53" i="1"/>
  <c r="S80" i="1"/>
  <c r="AL308" i="1"/>
  <c r="S371" i="1"/>
  <c r="S440" i="1"/>
  <c r="S460" i="1"/>
  <c r="S581" i="1"/>
  <c r="S590" i="1"/>
  <c r="AL599" i="1"/>
  <c r="AL602" i="1"/>
  <c r="S605" i="1"/>
  <c r="AL614" i="1"/>
  <c r="AJ680" i="1"/>
  <c r="S711" i="1"/>
  <c r="S714" i="1"/>
  <c r="S756" i="1"/>
  <c r="AL796" i="1"/>
  <c r="S803" i="1"/>
  <c r="S821" i="1"/>
  <c r="S835" i="1"/>
  <c r="S883" i="1"/>
  <c r="Q13" i="4"/>
  <c r="Z13" i="4"/>
  <c r="AH13" i="1"/>
  <c r="AA12" i="1"/>
  <c r="Y12" i="1"/>
  <c r="X3" i="3"/>
  <c r="P12" i="1"/>
  <c r="Y13" i="1"/>
  <c r="AJ188" i="1"/>
  <c r="Z195" i="1"/>
  <c r="AL290" i="1"/>
  <c r="Z311" i="1"/>
  <c r="AL415" i="1"/>
  <c r="AL504" i="1"/>
  <c r="AL617" i="1"/>
  <c r="S680" i="1"/>
  <c r="AL705" i="1"/>
  <c r="AL724" i="1"/>
  <c r="AL738" i="1"/>
  <c r="AL758" i="1"/>
  <c r="S800" i="1"/>
  <c r="AL819" i="1"/>
  <c r="AL821" i="1"/>
  <c r="S872" i="1"/>
  <c r="Z12" i="4"/>
  <c r="X13" i="4"/>
  <c r="AJ279" i="1"/>
  <c r="S290" i="1"/>
  <c r="S309" i="1"/>
  <c r="S314" i="1"/>
  <c r="S589" i="1"/>
  <c r="AL743" i="1"/>
  <c r="S776" i="1"/>
  <c r="AL788" i="1"/>
  <c r="S808" i="1"/>
  <c r="Y13" i="4"/>
  <c r="S424" i="1"/>
  <c r="S820" i="1"/>
  <c r="S96" i="1"/>
  <c r="AJ200" i="1"/>
  <c r="AJ379" i="1"/>
  <c r="AL397" i="1"/>
  <c r="AL447" i="1"/>
  <c r="AL508" i="1"/>
  <c r="AL703" i="1"/>
  <c r="AL732" i="1"/>
  <c r="AL768" i="1"/>
  <c r="AL817" i="1"/>
  <c r="Z821" i="1"/>
  <c r="S870" i="1"/>
  <c r="AB885" i="1"/>
  <c r="AJ195" i="1"/>
  <c r="S206" i="1"/>
  <c r="AL262" i="1"/>
  <c r="AB296" i="1"/>
  <c r="AL298" i="1"/>
  <c r="AJ320" i="1"/>
  <c r="AL502" i="1"/>
  <c r="AL628" i="1"/>
  <c r="AL659" i="1"/>
  <c r="AL832" i="1"/>
  <c r="R12" i="1"/>
  <c r="S759" i="1"/>
  <c r="AG12" i="1"/>
  <c r="AH12" i="1"/>
  <c r="AL253" i="1"/>
  <c r="AJ383" i="1"/>
  <c r="AK605" i="1"/>
  <c r="AK12" i="1" s="1"/>
  <c r="AL762" i="1"/>
  <c r="AL773" i="1"/>
  <c r="AL815" i="1"/>
  <c r="AL496" i="1"/>
  <c r="AL506" i="1"/>
  <c r="S739" i="1"/>
  <c r="AL292" i="1"/>
  <c r="AL556" i="1"/>
  <c r="AL697" i="1"/>
  <c r="AL730" i="1"/>
  <c r="AL791" i="1"/>
  <c r="AL836" i="1"/>
  <c r="AL866" i="1"/>
  <c r="S860" i="1"/>
  <c r="AE12" i="1"/>
  <c r="AJ314" i="1"/>
  <c r="Z13" i="1" l="1"/>
  <c r="AB12" i="1"/>
  <c r="AJ13" i="1"/>
  <c r="H6" i="1" s="1"/>
  <c r="AL12" i="1"/>
  <c r="Z12" i="1"/>
  <c r="AJ12" i="1"/>
  <c r="AL13" i="1"/>
  <c r="H8" i="1" s="1"/>
  <c r="S12" i="1"/>
  <c r="AB13" i="1"/>
  <c r="S13" i="1"/>
  <c r="AK13" i="1"/>
  <c r="H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Q206" authorId="0" shapeId="0" xr:uid="{00000000-0006-0000-0000-000001000000}">
      <text>
        <r>
          <rPr>
            <sz val="11"/>
            <color theme="1"/>
            <rFont val="Calibri"/>
            <family val="2"/>
            <scheme val="minor"/>
          </rPr>
          <t>Có Bs Thưởng</t>
        </r>
      </text>
    </comment>
    <comment ref="AD294" authorId="0" shapeId="0" xr:uid="{00000000-0006-0000-0000-000003000000}">
      <text>
        <r>
          <rPr>
            <sz val="11"/>
            <color theme="1"/>
            <rFont val="Calibri"/>
            <family val="2"/>
            <scheme val="minor"/>
          </rPr>
          <t xml:space="preserve">unc 404-405-29/5/2026
</t>
        </r>
      </text>
    </comment>
    <comment ref="AD634" authorId="0" shapeId="0" xr:uid="{00000000-0006-0000-0000-000002000000}">
      <text>
        <r>
          <rPr>
            <sz val="11"/>
            <color theme="1"/>
            <rFont val="Calibri"/>
            <family val="2"/>
            <scheme val="minor"/>
          </rPr>
          <t xml:space="preserve">nhập ở đâyUNC403-402-29/5/2026
</t>
        </r>
      </text>
    </comment>
    <comment ref="P680" authorId="0" shapeId="0" xr:uid="{00000000-0006-0000-0000-000004000000}">
      <text>
        <r>
          <rPr>
            <sz val="11"/>
            <color theme="1"/>
            <rFont val="Calibri"/>
            <family val="2"/>
            <scheme val="minor"/>
          </rPr>
          <t>QĐ 69 di dời: 10tr + thưởng 15tr</t>
        </r>
      </text>
    </comment>
    <comment ref="AD883" authorId="0" shapeId="0" xr:uid="{00000000-0006-0000-0000-000005000000}">
      <text>
        <r>
          <rPr>
            <sz val="11"/>
            <color theme="1"/>
            <rFont val="Calibri"/>
            <family val="2"/>
            <scheme val="minor"/>
          </rPr>
          <t xml:space="preserve">UNC 384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M19" authorId="0" shapeId="0" xr:uid="{2D89C932-A148-49EA-AD31-AB4E15EE52C8}">
      <text>
        <r>
          <rPr>
            <sz val="11"/>
            <color theme="1"/>
            <rFont val="Calibri"/>
            <family val="2"/>
            <scheme val="minor"/>
          </rPr>
          <t>QĐ 69 di dời: 10tr + thưởng 15tr</t>
        </r>
      </text>
    </comment>
  </commentList>
</comments>
</file>

<file path=xl/sharedStrings.xml><?xml version="1.0" encoding="utf-8"?>
<sst xmlns="http://schemas.openxmlformats.org/spreadsheetml/2006/main" count="23213" uniqueCount="4059">
  <si>
    <t>Nguyễn Minh Mẫn - Lê Thị Nga</t>
  </si>
  <si>
    <t>CB thụ lý</t>
  </si>
  <si>
    <t>Đỗ Hùng Tuấn - Phùng Thị Thu Hà</t>
  </si>
  <si>
    <t>STT</t>
  </si>
  <si>
    <t>TỔNG HỢP BỒI THƯỜNG HỖ TRỢ, TÁI ĐỊNH CƯ DỰ ÁN RẠCH XUYÊN TÂM - PHƯỜNG BÌNH THẠNH</t>
  </si>
  <si>
    <t>Số QĐ phê duyệt dự toán</t>
  </si>
  <si>
    <t>QĐ duyệt DT bổ sung, điều chỉnh</t>
  </si>
  <si>
    <t>QĐ duyệt DT Tạm cư</t>
  </si>
  <si>
    <t>STT
Theo PA</t>
  </si>
  <si>
    <t>PA Bổ sung</t>
  </si>
  <si>
    <t>STT
Theo PA (bao gồm PA bị thay thế)</t>
  </si>
  <si>
    <t>Họ tên</t>
  </si>
  <si>
    <t>Phường</t>
  </si>
  <si>
    <t>Thời điểm báo cáo:</t>
  </si>
  <si>
    <t>Địa chỉ</t>
  </si>
  <si>
    <t>DỰ TOÁN</t>
  </si>
  <si>
    <t>CHỈ TIÊU</t>
  </si>
  <si>
    <t>ĐÃ CHI</t>
  </si>
  <si>
    <t>CHƯA CHI</t>
  </si>
  <si>
    <t>GHI CHÚ</t>
  </si>
  <si>
    <t>Bồi thường lần đầu</t>
  </si>
  <si>
    <t xml:space="preserve">TỒN GỬI NGÂN HÀNG </t>
  </si>
  <si>
    <t>Tổng PA: 877, trong đó: 35 hộ 0 đồng; Trong chưa chi 51: 5 PA bị thay thế đợi giảm dự toán</t>
  </si>
  <si>
    <t>Bồi thường Bổ sung, NVTC</t>
  </si>
  <si>
    <t>Số QĐ phê duyệt PA</t>
  </si>
  <si>
    <t>Thường bàn giao mặt bằng</t>
  </si>
  <si>
    <t>Tạm cư</t>
  </si>
  <si>
    <t>Tổng tiền chi Bồi thường</t>
  </si>
  <si>
    <t>Tiền Bồi thường Bổ sung, NVTC</t>
  </si>
  <si>
    <t>Dự Toán</t>
  </si>
  <si>
    <t>Nộp tiền Bồi thường</t>
  </si>
  <si>
    <t>-</t>
  </si>
  <si>
    <t>Bố trí tái định cư</t>
  </si>
  <si>
    <t>Ngày bàn giao mặt bằng</t>
  </si>
  <si>
    <t xml:space="preserve">Họ tên </t>
  </si>
  <si>
    <t>Hoài</t>
  </si>
  <si>
    <t>CHI TRONG TUẦN</t>
  </si>
  <si>
    <t>117/QĐ-UBND ngày 21/8/2025</t>
  </si>
  <si>
    <t>115/QĐ-UBND ngày 08/8/2025</t>
  </si>
  <si>
    <t>1000/QĐ-UBND ngày 04/06/2026</t>
  </si>
  <si>
    <t>1035/PA-HĐBT(RXT)</t>
  </si>
  <si>
    <t>Trần Ngọc Vân</t>
  </si>
  <si>
    <t>LŨY KẾ ĐÃ CHI</t>
  </si>
  <si>
    <t>BT</t>
  </si>
  <si>
    <t>184/3/6B25 Nguyễn Xí, P.Phường 26, quận Bình Thạnh (nay là phường Bình Thạnh)</t>
  </si>
  <si>
    <t>ĐỀ XUẤT</t>
  </si>
  <si>
    <t>Thảo</t>
  </si>
  <si>
    <t>357/QĐ-UBND ngày 24/10/2025</t>
  </si>
  <si>
    <t>228/QD-UBND ngày 16/10/2025</t>
  </si>
  <si>
    <t>91/PA-HĐBT (RXT)</t>
  </si>
  <si>
    <t>Nguyễn Thị Hạnh Sang</t>
  </si>
  <si>
    <t>427/47 Xô Viết Nghệ Tĩnh, P.Bình Thạnh (Phường 26, quận Bình Thạnh cũ)</t>
  </si>
  <si>
    <t>Hiên</t>
  </si>
  <si>
    <t>531/QD-UBND ngày 03/11/2025</t>
  </si>
  <si>
    <t>504/QD-UBND ngày 30/10/2025</t>
  </si>
  <si>
    <t>1339/QĐ-UBND ngày 16/7/2026</t>
  </si>
  <si>
    <t>141/PA-HĐBT (RXT)</t>
  </si>
  <si>
    <t>424/PA</t>
  </si>
  <si>
    <t>Ngô Thị Niệm</t>
  </si>
  <si>
    <t>220/17 Nguyễn Xí, P.Bình Thạnh (Phường 26, quận Bình Thạnh cũ)</t>
  </si>
  <si>
    <t>Bích</t>
  </si>
  <si>
    <t>03/QĐ-UBND ngày 20/12/2024</t>
  </si>
  <si>
    <t>817/QĐ-UBND ngày 11/5/2026</t>
  </si>
  <si>
    <t>20/PA-HĐBT(RXT)</t>
  </si>
  <si>
    <t>124/PA-HĐBT(RXT)</t>
  </si>
  <si>
    <t>Trần Thị Mai - Nguyễn Quang Minh - Nguyễn Văn Tiến - Nguyễn Thị Hồng Phương</t>
  </si>
  <si>
    <t>34 Bùi Đình Túy, P.12</t>
  </si>
  <si>
    <t>734/QĐ-UBND
ngày 12/11/2025</t>
  </si>
  <si>
    <t>533/QĐ-UBND ngày 04/11/2025</t>
  </si>
  <si>
    <t>1529/QĐ-UBND ngày 24/9/2026</t>
  </si>
  <si>
    <t>343/PA-HĐBT (RXT)</t>
  </si>
  <si>
    <t>610/PA</t>
  </si>
  <si>
    <t>Lê Văn Nhân - Huỳnh Thị Tánh</t>
  </si>
  <si>
    <t>220/7 Nguyễn Xí, P.Bình Thạnh (Phường 26, quận Bình Thạnh cũ)</t>
  </si>
  <si>
    <t>812/QĐ-UBND ngày 18/11/2025</t>
  </si>
  <si>
    <t>647/QĐ-UBND ngày 05/11/2025</t>
  </si>
  <si>
    <t>1123/QĐ-UBND Ngày 12/6/2026</t>
  </si>
  <si>
    <t>1000/QĐ-UBND ngày 04/06/2026; 1566/QĐ-UBND ngày 05/10/2026</t>
  </si>
  <si>
    <t>432/PA-HĐBT (RXT)</t>
  </si>
  <si>
    <t>364/PA</t>
  </si>
  <si>
    <t>c</t>
  </si>
  <si>
    <t>Nguyễn Trọng Vinh</t>
  </si>
  <si>
    <t>79/52 Nguyễn Xí, P.Bình Thạnh (Phường 26, quận Bình Thạnh cũ)</t>
  </si>
  <si>
    <t>0 đồng</t>
  </si>
  <si>
    <t>21/PA-HĐBT(RXT)</t>
  </si>
  <si>
    <t>1P</t>
  </si>
  <si>
    <t>Trung tâm Phát triển quỹ đất</t>
  </si>
  <si>
    <t>302/5 Nơ Trang Long, P.12</t>
  </si>
  <si>
    <t>Trâm</t>
  </si>
  <si>
    <t>811/QĐ-UBND ngày 17/11/2025</t>
  </si>
  <si>
    <t>257/QĐ-UBND ngày 16/10/2025</t>
  </si>
  <si>
    <t>1145/QĐ-UBND ngày 13/6/2026</t>
  </si>
  <si>
    <t>1048/QĐ-UBND ngày 06/06/2026</t>
  </si>
  <si>
    <t>114/PA-HĐBT (RXT)</t>
  </si>
  <si>
    <t>254/PA</t>
  </si>
  <si>
    <t>Nguyễn Thị Kim Thư</t>
  </si>
  <si>
    <t>194/50/61 Bạch Đằng, P.Bình Thạnh (Phường 14, quận Bình Thạnh cũ)</t>
  </si>
  <si>
    <t>37/PA-HĐBT(RXT)</t>
  </si>
  <si>
    <t>Nguyễn Thị Bạch Kim</t>
  </si>
  <si>
    <t>182/120F Bạch Đằng, P.24</t>
  </si>
  <si>
    <t>147/QĐ-UBND ngày 30/01/2026</t>
  </si>
  <si>
    <t>38/PA-HĐBT(RXT)</t>
  </si>
  <si>
    <t>620/PA-HĐBT(RXT)</t>
  </si>
  <si>
    <t>Phạm Văn Đằng-
Trần Thị Len</t>
  </si>
  <si>
    <t>20/27A Đinh Bộ Lĩnh, P.24</t>
  </si>
  <si>
    <t>208/QĐ-UBND ngày 16/10/2025</t>
  </si>
  <si>
    <t>1384/QĐ-UBND ngày 31/7/2026</t>
  </si>
  <si>
    <t>1050/QĐ-UBND ngày 08/06/2026</t>
  </si>
  <si>
    <t>93/PA-HĐBT (RXT)</t>
  </si>
  <si>
    <t>497/PA</t>
  </si>
  <si>
    <t>Dương Kim Lang và các đồng thừa kế của ông Hà Đức Hòa (Hà Tất Linh nhận tiền)</t>
  </si>
  <si>
    <t>220/9 Nguyễn Xí, P.Bình Thạnh (Phường 26, quận Bình Thạnh cũ)</t>
  </si>
  <si>
    <t>39/PA-HĐBT(RXT)</t>
  </si>
  <si>
    <t>TP</t>
  </si>
  <si>
    <t xml:space="preserve">Ủy ban nhân dân Phường 24 quản lý
</t>
  </si>
  <si>
    <t>không số (ngay chân cầu mới, cạnh nhà 260A) Bạch Đằng, P.24</t>
  </si>
  <si>
    <t>542/QĐ-UBND ngày 04/11/2025</t>
  </si>
  <si>
    <t>1051/QĐ-UBND ngày 08/06/2026</t>
  </si>
  <si>
    <t>363/PA-HĐBT (RXT)</t>
  </si>
  <si>
    <t>Nguyễn Thị Trực - Nguyễn Thanh Hồng</t>
  </si>
  <si>
    <t>125/77/16A Bùi Đình Túy, P.Bình Thạnh 
(Phường 14, quận Bình Thạnh cũ)</t>
  </si>
  <si>
    <t>40/PA-HĐBT(RXT)</t>
  </si>
  <si>
    <t>Phạm Đình Dũng- 
Trần Thị Thanh Thủy</t>
  </si>
  <si>
    <t>47/26 Bùi Đình Túy, P.24</t>
  </si>
  <si>
    <t>QĐ 470 ngày 27/10/2025</t>
  </si>
  <si>
    <t>308/QĐ-UBND ngày 21/10/2025</t>
  </si>
  <si>
    <t xml:space="preserve">1051/QĐ-UBND ngày 08/06/2026; 1507/QĐ-UBND ngày 16/09/2026
</t>
  </si>
  <si>
    <t>165/PA-HĐBT (RXT)</t>
  </si>
  <si>
    <t>Các đồng thừa kế của ông Lê Thu - bà Lê Thị Hòa</t>
  </si>
  <si>
    <t>194/43/8 Bạch Đằng, P.Bình Thạnh (Phường 14, quận Bình Thạnh cũ)</t>
  </si>
  <si>
    <t>46/PA-HĐBT(RXT)</t>
  </si>
  <si>
    <t>Đào Học Hải - Lê Thị Mỹ Dung</t>
  </si>
  <si>
    <t>32/21 (số cũ 685) Bùi Đình Túy, P.12</t>
  </si>
  <si>
    <t>101/QĐ-UBND ngày 06/8/2025</t>
  </si>
  <si>
    <t>1087/QĐ-UBND ngày 09/06/2026</t>
  </si>
  <si>
    <t>1017/PA-HĐBT(RXT)</t>
  </si>
  <si>
    <t>Trần Văn Tài - Trần Thị Cẩm Thơm</t>
  </si>
  <si>
    <t>Không số Xô Viết Nghệ Tĩnh, P.Phường 26, quận Bình Thạnh (nay là phường Bình Thạnh)</t>
  </si>
  <si>
    <t>47/PA-HĐBT(RXT)</t>
  </si>
  <si>
    <t>Ủy ban nhân dân Phường 12 (chốt dân phòng)</t>
  </si>
  <si>
    <t>Không số Bùi Đình Túy, P.12</t>
  </si>
  <si>
    <t>04/QĐ-UBND ngày 20/12/2024</t>
  </si>
  <si>
    <t>04/QĐ-UBND ngày 27/03/2025</t>
  </si>
  <si>
    <t>66/PA-HĐBT(RXT)</t>
  </si>
  <si>
    <t>1088/QĐ-UBND ngày 09/06/2026</t>
  </si>
  <si>
    <t>07/PA-HĐBT(RXT)</t>
  </si>
  <si>
    <t>239/PA-HĐBT(RXT)</t>
  </si>
  <si>
    <t>Ông Phan Cao Hiệp và các đồng thừa kế của bà Lê Thị Dung</t>
  </si>
  <si>
    <t>Các đồng thừa kế bà Phạm Thể Vân</t>
  </si>
  <si>
    <t>194/56E Bạch Đằng, P.24</t>
  </si>
  <si>
    <t>Không số (số tự cho 76/95) Bạch Đằng, P.14 (24 cũ)</t>
  </si>
  <si>
    <t>67/PA-HĐBT(RXT)</t>
  </si>
  <si>
    <t>Ủy ban nhân dân Phường 24 quản lý</t>
  </si>
  <si>
    <t>Không số Bạch Đằng, P.24</t>
  </si>
  <si>
    <t>46/QĐ-UBND ngày 28/05/2025</t>
  </si>
  <si>
    <t>108/QĐ-UBND ngày 30/05/2025</t>
  </si>
  <si>
    <t>757/QĐ-UBND ngày 13/11/2025</t>
  </si>
  <si>
    <t>485/PA-HĐBT(RXT)</t>
  </si>
  <si>
    <t>Lý Thanh Tâm - Nguyễn Thị Hiền</t>
  </si>
  <si>
    <t>76/58B Bạch Đằng, P.14 (24 cũ)</t>
  </si>
  <si>
    <t>68/PA-HĐBT(RXT)</t>
  </si>
  <si>
    <t>Các đồng thừa kế của ông Bùi Văn Khôn- bà Nguyễn Thị Trong</t>
  </si>
  <si>
    <t>76/68 Bạch Đằng, P.24</t>
  </si>
  <si>
    <t>QĐ 328/QĐ-UBND ngày 22/10/2025</t>
  </si>
  <si>
    <t>173/QĐ-UBND ngày 13/10/2025</t>
  </si>
  <si>
    <t>1089/QĐ-UBND ngày 09/06/2026; 1495/QĐ-UBND ngày 11/09/2026</t>
  </si>
  <si>
    <t>46/PA-HĐBT (RXT)</t>
  </si>
  <si>
    <t>Đỗ Nguyên Bình</t>
  </si>
  <si>
    <t>47/57 Bùi Đình Túy, P.Bình Thạnh (Phường 14, quận Bình Thạnh cũ)</t>
  </si>
  <si>
    <t>71/PA-HĐBT(RXT)</t>
  </si>
  <si>
    <t>Nguyễn Quốc Huy - Phan Thị Hồng Giang</t>
  </si>
  <si>
    <t>32/17 Bùi Đình Túy, P.12</t>
  </si>
  <si>
    <t>299/QĐ-UBND ngày 20/10/2025</t>
  </si>
  <si>
    <t>151/PA-HĐBT (RXT)</t>
  </si>
  <si>
    <t>Đỗ Kiến Thành - Đồng Thị Thuỷ Vân</t>
  </si>
  <si>
    <t>Nhà không số (số cũ 384) Bùi Đình Tuý, P.Bình Thạnh (Phường 14, quận Bình Thạnh cũ)</t>
  </si>
  <si>
    <t>05/QĐ-UBND ngày 31/12/2024</t>
  </si>
  <si>
    <t>84/PA-HĐBT(RXT)</t>
  </si>
  <si>
    <t>Trần Thị Hạnh</t>
  </si>
  <si>
    <t>243/76 Chu Văn An, P.12</t>
  </si>
  <si>
    <t>93/PA-HĐBT(RXT)</t>
  </si>
  <si>
    <t>674/QĐ-UBND ngày 06/11/2025</t>
  </si>
  <si>
    <t>442/PA-HĐBT (RXT)</t>
  </si>
  <si>
    <t>Võ Văn Hải - Võ Huỳnh Yến Nhi - Võ Huỳnh Phương Uyên</t>
  </si>
  <si>
    <t xml:space="preserve">Đinh Duy Hiếu
</t>
  </si>
  <si>
    <t>76/58 Bạch Đằng, P.24</t>
  </si>
  <si>
    <t>Nhà không số (cạnh nhà 47/35) Bùi Đình Túy, P.Bình Thạnh (Phường 14, quận Bình Thạnh cũ)</t>
  </si>
  <si>
    <t>95/PA-HĐBT(RXT)</t>
  </si>
  <si>
    <t>Vũ Phương Nga</t>
  </si>
  <si>
    <t>220/12 Nguyễn Xí, P.26</t>
  </si>
  <si>
    <t>665/QĐ-UBND ngày 06/11/2025</t>
  </si>
  <si>
    <t>732/QĐ-UBND ngày 28/4/2026; 1207/QĐ-UBND ngày 20/6/2026</t>
  </si>
  <si>
    <t>515/PA-HĐBT (RXT)</t>
  </si>
  <si>
    <t>602/PA-HĐBT (RXT)</t>
  </si>
  <si>
    <t>11/26/2025</t>
  </si>
  <si>
    <t xml:space="preserve">Hà Quang Huấn - Nguyễn Ngọc Lệ
</t>
  </si>
  <si>
    <t>01/QĐ-UBND ngày 20/02/2025</t>
  </si>
  <si>
    <t>108/PA-HĐBT(RXT)</t>
  </si>
  <si>
    <t>ông Phạm Hoài Nam - bà Nguyễn Thị Minh Vân</t>
  </si>
  <si>
    <t>122./66 Bùi Đình Túy, P.12</t>
  </si>
  <si>
    <t>95/QĐ-UBND ngày 06/8/2025</t>
  </si>
  <si>
    <t>1101/QĐ-UBND ngày 10/06/2026</t>
  </si>
  <si>
    <t>1000/PA-HĐBT(RXT)</t>
  </si>
  <si>
    <t>Lê Minh Thông</t>
  </si>
  <si>
    <t>109/PA-HĐBT(RXT)</t>
  </si>
  <si>
    <t>389B Đinh Bộ Lĩnh, P.Phường 26, quận Bình Thạnh (nay là phường Bình Thạnh)</t>
  </si>
  <si>
    <t>Nguyễn Đoàn Anh Vĩ</t>
  </si>
  <si>
    <t>446/X10 Bùi Đình Túy, P.12</t>
  </si>
  <si>
    <t>664/QĐ-UBND ngày 06/11/2025</t>
  </si>
  <si>
    <t xml:space="preserve">1101/QĐ-UBND ngày 10/06/2026; 1454/QĐ-UBND ngày 26/08/2026 
</t>
  </si>
  <si>
    <t>461/PA-HĐBT (RXT)</t>
  </si>
  <si>
    <t xml:space="preserve">Lê Thị Mỹ Hạnh
</t>
  </si>
  <si>
    <t>Thuộc khuôn viên nhà số 79/43 Nguyễn Xí, P.Bình Thạnh (Phường 26, quận Bình Thạnh cũ)</t>
  </si>
  <si>
    <t>110/PA-HĐBT(RXT)</t>
  </si>
  <si>
    <t>Ủy ban nhân dân Phường 12</t>
  </si>
  <si>
    <t>không số Phan Chu Trinh, P.12</t>
  </si>
  <si>
    <t>615/QĐ-UBND ngày 05/11/2025</t>
  </si>
  <si>
    <t>112/PA-HĐBT(RXT)</t>
  </si>
  <si>
    <t xml:space="preserve">1101/QĐ-UBND ngày 10/06/2026;1454/QĐ-UBND ngày 26/08/2026 
</t>
  </si>
  <si>
    <t>427/PA-HĐBT (RXT)</t>
  </si>
  <si>
    <t>Nguyễn Đình Chiến - Nguyễn Thị Vần</t>
  </si>
  <si>
    <t>Lê Thị Ngọc Khanh</t>
  </si>
  <si>
    <t>76/58B Bạch Đằng, P.14</t>
  </si>
  <si>
    <t>184/3/6B12A Nguyễn Xí, P.Bình Thạnh (Phường 26, quận Bình Thạnh cũ)</t>
  </si>
  <si>
    <t>113/PA-HĐBT(RXT)</t>
  </si>
  <si>
    <t>436/QD-UBND ngày 24/10/2025</t>
  </si>
  <si>
    <t>Điểm sinh hoạt Khu phố 3 - Ủy ban nhân dân Phường 14 quản lý (phường 24 cũ).</t>
  </si>
  <si>
    <t>1131/QĐ-UBND ngày 12/6/2026</t>
  </si>
  <si>
    <t>1132/QĐ-UBND ngày 12/06/2026; 1518/QĐ-UBND ngày 18/09/2026</t>
  </si>
  <si>
    <t>Không số - Hẻm 47 Bùi Đình Túy, P.
14
(24 cũ)</t>
  </si>
  <si>
    <t>258/PA-HĐBT (RXT)</t>
  </si>
  <si>
    <t>293/PA</t>
  </si>
  <si>
    <t>Nguyễn Thị Ngọc Nga</t>
  </si>
  <si>
    <t>184/3/6B13 Nguyễn Xí, P.Bình Thạnh (Phường 26, quận Bình Thạnh cũ)</t>
  </si>
  <si>
    <t>116/PA-HĐBT(RXT)</t>
  </si>
  <si>
    <t>Dương Xuân Đầm</t>
  </si>
  <si>
    <t>175/QD-UBND ngày 13/10/2025</t>
  </si>
  <si>
    <t>693B/1 Bùi Đình Túy, P.12</t>
  </si>
  <si>
    <t>116/QĐ-UBND ngày 23/01/2026</t>
  </si>
  <si>
    <t>60/PA-HĐBT (RXT)</t>
  </si>
  <si>
    <t>Bảng DT+ 01/TTr</t>
  </si>
  <si>
    <t>Trịnh Thị Thủy và các đồng thừa kế của ông Trịnh Văn Trường</t>
  </si>
  <si>
    <t>Không số Nơ Trang Long, P.Bình Thạnh (Phường 12, quận Bình Thạnh cũ)</t>
  </si>
  <si>
    <t>153/QD-UBND ngày 13/10/2025</t>
  </si>
  <si>
    <t>68/PA-HĐBT (RXT)</t>
  </si>
  <si>
    <t>Nguyễn Thị Thúy Hằng</t>
  </si>
  <si>
    <t>290/33/42A Nơ Trang Long, P.Bình Thạnh (Phường 12, quận Bình Thạnh cũ)</t>
  </si>
  <si>
    <t>120/PA-HĐBT(RXT)</t>
  </si>
  <si>
    <t>Ủy ban nhân dân Phường 14 (Phường 24 cũ)</t>
  </si>
  <si>
    <t>Không số Phan Chu Trinh, P.14
(24 cũ)</t>
  </si>
  <si>
    <t>562/QĐ-UBND ngày 04/11/2025</t>
  </si>
  <si>
    <t>116/QĐ-UBND ngày 23/01/2026, 821/QĐ-UBND ngày 11/05/2026,819/QĐ-UBND ngày 11/05/2026; 1415/QĐ-UBND ngày 14/8/2026</t>
  </si>
  <si>
    <t>346/PA-HĐBT (RXT)</t>
  </si>
  <si>
    <t>Trịnh Hoàng Dũng</t>
  </si>
  <si>
    <t>Không số Nơ Trang Long, P.Bình Thạnh 
(Phường 12, quận Bình Thạnh cũ)</t>
  </si>
  <si>
    <t>121/PA-HĐBT(RXT)</t>
  </si>
  <si>
    <t>Nguyễn Thị Cúc - Lê Trung Tuyên</t>
  </si>
  <si>
    <t>47/68 Bùi Đình Túy, P.14
(24 cũ)</t>
  </si>
  <si>
    <t>178/QD-UBND ngày 13/10/2025</t>
  </si>
  <si>
    <t>1161/QĐ-UBND ngày 15/06/2026; 1432/QĐ-UBND ngày 20/08/2026</t>
  </si>
  <si>
    <t>57/PA-HĐBT (RXT)</t>
  </si>
  <si>
    <t>R</t>
  </si>
  <si>
    <t>Nguyễn Thị Ngọc Bích</t>
  </si>
  <si>
    <t>45/1B (45) Đinh Bộ Lĩnh, P.Bình Thạnh (Phường 14, quận Bình Thạnh cũ)</t>
  </si>
  <si>
    <t>122/PA-HĐBT(RXT)</t>
  </si>
  <si>
    <t>Ủy ban nhân dân Phường 14 quản lý (Phường 24 cũ) - Trạm điện của Điện lực Gia Định.</t>
  </si>
  <si>
    <t>Không số (Cạnh nhà 47/21) Bùi Đình Túy, P.14
(24 cũ</t>
  </si>
  <si>
    <t>539/QĐ-UBND ngày 04/11/2025</t>
  </si>
  <si>
    <t xml:space="preserve">1161/QĐ-UBND ngày 15/06/2026;1532/QĐ-UBND ngày 24/09/2026 
</t>
  </si>
  <si>
    <t>358/PA-HĐBT (RXT)</t>
  </si>
  <si>
    <t>Lê Thị Đan Thanh</t>
  </si>
  <si>
    <t>234/9B Bạch Đằng, P.Bình Thạnh (Phường 14, quận Bình Thạnh cũ)</t>
  </si>
  <si>
    <t>123/PA-HĐBT(RXT)</t>
  </si>
  <si>
    <t>Nguyễn Thị Thu Nguyệt (Chưa xác định tình trạng hôn nhân)</t>
  </si>
  <si>
    <t>Không số Nguyễn Xí, P.26</t>
  </si>
  <si>
    <t>Thủy</t>
  </si>
  <si>
    <t>709/QĐ-UBND ngày 06/11/2025</t>
  </si>
  <si>
    <t>126/PA-HĐBT(RXT)</t>
  </si>
  <si>
    <t>1126/QĐ-UBND ngày 12/6/2026; 1322/QĐ-UBND ngày 14/7/2026</t>
  </si>
  <si>
    <t>1162/QĐ-UBND ngày 15/06/2026</t>
  </si>
  <si>
    <t>484/PA-HĐBT (RXT)</t>
  </si>
  <si>
    <t>Ủy ban nhân dân Phường 14 (Phường 24 cũ) quản lý</t>
  </si>
  <si>
    <t>342/PA; 425/PA</t>
  </si>
  <si>
    <t>Không số (cuối hẻm 118) Bạch Đằng, P.14</t>
  </si>
  <si>
    <t>Lê Huy Phong và các đồng thừa kế của bà Lê Thị Hồng Phượng</t>
  </si>
  <si>
    <t>Không số (phía sau nhà 234/7) Bạch Đằng, P.Bình Thạnh (Phường 14, quận Bình Thạnh cũ)</t>
  </si>
  <si>
    <t>02/QĐ-UBND ngày 13/03/2025</t>
  </si>
  <si>
    <t>132/PA-HĐBT(RXT)</t>
  </si>
  <si>
    <t>Không số (cạnh nhà số 405/4) Xô Viết Nghệ Tĩnh, P.14</t>
  </si>
  <si>
    <t>643/QĐ-UBND ngày 05/11/2025</t>
  </si>
  <si>
    <t>1162/QĐ-UBND ngày 15/06/2026; 1313/QĐ-UBND ngày 13/07/2026; 1480/QĐ-UBND ngày 07/09/2026</t>
  </si>
  <si>
    <t>453/PA-HĐBT (RXT)</t>
  </si>
  <si>
    <t>Trương Ngọc Diện - Phạm Thị Thanh Nhung</t>
  </si>
  <si>
    <t>246/13/23 Bạch Đằng, P.Bình Thạnh (Phường 14, quận Bình Thạnh cũ)</t>
  </si>
  <si>
    <t>135/PA-HĐBT(RXT)</t>
  </si>
  <si>
    <t>Phan Thanh Hiền</t>
  </si>
  <si>
    <t>194/56B Bạch Đằng, P.14</t>
  </si>
  <si>
    <t>829/QĐ-UBND ngày 19/11/2025</t>
  </si>
  <si>
    <t>731/QĐ-UBND ngày 06/11/2025</t>
  </si>
  <si>
    <t>138/PA-HĐBT(RXT)</t>
  </si>
  <si>
    <t>1163/QĐ-UBND ngày 15/06/2026; 1323/QĐ-UBND ngày 14/07/2026</t>
  </si>
  <si>
    <t>537/PA-HĐBT (RXT)</t>
  </si>
  <si>
    <t>Đặng Văn Minh và các đồng thừa kế của bà Nguyễn Thị Trúc Hạnh</t>
  </si>
  <si>
    <t>194/43/1 Bạch Đằng, P.14</t>
  </si>
  <si>
    <t>Phạm Thị Sáng và các đồng thừa kế của ông Trần Văn Hoàn</t>
  </si>
  <si>
    <t>47/47 Bùi Đình Túy, P.Bình Thạnh (Phường 14, quận Bình Thạnh cũ)</t>
  </si>
  <si>
    <t>143/PA-HĐBT(RXT)</t>
  </si>
  <si>
    <t>Nguyễn Trường Thanh - Nguyễn Thị Thu Thảo</t>
  </si>
  <si>
    <t>47/2 Bùi Đình Túy, P.14</t>
  </si>
  <si>
    <t>548/QĐ-UBND ngày 04/11/2025</t>
  </si>
  <si>
    <t>1163/QĐ-UBND ngày 15/06/2026; 1494/QĐ-UBND ngày 11/09/2026</t>
  </si>
  <si>
    <t>377/PA-HĐBT (RXT)</t>
  </si>
  <si>
    <t>Phan Mai Hương</t>
  </si>
  <si>
    <t>Không số (STC 47/25B) Bùi Đình Túy, P.Bình Thạnh (Phường 14, quận Bình Thạnh cũ)</t>
  </si>
  <si>
    <t>145/PA-HĐBT(RXT)</t>
  </si>
  <si>
    <t>Bà Nguyễn Thị Yến và các đồng thừa kế của ông Hồ Văn Thương</t>
  </si>
  <si>
    <t>Không số cạnh 76/115 Bạch Đằng, P.14</t>
  </si>
  <si>
    <t>490/QĐ-UBND ngày 29/10/2025</t>
  </si>
  <si>
    <t>1121/QĐ-UBND ngày 11/6/2026</t>
  </si>
  <si>
    <t>1169/QĐ-UBND ngày 16/06/2026; 1518/QĐ-UBND ngày 18/09/2026</t>
  </si>
  <si>
    <t>311/PA-HĐBT (RXT)</t>
  </si>
  <si>
    <t>C</t>
  </si>
  <si>
    <t>Đào Thị Bạch</t>
  </si>
  <si>
    <t>184/3/6B14 Nguyễn Xí, P.Bình Thạnh (Phường 26, quận Bình Thạnh cũ)</t>
  </si>
  <si>
    <t>147/PA-HĐBT(RXT)</t>
  </si>
  <si>
    <t>Phạm Quốc Dũng - Nguyễn Lê Phi Vân</t>
  </si>
  <si>
    <t>47/36 Bùi Đình Túy, P.14</t>
  </si>
  <si>
    <t>732/QĐ-UBND ngày 10/11/2025</t>
  </si>
  <si>
    <t>621/QĐ-UBND ngày 05/11/2025</t>
  </si>
  <si>
    <t>1171/QĐ-UBND ngày 16/6/2026</t>
  </si>
  <si>
    <t>1172/QĐ-UBND ngày 16/06/2026</t>
  </si>
  <si>
    <t>422/PA-HĐBT (RXT)</t>
  </si>
  <si>
    <t>Nguyễn Văn Long - Phạm Thị Loan</t>
  </si>
  <si>
    <t>150/PA-HĐBT(RXT)</t>
  </si>
  <si>
    <t>Phạm Công Dũng</t>
  </si>
  <si>
    <t>47/28 Bùi Đình Túy, P.14</t>
  </si>
  <si>
    <t>Đồng ý -&gt; Chờ khai nhận di sản</t>
  </si>
  <si>
    <t>156/PA-HĐBT(RXT)</t>
  </si>
  <si>
    <t>Nguyễn Thị Ngọc Mai</t>
  </si>
  <si>
    <t>76/58E Bạch Đằng, P.14</t>
  </si>
  <si>
    <t>240/QĐ-UBND ngày 16/10/2025</t>
  </si>
  <si>
    <t xml:space="preserve">1184/QĐ-UBND ngày 17/06/2026; 1531/QĐ-UBND ngày 24/09/2026
</t>
  </si>
  <si>
    <t>101/PA-HĐBT (RXT)</t>
  </si>
  <si>
    <t>Phạm Hoàng Nhân - Nguyễn Thị Mỹ Loan</t>
  </si>
  <si>
    <t>Không số (cạnh nhà 184/3/6B24) Nguyễn Xí, P.Bình Thạnh (Phường 26, quận Bình Thạnh cũ)</t>
  </si>
  <si>
    <t>157/PA-HĐBT(RXT)</t>
  </si>
  <si>
    <t>19/PA-HĐBT(RXT)</t>
  </si>
  <si>
    <t>301/QĐ-UBND ngày 21/10/2025</t>
  </si>
  <si>
    <t>1197/QĐ-UBND ngày 19/06/2026</t>
  </si>
  <si>
    <t>170/PA-HĐBT (RXT)</t>
  </si>
  <si>
    <t>Huỳnh Sơn Thạch - Nguyễn Trang Linh Phượng</t>
  </si>
  <si>
    <t>184/3/6B7 Nguyễn Xí, P.Bình Thạnh (Phường 26, quận Bình Thạnh cũ)</t>
  </si>
  <si>
    <t>ông Huỳnh Văn Đẳng- bà Nguyễn Thị Hồng Thủy</t>
  </si>
  <si>
    <t>238/33 Bạch Đằng, P.14</t>
  </si>
  <si>
    <t>159/PA-HĐBT(RXT)</t>
  </si>
  <si>
    <t>Bùi Anh Thương – Nguyễn Thị Phương Nga</t>
  </si>
  <si>
    <t>622/QĐ-UBND ngày 05/11/2025</t>
  </si>
  <si>
    <t>243/38-40 Chu Văn An, P.12</t>
  </si>
  <si>
    <t>1201/QĐ-UBND ngày 20/06/2026</t>
  </si>
  <si>
    <t>396/PA-HĐBT (RXT)</t>
  </si>
  <si>
    <t>563/PA-HĐBT (RXT)</t>
  </si>
  <si>
    <t>Các đồng thừa kế của ông Nguyễn Để và bà Phan Thị Bảy</t>
  </si>
  <si>
    <t>Số 51 và 55 Đinh Bộ Lĩnh, P.Bình Thạnh (Phường 26, quận Bình Thạnh cũ)</t>
  </si>
  <si>
    <t>03/QĐ-UBND ngày 24/03/2025</t>
  </si>
  <si>
    <t>183/PA-HĐBT(RXT)</t>
  </si>
  <si>
    <t>ông Thái Anh Sơn - bà Chung Thị Mai Phương</t>
  </si>
  <si>
    <t>243/44 Chu Văn An, P.12</t>
  </si>
  <si>
    <t>72/QĐ-UBND ngày 06/8/2025</t>
  </si>
  <si>
    <t>1211/QĐ-UBND ngày 20/6/2026</t>
  </si>
  <si>
    <t>1212/QĐ-UBND ngày 20/06/2026</t>
  </si>
  <si>
    <t>943/PA-HĐBT(RXT)</t>
  </si>
  <si>
    <t>Nguyễn Thị Kim Huyền - Đặng Thanh Châu</t>
  </si>
  <si>
    <t>Không số cạnh nhà 58/165B Phan Chu Trinh, P.Phường 14, quận Bình Thạnh (nay là phường Bình Thạnh)</t>
  </si>
  <si>
    <t>184/PA-HĐBT(RXT)</t>
  </si>
  <si>
    <t>Trần Thị Hội</t>
  </si>
  <si>
    <t>32/36/40C Bùi Đình Túy, P.12</t>
  </si>
  <si>
    <t>536/QĐ-UBND ngày 04/11/2025</t>
  </si>
  <si>
    <t>1143/QĐ-UBND ngày 13/6/2026</t>
  </si>
  <si>
    <t xml:space="preserve">1219/QĐ-UBND ngày 20/06/2026; 1532/QĐ-UBND ngày 24/09/2026 
</t>
  </si>
  <si>
    <t>353/PA-HĐBT (RXT)</t>
  </si>
  <si>
    <t>270/PA</t>
  </si>
  <si>
    <t>Nguyễn Từ Thu Trang</t>
  </si>
  <si>
    <t>185/PA-HĐBT(RXT)</t>
  </si>
  <si>
    <t>234/11A Bạch Đằng, P.Bình Thạnh (Phường 14, quận Bình Thạnh cũ)</t>
  </si>
  <si>
    <t>Nguyễn Thị Bính - 
Trương Văn Sáng</t>
  </si>
  <si>
    <t>194/50/35 Bạch Đằng, P.14 (24 cũ)</t>
  </si>
  <si>
    <t>330/QĐ-UBND ngày 13/06/2025</t>
  </si>
  <si>
    <t>369/QĐ-UBND ngày 13/6/2025</t>
  </si>
  <si>
    <t>1220/QĐ-UBND ngày 20/06/2026</t>
  </si>
  <si>
    <t>584/PA-HĐBT(RXT)</t>
  </si>
  <si>
    <t>28/PA-HĐBT(RXT)</t>
  </si>
  <si>
    <t>Mai Đức Trí là người cùng sử dụng đất và cùng sở hữu tài sản với Mai Thị Ngọc Hiền</t>
  </si>
  <si>
    <t>415 Xô Viết Nghệ Tĩnh, P.26</t>
  </si>
  <si>
    <t>186/PA-HĐBT(RXT)</t>
  </si>
  <si>
    <t>chưa thu hồi cưỡng chế</t>
  </si>
  <si>
    <t>ông Trần Minh Mẫn 
(Người đang sử dụng)</t>
  </si>
  <si>
    <t>Không số (phía sau 194/43/18) Bạch Đằng, P.14 (24 cũ)</t>
  </si>
  <si>
    <t>914/QĐ-UBND ngày 22/5/2026</t>
  </si>
  <si>
    <t>314/QĐ-UBND ngày 21/10/2025</t>
  </si>
  <si>
    <t>177/PA-HĐBT (RXT)</t>
  </si>
  <si>
    <t>Phạm Tất Thắng - Nguyễn Thị Hòa</t>
  </si>
  <si>
    <t>427/30 Xô Viết Nghệ Tĩnh, P.Bình Thạnh (Phường 26, quận Bình Thạnh cũ)</t>
  </si>
  <si>
    <t>1507/QĐ-UBND</t>
  </si>
  <si>
    <t>582/QĐ-UBND ngày 04/11/2025</t>
  </si>
  <si>
    <t>365/PA-HĐBT (RXT)</t>
  </si>
  <si>
    <t>08/PA-HĐBT(RXT)</t>
  </si>
  <si>
    <t>Trương Kim Minh Nhựt - Lê Hải Hoàng Trang</t>
  </si>
  <si>
    <t>220/60 Nguyễn Xí, P.Bình Thạnh (Phường 26, quận Bình Thạnh cũ)</t>
  </si>
  <si>
    <t>DVC - 25-9</t>
  </si>
  <si>
    <t>612/QĐ-UBND ngày 20/4/2026</t>
  </si>
  <si>
    <t>187/PA-HĐBT(RXT)</t>
  </si>
  <si>
    <t>69/PA-HĐBT(RXT)</t>
  </si>
  <si>
    <t>Lê Nhật Tân</t>
  </si>
  <si>
    <t>58/153C Phan Chu Trinh, P.14 (24 cũ)</t>
  </si>
  <si>
    <t>650/QĐ-UBND ngày 05/11/2025</t>
  </si>
  <si>
    <t>1289/QĐ-UBND ngày 07/7/2026</t>
  </si>
  <si>
    <t>447/PA-HĐBT (RXT)</t>
  </si>
  <si>
    <t>383/PA</t>
  </si>
  <si>
    <t>Trương Minh Hùng</t>
  </si>
  <si>
    <t>220/5 Nguyễn Xí, P.Bình Thạnh (Phường 26, quận Bình Thạnh cũ)</t>
  </si>
  <si>
    <t>188/PA-HĐBT(RXT)</t>
  </si>
  <si>
    <t>Phạm Chí Dũng</t>
  </si>
  <si>
    <t>47/24 Bùi Đình Túy, P.14 (24 cũ)</t>
  </si>
  <si>
    <t>701/QĐ-UBND ngày 06/11/2025</t>
  </si>
  <si>
    <t>1380/QĐ-UBND ngày 31/7/2026</t>
  </si>
  <si>
    <t>415/PA-HĐBT (RXT)</t>
  </si>
  <si>
    <t>415/PA</t>
  </si>
  <si>
    <t>Dương Thị Dư</t>
  </si>
  <si>
    <t>184/3/6B16 Nguyễn Xí, P.Bình Thạnh (Phường 26, quận Bình Thạnh cũ)</t>
  </si>
  <si>
    <t>Ông vĩ đang đi tù chưa về</t>
  </si>
  <si>
    <t>189/PA-HĐBT(RXT)</t>
  </si>
  <si>
    <t>623/PA-HĐBT(RXT)</t>
  </si>
  <si>
    <t>Nguyễn Thị Thu Thủy</t>
  </si>
  <si>
    <t>76/54 Bạch Đằng, P.14 (24 cũ)</t>
  </si>
  <si>
    <t>700/QĐ-UBND ngày 06/11/2025</t>
  </si>
  <si>
    <t>458/PA-HĐBT (RXT)</t>
  </si>
  <si>
    <t>Phan Kim Mai 
(chưa xác định tình trạng hôn nhân)</t>
  </si>
  <si>
    <t>220/33 Nguyễn Xí, P.Bình Thạnh (Phường 26, quận Bình Thạnh cũ)</t>
  </si>
  <si>
    <t>03/QĐ-UBND ngày 24/03/2025 và QĐ 71/QĐ-UBND ngày 30/5/2025</t>
  </si>
  <si>
    <t>415/PA-HĐBT(RXT) thay thế 190/PA-HĐBT(RXT)</t>
  </si>
  <si>
    <t>Nguyễn Thị Liên và các đồng thừa kế của ông Trần Văn Chấn</t>
  </si>
  <si>
    <t>246/20 Bạch Đằng, P.14 (24 cũ)</t>
  </si>
  <si>
    <t>191/PA-HĐBT(RXT)</t>
  </si>
  <si>
    <t>Bùi Ngọc Châu - Phạm Thị Mỹ</t>
  </si>
  <si>
    <t>672/QĐ-UBND ngày 06/11/2025</t>
  </si>
  <si>
    <t>125/77/14 Bùi Đình Túy, P.14 (24 cũ)</t>
  </si>
  <si>
    <t xml:space="preserve">1220/QĐ-UBND ngày 20/06/2026; 1457/QĐ-UBND ngày 28/08/2026 
</t>
  </si>
  <si>
    <t>497/PA-HĐBT (RXT)</t>
  </si>
  <si>
    <t>Đặng Thanh Nhàn</t>
  </si>
  <si>
    <t>184/3/6B24 Nguyễn Xí, P.Bình Thạnh (Phường 26, quận Bình Thạnh cũ)</t>
  </si>
  <si>
    <t>48/QĐ-UBND ngày 15/01/2026</t>
  </si>
  <si>
    <t>192/PA-HĐBT(RXT)</t>
  </si>
  <si>
    <t>628/PA-HĐBT(RXT)</t>
  </si>
  <si>
    <t>Đào Thúy Trường</t>
  </si>
  <si>
    <t>194/50/52 Bạch Đằng, P.14 (24 cũ)</t>
  </si>
  <si>
    <t>242/QĐ-UBND ngày 16/10/2025</t>
  </si>
  <si>
    <t>1220/QĐ-UBND ngày 20/06/2026;1457/QĐ-UBND ngày 28/08/2026</t>
  </si>
  <si>
    <t>100/PA-HĐBT (RXT)</t>
  </si>
  <si>
    <t>Các đồng thừa kế của ông Nguyễn Văn Sáu (Nguyễn Thị Lài)</t>
  </si>
  <si>
    <t>427/45 Xô Viết Nghệ Tĩnh, P.Bình Thạnh (Phường 26, quận Bình Thạnh cũ)</t>
  </si>
  <si>
    <t>193/PA-HĐBT(RXT)</t>
  </si>
  <si>
    <t>11/PA-HĐBT(RXT)</t>
  </si>
  <si>
    <t>bà Ninh Đức Hân</t>
  </si>
  <si>
    <t>262 Bạch Đằng, P.14 (24 cũ)</t>
  </si>
  <si>
    <t>550/QĐ-UBND ngày 13/04/2026</t>
  </si>
  <si>
    <t>623/QĐ-UBND ngày 05/11/2025</t>
  </si>
  <si>
    <t>1237/QĐ-UBND ngày 24/06/2026; 1493/QĐ-UBND ngày 11/09/2026</t>
  </si>
  <si>
    <t>435/PA-HĐBT (RXT) và 652/PA-HĐBT (RXT)</t>
  </si>
  <si>
    <t>Trần Vũ Đàn - Đặng Thanh Tuyền</t>
  </si>
  <si>
    <t>1428/QĐ-UBND ngày 20/8/2026</t>
  </si>
  <si>
    <t>194/PA-HĐBT(RXT)</t>
  </si>
  <si>
    <t>474/PA</t>
  </si>
  <si>
    <t>31/PA-HĐBT(RXT)</t>
  </si>
  <si>
    <t>Hồ Văn Tuấn - Nguyễn Thị Hoàng Anh</t>
  </si>
  <si>
    <t>35/2I Đinh Bộ Lĩnh, P.14 (24 cũ)</t>
  </si>
  <si>
    <t>195/PA-HĐBT(RXT)</t>
  </si>
  <si>
    <t>bà Võ Thị Thao</t>
  </si>
  <si>
    <t>427/61 Xô Viết Nghệ Tĩnh, P.26</t>
  </si>
  <si>
    <t>196/PA-HĐBT(RXT)</t>
  </si>
  <si>
    <t>Vũ Công Hoan - Nguyễn Thị Minh Nguyệt</t>
  </si>
  <si>
    <t>1170/QĐ-UBND ngày 16/6/2026</t>
  </si>
  <si>
    <t>1492/QĐ-UBND ngày 11/9/2026</t>
  </si>
  <si>
    <t>1243/QĐ-UBND ngày 25/06/2026</t>
  </si>
  <si>
    <t>359/PA-HĐBT (RXT) THAY THẾ 528/PA-HĐBT (RXT)</t>
  </si>
  <si>
    <t>Hứa Văn Tửng và các đồng thừa kế của bà Nguyễn Thị Hảo</t>
  </si>
  <si>
    <t>58/96/34 Phan Chu Trinh, P.Bình Thạnh (Phường 14, quận Bình Thạnh cũ)</t>
  </si>
  <si>
    <t>197/PA-HĐBT(RXT)</t>
  </si>
  <si>
    <t>30/PA-HĐBT(RXT)</t>
  </si>
  <si>
    <t>Các đồng thừa kế của bà Nguyễn Thị Niên</t>
  </si>
  <si>
    <t>76/115 Bạch Đằng, P.14 (24 cũ)</t>
  </si>
  <si>
    <t>199/PA-HĐBT(RXT)</t>
  </si>
  <si>
    <t>1150/QĐ-UBND ngày 13/6/2026</t>
  </si>
  <si>
    <t>Nguyễn Đức Nghi - Nguyễn Thị Quỳnh Nga</t>
  </si>
  <si>
    <t>243/32 Chu Văn An, P.12</t>
  </si>
  <si>
    <t>Hứa Thành Tâm - Hồ Thị Tường</t>
  </si>
  <si>
    <t>202/PA-HĐBT(RXT)</t>
  </si>
  <si>
    <t>ông Phạm Hồng Tráng - bà Trần Thị Linh An</t>
  </si>
  <si>
    <t>266/16 Bạch Đằng, P.14 (24 cũ)</t>
  </si>
  <si>
    <t>510/QD-UBND ngày 30/10/2025</t>
  </si>
  <si>
    <t>425/QĐ-UBND ngày 24/10/2025</t>
  </si>
  <si>
    <t>1251/QĐ-UBND ngày 26/6/2026</t>
  </si>
  <si>
    <t>1253/QĐ-UBND ngày 26/06/2026</t>
  </si>
  <si>
    <t>276/PA-HĐBT (RXT)</t>
  </si>
  <si>
    <t>203/PA-HĐBT(RXT)</t>
  </si>
  <si>
    <t>Các đồng thừa kế của ông Trần Thăng Bình và bà Lê Thị Hát (Trần Quang Kiên nhận tiền)</t>
  </si>
  <si>
    <t>Phạm Hữu Dũng</t>
  </si>
  <si>
    <t>47/30 Bùi Đình Túy, P.14 (24 cũ)</t>
  </si>
  <si>
    <t>220/11 Nguyễn Xí, P.Bình Thạnh (Phường 26, quận Bình Thạnh cũ)</t>
  </si>
  <si>
    <t>1004/QĐ-UBND ngày 03/12/2025</t>
  </si>
  <si>
    <t>205/PA-HĐBT(RXT)</t>
  </si>
  <si>
    <t>548/PA-HĐBT(RXT)</t>
  </si>
  <si>
    <t>Mai Thị Lan</t>
  </si>
  <si>
    <t>194/43/12 Bạch Đằng, P.14 (24 cũ)</t>
  </si>
  <si>
    <t>657/QĐ-UBND ngày 06/11/2025</t>
  </si>
  <si>
    <t>1210/QĐ-UBND ngày 20/6/2026</t>
  </si>
  <si>
    <t>1254/QĐ-UBND ngày 26/06/2026</t>
  </si>
  <si>
    <t>460/PA-HĐBT (RXT)</t>
  </si>
  <si>
    <t>402/PA</t>
  </si>
  <si>
    <t xml:space="preserve">Trương Phú Cường - Mạch Thị Huỳnh Loan
</t>
  </si>
  <si>
    <t>125/77/2A Bùi Đình Túy, P.Bình Thạnh (Phường 14, quận Bình Thạnh cũ)</t>
  </si>
  <si>
    <t>207/PA-HĐBT(RXT)</t>
  </si>
  <si>
    <t>Đào Ngọc Ánh - Chung Văn Đông</t>
  </si>
  <si>
    <t>243/46 Chu Văn An, P.12</t>
  </si>
  <si>
    <t>209/PA-HĐBT(RXT)</t>
  </si>
  <si>
    <t>Trần Minh Trí - Nguyễn Thị Hiền</t>
  </si>
  <si>
    <t>243/34 Chu Văn An, P.12</t>
  </si>
  <si>
    <t>22/QĐ-UBND ngày 05/8/2025</t>
  </si>
  <si>
    <t>48/QĐ-UBND ngày 15/01/2026; 1437/QĐ-UBND ngày 21/8/2026</t>
  </si>
  <si>
    <t>1255/QĐ-UBND ngày 29/06/2026</t>
  </si>
  <si>
    <t>959/PA-HĐBT(RXT)</t>
  </si>
  <si>
    <t>664/PA-HĐBT(RXT); 439/PA</t>
  </si>
  <si>
    <t>Các đồng thừa kế của ông Huỳnh Văn Hoạch - bà Huỳnh Thị Huệ (Huỳnh Văn Dự nhận tiền)</t>
  </si>
  <si>
    <t>125/106 Bùi Đình Túy, P.Phường 14, quận Bình Thạnh (nay là phường Bình Thạnh)</t>
  </si>
  <si>
    <t>213/PA-HĐBT(RXT)</t>
  </si>
  <si>
    <t>ông Nguyễn Văn Trung</t>
  </si>
  <si>
    <t>32/19 (số cũ 685) Bùi Đình Túy, P.12</t>
  </si>
  <si>
    <t>217/PA-HĐBT(RXT)</t>
  </si>
  <si>
    <t>Quan Văn Năm - Nguyễn Thị Sâm</t>
  </si>
  <si>
    <t>405/6 Xô Viết Nghệ Tĩnh, P.14 (24 cũ)</t>
  </si>
  <si>
    <t>406/QD-UBND ngày 24/10/2025</t>
  </si>
  <si>
    <t>1259/QĐ-UBND ngày 29/6/2026</t>
  </si>
  <si>
    <t>1260/QĐ-UBND ngày 29/06/2026; 1494/QĐ-UBND ngày 11/09/2026</t>
  </si>
  <si>
    <t>278/PA-HĐBT (RXT)</t>
  </si>
  <si>
    <t>Nguyễn Minh Lăng - Lê Thị Hoa</t>
  </si>
  <si>
    <t>47/21 Bùi Đình Túy, P.Bình Thạnh (Phường 14, quận Bình Thạnh cũ)</t>
  </si>
  <si>
    <t>218/PA-HĐBT(RXT)</t>
  </si>
  <si>
    <t>611/PA-HĐBT(RXT)</t>
  </si>
  <si>
    <t>Võ Thị Hồng Nguyên và Các đồng thừa kế của ông Trần Công Tiến</t>
  </si>
  <si>
    <t>194/50/54 Bạch Đằng, P.14 (24 cũ)</t>
  </si>
  <si>
    <t>288/QĐ-UBND ngày 20/10/2025</t>
  </si>
  <si>
    <t xml:space="preserve">1268/QĐ-UBND ngày 01/07/2026; 1518/QĐ-UBND ngày 18/09/2026 
</t>
  </si>
  <si>
    <t>142/PA-HĐBT (RXT)</t>
  </si>
  <si>
    <t>Nguyễn Văn Phí - Nguyễn Thị Huỳnh Hoa</t>
  </si>
  <si>
    <t>184/3/6B15 Nguyễn Xí, P.Bình Thạnh (Phường 26, quận Bình Thạnh cũ)</t>
  </si>
  <si>
    <t>219/PA-HĐBT(RXT)</t>
  </si>
  <si>
    <t>Phan Thanh Dũng</t>
  </si>
  <si>
    <t>Không số Đinh Bộ Lĩnh, P.26</t>
  </si>
  <si>
    <t>457/QĐ-UBND ngày 24/06/2025</t>
  </si>
  <si>
    <t>495/QĐ-UBND ngày 24/6/2025</t>
  </si>
  <si>
    <t>1275/QĐ-UBND ngày 02/07/2026</t>
  </si>
  <si>
    <t>692/PA-HĐBT(RXT)</t>
  </si>
  <si>
    <t>Lê Thị Thu Lan - Lê Thị Thu Liễu</t>
  </si>
  <si>
    <t>389A Đinh Bộ Lĩnh, P.26</t>
  </si>
  <si>
    <t>220/PA-HĐBT(RXT)</t>
  </si>
  <si>
    <t>Nguyễn Xuân Hẹn - Trần Thị Phương Thảo</t>
  </si>
  <si>
    <t>220/10 Nguyễn Xí, P.26</t>
  </si>
  <si>
    <t>389/QĐ-UBND ngày 24/10/2025</t>
  </si>
  <si>
    <t>1157/QĐ-UBND ngày 11/6/2026</t>
  </si>
  <si>
    <t>1283/QĐ-UBND ngày 03/07/2026</t>
  </si>
  <si>
    <t>253/PA-HĐBT (RXT)</t>
  </si>
  <si>
    <t>Nguyễn Phú Cầu - Trần Thị Thu Hằng</t>
  </si>
  <si>
    <t>662/178 Bùi Đình Túy, P.Bình Thạnh (Phường 12, quận Bình Thạnh cũ)</t>
  </si>
  <si>
    <t>221/PA-HĐBT(RXT)</t>
  </si>
  <si>
    <t>Lê Văn Ba - Nguyễn Thị Phụng</t>
  </si>
  <si>
    <t>23/48 Đinh Bộ Lĩnh, P.26</t>
  </si>
  <si>
    <t>222/PA-HĐBT(RXT)</t>
  </si>
  <si>
    <t>Nguyễn Ngọc Lê - Nguyễn Thị Phú Bình</t>
  </si>
  <si>
    <t>47/80 Bùi Đình Túy, P.14 (24 cũ)</t>
  </si>
  <si>
    <t>223/PA-HĐBT(RXT)</t>
  </si>
  <si>
    <t>Ủy ban nhân dân quận Bình Thạnh</t>
  </si>
  <si>
    <t>334 Nơ Trang Long, P.12</t>
  </si>
  <si>
    <t>12/QĐ-UBND ngày 21/05/2025</t>
  </si>
  <si>
    <t>37/QĐ-UBND ngày 21/05/2025</t>
  </si>
  <si>
    <t>1533/QĐ-UBND ngày 25/9/2026</t>
  </si>
  <si>
    <t>1284/QĐ-UBND ngày 03/07/2026</t>
  </si>
  <si>
    <t>443/PA-HĐBT(RXT)</t>
  </si>
  <si>
    <t>363/PA</t>
  </si>
  <si>
    <t>Nguyễn Thị Kim Hương và các đồng thừa kế của ông Phạm Hữu Hiền</t>
  </si>
  <si>
    <t>194/43/18B Bạch Đằng, P.14 (24 cũ)</t>
  </si>
  <si>
    <t>224/PA-HĐBT(RXT)</t>
  </si>
  <si>
    <t>Tô Bình Minh - Nguyễn Thị Hoàng Khải</t>
  </si>
  <si>
    <t>243/48 Chu Văn An, P.12</t>
  </si>
  <si>
    <t>226/PA-HĐBT(RXT)</t>
  </si>
  <si>
    <t>654/PA-HĐBT(RXT)</t>
  </si>
  <si>
    <t>ông Đào Minh Công - bà Nguyễn Thị Hòa</t>
  </si>
  <si>
    <t>246/13/37 Bạch Đằng, P.14 (24 cũ)</t>
  </si>
  <si>
    <t>612/QĐ-UBND ngày 05/11/2025</t>
  </si>
  <si>
    <t>441/PA-HĐBT (RXT)</t>
  </si>
  <si>
    <t xml:space="preserve">Các đồng thừa kế của ông Trần Ngọc Duy và bà Phùng Thị Nở
</t>
  </si>
  <si>
    <t>236/PA-HĐBT(RXT)</t>
  </si>
  <si>
    <t>125/77/2 Bùi Đình Túy, P.Bình Thạnh (Phường 14, quận Bình Thạnh cũ)</t>
  </si>
  <si>
    <t>05/PA-HĐBT(RXT)</t>
  </si>
  <si>
    <t>Trần Ngọc Hòa và các đồng thừa kế của bà Võ Thị Ngọc</t>
  </si>
  <si>
    <t>194/43/14 Bạch Đằng, P.14 (24 cũ)</t>
  </si>
  <si>
    <t>146/QĐ-UBND ngày 30/01/2026</t>
  </si>
  <si>
    <t>289/QĐ-UBND ngày 20/10/2025</t>
  </si>
  <si>
    <t>237/PA-HĐBT(RXT)</t>
  </si>
  <si>
    <t>1285/QĐ-UBND ngày 06/7/2026</t>
  </si>
  <si>
    <t>653/PA-HĐBT(RXT)</t>
  </si>
  <si>
    <t>1286/QĐ-UBND ngày 06/07/2026</t>
  </si>
  <si>
    <t>148/PA-HĐBT (RXT)</t>
  </si>
  <si>
    <t>416/PA</t>
  </si>
  <si>
    <t>ông Ninh Xuân Hải (bà Đinh Thị Kim Cương - Người được ủy quyền theo Hợp đồng ủy quyền số 00010659 quyển số 02/2023 TP/CC-SCC/HĐGD ngày 27 tháng 10 năm 2023 của Phòng Công chứng Tân Thuận)</t>
  </si>
  <si>
    <t>Nguyễn Ngọc Thọ và các đồng thừa kế của ông Nguyễn Chính Phương</t>
  </si>
  <si>
    <t>260D Bạch Đằng, P.14 (24 cũ)</t>
  </si>
  <si>
    <t>220/21 Nguyễn Xí, P.Bình Thạnh (Phường 26, quận Bình Thạnh cũ)</t>
  </si>
  <si>
    <t>290/QĐ-UBND ngày 20/10/2025</t>
  </si>
  <si>
    <t>1130/QĐ-UBND ngày 12/6/2026</t>
  </si>
  <si>
    <t>1287/QĐ-UBND ngày 06/07/2026</t>
  </si>
  <si>
    <t>152/PA-HĐBT (RXT)</t>
  </si>
  <si>
    <t>264/PA</t>
  </si>
  <si>
    <t>Quản Xuân Phương</t>
  </si>
  <si>
    <t>Không số (số tự cho 201/120) Nguyễn Xí, P.Bình Thạnh (Phường 26, quận Bình Thạnh cũ)</t>
  </si>
  <si>
    <t>0 đồng Đi nước ngoài chưa về -&gt; HĐUQ không có cho nhận tiền</t>
  </si>
  <si>
    <t>663/QĐ-UBND ngày 06/11/2025</t>
  </si>
  <si>
    <t>1152/QĐ-UBND ngày 13/6/2026</t>
  </si>
  <si>
    <t>478/PA-HĐBT (RXT)</t>
  </si>
  <si>
    <t>282/PA</t>
  </si>
  <si>
    <t xml:space="preserve">Nguyễn Thị Toàn
</t>
  </si>
  <si>
    <t>79/24K Nguyễn Xí, P.Bình Thạnh (Phường 26, quận Bình Thạnh cũ)</t>
  </si>
  <si>
    <t>05/QĐ-UBND ngày 04/04/2025</t>
  </si>
  <si>
    <t>242/PA-HĐBT(RXT)</t>
  </si>
  <si>
    <t>Võ Văn Ba - Nguyễn Thị Ngọc Lại</t>
  </si>
  <si>
    <t>76/44 Bạch Đằng, P.14 (24 cũ)</t>
  </si>
  <si>
    <t>683/QĐ-UBND ngày 06/11/2025</t>
  </si>
  <si>
    <t>423/PA-HĐBT (RXT)</t>
  </si>
  <si>
    <t>315/PA</t>
  </si>
  <si>
    <t>Lê Trần Hưng - Hoàng Khánh Trang</t>
  </si>
  <si>
    <t>Không số cạnh số 184/3/6B21 Nguyễn Xí, P.Bình Thạnh (P.26 cũ)</t>
  </si>
  <si>
    <t>243/PA-HĐBT(RXT)</t>
  </si>
  <si>
    <t>Tô Bá Văn - Nguyễn Hiền Giang</t>
  </si>
  <si>
    <t>243/62 Chu Văn An, P.12</t>
  </si>
  <si>
    <t>579/QĐ-UBND ngày 04/11/2025</t>
  </si>
  <si>
    <t>1320/QĐ-UBND ngày 14/7/2026</t>
  </si>
  <si>
    <t>1303/QĐ-UBND ngày 09/07/2026</t>
  </si>
  <si>
    <t>398/PA-HĐBT (RXT)</t>
  </si>
  <si>
    <t>355/PA</t>
  </si>
  <si>
    <t>Nguyễn Thị Tuyết Nga</t>
  </si>
  <si>
    <t>249/PA-HĐBT(RXT)</t>
  </si>
  <si>
    <t>58/153F (số cũ 42/387) Phan Chu Trinh, P.Bình Thạnh 
(Phường 14, quận Bình Thạnh cũ)</t>
  </si>
  <si>
    <t>Võ Thị Đông</t>
  </si>
  <si>
    <t>260B/4 Bạch Đằng, P.14 (24 cũ)</t>
  </si>
  <si>
    <t>250/PA-HĐBT(RXT)</t>
  </si>
  <si>
    <t>Trần Thị Em</t>
  </si>
  <si>
    <t>182/120J Bạch Đằng, P.14 (24 cũ)</t>
  </si>
  <si>
    <t>06/QĐ-UBND ngày 14/04/2025</t>
  </si>
  <si>
    <t>757/QĐ-UBND ngày 13/11/2025, 1272/QĐ-UBND ngày 01/7/2026</t>
  </si>
  <si>
    <t>1306/QĐ-UBND ngày 09/07/2026</t>
  </si>
  <si>
    <t>282/PA-HĐBT(RXT)</t>
  </si>
  <si>
    <t>17/PA-HĐBT(RXT), 430/PA</t>
  </si>
  <si>
    <t>252/PA-HĐBT(RXT)</t>
  </si>
  <si>
    <t>Trần Thị Lối và các đồng thừa kế của ông Võ Thành Lũ</t>
  </si>
  <si>
    <t>Nguyễn Viết Thụy Uyên</t>
  </si>
  <si>
    <t>76/113 Bạch Đằng, P.14 (24 cũ)</t>
  </si>
  <si>
    <t>194/50/66 Bạch Đằng, P.14 (24 cũ)</t>
  </si>
  <si>
    <t>255/PA-HĐBT(RXT)</t>
  </si>
  <si>
    <t>bà Hoàng Thị Quế Chi</t>
  </si>
  <si>
    <t>427/82A Xô Viết Nghệ Tĩnh, P.26</t>
  </si>
  <si>
    <t>256/PA-HĐBT(RXT)</t>
  </si>
  <si>
    <t>Lê Hoài Tâm - Nguyễn Ngọc Thanh Nhàn</t>
  </si>
  <si>
    <t>32/24/14 Bùi Đình Túy, P.12</t>
  </si>
  <si>
    <t>Đợi QĐ giao căn hộ</t>
  </si>
  <si>
    <t>30/QĐ-UBND ngày 21/05/2025</t>
  </si>
  <si>
    <t>437/PA-HĐBT(RXT)</t>
  </si>
  <si>
    <t>Đỗ Thanh Tiên</t>
  </si>
  <si>
    <t>405/8 Xô Viết Nghệ Tĩnh, P.14 (24 cũ)</t>
  </si>
  <si>
    <t>266/PA-HĐBT(RXT)</t>
  </si>
  <si>
    <t>Huỳnh Văn Tấn - Dương Thị Tuyết Nga</t>
  </si>
  <si>
    <t>243/52 Chu Văn An, P.12</t>
  </si>
  <si>
    <t>712/QĐ-UBND ngày 06/11/2025</t>
  </si>
  <si>
    <t>526/PA-HĐBT (RXT)</t>
  </si>
  <si>
    <t>Trần Xuân Kỷ - Trần Thị Từ Liêm</t>
  </si>
  <si>
    <t>Không số (trong khuôn viên nhà 405/4) Xô Viết Nghệ Tĩnh, P.Bình Thạnh (Phường 14, quận Bình Thạnh cũ)</t>
  </si>
  <si>
    <t>267/PA-HĐBT(RXT)</t>
  </si>
  <si>
    <t>24/PA-HĐBT(RXT)</t>
  </si>
  <si>
    <t>Vũ Đình Khang Giang - Hồ Thị Minh Phượng</t>
  </si>
  <si>
    <t>194/56F Bạch Đằng, P.14 (24 cũ)</t>
  </si>
  <si>
    <t>541/QĐ-UBND ngày 04/11/2025</t>
  </si>
  <si>
    <t>1313/QĐ-UBND ngày 13/07/2026; 1480/QĐ-UBND ngày 07/09/2026</t>
  </si>
  <si>
    <t>366/PA-HĐBT (RXT)</t>
  </si>
  <si>
    <t>Phạm Thị Lượm</t>
  </si>
  <si>
    <t>234/15 Bạch Đằng, P.Bình Thạnh (Phường 14, quận Bình Thạnh cũ)</t>
  </si>
  <si>
    <t>278/PA-HĐBT(RXT)</t>
  </si>
  <si>
    <t>Trương Mạnh Hùng</t>
  </si>
  <si>
    <t>243/54 Chu Văn An, P.12</t>
  </si>
  <si>
    <t>600/QĐ-UBND ngày 05/11/2025</t>
  </si>
  <si>
    <t>410/PA-HĐBT (RXT)</t>
  </si>
  <si>
    <t>Nguyễn Thị Tuyết Mai</t>
  </si>
  <si>
    <t>246/13/27B Bạch Đằng, P.Bình Thạnh (Phường 14, quận Bình Thạnh cũ)</t>
  </si>
  <si>
    <t>279/PA-HĐBT(RXT)</t>
  </si>
  <si>
    <t>Lê Văn Hiền và các đồng thừa kế của bà Nguyễn Thị Thao</t>
  </si>
  <si>
    <t>47/72A Bùi Đình Túy, P.14 (24 cũ)</t>
  </si>
  <si>
    <t>281/PA-HĐBT(RXT)</t>
  </si>
  <si>
    <t>610/PA-HĐBT(RXT)</t>
  </si>
  <si>
    <t>Lê Đình Phú - Nguyễn Thị Hoàng Liễu</t>
  </si>
  <si>
    <t>194/43/3 Bạch Đằng, P.14 (24 cũ)</t>
  </si>
  <si>
    <t>733/QĐ-UBND ngày 11/11/2025</t>
  </si>
  <si>
    <t>1318/QĐ-UBND ngày 14/7/2026</t>
  </si>
  <si>
    <t>1319/QĐ-UBND ngày 14/07/2026</t>
  </si>
  <si>
    <t>238/PA-HĐBT (RXT)</t>
  </si>
  <si>
    <t>914/QĐ-UBND ngày 22/5/2026; 1507/QĐ-UBND ngày 16/09/2026</t>
  </si>
  <si>
    <t>704/PA-HĐBT (RXT); 414/PA</t>
  </si>
  <si>
    <t>Lê Thị Hương và các đồng thừa kế của ông Nguyễn Văn Tùng</t>
  </si>
  <si>
    <t>184/3/6B29 Nguyễn Xí, P.Bình Thạnh (Phường 26, quận Bình Thạnh cũ)</t>
  </si>
  <si>
    <t>37/QĐ-UBND ngày 05/8/2025</t>
  </si>
  <si>
    <t>1367/QĐ-UBND ngày 28/07/2026</t>
  </si>
  <si>
    <t>1003/PA-HĐBT(RXT)</t>
  </si>
  <si>
    <t>Hoàng Trọng Hải - Nguyễn Thị Hoàng Quyên</t>
  </si>
  <si>
    <t>79/5BX12 Xô Viết Nghệ Tĩnh, P.Phường 26, quận Bình Thạnh (nay là phường Bình Thạnh)</t>
  </si>
  <si>
    <t>49/QĐ-UBND ngày 28/05/2025</t>
  </si>
  <si>
    <t>94/QĐ-UBND ngày 30/05/2025</t>
  </si>
  <si>
    <t>dvc</t>
  </si>
  <si>
    <t>1376/QĐ-UBND ngày 31/07/2026</t>
  </si>
  <si>
    <t>471/PA-HĐBT(RXT)</t>
  </si>
  <si>
    <t>29/PA-HĐBT(RXT)</t>
  </si>
  <si>
    <t>Đoàn Anh Tuấn - Đặng Thị Tiết</t>
  </si>
  <si>
    <t>194/43/2 Bạch Đằng, P.14 (24 cũ)</t>
  </si>
  <si>
    <t>283/PA-HĐBT(RXT)</t>
  </si>
  <si>
    <t>Phạm Hùng Cường - Cao Huỳnh Trang</t>
  </si>
  <si>
    <t>125/77/10 Bùi Đình Túy, P.14 (24 cũ)</t>
  </si>
  <si>
    <t>687/QĐ-UBND ngày 06/11/2025</t>
  </si>
  <si>
    <t>520/QĐ-UBND ngày 03/11/2025</t>
  </si>
  <si>
    <t>1387/QĐ-UBND ngày 04/08/2026;1456/QĐ-UBND ngày 28/08/2026</t>
  </si>
  <si>
    <t>331/PA-HĐBT(RXT)</t>
  </si>
  <si>
    <t>Phạm Thị Bích Trang</t>
  </si>
  <si>
    <t>Không số (trong khuôn viên 234/7) Bạch Đằng, P.Bình Thạnh (Phường 14, quận Bình Thạnh cũ)</t>
  </si>
  <si>
    <t>288/PA-HĐBT(RXT)</t>
  </si>
  <si>
    <t>Đào Phan Đông Châu</t>
  </si>
  <si>
    <t>194/50/56 Bạch Đằng, P.14 (24 cũ)</t>
  </si>
  <si>
    <t>426/QD-UBND ngày 24/10/2025</t>
  </si>
  <si>
    <t>1347/QĐ-UBND ngày 21/7/2026; 1517/QĐ-UBND ngày 18/9/2026</t>
  </si>
  <si>
    <t>1421/QĐ-UBND ngày 18/08/2026</t>
  </si>
  <si>
    <t>264/PA-HĐBT (RXT)</t>
  </si>
  <si>
    <t>451/PA; 626/PA</t>
  </si>
  <si>
    <t>Nguyễn Anh Việt</t>
  </si>
  <si>
    <t>260A Bạch Đằng, P.Bình Thạnh (Phường 14, quận Bình Thạnh cũ)</t>
  </si>
  <si>
    <t>289/PA-HĐBT(RXT)</t>
  </si>
  <si>
    <t>Nguyễn Thị Hoa</t>
  </si>
  <si>
    <t>427/83 Xô Viết Nghệ Tĩnh, P.26</t>
  </si>
  <si>
    <t>651/QĐ-UBND ngày 05/11/2025</t>
  </si>
  <si>
    <t>1423/QĐ-UBND ngày 19/08/2026</t>
  </si>
  <si>
    <t>436/PA-HĐBT (RXT)</t>
  </si>
  <si>
    <t>Đỗ Thị Thùy Liên</t>
  </si>
  <si>
    <t>292/PA-HĐBT(RXT)</t>
  </si>
  <si>
    <t>81/QĐ-UBND ngày 06/8/2025</t>
  </si>
  <si>
    <t>Các đồng thừa kế của bà Nguyễn Thị Thao</t>
  </si>
  <si>
    <t>1369/QĐ-UBND ngày 29/7/2026</t>
  </si>
  <si>
    <t>1424/QĐ-UBND ngày 19/08/2026</t>
  </si>
  <si>
    <t>47/72 Bùi Đình Túy, P.14 (24 cũ)</t>
  </si>
  <si>
    <t>944/PA-HĐBT(RXT)</t>
  </si>
  <si>
    <t>471/PA</t>
  </si>
  <si>
    <t>Phạm Tấn Tài - Hồ Trần Tâm</t>
  </si>
  <si>
    <t>58/22/34F Phan Chu Trinh, P.Phường 14, quận Bình Thạnh (nay là phường Bình Thạnh)</t>
  </si>
  <si>
    <t>Đã mời hộ dân -&gt; Hộ dân nói trong tuần này sẻ sắp xếp qua làm thủ tục</t>
  </si>
  <si>
    <t>Đã tạo danh sách và mời dân -&gt; họ dân hẹn trong tuần này sắp xếp công việc qua làm thủ tục</t>
  </si>
  <si>
    <t>293/PA-HĐBT(RXT)</t>
  </si>
  <si>
    <t>Chùa Hòa Hưng</t>
  </si>
  <si>
    <t>220/34 Nguyễn Xí, P.26</t>
  </si>
  <si>
    <t>303/PA-HĐBT(RXT)</t>
  </si>
  <si>
    <t>Trần Văn Bình - bà Lê Thị Kim Hương</t>
  </si>
  <si>
    <t>194/50/17 Bạch Đằng, P.14 (24 cũ)</t>
  </si>
  <si>
    <t>316/QĐ-UBND ngày 21/10/2025</t>
  </si>
  <si>
    <t>1520/QĐ-UBND ngày 18/9/2026</t>
  </si>
  <si>
    <t>160/PA-HĐBT (RXT)</t>
  </si>
  <si>
    <t>598/PA</t>
  </si>
  <si>
    <t>Huỳnh Minh Khôi - Huỳnh Thị Minh Lan và các đồng thừa kế của bà Trần Thị Tý</t>
  </si>
  <si>
    <t>58/22/30A Phan Chu Trinh, P.Bình Thạnh (Phường 14, quận Bình Thạnh cũ)</t>
  </si>
  <si>
    <t>07/QĐ-UBND ngày 18/04/2025</t>
  </si>
  <si>
    <t>310/PA-HĐBT(RXT)</t>
  </si>
  <si>
    <t>Nguyễn Văn Dũng</t>
  </si>
  <si>
    <t>76/109B Bạch Đằng, P.14 (24 cũ)</t>
  </si>
  <si>
    <t>315/PA-HĐBT(RXT)</t>
  </si>
  <si>
    <t>Phạm Thị Kiên Trinh là người đại diện của những người được thừa kế gồm các ông bà: Phạm Anh Bá, Phạm Huy Bách, Phạm Huy Đình, Phạm Huy Vũ, Phạm Huy Thái</t>
  </si>
  <si>
    <t>673/QĐ-UBND ngày 06/11/2025</t>
  </si>
  <si>
    <t>1204/QĐ-UBND ngày 20/6/2026</t>
  </si>
  <si>
    <t>444/PA-HĐBT (RXT)</t>
  </si>
  <si>
    <t>350/PA</t>
  </si>
  <si>
    <t>47/67 Bùi Đình Túy, P.14 (24 cũ)</t>
  </si>
  <si>
    <t>Hoàng Lê Minh - Nguyễn Thị Ngọc Hồng</t>
  </si>
  <si>
    <t>Không số (cạnh nhà 58/22/34L2) Phan Chu Trinh, P.Bình Thạnh (Phường 14, quận Bình Thạnh cũ)</t>
  </si>
  <si>
    <t>317/PA-HĐBT(RXT)</t>
  </si>
  <si>
    <t>ông Hoàng Trọng Xâng là người đại diện của người được thừa kế: ông Hoàng Trọng Hiền</t>
  </si>
  <si>
    <t>32/123 Bùi Đình Túy, P.12</t>
  </si>
  <si>
    <t>696/QĐ-UBND ngày 06/11/2025</t>
  </si>
  <si>
    <t>1266/QĐ-UBND ngày 01/7/2026</t>
  </si>
  <si>
    <t>506/PA-HĐBT (RXT)</t>
  </si>
  <si>
    <t>417/PA</t>
  </si>
  <si>
    <t>Bùi Thanh Hoàng - Nguyễn Thị Thanh Huyền</t>
  </si>
  <si>
    <t>Không số cạnh nhà 58/22/34L2 Phan Chu Trinh, P.Bình Thạnh (Phường 14, quận Bình Thạnh cũ)</t>
  </si>
  <si>
    <t>318/PA-HĐBT(RXT)</t>
  </si>
  <si>
    <t>Các đồng thừa kế của ông Lâm Văn Tỷ và bà Dương Thị Ảnh</t>
  </si>
  <si>
    <t>47/18 Bùi Đình Túy, P.14 (24 cũ)</t>
  </si>
  <si>
    <t>319/PA-HĐBT(RXT)</t>
  </si>
  <si>
    <t>Lê Thị Hương</t>
  </si>
  <si>
    <t>194/43 Bạch Đằng, P.14 (24 cũ)</t>
  </si>
  <si>
    <t>156/QD-UBND ngày 13/10/2025</t>
  </si>
  <si>
    <t>1361/QĐ-UBND ngày 28/7/2026</t>
  </si>
  <si>
    <t>1452/QĐ-UBND ngày 26/08/2026</t>
  </si>
  <si>
    <t>63/PA-HĐBT (RXT)</t>
  </si>
  <si>
    <t>518/PA</t>
  </si>
  <si>
    <t>Hồ Thị Kim Ngọc</t>
  </si>
  <si>
    <t>184/3/6B5 Nguyễn Xí, P.Bình Thạnh (Phường 26, quận Bình Thạnh cũ)</t>
  </si>
  <si>
    <t>320/PA-HĐBT(RXT)</t>
  </si>
  <si>
    <t>Nguyễn Hồng Huệ</t>
  </si>
  <si>
    <t>32/23 Bùi Đình Túy, P.12</t>
  </si>
  <si>
    <t>321/PA-HĐBT(RXT)</t>
  </si>
  <si>
    <t>bà Đặng Thanh Sơn và các đồng thừa kế của ông Hoàng Văn Tương</t>
  </si>
  <si>
    <t>246/13C Bạch Đằng, P.14 (24 cũ)</t>
  </si>
  <si>
    <t>90/QĐ-UBND ngày 06/8/2025</t>
  </si>
  <si>
    <t>322/PA-HĐBT(RXT)</t>
  </si>
  <si>
    <t>Các đồng thừa kế của ông Đinh Tiến Bảo</t>
  </si>
  <si>
    <t>1130/QĐ-UBND ngày 12/6/2026; 1451/QĐ-UBND ngày 26/8/2026</t>
  </si>
  <si>
    <t>125/77/24 Bùi Đình Túy, P.14 (24 cũ)</t>
  </si>
  <si>
    <t>1454/QĐ-UBND ngày 26/08/2026</t>
  </si>
  <si>
    <t>997/PA-HĐBT(RXT)</t>
  </si>
  <si>
    <t>182/PA; 502/PA</t>
  </si>
  <si>
    <t>Lý Thị Hồng Phượng</t>
  </si>
  <si>
    <t>427/71 Xô Viết Nghệ Tĩnh, P.Phường 26, quận Bình Thạnh (nay là phường Bình Thạnh)</t>
  </si>
  <si>
    <t>08/QĐ-UBND ngày 25/04/2025</t>
  </si>
  <si>
    <t>344/PA-HĐBT(RXT)</t>
  </si>
  <si>
    <t>ông Nguyễn Chu Luân - Trần Kim Khánh</t>
  </si>
  <si>
    <t>32/24/20 Bùi Đình Túy, P.12</t>
  </si>
  <si>
    <t>603/QĐ-UBND ngày 05/11/2025</t>
  </si>
  <si>
    <t>347/PA-HĐBT(RXT)</t>
  </si>
  <si>
    <t>420/PA-HĐBT (RXT)</t>
  </si>
  <si>
    <t>Trần Thị Tuyết Trinh</t>
  </si>
  <si>
    <t>Đinh Tiến Cường - Nguyễn Thị Mỹ Hường</t>
  </si>
  <si>
    <t>20/37 Đinh Bộ Lĩnh, P.14</t>
  </si>
  <si>
    <t>184/3/6B21 Nguyễn Xí, P.Bình Thạnh (Phường 26, quận Bình Thạnh cũ)</t>
  </si>
  <si>
    <t>348/PA-HĐBT(RXT)</t>
  </si>
  <si>
    <t>Đặng Thị Anh Thy</t>
  </si>
  <si>
    <t>194/56A Bạch Đằng, P.14 (24 cũ)</t>
  </si>
  <si>
    <t>640/QĐ-UBND ngày 05/11/2025</t>
  </si>
  <si>
    <t>450/PA-HĐBT (RXT)</t>
  </si>
  <si>
    <t>Nguyễn Thị Hòa</t>
  </si>
  <si>
    <t>184/3/6B8A Nguyễn Xí, P.Bình Thạnh (Phường 26, quận Bình Thạnh cũ)</t>
  </si>
  <si>
    <t>349/PA-HĐBT(RXT)</t>
  </si>
  <si>
    <t>Nguyễn Thị Cẩm Tuyết - Nguyễn Thị Cẩm Tâm - Nguyễn Thị Diệu Hồng</t>
  </si>
  <si>
    <t>Đợi làm DVC</t>
  </si>
  <si>
    <t>350/PA-HĐBT(RXT)</t>
  </si>
  <si>
    <t>Hoàng Văn Tăng - Nguyễn Thị Thu Hiền</t>
  </si>
  <si>
    <t>58/153M Phan Chu Trinh, P.14 (24 cũ)</t>
  </si>
  <si>
    <t>38/QĐ-UBND ngày 05/8/2025</t>
  </si>
  <si>
    <t>1457/QĐ-UBND ngày 28/08/2026</t>
  </si>
  <si>
    <t>1032/PA-HĐBT(RXT)</t>
  </si>
  <si>
    <t>Trương Thị Kim Ngọc</t>
  </si>
  <si>
    <t>409 Xô Viết Nghệ Tĩnh, P.Phường 26, quận Bình Thạnh (nay là phường Bình Thạnh)</t>
  </si>
  <si>
    <t>1135/QĐ-UBND ngày 17/12/2025</t>
  </si>
  <si>
    <t>351/PA-HĐBT(RXT)</t>
  </si>
  <si>
    <t>582/PA-HĐBT(RXT)</t>
  </si>
  <si>
    <t>ông Trần Thanh Tâm là đồng sở hữu và đại diện cho các đồng thừa kế của bà Trương Thị Diệp</t>
  </si>
  <si>
    <t>194/50/19 Bạch Đằng, P.14 (24 cũ)</t>
  </si>
  <si>
    <t>586/QĐ-UBND ngày 04/11/2025</t>
  </si>
  <si>
    <t>146/QĐ-UBND ngày 30/01/2026, 1223/QĐ-UBND ngày 22/6/2026</t>
  </si>
  <si>
    <t xml:space="preserve">1473/QĐ-UBND ngày 28/08/2026 
</t>
  </si>
  <si>
    <t>375/PA-HĐBT (RXT)</t>
  </si>
  <si>
    <t>562/PA-HĐBT(RXT)</t>
  </si>
  <si>
    <t>Nguyễn Quang Hưng</t>
  </si>
  <si>
    <t>352/PA-HĐBT(RXT)</t>
  </si>
  <si>
    <t>20/20 Đinh Bộ Lĩnh, P.Bình Thạnh (Phường 14, quận Bình Thạnh cũ)</t>
  </si>
  <si>
    <t>Trương Thị Ngọc Hà</t>
  </si>
  <si>
    <t>35/2G Đinh Bộ Lĩnh, P.14 (24 cũ)</t>
  </si>
  <si>
    <t>369/QĐ-UBND ngày 03/04/2026</t>
  </si>
  <si>
    <t>353/PA-HĐBT(RXT)</t>
  </si>
  <si>
    <t>609/PA-HĐBT(RXT)</t>
  </si>
  <si>
    <t>432/QD-UBND ngày 24/10/2025</t>
  </si>
  <si>
    <t>Các đồng thừa kế của bà Nguyễn Thị Ảnh</t>
  </si>
  <si>
    <t>1479/QĐ-UBND ngày 07/09/2026</t>
  </si>
  <si>
    <t>194/50/64 Bạch Đằng, P.14 (24 cũ)</t>
  </si>
  <si>
    <t>227/PA-HĐBT (RXT)</t>
  </si>
  <si>
    <t>Các đồng thừa kế của ông Trần Văn Lợi và bà Huỳnh Thị Bảy (Trần Chí Dũng nhận tiền)</t>
  </si>
  <si>
    <t>194/50/53B Bạch Đằng, P.Bình Thạnh (Phường 14, quận Bình Thạnh cũ)</t>
  </si>
  <si>
    <t>522/QĐ-UBND ngày 03/11/2025</t>
  </si>
  <si>
    <t>1099/QĐ-UBND ngày 10/6/2026</t>
  </si>
  <si>
    <t>1506/QĐ-UBND ngày 16/09/2026</t>
  </si>
  <si>
    <t>341/PA-HĐBT (RXT)</t>
  </si>
  <si>
    <t>631/PA-HĐBT (RXT)</t>
  </si>
  <si>
    <t>Hồ Thị Thơm - Nguyễn Phú Quốc</t>
  </si>
  <si>
    <t>Không số (phía sau nhà 234/7 ) Bạch Đằng, P.Bình Thạnh 
( Phường 14 quận Bình Thạnh cũ)</t>
  </si>
  <si>
    <t>1534/QĐ-UBND ngày 25/9/2026</t>
  </si>
  <si>
    <t>585/PA</t>
  </si>
  <si>
    <t>354/PA-HĐBT(RXT)</t>
  </si>
  <si>
    <t>bà Nguyễn Thị Lan Anh</t>
  </si>
  <si>
    <t>427/28 Xô Viết Nghệ Tĩnh, P.26</t>
  </si>
  <si>
    <t>534/QĐ-UBND ngày 04/11/2025</t>
  </si>
  <si>
    <t>1429/QĐ-UBND ngày 20/8/2026</t>
  </si>
  <si>
    <t>357/PA-HĐBT (RXT)</t>
  </si>
  <si>
    <t>528/PA</t>
  </si>
  <si>
    <t>Trần Thị Thu Hồng - Nguyễn Văn Hiền</t>
  </si>
  <si>
    <t>234/11D Bạch Đằng, P.Bình Thạnh (Phường 14, quận Bình Thạnh cũ)</t>
  </si>
  <si>
    <t>Đang tạo DVC T10/2026</t>
  </si>
  <si>
    <t>355/PA-HĐBT(RXT)</t>
  </si>
  <si>
    <t>23/PA-HĐBT(RXT)</t>
  </si>
  <si>
    <t>Võ Thúy Diệp - Võ Thế Ngọc - Võ Trung Kim - Võ Thị Mỹ Chi</t>
  </si>
  <si>
    <t>427/23 Xô Viết Nghệ Tĩnh, P.26</t>
  </si>
  <si>
    <t>633/QĐ-UBND ngày 05/11/2025</t>
  </si>
  <si>
    <t>1304/QĐ-UBND ngày 09/7/2026</t>
  </si>
  <si>
    <t>1516/QĐ-UBND ngày 17/09/2026</t>
  </si>
  <si>
    <t>465/PA-HĐBT(RXT)</t>
  </si>
  <si>
    <t>308/PA</t>
  </si>
  <si>
    <t>Ngô Gia Hòa - Lê Thị Hằng</t>
  </si>
  <si>
    <t>Nhà thuộc khuôn viên số 79/43 Nguyễn Xí, P.Bình Thạnh (Phường 26, quận Bình Thạnh cũ)</t>
  </si>
  <si>
    <t>356/PA-HĐBT(RXT)</t>
  </si>
  <si>
    <t>14/PA-HĐBT(RXT)</t>
  </si>
  <si>
    <t>Lê Anh Đào là người đại diện của những người được thừa kế gồm Lê Văn Anh, Lê Hùng Dũng, Lê Mạnh Hùng, Lê Hùng Cường</t>
  </si>
  <si>
    <t>201/60/36 Nguyễn Xí, P.26</t>
  </si>
  <si>
    <t>09/QĐ-UBND ngày 29/04/2025</t>
  </si>
  <si>
    <t>706/QĐ-UBND ngày 06/11/2025</t>
  </si>
  <si>
    <t>1206/QĐ-UBND ngày 20/6/2026</t>
  </si>
  <si>
    <t>464/PA-HĐBT (RXT)</t>
  </si>
  <si>
    <t>358/PA-HĐBT(RXT)</t>
  </si>
  <si>
    <t>Lê Thanh Tâm - Đỗ Thị Hà</t>
  </si>
  <si>
    <t>Nhà, đất thuộc khuôn viên nhà số 79/43 Nguyễn Xí, P.Bình Thạnh (Phường 26, quận Bình Thạnh cũ)</t>
  </si>
  <si>
    <t>Quản Mai Yên</t>
  </si>
  <si>
    <t>32/25 (số cũ 685A) Bùi Đình Túy, P.12</t>
  </si>
  <si>
    <t>246/QĐ-UBND ngày 16/10/2025</t>
  </si>
  <si>
    <t>1538/QĐ-UBND ngày 25/09/2026</t>
  </si>
  <si>
    <t>123/PA-HĐBT (RXT)</t>
  </si>
  <si>
    <t>Nguyễn Hữu Tín - Lương Mộng Hoàng</t>
  </si>
  <si>
    <t>58/22/34I Phan Chu Trinh, P.Bình Thạnh (Phường 14, quận Bình Thạnh cũ)</t>
  </si>
  <si>
    <t>363/PA-HĐBT(RXT)</t>
  </si>
  <si>
    <t>627/PA-HĐBT(RXT)</t>
  </si>
  <si>
    <t>Nguyễn Hữu Thạch - Hứa Mỹ Hoa</t>
  </si>
  <si>
    <t>220/42 Nguyễn Xí, P.26</t>
  </si>
  <si>
    <t>376/QD-UBND ngày 24/10/2025</t>
  </si>
  <si>
    <t>1159/QĐ-UBND ngày 15/6/2026</t>
  </si>
  <si>
    <t>244/PA-HĐBT (RXT)</t>
  </si>
  <si>
    <t>248/PA</t>
  </si>
  <si>
    <t>Phạm Thanh Vũ</t>
  </si>
  <si>
    <t>125/104 Bùi Đình Túy, P.Bình Thạnh (Phường 14, quận Bình Thạnh cũ)</t>
  </si>
  <si>
    <t>366/PA-HĐBT(RXT)</t>
  </si>
  <si>
    <t>Nguyễn Thị Thúy</t>
  </si>
  <si>
    <t>234/3 - 234/5 Bạch Đằng, P.14 (24 cũ)</t>
  </si>
  <si>
    <t>693/QĐ-UBND ngày 06/11/2025</t>
  </si>
  <si>
    <t>490/PA-HĐBT (RXT)</t>
  </si>
  <si>
    <t>Các đồng thừa kế của ông Huỳnh Ngọc Ẩn - bà Lê Thị Vân</t>
  </si>
  <si>
    <t>Không số phía sau nhà 125/102 Bùi Đình Túy, P.Bình Thạnh (Phường 14, quận Bình Thạnh cũ)</t>
  </si>
  <si>
    <t>Đã tạo danh sách và mời dân (2 vợ chồng đang ở nước ngoài chưa về được)</t>
  </si>
  <si>
    <t>367/PA-HĐBT(RXT)</t>
  </si>
  <si>
    <t>Lê Thị Sáu (Là đồng sở hữu và đại diện của những người được thừa kế quyền sử dụng đất, quyền sở hữu tài sản gắn liền với đất của ông Ngô Văn Tất)</t>
  </si>
  <si>
    <t>47/14 Bùi Đình Túy, P.14 (24 cũ)</t>
  </si>
  <si>
    <t>369/PA-HĐBT(RXT)</t>
  </si>
  <si>
    <t>Các đồng thừa kế của ông Phan Đán - bà Nguyễn Thị Bảy</t>
  </si>
  <si>
    <t>Không số cuối hẻm 118 Bạch Đằng, P.14 (24 cũ)</t>
  </si>
  <si>
    <t>330/QĐ-UBND ngày 22/10/2025</t>
  </si>
  <si>
    <t>190/PA-HĐBT (RXT)</t>
  </si>
  <si>
    <t>Các đồng thừa kế của ông Trần Văn Côn và bà Nguyễn Thị Thường</t>
  </si>
  <si>
    <t>427/9 Xô Viết Nghệ Tĩnh, P.Bình Thạnh (Phường 26, quận Bình Thạnh cũ)</t>
  </si>
  <si>
    <t>371/PA-HĐBT(RXT)</t>
  </si>
  <si>
    <t>329/QĐ-UBND ngày 22/10/2025</t>
  </si>
  <si>
    <t>02/PA-HĐBT(RXT)</t>
  </si>
  <si>
    <t>193/PA-HĐBT (RXT)</t>
  </si>
  <si>
    <t>Bùi Văn Thanh - Nguyễn Thị Tý</t>
  </si>
  <si>
    <t>Các đồng thừa kế của ông Nguyễn Văn Quang và bà Nguyễn Thị Ba</t>
  </si>
  <si>
    <t>427/33 Xô Viết Nghệ Tĩnh, P.Bình Thạnh (Phường 26, quận Bình Thạnh cũ)</t>
  </si>
  <si>
    <t>194/43/10 Bạch Đằng, P.14 (24 cũ)</t>
  </si>
  <si>
    <t>509/QĐ ngày 30/10/2025</t>
  </si>
  <si>
    <t>352/QD-UBND ngày 23/10/2025</t>
  </si>
  <si>
    <t>209/PA-HĐBT (RXT)</t>
  </si>
  <si>
    <t>x</t>
  </si>
  <si>
    <t>Nguyễn Thị Hai và các đồng thừa kế của ông Đôn Văn Đức</t>
  </si>
  <si>
    <t>427/5 Xô Viết Nghệ Tĩnh, P.Bình Thạnh (Phường 26, quận Bình Thạnh cũ)</t>
  </si>
  <si>
    <t>372/PA-HĐBT(RXT)</t>
  </si>
  <si>
    <t>01/PA-HĐBT(RXT)</t>
  </si>
  <si>
    <t>Đặng Huy - Bùi Thị Đào</t>
  </si>
  <si>
    <t>194/56N Bạch Đằng, P.14 (24 cũ)</t>
  </si>
  <si>
    <t>505/QĐ-UBND ngày 30/10/2025</t>
  </si>
  <si>
    <t>373/PA-HĐBT(RXT)</t>
  </si>
  <si>
    <t>320/PA-HĐBT (RXT)</t>
  </si>
  <si>
    <t>Các đồng thừa kế của bà Nguyễn Thị Tới và ông Ngô Văn Quế</t>
  </si>
  <si>
    <t>Nguyễn Văn Dần</t>
  </si>
  <si>
    <t>413 Xô Viết Nghệ Tĩnh, P.Bình Thạnh (Phường 26, quận Bình Thạnh cũ)</t>
  </si>
  <si>
    <t>Không số (cạnh 220/33) Nguyễn Xí, P.26</t>
  </si>
  <si>
    <t>508/QĐ-UBND ngày 30/10/2025</t>
  </si>
  <si>
    <t>1395/QĐ-UBND ngày 07/8/2026</t>
  </si>
  <si>
    <t>314/PA-HĐBT (RXT)</t>
  </si>
  <si>
    <t>517/PA</t>
  </si>
  <si>
    <t>Võ Thị Xuân và các đồng thừa kế của ông Nguyễn Thanh Trung</t>
  </si>
  <si>
    <t>184/3/6B12 Nguyễn Xí, P.Bình Thạnh (Phường 26, quận Bình Thạnh cũ)</t>
  </si>
  <si>
    <t>Chưa điều chỉnh giảm dự toán</t>
  </si>
  <si>
    <t>814/PA-HĐBT(RXT) thay thế 374/PA-HĐBT(RXT)</t>
  </si>
  <si>
    <t>Nguyễn Thành Chương - Nguyễn Thị Kim Phượng</t>
  </si>
  <si>
    <t>220/24 Nguyễn Xí, P.26</t>
  </si>
  <si>
    <t>474/QĐ-UBND ngày 28/10/2025</t>
  </si>
  <si>
    <t>282/PA-HĐBT (RXT)</t>
  </si>
  <si>
    <t>674/PA-HĐBT (RXT)</t>
  </si>
  <si>
    <t>Lê Văn Canh (đại diện các đồng thừa kế gồm: Lê Thị Hữu, Lê Văn Phước, Lê Văn Khải, Lê Thị Gian, Lê Thị Sơn, Lê Thị Gấm, Lê Văn Hùng, Lê Thị Ngọc).</t>
  </si>
  <si>
    <t>397 Đinh Bộ Lĩnh, P.Bình Thạnh (Phường 26, quận Bình Thạnh cũ)</t>
  </si>
  <si>
    <t>375/PA-HĐBT(RXT)</t>
  </si>
  <si>
    <t>Nguyễn Thị Đào là đồng sở hữu và là người đại diện của những người được thừa kế quyền sử dụng đất và quyền sở hữu tài sản gắn liền với đất của ông Mai Tiến Dũng</t>
  </si>
  <si>
    <t>634/QĐ-UBND ngày 05/11/2025</t>
  </si>
  <si>
    <t>201/60/32 Nguyễn Xí, P.26</t>
  </si>
  <si>
    <t>1099/QĐ-UBND ngày 10/6/2026, 1223/QĐ-UBND ngày 22/6/2026</t>
  </si>
  <si>
    <t>369/QĐ-UBND ngày 03/04/2026; 1495/QĐ-UBND ngày 11/09/2026</t>
  </si>
  <si>
    <t>428/PA-HĐBT (RXT)</t>
  </si>
  <si>
    <t>237/PA</t>
  </si>
  <si>
    <t xml:space="preserve">Lê Thị Thanh và đồng thừa kế ông Nguyễn Hà
</t>
  </si>
  <si>
    <t>Không số trong khuôn viên 20/12 (STC: 20/41) Đinh Bộ Lĩnh, P.Bình Thạnh (Phường 14, quận Bình Thạnh cũ)</t>
  </si>
  <si>
    <t>376/PA-HĐBT(RXT)</t>
  </si>
  <si>
    <t>357/QĐ-UBND ngày 13/6/2025</t>
  </si>
  <si>
    <t>Ngô Chí Hiệp</t>
  </si>
  <si>
    <t>115/QĐ-UBND ngày 22/01/2026</t>
  </si>
  <si>
    <t>372/QĐ-UBND ngày 07/04/2026</t>
  </si>
  <si>
    <t>36B Đinh Bộ Lĩnh, P.14 (24 cũ)</t>
  </si>
  <si>
    <t>572/PA-HĐBT(RXT)</t>
  </si>
  <si>
    <t>603/PA-HĐBT(RXT)</t>
  </si>
  <si>
    <t>Trần Thị Toàn, Dương Quí Bình, Dương Thùy Hương, Dương Thúy Vân</t>
  </si>
  <si>
    <t>125/90 Bùi Đình Túy, P.14 (24 cũ)</t>
  </si>
  <si>
    <t>371/QĐ-UBND ngày 18/06/2025</t>
  </si>
  <si>
    <t>419/QĐ-UBND ngày 18/6/2025</t>
  </si>
  <si>
    <t>632/PA-HĐBT(RXT)</t>
  </si>
  <si>
    <t>Các đồng thừa kế của ông Trần Công Giảo</t>
  </si>
  <si>
    <t>125/98 Bùi Đình Túy, P.14 (24 cũ)</t>
  </si>
  <si>
    <t>377/PA-HĐBT(RXT)</t>
  </si>
  <si>
    <t>Nguyễn Ngọc Điệp và các đồng thừa kế của ông Võ Việt Hùng</t>
  </si>
  <si>
    <t>246/18E Bạch Đằng, P.14 (24 cũ)</t>
  </si>
  <si>
    <t>Không đồng -&gt; chờ khai nhận di sản</t>
  </si>
  <si>
    <t>84/QĐ-UBND ngày 06/8/2025</t>
  </si>
  <si>
    <t>1368/QĐ-UBND ngày 29/7/2026</t>
  </si>
  <si>
    <t>940/PA-HĐBT(RXT)</t>
  </si>
  <si>
    <t>461/PA</t>
  </si>
  <si>
    <t>ông Nguyễn Hoài Bảo</t>
  </si>
  <si>
    <t>194/50/33 Bạch Đằng, P.Phường 14, quận Bình Thạnh (nay là phường Bình Thạnh)</t>
  </si>
  <si>
    <t>378/PA-HĐBT(RXT)</t>
  </si>
  <si>
    <t>Nguyễn Việt Thái</t>
  </si>
  <si>
    <t>405/20 Xô Viết Nghệ Tĩnh, P.14 (24 cũ)</t>
  </si>
  <si>
    <t>57/QĐ-UBND ngày 06/8/2025</t>
  </si>
  <si>
    <t>984/PA-HĐBT(RXT)</t>
  </si>
  <si>
    <t>Nguyễn Thắng Tiến - Võ Thị Thu Hồng</t>
  </si>
  <si>
    <t>125/84 Bùi Đình Túy, P.Phường 14, quận Bình Thạnh (nay là phường Bình Thạnh)</t>
  </si>
  <si>
    <t>379/PA-HĐBT(RXT)</t>
  </si>
  <si>
    <t>405/18 Xô Viết Nghệ Tĩnh, P.14 (24 cũ)</t>
  </si>
  <si>
    <t>172/QD-UBND ngày 13/10/2025</t>
  </si>
  <si>
    <t>1437/QĐ-UBND ngày 21/8/2026</t>
  </si>
  <si>
    <t>73/PA-HĐBT (RXT)</t>
  </si>
  <si>
    <t>441/PA</t>
  </si>
  <si>
    <t>Phạm Văn Chương - Đào Thu Hương</t>
  </si>
  <si>
    <t>125/108 Bùi Đình Túy, P.Bình Thạnh (Phường 14, quận Bình Thạnh cũ)</t>
  </si>
  <si>
    <t>380/PA-HĐBT(RXT)</t>
  </si>
  <si>
    <t>Ông Văn Tâm</t>
  </si>
  <si>
    <t>58/22/36 Phan Chu Trinh, P.14 (24 cũ)</t>
  </si>
  <si>
    <t>285/QĐ-UBND ngày 20/10/2025</t>
  </si>
  <si>
    <t>150/PA-HĐBT (RXT)</t>
  </si>
  <si>
    <t>Nguyễn Thị Kim Hồng</t>
  </si>
  <si>
    <t>427/35 Xô Viết Nghệ Tĩnh, P.Bình Thạnh (Phường 26, quận Bình Thạnh cũ)</t>
  </si>
  <si>
    <t>382/PA-HĐBT(RXT)</t>
  </si>
  <si>
    <t>Các đồng thừa kế của bà Lương Thị Tiết</t>
  </si>
  <si>
    <t>47/43 Bùi Đình Túy, P.14 (24 cũ)</t>
  </si>
  <si>
    <t>475/QĐ-UBND ngày 28/10/2025</t>
  </si>
  <si>
    <t>288/PA-HĐBT (RXT)</t>
  </si>
  <si>
    <t>Hồ Văn Mỹ - Nguyễn Hoàng Thị Hồng Yến</t>
  </si>
  <si>
    <t>194/50/21 Bạch Đằng, P.Bình Thạnh (Phường 14, quận Bình Thạnh cũ)</t>
  </si>
  <si>
    <t>482/QĐ-UBND ngày 28/10/2025</t>
  </si>
  <si>
    <t>312/PA-HĐBT (RXT)</t>
  </si>
  <si>
    <t>Nguyễn Văn Đức - Trần Thị Thanh Hường</t>
  </si>
  <si>
    <t>220/53 Nguyễn Xí, P.Bình Thạnh (Phường 26, quận Bình Thạnh cũ)</t>
  </si>
  <si>
    <t>384/PA-HĐBT(RXT)</t>
  </si>
  <si>
    <t>Không số (cạnh nhà số 405/2) Xô Viết Nghệ Tĩnh, P.14 (24 cũ)</t>
  </si>
  <si>
    <t>497/QĐ-UBND ngày 29/10/2025</t>
  </si>
  <si>
    <t>313/PA-HĐBT (RXT)</t>
  </si>
  <si>
    <t>Nguyễn Thị Thìn và các đồng kế của ông Nguyễn Bá Tòng</t>
  </si>
  <si>
    <t>184/3/6B28 Nguyễn Xí, P.Bình Thạnh (Phường 26, quận Bình Thạnh cũ)</t>
  </si>
  <si>
    <t>388/PA-HĐBT(RXT)</t>
  </si>
  <si>
    <t>Võ Phương Thảo</t>
  </si>
  <si>
    <t>194/43/18A Bạch Đằng, P.14 (24 cũ)</t>
  </si>
  <si>
    <t>529/QĐ-UBND ngày 03/11/2025</t>
  </si>
  <si>
    <t>329/PA-HĐBT (RXT)</t>
  </si>
  <si>
    <t>Bùi Văn Sơn - Lê Thị Nguyệt An</t>
  </si>
  <si>
    <t>184/3/6B4 Nguyễn Xí, P.'Bình Thạnh (Phường 26, quận Bình Thạnh cũ</t>
  </si>
  <si>
    <t>389/PA-HĐBT(RXT)</t>
  </si>
  <si>
    <t>Nguyễn Thị Lộc</t>
  </si>
  <si>
    <t>47/78 Bùi Đình Túy, P.14 (24 cũ)</t>
  </si>
  <si>
    <t>528/QĐ-UBND ngày 03/11/2025</t>
  </si>
  <si>
    <t>337/PA-HĐBT (RXT)</t>
  </si>
  <si>
    <t>Nguyễn Duy Tòng - Nguyễn Thị Tư</t>
  </si>
  <si>
    <t>201/126 Nguyễn Xí, P.Bình Thạnh 
(Phường 26 quận Bình Thạnh cũ)</t>
  </si>
  <si>
    <t>390/PA-HĐBT(RXT)</t>
  </si>
  <si>
    <t>541/PA-HĐBT(RXT)</t>
  </si>
  <si>
    <t>Nguyễn Quốc Trung</t>
  </si>
  <si>
    <t>58/22/34G Phan Chu Trinh, P.14 (24 cũ)</t>
  </si>
  <si>
    <t>588/QĐ-UBND ngày 04/11/2025</t>
  </si>
  <si>
    <t>376/PA-HĐBT (RXT)</t>
  </si>
  <si>
    <t>Nguyễn Văn Thái, Nguyễn Thị Mì, Nguyễn Bảy, Nguyễn Thị Tám, Nguyễn Mười Một, Nguyễn Thị Nga, Nguyễn Thị Hằng, Trần Văn Tiến</t>
  </si>
  <si>
    <t>125/86 Bùi Đình Túy, P.Bình Thạnh (Phường 14, quận Bình Thạnh cũ)</t>
  </si>
  <si>
    <t>392/PA-HĐBT(RXT)</t>
  </si>
  <si>
    <t>Nguyễn Thị Khắc</t>
  </si>
  <si>
    <t>76/42A Bạch Đằng, P.14 (24 cũ)</t>
  </si>
  <si>
    <t>10/QĐ-UBND ngày 07/05/2025</t>
  </si>
  <si>
    <t>396/PA-HĐBT(RXT)</t>
  </si>
  <si>
    <t>Phạm Thị Xuân Hiền</t>
  </si>
  <si>
    <t>35/2C Đinh Bộ Lĩnh, P.14 (24 cũ)</t>
  </si>
  <si>
    <t>398/PA-HĐBT(RXT)</t>
  </si>
  <si>
    <t>Nguyễn Thị Bích Ngọc</t>
  </si>
  <si>
    <t>42A Đinh Bộ Lĩnh, P.26</t>
  </si>
  <si>
    <t>400/PA-HĐBT(RXT)</t>
  </si>
  <si>
    <t>Bùi Quốc Trung</t>
  </si>
  <si>
    <t>32/3 Bùi Đình Túy, P.12</t>
  </si>
  <si>
    <t>635/QĐ-UBND ngày 05/11/2025</t>
  </si>
  <si>
    <t>1298/QĐ-UBND ngày 08/7/2026</t>
  </si>
  <si>
    <t>439/PA-HĐBT (RXT)</t>
  </si>
  <si>
    <t>Bùi Minh An - Phạm Thị Lựu</t>
  </si>
  <si>
    <t>Không số (số tự cho: 184/3/8A5) Nguyễn Xí, P.Bình Thạnh (Phường 26, quận Bình Thạnh cũ)</t>
  </si>
  <si>
    <t>401/PA-HĐBT(RXT)</t>
  </si>
  <si>
    <t>Trần Thiên Linh Thoại</t>
  </si>
  <si>
    <t>194/50/5A Bạch Đằng, P.14 (24 cũ)</t>
  </si>
  <si>
    <t>728/QĐ-UBND ngày 06/11/2025</t>
  </si>
  <si>
    <t>1363/QĐ-UBND ngày 28/7/2026</t>
  </si>
  <si>
    <t>504/PA-HĐBT (RXT)</t>
  </si>
  <si>
    <t>523/PA</t>
  </si>
  <si>
    <t>Võ Công Minh - Phạm Ngọc Thúy</t>
  </si>
  <si>
    <t>403/PA-HĐBT(RXT)</t>
  </si>
  <si>
    <t>Nguyễn Ngọc Khánh Lynh</t>
  </si>
  <si>
    <t>125/77/51A Bùi Đình Túy, P.14 (24 cũ)</t>
  </si>
  <si>
    <t>163/QD-UBND ngày 13/10/2025</t>
  </si>
  <si>
    <t>372/QĐ-UBND ngày 07/04/2026; 1432/QĐ-UBND ngày 20/08/2026</t>
  </si>
  <si>
    <t>74/PA-HĐBT (RXT)</t>
  </si>
  <si>
    <t>Nguyễn Duy Tự - Nguyễn Thị Trâm</t>
  </si>
  <si>
    <t>45/1C Đinh Bộ Lĩnh, P.Bình Thạnh (Phường 14, quận Bình Thạnh cũ)</t>
  </si>
  <si>
    <t>407/PA-HĐBT(RXT)</t>
  </si>
  <si>
    <t>Mạch Thị Thanh Hiền</t>
  </si>
  <si>
    <t>45 (1 phần) Đinh Bộ Lĩnh, P.14 (24 cũ)</t>
  </si>
  <si>
    <t>355/QĐ-UBND ngày 23/10/2025</t>
  </si>
  <si>
    <t>1127/QĐ-UBND ngày 12/6/2026</t>
  </si>
  <si>
    <t>207/PA-HĐBT (RXT)</t>
  </si>
  <si>
    <t>Lê Văn Dũng - Lưu Trần Thảo Uyên</t>
  </si>
  <si>
    <t>20/12A Đinh Bộ Lĩnh, P.Bình Thạnh (Phường 14, quận Bình Thạnh cũ)</t>
  </si>
  <si>
    <t>502/QĐ-UBND ngày 26/06/2025</t>
  </si>
  <si>
    <t>549/QĐ-UBND ngày 26/6/2025</t>
  </si>
  <si>
    <t>372/QĐ-UBND ngày 07/04/2026; 1453/QĐ-UBND ngày 26/08/2026</t>
  </si>
  <si>
    <t>11/QĐ-UBND ngày 07/05/2025</t>
  </si>
  <si>
    <t>741/PA-HĐBT(RXT)</t>
  </si>
  <si>
    <t>Đỗ Văn Phú - Phan Thị Kim Thoa</t>
  </si>
  <si>
    <t>409/PA-HĐBT(RXT)</t>
  </si>
  <si>
    <t>201/128 Nguyễn Xí, P.26</t>
  </si>
  <si>
    <t>Nguyễn Thị Thu Cúc</t>
  </si>
  <si>
    <t>290/45/20/21F Nơ Trang Long, P.12</t>
  </si>
  <si>
    <t>253/QĐ-UBND ngày 16/10/2025</t>
  </si>
  <si>
    <t>1439/QĐ-UBND ngày 24/8/2026</t>
  </si>
  <si>
    <t>372/QĐ-UBND ngày 07/04/2026; 1457/QĐ-UBND ngày 28/08/2026</t>
  </si>
  <si>
    <t>126/PA-HĐBT (RXT)</t>
  </si>
  <si>
    <t>495/PA</t>
  </si>
  <si>
    <t>Nguyễn Ngọc Hùng - Nguyễn Thị Trúc Loan</t>
  </si>
  <si>
    <t>427/27 Xô Viết Nghệ Tĩnh, P.Bình Thạnh (Phường 26, quận Bình Thạnh cũ)</t>
  </si>
  <si>
    <t>13/QĐ-UBND ngày 21/05/2025</t>
  </si>
  <si>
    <t>416/PA-HĐBT(RXT)</t>
  </si>
  <si>
    <t>27/PA-HĐBT(RXT)</t>
  </si>
  <si>
    <t>Lâm Trường Thịnh</t>
  </si>
  <si>
    <t>427/21 Xô Viết Nghệ Tĩnh, P.26</t>
  </si>
  <si>
    <t>724/QĐ-UBND ngày 06/11/2025</t>
  </si>
  <si>
    <t>373/QĐ-UBND ngày 07/04/2026; 1323/QĐ-UBND ngày 14/07/2026</t>
  </si>
  <si>
    <t>512/PA-HĐBT (RXT)</t>
  </si>
  <si>
    <t>Huỳnh Thị Mỹ Xinh</t>
  </si>
  <si>
    <t>384 Bùi Đình Túy, P.Bình Thạnh (Phường 14, quận Bình Thạnh cũ)</t>
  </si>
  <si>
    <t>15/QĐ-UBND ngày 21/05/2025</t>
  </si>
  <si>
    <t>419/PA-HĐBT(RXT)</t>
  </si>
  <si>
    <t>22/PA-HĐBT(RXT)</t>
  </si>
  <si>
    <t>Nguyễn Ngọc Yến Linh</t>
  </si>
  <si>
    <t>492/QĐ-UBND ngày 29/10/2025</t>
  </si>
  <si>
    <t>194/43/16 Bạch Đằng, P.14 (24 cũ)</t>
  </si>
  <si>
    <t>374/QĐ-UBND ngày 07/04/2026</t>
  </si>
  <si>
    <t>302/PA-HĐBT (RXT)</t>
  </si>
  <si>
    <t>Dương Thanh Khiết - Nguyễn Minh Ngọc Bích</t>
  </si>
  <si>
    <t>32/40/41 (số cũ 662/117) Bùi Đình Túy, P.Bình Thạnh (Phường 12, quận Bình Thạnh cũ)</t>
  </si>
  <si>
    <t>23/QĐ-UBND ngày 21/05/2025</t>
  </si>
  <si>
    <t>427/PA-HĐBT(RXT)</t>
  </si>
  <si>
    <t>Quảng Văn Phụ - Bành Thị Kim Cúc</t>
  </si>
  <si>
    <t>32/8/9 Bùi Đình Túy, P.12</t>
  </si>
  <si>
    <t>25/QĐ-UBND ngày 05/8/2025</t>
  </si>
  <si>
    <t xml:space="preserve">374/QĐ-UBND ngày 07/04/2026; 1398/QĐ-UBND ngày 07/8/2026; 1505/QĐ-UBND ngày 16/09/2026
</t>
  </si>
  <si>
    <t>935/PA-HĐBT(RXT)</t>
  </si>
  <si>
    <t>Trần Văn Hòa - Nguyễn Thị Hồng Đào</t>
  </si>
  <si>
    <t>32/24/18 Bùi Đình Túy, P.Phường 12, quận Bình Thạnh (nay là phường Bình Thạnh)</t>
  </si>
  <si>
    <t>27/QĐ-UBND ngày 21/05/2025</t>
  </si>
  <si>
    <t>432/PA-HĐBT(RXT)</t>
  </si>
  <si>
    <t>Trịnh Kim Anh - 
Thái Thị Thiên Thanh - Thái Thiên Tùng</t>
  </si>
  <si>
    <t>76/58D Bạch Đằng, P.14 (24 cũ)</t>
  </si>
  <si>
    <t>816/QĐ-UBND ngày 08/05/2026</t>
  </si>
  <si>
    <t>76/QĐ-UBND ngày 06/8/2025</t>
  </si>
  <si>
    <t>1167/QĐ-UBND ngày 16/6/2026</t>
  </si>
  <si>
    <t>374/QĐ-UBND ngày 07/04/2026; 1502/QĐ-UBND ngày 11/09/2026</t>
  </si>
  <si>
    <t>928/PA-HĐBT(RXT)</t>
  </si>
  <si>
    <t>125/PA</t>
  </si>
  <si>
    <t>Nguyễn Hữu Hậu - Đỗ Kim Cương</t>
  </si>
  <si>
    <t>Không số Nơ Trang Long, P.Phường 12, quận Bình Thạnh (nay là phường Bình Thạnh)</t>
  </si>
  <si>
    <t>28/QĐ-UBND ngày 21/05/2025</t>
  </si>
  <si>
    <t>433/PA-HĐBT(RXT)</t>
  </si>
  <si>
    <t>Trần Văn Tiến - Dương Thị Thiện</t>
  </si>
  <si>
    <t>194/50/38 Bạch Đằng, P.14 (24 cũ)</t>
  </si>
  <si>
    <t>28/QĐ-UBND ngày 05/8/2025</t>
  </si>
  <si>
    <t>498/QĐ-UBND ngày 09/04/2026</t>
  </si>
  <si>
    <t>947/PA-HĐBT(RXT)</t>
  </si>
  <si>
    <t>ông Trần Minh Hải</t>
  </si>
  <si>
    <t>47/19B Bùi Đình Túy, P.Phường 14, quận Bình Thạnh (nay là phường Bình Thạnh)</t>
  </si>
  <si>
    <t>29/QĐ-UBND ngày 21/05/2025</t>
  </si>
  <si>
    <t>435/PA-HĐBT(RXT)</t>
  </si>
  <si>
    <t>Tăng Ngọc Long Đức - Nguyễn Thị Phương Loan</t>
  </si>
  <si>
    <t>219/QĐ-UBND ngày 16/10/2025</t>
  </si>
  <si>
    <t>111/PA-HĐBT (RXT)</t>
  </si>
  <si>
    <t>Các đồng thừa kế của ông Hà Di - bà Nguyễn Thị Nhân</t>
  </si>
  <si>
    <t>194/50/51 Bạch Đằng, P.Bình Thạnh (Phường 24, quận Bình Thạnh cũ)</t>
  </si>
  <si>
    <t>43/QĐ-UBND ngày 21/05/2025</t>
  </si>
  <si>
    <t>436/PA-HĐBT(RXT)</t>
  </si>
  <si>
    <t>545/PA-HĐBT(RXT)</t>
  </si>
  <si>
    <t>Lê Đình Phùng - Giao Thu Dung</t>
  </si>
  <si>
    <t>125/77/12 Bùi Đình Túy, P.14 (24 cũ)</t>
  </si>
  <si>
    <t>614/QĐ-UBND ngày 05/11/2025</t>
  </si>
  <si>
    <t>1183/QĐ-UBND ngày 17/6/2026</t>
  </si>
  <si>
    <t>498/QĐ-UBND ngày 09/04/2026; 1432/QĐ-UBND ngày 20/08/2026</t>
  </si>
  <si>
    <t>417/PA-HĐBT(RXT)</t>
  </si>
  <si>
    <t>336/PA</t>
  </si>
  <si>
    <t>Tô Thanh Thủy - đồng thừa kế ông Từ Hải Sơn</t>
  </si>
  <si>
    <t>Không số trong khuôn viên 20/12 (STC: 20/41B) Đinh Bộ Lĩnh , P.Bình Thạnh (Phường 14, quận Bình Thạnh cũ)</t>
  </si>
  <si>
    <t>ĐÃ NHẬN BÀN GIAO</t>
  </si>
  <si>
    <t>32/QĐ-UBND ngày 21/05/2025</t>
  </si>
  <si>
    <t>489/QĐ-UBND ngày 24/6/2025</t>
  </si>
  <si>
    <t>439/PA-HĐBT(RXT)</t>
  </si>
  <si>
    <t>1208/QĐ-UBND ngày 20/6/2026</t>
  </si>
  <si>
    <t>499/QĐ-UBND ngày 09/04/2026</t>
  </si>
  <si>
    <t>Thái Minh Huyền - Phạm Thị Thanh Hằng</t>
  </si>
  <si>
    <t>685/PA-HĐBT(RXT)</t>
  </si>
  <si>
    <t>220/40 Nguyễn Xí, P.26</t>
  </si>
  <si>
    <t>Các đồng thừa kế của bà Đoàn Thị An</t>
  </si>
  <si>
    <t>42/387 Huỳnh Đình Hai, P.14 (24 cũ)</t>
  </si>
  <si>
    <t>116/QĐ-UBND ngày 14/8/2025</t>
  </si>
  <si>
    <t>01/QĐ_UBND ngày 05/8/2025</t>
  </si>
  <si>
    <t>974/PA-HĐBT(RXT)</t>
  </si>
  <si>
    <t>Lý Thị Hỷ (chưa xác định tình trạng hôn nhân)</t>
  </si>
  <si>
    <t>194/50/43 Bạch Đằng, P.Phường 14, quận Bình Thạnh (nay là phường Bình Thạnh)</t>
  </si>
  <si>
    <t>39/QĐ-UBND ngày 21/05/2025</t>
  </si>
  <si>
    <t>445/PA-HĐBT(RXT)</t>
  </si>
  <si>
    <t>Trần Quốc Thị Mỹ Nguyệt</t>
  </si>
  <si>
    <t>58/96/25 Phan Chu Trinh, P.14 (24 cũ)</t>
  </si>
  <si>
    <t>58/QĐ-UBND ngày 06/8/2025</t>
  </si>
  <si>
    <t>976/PA-HĐBT(RXT)</t>
  </si>
  <si>
    <t>64/PA-HĐBT(RXT)</t>
  </si>
  <si>
    <t>Tống Thị Trà</t>
  </si>
  <si>
    <t>58/22/34E Phan Chu Trinh, P.Phường 14, quận Bình Thạnh (nay là phường Bình Thạnh)</t>
  </si>
  <si>
    <t>47/QĐ-UBND ngày 28/05/2025</t>
  </si>
  <si>
    <t>72/QĐ-UBND ngày 30/05/2025</t>
  </si>
  <si>
    <t>449/PA-HĐBT(RXT)</t>
  </si>
  <si>
    <t>Lý Tấn Nam và các đồng thừa kế của bà Dương Thị Liên</t>
  </si>
  <si>
    <t>246/18C Bạch Đằng, P.14 (24 cũ)</t>
  </si>
  <si>
    <t>198/QD-UBND ngày 15/10/2025</t>
  </si>
  <si>
    <t>39/PA-HĐBT (RXT)</t>
  </si>
  <si>
    <t>Các đồng thừa kế của ông Trần Văn Mai - bà Võ Thị Út</t>
  </si>
  <si>
    <t>74/QĐ-UBND ngày 30/05/2025</t>
  </si>
  <si>
    <t>58/153K Phan Chu Trinh, P.Bình Thạnh (Phường 14, quận Bình Thạnh cũ)</t>
  </si>
  <si>
    <t>451/PA-HĐBT(RXT)</t>
  </si>
  <si>
    <t>Các đồng thừa kế của ông Mai Văn Ron - bà Nguyễn Thị Nhựt</t>
  </si>
  <si>
    <t>76/38A Bạch Đằng, P.14 (24 cũ)</t>
  </si>
  <si>
    <t>48/QĐ-UBND ngày 28/05/2025</t>
  </si>
  <si>
    <t>87/QĐ-UBND ngày 30/05/2025</t>
  </si>
  <si>
    <t>464/PA-HĐBT(RXT)</t>
  </si>
  <si>
    <t>Tô Thị Phước và các đồng thừa kế ông Sơn Ngàn</t>
  </si>
  <si>
    <t>290/33/46 Nơ Trang Long, P.12</t>
  </si>
  <si>
    <t>433/QD-UBND ngày 24/10/2025</t>
  </si>
  <si>
    <t>231/PA-HĐBT (RXT)</t>
  </si>
  <si>
    <t>Nguyễn Trang Linh Phượng</t>
  </si>
  <si>
    <t>184/3/6B6 Nguyễn Xí, P.Bình Thạnh (Phường 26, quận Bình Thạnh cũ)</t>
  </si>
  <si>
    <t>Đã tạo dịch vụ công</t>
  </si>
  <si>
    <t>Đề nghị cung cấp biên bản BGMB bản chính để chi tiền cho hộ dân</t>
  </si>
  <si>
    <t>88/QĐ-UBND ngày 30/05/2025</t>
  </si>
  <si>
    <t>Nguyễn Thị Nga</t>
  </si>
  <si>
    <t>405/34 Xô Viết Nghệ Tĩnh, P.14 (24 cũ)</t>
  </si>
  <si>
    <t>408/QĐ-UBND ngày 24/10/2025</t>
  </si>
  <si>
    <t>261/PA-HĐBT (RXT)</t>
  </si>
  <si>
    <t>Lê Thành Nghiệp - Đặng Thị Ngọc Liên</t>
  </si>
  <si>
    <t>58/22/34D Phan Chu Trinh, P.Bình Thạnh (Phường 14, quận Bình Thạnh cũ)</t>
  </si>
  <si>
    <t>390/QD-UBND ngày 24/10/2025</t>
  </si>
  <si>
    <t>499/QĐ-UBND ngày 09/04/2026; 1507/QĐ-UBND ngày 16/09/2026</t>
  </si>
  <si>
    <t>246/PA-HĐBT (RXT)</t>
  </si>
  <si>
    <t>250/PA</t>
  </si>
  <si>
    <t>Nguyễn Phan Bích Hằng - Nguyễn Phan Tường Phụng - Nguyễn Phan Tường Ly</t>
  </si>
  <si>
    <t>194/50/25 Bạch Đằng, P.Bình Thạnh (Phường 14, quận Bình Thạnh cũ)</t>
  </si>
  <si>
    <t>535/QĐ-UBND ngày 26/6/2025</t>
  </si>
  <si>
    <t>1375/QĐ-UBND ngày 31/7/2026</t>
  </si>
  <si>
    <t>727/PA-HĐBT(RXT)</t>
  </si>
  <si>
    <t>470/PA</t>
  </si>
  <si>
    <t>Nguyễn Văn Tuấn</t>
  </si>
  <si>
    <t>264 Bạch Đằng, P.14 (24 cũ)</t>
  </si>
  <si>
    <t>dvc 24-9</t>
  </si>
  <si>
    <t>95/QĐ-UBND ngày 30/05/2025</t>
  </si>
  <si>
    <t>472/PA-HĐBT(RXT)</t>
  </si>
  <si>
    <t>622/PA-HĐBT(RXT)</t>
  </si>
  <si>
    <t>Nguyễn Thị Mai</t>
  </si>
  <si>
    <t>76/56 Bạch Đằng, P.14 (24 cũ)</t>
  </si>
  <si>
    <t>16/QĐ-UBND ngày 05/8/2025</t>
  </si>
  <si>
    <t>982/PA-HĐBT(RXT)</t>
  </si>
  <si>
    <t>718/PA-HĐBT(RXT)</t>
  </si>
  <si>
    <t>Đỗ Văn Trường - Nguyễn Thị Thu Hương</t>
  </si>
  <si>
    <t>264A Bạch Đằng, P.Phường 14, quận Bình Thạnh (nay là phường Bình Thạnh)</t>
  </si>
  <si>
    <t>169/QD-UBND ngày 13/10/2025</t>
  </si>
  <si>
    <t>1179/QĐ-UBND ngày 17/6/2026</t>
  </si>
  <si>
    <t>59/PA-HĐBT (RXT)</t>
  </si>
  <si>
    <t>329/PA</t>
  </si>
  <si>
    <t>Phan Thị Lợi</t>
  </si>
  <si>
    <t>47B Đinh Bộ Lĩnh, P.Bình Thạnh (Phường 14, quận Bình Thạnh cũ)</t>
  </si>
  <si>
    <t>101/QĐ-UBND ngày 30/05/2025</t>
  </si>
  <si>
    <t>478/PA-HĐBT(RXT)</t>
  </si>
  <si>
    <t>Nguyễn Thị Ly</t>
  </si>
  <si>
    <t>45/1 Đinh Bộ Lĩnh, P.14 (24 cũ)</t>
  </si>
  <si>
    <t>249/QĐ-UBND ngày 16/10/2025</t>
  </si>
  <si>
    <t>135/PA-HĐBT (RXT)</t>
  </si>
  <si>
    <t>Các đồng thừa kế của ông Nguyễn Văn Tuy</t>
  </si>
  <si>
    <t>262A Bạch Đằng, P.Bình Thạnh (Phường 14, quận Bình Thạnh cũ)</t>
  </si>
  <si>
    <t>103/QĐ-UBND ngày 30/05/2025</t>
  </si>
  <si>
    <t>480/PA-HĐBT(RXT)</t>
  </si>
  <si>
    <t>Các đồng thừa kế của bà Nguyễn Thị Sang</t>
  </si>
  <si>
    <t>194/43/18C Bạch Đằng, P.14 (24 cũ)</t>
  </si>
  <si>
    <t>312/QĐ-UBND ngày 21/10/2025</t>
  </si>
  <si>
    <t>171/PA-HĐBT (RXT)</t>
  </si>
  <si>
    <t>Phạm Xuân Trường - Vương Thị Hoa</t>
  </si>
  <si>
    <t>45C Đinh Bộ Lĩnh, P.Bình Thạnh (Phường 14, quận Bình Thạnh cũ)</t>
  </si>
  <si>
    <t>107/QĐ-UBND ngày 30/05/2025</t>
  </si>
  <si>
    <t>484/PA-HĐBT(RXT)</t>
  </si>
  <si>
    <t>Nguyễn Thùy Vinh và các đồng thừa kế của ông Vũ Đức Nhân</t>
  </si>
  <si>
    <t>405/16 Xô Viết Nghệ Tĩnh, P.14 (24 cũ)</t>
  </si>
  <si>
    <t>hoài</t>
  </si>
  <si>
    <t>353/QD-UBND ngày 23/10/2025</t>
  </si>
  <si>
    <t>211/PA-HĐBT (RXT)</t>
  </si>
  <si>
    <t>Ngô Trí Tuệ</t>
  </si>
  <si>
    <t>45B Đinh Bộ Lĩnh, P.Bình Thạnh (Phường 14, quận Bình Thạnh cũ)</t>
  </si>
  <si>
    <t>358/QĐ-UBND ngày 24/10/2025</t>
  </si>
  <si>
    <t>218/PA-HĐBT (RXT)</t>
  </si>
  <si>
    <t>Nhữ Hồng Phiên - Nguyễn Thị Hoa</t>
  </si>
  <si>
    <t>45D Đinh Bộ Lĩnh, P.Bình Thạnh (Phường 14, quận Bình Thạnh cũ)</t>
  </si>
  <si>
    <t>110/QĐ-UBND ngày 30/05/2025</t>
  </si>
  <si>
    <t>487/PA-HĐBT(RXT)</t>
  </si>
  <si>
    <t>Bùi Thành Triết</t>
  </si>
  <si>
    <t>220/46 Nguyễn Xí, P.26</t>
  </si>
  <si>
    <t>708/QĐ-UBND ngày 06/11/2025</t>
  </si>
  <si>
    <t>550/QĐ-UBND ngày 13/04/2026; 1495/QĐ-UBND ngày 11/09/2026</t>
  </si>
  <si>
    <t>517/PA-HĐBT (RXT)</t>
  </si>
  <si>
    <t>Lê Chí Toại - Nguyễn Thị Bé Tư</t>
  </si>
  <si>
    <t>194/56D Bạch Đằng, P.Bình Thạnh (Phường 14, quận Bình Thạnh cũ)</t>
  </si>
  <si>
    <t>115/QĐ-UBND ngày 30/05/2025</t>
  </si>
  <si>
    <t>492/PA-HĐBT(RXT)</t>
  </si>
  <si>
    <t>Tạ Thùy Dương - Các đồng thừa kế của bà Nguyễn Thị Sương</t>
  </si>
  <si>
    <t>Nhà không số (số tự cho 384) Bùi Đình Túy, P.14 (24 cũ)</t>
  </si>
  <si>
    <t>297/QĐ-UBND ngày 20/10/2025</t>
  </si>
  <si>
    <t>728/QĐ-UBND ngày 24/4/2026</t>
  </si>
  <si>
    <t>145/PA-HĐBT (RXT)</t>
  </si>
  <si>
    <t>Huỳnh Tấn Hoài - Nguyễn Đoàn Khoẻ</t>
  </si>
  <si>
    <t>47/39 Bùi Đình Tuý, P.Bình Thạnh (Phường 14, quận Bình Thạnh cũ)</t>
  </si>
  <si>
    <t>485/QĐ-UBND ngày 29/10/2025</t>
  </si>
  <si>
    <t>1389/QĐ-UBND ngày 06/8/2026</t>
  </si>
  <si>
    <t>309/PA-HĐBT (RXT)</t>
  </si>
  <si>
    <t>512/PA</t>
  </si>
  <si>
    <t>Nguyễn Đá - Chim Thị Lan</t>
  </si>
  <si>
    <t>278/QĐ-UBND ngày 10/06/2025</t>
  </si>
  <si>
    <t>298/QĐ-UBND ngày 10/6/2025</t>
  </si>
  <si>
    <t>47/51A Bùi Đình Túy, P.Bình Thạnh (Phường 14, quận Bình Thạnh cũ)</t>
  </si>
  <si>
    <t>1418/QĐ-UBND ngày 18/8/2026</t>
  </si>
  <si>
    <t>514/PA-HĐBT(RXT)</t>
  </si>
  <si>
    <t>90/PA</t>
  </si>
  <si>
    <t>Trần Minh Phương - Nguyễn Thị Tuyết Mai</t>
  </si>
  <si>
    <t>662/176 (32/86) Bùi Đình Túy, P.12</t>
  </si>
  <si>
    <t>380/QĐ-UBND ngày 24/10/2025</t>
  </si>
  <si>
    <t>729/QĐ-UBND ngày 24/4/2026; 1432/QĐ-UBND ngày 20/08/2026</t>
  </si>
  <si>
    <t>303/QĐ-UBND ngày 10/6/2025</t>
  </si>
  <si>
    <t>519/PA-HĐBT(RXT)</t>
  </si>
  <si>
    <t>234/PA-HĐBT (RXT)</t>
  </si>
  <si>
    <t>Nguyễn Thị Kim Quy</t>
  </si>
  <si>
    <t>Nguyễn Tấn Hòa - Võ Thị Bích Huyền</t>
  </si>
  <si>
    <t>35/18F Đinh Bộ Lĩnh, P.Bình Thạnh (Phường 14, quận Bình Thạnh cũ)</t>
  </si>
  <si>
    <t>177 Chu Văn An, P.26</t>
  </si>
  <si>
    <t>405/QD-UBND ngày 24/10/2025</t>
  </si>
  <si>
    <t>729/QĐ-UBND ngày 24/4/2026; 1532/QĐ-UBND ngày 24/09/2026</t>
  </si>
  <si>
    <t>265/PA-HĐBT (RXT)</t>
  </si>
  <si>
    <t>Nguyễn Văn Hầu</t>
  </si>
  <si>
    <t>47/69 Bùi Đình Túy, P.Bình Thạnh (Phường 14, quận Bình Thạnh cũ)</t>
  </si>
  <si>
    <t>312/QĐ-UBND ngày 10/6/2025</t>
  </si>
  <si>
    <t>528/PA-HĐBT(RXT)</t>
  </si>
  <si>
    <t>740/PA-HĐBT(RXT)</t>
  </si>
  <si>
    <t>194/50/55 Bạch Đằng, P.14 (24 cũ)</t>
  </si>
  <si>
    <t>315/QĐ-UBND ngày 10/6/2025</t>
  </si>
  <si>
    <t>531/PA-HĐBT(RXT)</t>
  </si>
  <si>
    <t>Phạm Quang Vũ - Đỗ Thị Thu Khanh</t>
  </si>
  <si>
    <t>32/40/39 (số cũ 662/115) Bùi Đình Túy, P.12</t>
  </si>
  <si>
    <t>317/QĐ-UBND ngày 10/6/2025</t>
  </si>
  <si>
    <t>533/PA-HĐBT(RXT)</t>
  </si>
  <si>
    <t>65/PA-HĐBT(RXT)</t>
  </si>
  <si>
    <t>Các đồng thừa kế của bà Mai Thị Đường và ông Phạm Văn Thiết</t>
  </si>
  <si>
    <t>402/QD-UBND ngày 24/10/2025</t>
  </si>
  <si>
    <t>58/148 Phan Chu Trinh, P.14 (24 cũ)</t>
  </si>
  <si>
    <t>1302/QĐ-UBND ngày 08/7/2026</t>
  </si>
  <si>
    <t>263/PA-HĐBT (RXT)</t>
  </si>
  <si>
    <t>408/PA</t>
  </si>
  <si>
    <t>Võ Văn Tiền - Trương Hoàng Yến</t>
  </si>
  <si>
    <t>20/12 Đinh Bộ Lĩnh, P.Bình Thạnh (Phường 14, quận Bình Thạnh cũ)</t>
  </si>
  <si>
    <t>321/QĐ-UBND ngày 10/6/2025</t>
  </si>
  <si>
    <t>537/PA-HĐBT(RXT)</t>
  </si>
  <si>
    <t>15/PA-HĐBT(RXT)</t>
  </si>
  <si>
    <t>Phan Thị Vân và các đồng thừa kế của ông Nguyễn Văn Hải</t>
  </si>
  <si>
    <t>Không số cạnh nhà 194/50/71 Bạch Đằng, P.14 (24 cũ)</t>
  </si>
  <si>
    <t>324/QĐ-UBND ngày 10/6/2025</t>
  </si>
  <si>
    <t>540/PA-HĐBT(RXT)</t>
  </si>
  <si>
    <t>Dương Thị Tiên</t>
  </si>
  <si>
    <t>555/QĐ-UBND ngày 04/11/2025</t>
  </si>
  <si>
    <t>246/13/13 Bạch Đằng, P.14 (24 cũ)</t>
  </si>
  <si>
    <t>355/PA-HĐBT (RXT)</t>
  </si>
  <si>
    <t>Nguyễn Thị Thu Vân</t>
  </si>
  <si>
    <t>234/11D1 Bạch Đằng, P.Bình Thạnh (Phường 14, quận Bình Thạnh cũ)</t>
  </si>
  <si>
    <t>350/QĐ-UBND ngày 13/6/2025</t>
  </si>
  <si>
    <t>1490/QĐ-UBND ngày 11/9/2026</t>
  </si>
  <si>
    <t>565/PA-HĐBT(RXT)</t>
  </si>
  <si>
    <t>572/PA</t>
  </si>
  <si>
    <t>Huỳnh Trương Thi - Văn Vi Hồng</t>
  </si>
  <si>
    <t>32/24/18 Bùi Đình Túy, P.12</t>
  </si>
  <si>
    <t>565/QĐ-UBND ngày 04/11/2025</t>
  </si>
  <si>
    <t>818/QĐ-UBND ngày 11/05/2026; 1456/QĐ-UBND ngày 28/08/2026</t>
  </si>
  <si>
    <t>385/PA-HĐBT (RXT)</t>
  </si>
  <si>
    <t>Không số (trong khuôn viên 234/7)
Bạch Đằng, P.Bình Thạnh (Phường 14, quận Bình Thạnh cũ)</t>
  </si>
  <si>
    <t>356/QĐ-UBND ngày 13/6/2025</t>
  </si>
  <si>
    <t>571/PA-HĐBT(RXT)</t>
  </si>
  <si>
    <t>Nguyễn Thị Thanh</t>
  </si>
  <si>
    <t>405/12 Xô Viết Nghệ Tĩnh, P.14 (24 cũ)</t>
  </si>
  <si>
    <t>576/QĐ-UBND ngày 04/11/2025</t>
  </si>
  <si>
    <t>389/PA-HĐBT (RXT)</t>
  </si>
  <si>
    <t>Nguyễn Ngọc Phương Tuyền</t>
  </si>
  <si>
    <t>234/7A1 Bạch Đằng, P.Bình Thạnh 
(Phường 14, quận Bình Thạnh cũ)</t>
  </si>
  <si>
    <t>538/QĐ-UBND ngày 03/11/2025</t>
  </si>
  <si>
    <t>818/QĐ-UBND ngày 11/05/2026;1388/QĐ-UBND ngày 04/08/2026</t>
  </si>
  <si>
    <t>335/PA-HĐBT (RXT)</t>
  </si>
  <si>
    <t>Trần Văn Hùng</t>
  </si>
  <si>
    <t>Không số (trong khuôn viên nhà 234/7) Bạch Đằng, P.Bình Thạnh (Phường 14, quận Bình Thạnh cũ)</t>
  </si>
  <si>
    <t>358/QĐ-UBND ngày 13/6/2025</t>
  </si>
  <si>
    <t>1086/QĐ-UBND ngày 09/6/2026</t>
  </si>
  <si>
    <t>573/PA-HĐBT(RXT)</t>
  </si>
  <si>
    <t>558/PA-HĐBT(RXT)</t>
  </si>
  <si>
    <t>Đặng Ngọc Sơn - Lâm Ngọc Phượng</t>
  </si>
  <si>
    <t>125/92 Bùi Đình Túy, P.14 (24 cũ)</t>
  </si>
  <si>
    <t>684/QĐ-UBND ngày 06/11/2025</t>
  </si>
  <si>
    <t>820/QĐ-UBND ngày 11/05/2026</t>
  </si>
  <si>
    <t>494/PA-HĐBT (RXT)</t>
  </si>
  <si>
    <t>19/PA-HĐBT (RXT)</t>
  </si>
  <si>
    <t>Lê Thị Dung</t>
  </si>
  <si>
    <t>Nhà không số (số cũ 47/53) Bùi Đình Túy, P.Bình Thạnh (Phường 14, quận Bình Thạnh cũ)</t>
  </si>
  <si>
    <t>359/QĐ-UBND ngày 13/6/2025</t>
  </si>
  <si>
    <t>574/PA-HĐBT(RXT)</t>
  </si>
  <si>
    <t>Các đồng thừa kế của ông Nguyễn Văn Phương - bà Bùi Thị Thiếu</t>
  </si>
  <si>
    <t>246/13/7 Bạch Đằng, P.14 (24 cũ)</t>
  </si>
  <si>
    <t>713/QĐ-UBND ngày 06/11/2025</t>
  </si>
  <si>
    <t>1154/QĐ-UBND ngày 13/6/2026</t>
  </si>
  <si>
    <t>502/PA-HĐBT (RXT)</t>
  </si>
  <si>
    <t>256/PA</t>
  </si>
  <si>
    <t>Trần Thị Kim Oanh và các đồng thừa kế ông Nguyễn Xuân Ánh</t>
  </si>
  <si>
    <t>360/QĐ-UBND ngày 13/6/2025</t>
  </si>
  <si>
    <t>575/PA-HĐBT(RXT)</t>
  </si>
  <si>
    <t>Nguyễn Ngọc Hồng Loan</t>
  </si>
  <si>
    <t>194/43/20 Bạch Đằng, P.14 (24 cũ)</t>
  </si>
  <si>
    <t>540/QĐ-UBND ngày 26/6/2025</t>
  </si>
  <si>
    <t>820/QĐ-UBND ngày 11/05/2026; 1495/QĐ-UBND ngày 11/09/2026</t>
  </si>
  <si>
    <t>732/PA-HĐBT(RXT)</t>
  </si>
  <si>
    <t>Nguyễn Hoàng Hùng Anh - Nguyễn Thị Hồng Mai</t>
  </si>
  <si>
    <t>125/100 Bùi Đình Túy, P.14 (24 cũ)</t>
  </si>
  <si>
    <t>361/QĐ-UBND ngày 13/6/2025</t>
  </si>
  <si>
    <t>576/PA-HĐBT(RXT)</t>
  </si>
  <si>
    <t>Phan Chi Bạch Dương</t>
  </si>
  <si>
    <t>405/14 Xô Viết Nghệ Tĩnh, P.14 (24 cũ)</t>
  </si>
  <si>
    <t>362/QĐ-UBND ngày 13/6/2025</t>
  </si>
  <si>
    <t>354/QĐ-UBND ngày 23/10/2025</t>
  </si>
  <si>
    <t>577/PA-HĐBT(RXT)</t>
  </si>
  <si>
    <t>206/PA-HĐBT (RXT)</t>
  </si>
  <si>
    <t>Tổng Công ty lương thực Miền nam - Công ty cổ phần</t>
  </si>
  <si>
    <t>Trần Thị Hồi</t>
  </si>
  <si>
    <t>256D Bạch Đằng, P.14 (24 cũ)</t>
  </si>
  <si>
    <t>125/77/28 Bùi Đình Túy, P.Bình Thạnh (Phường 14, quận Bình Thạnh cũ)</t>
  </si>
  <si>
    <t>363/QĐ-UBND ngày 13/6/2025</t>
  </si>
  <si>
    <t>147/QĐ-UBND ngày 30/01/2026; 1144/QĐ-UBND ngày 13/6/2026</t>
  </si>
  <si>
    <t>578/PA-HĐBT(RXT)</t>
  </si>
  <si>
    <t>619/PA ngày 04/12/2025; 319/PA</t>
  </si>
  <si>
    <t>Các đồng thừa kế của ông Tạ Duy Từ - bà Trịnh Thị Cảm</t>
  </si>
  <si>
    <t>20/33 Đinh Bộ Lĩnh, P.14 (24 cũ)</t>
  </si>
  <si>
    <t>556/QĐ-UBND ngày 04/11/2025</t>
  </si>
  <si>
    <t>356/PA-HĐBT (RXT)</t>
  </si>
  <si>
    <t>Lưu Vĩnh Trung</t>
  </si>
  <si>
    <t>234/9G Bạch Đằng, P.Bình Thạnh (Phường 14, quận Bình Thạnh cũ)</t>
  </si>
  <si>
    <t>364/QĐ-UBND ngày 13/6/2025</t>
  </si>
  <si>
    <t>579/PA-HĐBT(RXT)</t>
  </si>
  <si>
    <t>Lý Đình Triển - Hoàng Thị Thu</t>
  </si>
  <si>
    <t>182/122A Bạch Đằng, P.14 (24 cũ)</t>
  </si>
  <si>
    <t>298/QĐ-UBND ngày 20/10/2025</t>
  </si>
  <si>
    <t>1247/QĐ-UBND ngày 26/6/2026</t>
  </si>
  <si>
    <t>821/QĐ-UBND ngày 11/05/2026</t>
  </si>
  <si>
    <t>146/PA-HĐBT (RXT)</t>
  </si>
  <si>
    <t>Võ Thành Long - Nguyễn Thị Kim Mai</t>
  </si>
  <si>
    <t>47/27 Bùi Đình Tuý, P.Bình Thạnh (Phường 14, quận Bình Thạnh cũ)</t>
  </si>
  <si>
    <t>365/QĐ-UBND ngày 13/6/2025</t>
  </si>
  <si>
    <t>580/PA-HĐBT(RXT)</t>
  </si>
  <si>
    <t>Trần Đình Phương - Hoàng Thị Ngọc Thúy</t>
  </si>
  <si>
    <t>405/B2 Xô Viết Nghệ Tĩnh, P.14 (24 cũ)</t>
  </si>
  <si>
    <t>159/QD-UBND ngày 13/10/2025</t>
  </si>
  <si>
    <t>821/QĐ-UBND ngày 11/05/2026; 1323/QĐ-UBND ngày 14/07/2026</t>
  </si>
  <si>
    <t>65/PA-HĐBT (RXT)</t>
  </si>
  <si>
    <t>Lê Văn Sáng - Nguyễn Thị Bé Năm</t>
  </si>
  <si>
    <t>366/QĐ-UBND ngày 13/6/2025</t>
  </si>
  <si>
    <t>581/PA-HĐBT(RXT)</t>
  </si>
  <si>
    <t>Lê Thị Loan</t>
  </si>
  <si>
    <t>125/96 Bùi Đình Túy, P.14 (24 cũ)</t>
  </si>
  <si>
    <t>386/QĐ-UBND ngày 24/10/2025</t>
  </si>
  <si>
    <t>257/PA-HĐBT (RXT)</t>
  </si>
  <si>
    <t>Các đồng thừa kế của bà Nguyễn Thị Nhạn</t>
  </si>
  <si>
    <t>47/33 Bùi Đình Túy, P.Bình Thạnh (Phường 14, quận Bình Thạnh cũ)</t>
  </si>
  <si>
    <t>367/QĐ-UBND ngày 13/6/2025</t>
  </si>
  <si>
    <t>Phạm Văn Thơ - Nguyễn Thị Huỳnh Mai</t>
  </si>
  <si>
    <t>572/QĐ-UBND ngày 04/11/2025</t>
  </si>
  <si>
    <t>344/PA-HĐBT (RXT)</t>
  </si>
  <si>
    <t>Phan Văn Hiếp - Đỗ Thị Nhôm</t>
  </si>
  <si>
    <t>290/45/20/47 Nơ Trang Long, P.Bình Thạnh 
(Phường 12, quận Bình Thạnh cũ)</t>
  </si>
  <si>
    <t>368/QĐ-UBND ngày 13/6/2025</t>
  </si>
  <si>
    <t>583/PA-HĐBT(RXT)</t>
  </si>
  <si>
    <t>Lương Văn Trạch - Trần Thị Thủy Chung</t>
  </si>
  <si>
    <t>Không số (số tự cho 184/3/6B3) Nguyễn Xí, P.26</t>
  </si>
  <si>
    <t>577/QĐ-UBND ngày 04/11/2025</t>
  </si>
  <si>
    <t>1191/QĐ-UBND ngày 19/6/2026</t>
  </si>
  <si>
    <t>821/QĐ-UBND ngày 11/05/2026; 1494/QĐ-UBND ngày 11/09/2026</t>
  </si>
  <si>
    <t>373/PA-HĐBT (RXT)</t>
  </si>
  <si>
    <t>310/PA</t>
  </si>
  <si>
    <t>Lê Thị Thanh Vân</t>
  </si>
  <si>
    <t>Không số (cạnh 47/25) Bùi Đình Túy, P.Bình Thạnh 
(Phường 14, quận Bình Thạnh cũ)</t>
  </si>
  <si>
    <t>656/QĐ-UBND ngày 06/11/2025</t>
  </si>
  <si>
    <t>894/QĐ-UBND ngày 19/5/2026, 1256/QĐ-UBND ngày 29/6/2026; 1370/QĐ-UBND ngày 29/7/2026</t>
  </si>
  <si>
    <t>500/PA-HĐBT (RXT)</t>
  </si>
  <si>
    <t>464/PA</t>
  </si>
  <si>
    <t>Phạm Ngọc Lâm - Vũ Thị Thuý</t>
  </si>
  <si>
    <t>47/51 Bùi Đình Túy, P.Bình Thạnh (Phường 14, quận Bình Thạnh cũ)</t>
  </si>
  <si>
    <t>410/QĐ-UBND ngày 18/6/2025</t>
  </si>
  <si>
    <t>1167/QĐ-UBND ngày 16/6/2026; 1515/QĐ-UBND ngày 07/9/2026</t>
  </si>
  <si>
    <t>253/PA</t>
  </si>
  <si>
    <t>516/QĐ-UBND ngày 03/11/2025</t>
  </si>
  <si>
    <t>Lê Thị Hiểu</t>
  </si>
  <si>
    <t>1199/QĐ-UBND ngày 19/6/2026</t>
  </si>
  <si>
    <t>882/QĐ-UBND Ngày 18/05/2026</t>
  </si>
  <si>
    <t>32/8/2 (số cũ 705H) Bùi Đình Túy, P.12</t>
  </si>
  <si>
    <t>327/PA-HĐBT (RXT)</t>
  </si>
  <si>
    <t>330/PA</t>
  </si>
  <si>
    <t>Nguyễn Minh Tùng - Võ Thị Minh Kiều</t>
  </si>
  <si>
    <t>405/6 Xô Viết Nghệ Tĩnh, P.Bình Thạnh (Phường 14, quận Bình Thạnh cũ)</t>
  </si>
  <si>
    <t>411/QĐ-UBND ngày 18/6/2025</t>
  </si>
  <si>
    <t>624/PA-HĐBT(RXT)</t>
  </si>
  <si>
    <t>ông Phạm Thế Hùng - bà Trần Mai Phương</t>
  </si>
  <si>
    <t>346/QD-UBND ngày 23/10/2025</t>
  </si>
  <si>
    <t>32/4 (số cũ 699) Bùi Đình Túy, P.12</t>
  </si>
  <si>
    <t>882/QĐ-UBND Ngày 18/05/2026; 1432/QĐ-UBND ngày 20/08/2026</t>
  </si>
  <si>
    <t>213/PA-HĐBT (RXT)</t>
  </si>
  <si>
    <t>561/PA-HĐBT (RXT)</t>
  </si>
  <si>
    <t xml:space="preserve">Bùi Quốc Khánh ( trước là Nguyễn Thị Thu là đồng sở hữu và là đại diện của những người được thừa kế quyền sử dụng đất của ông Bùi Nhật Tảo) 
</t>
  </si>
  <si>
    <t>20/12B Đinh Bộ Lĩnh, P.Bình Thạnh (Phường 14, quận Bình Thạnh cũ)</t>
  </si>
  <si>
    <t>71/QĐ-UBND ngày 06/8/2025</t>
  </si>
  <si>
    <t>412/QĐ-UBND ngày 18/6/2025</t>
  </si>
  <si>
    <t>883/QĐ-UBND ngày 18/5/2026; 1388/QĐ-UBND ngày 04/08/2026</t>
  </si>
  <si>
    <t>941/PA-HĐBT(RXT)</t>
  </si>
  <si>
    <t>625/PA-HĐBT(RXT)</t>
  </si>
  <si>
    <t>406/PA</t>
  </si>
  <si>
    <t>bà Vũ Xuân Loan</t>
  </si>
  <si>
    <t>bà Nguyễn Kim Dung - ông Nguyễn Thanh Hòa</t>
  </si>
  <si>
    <t>32/36/38 Bùi Đình Túy, P.12</t>
  </si>
  <si>
    <t>20/12 (Số tự cho: 20/43) Đinh Bộ Lĩnh, P.Phường 14, quận Bình Thạnh (nay là phường Bình Thạnh)</t>
  </si>
  <si>
    <t>414/QĐ-UBND ngày 18/6/2025</t>
  </si>
  <si>
    <t>Nguyễn Bân - Huỳnh Thị Dậu</t>
  </si>
  <si>
    <t>243/70 Chu Văn An, P.12</t>
  </si>
  <si>
    <t>569/QĐ-UBND ngày 04/11/2025</t>
  </si>
  <si>
    <t>392/PA-HĐBT (RXT)</t>
  </si>
  <si>
    <t>415/QĐ-UBND ngày 18/6/2025</t>
  </si>
  <si>
    <t>Lê Thanh Hoàng và các đồng thừa kế bà Nguyễn Thị Ngọc Mai</t>
  </si>
  <si>
    <t>Không số (trong khuôn viên 405/4) Xô Viết Nghệ Tĩnh, P.Bình Thạnh (Phường 14, quận Bình Thạnh cũ)</t>
  </si>
  <si>
    <t>Vũ Thị Sửu</t>
  </si>
  <si>
    <t>32/40/42 (số cũ 662/134) Bùi Đình Túy, P.12</t>
  </si>
  <si>
    <t>Đã tạo danh sách và mời dân</t>
  </si>
  <si>
    <t>564/QĐ-UBND ngày 04/11/2025</t>
  </si>
  <si>
    <t>417/QĐ-UBND ngày 18/6/2025</t>
  </si>
  <si>
    <t>883/QĐ-UBND ngày 18/5/2026; 1456/QĐ-UBND ngày 28/08/2026</t>
  </si>
  <si>
    <t>757/QĐ-UBND ngày 13/11/2025; 1368/QĐ-UBND ngày 29/7/2026</t>
  </si>
  <si>
    <t>386/PA-HĐBT (RXT)</t>
  </si>
  <si>
    <t>630/PA-HĐBT(RXT)</t>
  </si>
  <si>
    <t>Ngô Văn Tuấn - Trần Thị Sáng</t>
  </si>
  <si>
    <t>06/PA-HĐBT(RXT); 463/PA</t>
  </si>
  <si>
    <t>234/9H Bạch Đằng, P.Bình Thạnh (Phường 14, quận Bình Thạnh cũ)</t>
  </si>
  <si>
    <t>Trần Ngọc Định - Trần Ngọc Thạch - Trần Thị Vân - Trần Thị Ngọc Hạnh - Trần Ngọc Tấn - Trần Ngọc Trọng - Trần Thị Ngọc Sang</t>
  </si>
  <si>
    <t>125/78 Bùi Đình Túy, P.14 (24 cũ)</t>
  </si>
  <si>
    <t>631/QĐ-UBND ngày 05/11/2025</t>
  </si>
  <si>
    <t>1158/QĐ-UBND ngày 15/6/2026</t>
  </si>
  <si>
    <t>451/PA-HĐBT (RXT)</t>
  </si>
  <si>
    <t>368/PA</t>
  </si>
  <si>
    <t>Võ Thành Quý - Phùng Ánh Hồng</t>
  </si>
  <si>
    <t>Không số cạnh 35/18C Đinh Bộ Lĩnh, P.Bình Thạnh (Phường 14, quận Bình Thạnh cũ)</t>
  </si>
  <si>
    <t>418/QĐ-UBND ngày 18/6/2025</t>
  </si>
  <si>
    <t>631/PA-HĐBT(RXT)</t>
  </si>
  <si>
    <t>12/PA-HĐBT(RXT)</t>
  </si>
  <si>
    <t>Lê Tấn Phúc - Lê Thị Nhu</t>
  </si>
  <si>
    <t>194/50/45 Bạch Đằng, P.14 (24 cũ)</t>
  </si>
  <si>
    <t>60/QĐ-UBND ngày 06/8/2025</t>
  </si>
  <si>
    <t>883/QĐ-UBND ngày 18/5/2026; 1507/QĐ-UBND ngày 16/09/2026</t>
  </si>
  <si>
    <t>978/PA-HĐBT(RXT)</t>
  </si>
  <si>
    <t>ông Nguyễn Văn Tuấn - ông Nguyễn Văn Bình</t>
  </si>
  <si>
    <t>Không số (cạnh nhà số 194/43/18C) Bạch Đằng, P.Phường 14, quận Bình Thạnh (nay là phường Bình Thạnh)</t>
  </si>
  <si>
    <t>420/QĐ-UBND ngày 18/6/2025</t>
  </si>
  <si>
    <t>633/PA-HĐBT(RXT)</t>
  </si>
  <si>
    <t>10/PA-HĐBT(RXT)</t>
  </si>
  <si>
    <t>553/QĐ-UBND ngày 04/11/2025</t>
  </si>
  <si>
    <t>Nguyễn Hữu Tín</t>
  </si>
  <si>
    <t>Bạch Đằng, P.14 (24 cũ)</t>
  </si>
  <si>
    <t>351/PA-HĐBT (RXT)</t>
  </si>
  <si>
    <t>Phạm Văn Quân - Trần Cúc Thu</t>
  </si>
  <si>
    <t>234/9B1 Bạch Đằng, P.Bình Thạnh (Phường 14, quận Bình Thạnh cũ)</t>
  </si>
  <si>
    <t>421/QĐ-UBND ngày 18/6/2025</t>
  </si>
  <si>
    <t>634/PA-HĐBT(RXT)</t>
  </si>
  <si>
    <t>621/PA-HĐBT(RXT)</t>
  </si>
  <si>
    <t>Tạ Tuyết Loan</t>
  </si>
  <si>
    <t>76/42C Bạch Đằng, P.14 (24 cũ)</t>
  </si>
  <si>
    <t>573/QĐ-UBND ngày 04/11/2025</t>
  </si>
  <si>
    <t>400/PA-HĐBT (RXT)</t>
  </si>
  <si>
    <t>Lương Văn Sang - Phan Thị Ngọc Vân</t>
  </si>
  <si>
    <t>234/11B Bạch Đằng, P.Bình Thạnh 
(Phường 14, quận Bình Thạnh cũ)</t>
  </si>
  <si>
    <t>422/QĐ-UBND ngày 18/6/2025</t>
  </si>
  <si>
    <t>635/PA-HĐBT(RXT)</t>
  </si>
  <si>
    <t>Hoàng Văn Trung - Vũ Thị Thư</t>
  </si>
  <si>
    <t>260G Bạch Đằng, P.14 (24 cũ)</t>
  </si>
  <si>
    <t>09/QĐ-UBND ngày 05/8/2025</t>
  </si>
  <si>
    <t>883/QĐ-UBND ngày 18/5/2026;1388/QĐ-UBND ngày 04/08/2026</t>
  </si>
  <si>
    <t>953/PA-HĐBT(RXT)</t>
  </si>
  <si>
    <t>Võ Thị Mai - Phan Gia Thanh</t>
  </si>
  <si>
    <t>Không số cuối hẻm 118 Bạch Đằng, P.Phường 14, quận Bình Thạnh (nay là phường Bình Thạnh)</t>
  </si>
  <si>
    <t>423/QĐ-UBND ngày 18/6/2025</t>
  </si>
  <si>
    <t>1058/QĐ-UBND ngày 08/6/2026</t>
  </si>
  <si>
    <t>636/PA-HĐBT(RXT)</t>
  </si>
  <si>
    <t>215/PA-HĐBT(RXT) ngày 24/4/2026</t>
  </si>
  <si>
    <t>Nguyễn Thị Kim Quý</t>
  </si>
  <si>
    <t>45/1A Đinh Bộ Lĩnh, P.14 (24 cũ)</t>
  </si>
  <si>
    <t>557/QĐ-UBND ngày 04/11/2025</t>
  </si>
  <si>
    <t>391/PA-HĐBT (RXT)</t>
  </si>
  <si>
    <t>Nguyễn Văn Phi Vân - Nguyễn Thị Bích Trang</t>
  </si>
  <si>
    <t>Không số (trong khuôn viên nhà đất số 234/7) Bạch Đằng, P.Bình Thạnh (Phường 14, quận Bình Thạnh cũ)</t>
  </si>
  <si>
    <t>424/QĐ-UBND ngày 18/6/2025</t>
  </si>
  <si>
    <t>637/PA-HĐBT(RXT)</t>
  </si>
  <si>
    <t>Nguyễn Hoài Bảo</t>
  </si>
  <si>
    <t>76/42B Bạch Đằng, P.14 (24 cũ)</t>
  </si>
  <si>
    <t>630/QĐ-UBND ngày 05/11/2025</t>
  </si>
  <si>
    <t>411/PA-HĐBT (RXT)</t>
  </si>
  <si>
    <t>407/PA</t>
  </si>
  <si>
    <t xml:space="preserve">Trần Thành
</t>
  </si>
  <si>
    <t>Không số (trong khuôn viên 20/12) Đinh Bộ Lĩnh, P.Bình Thạnh (Phường 14, quận Bình Thạnh cũ)</t>
  </si>
  <si>
    <t>425/QĐ-UBND ngày 18/6/2025</t>
  </si>
  <si>
    <t>638/PA-HĐBT(RXT)</t>
  </si>
  <si>
    <t>Các đồng thừa kế của ông Lê Văn Ẩn - bà Đinh Thị The</t>
  </si>
  <si>
    <t>76/58C Bạch Đằng, P.14 (24 cũ)</t>
  </si>
  <si>
    <t>426/QĐ-UBND ngày 18/6/2025</t>
  </si>
  <si>
    <t>639/PA-HĐBT(RXT)</t>
  </si>
  <si>
    <t>Huỳnh Ngọc Huệ</t>
  </si>
  <si>
    <t>194/50/60 Bạch Đằng, P.14 (24 cũ)</t>
  </si>
  <si>
    <t>230/QD-UBND ngày 16/10/2025</t>
  </si>
  <si>
    <t xml:space="preserve">914/QĐ-UBND ngày 22/5/2026; 1507/QĐ-UBND ngày 16/09/2026
</t>
  </si>
  <si>
    <t>106/PA-HĐBT (RXT)</t>
  </si>
  <si>
    <t>Huỳnh Ngọc Ái Vy</t>
  </si>
  <si>
    <t>125/77/34 Bùi Đình Túy, P.Bình Thạnh (Phường 14, quận Bình Thạnh cũ)</t>
  </si>
  <si>
    <t>427/QĐ-UBND ngày 18/6/2025</t>
  </si>
  <si>
    <t>640/PA-HĐBT(RXT)</t>
  </si>
  <si>
    <t>Lê Quốc Khanh - Trịnh Tú Khanh</t>
  </si>
  <si>
    <t>76/42 Bạch Đằng, P.14 (24 cũ)</t>
  </si>
  <si>
    <t>616/QĐ-UBND ngày 05/11/2025</t>
  </si>
  <si>
    <t>915/QĐ-UBND ngày 22/05/2026; 1292/QĐ-UBND ngày 08/07/2026; 1495/QĐ-UBND ngày 11/09/2026</t>
  </si>
  <si>
    <t>412/PA-HĐBT (RXT)</t>
  </si>
  <si>
    <t>,</t>
  </si>
  <si>
    <t>Trần Nguyễn Trường Nghĩa - Lê Thị Xuân Diệu</t>
  </si>
  <si>
    <t>246/13/27C Bạch đằng, P.Bình Thạnh (Phường 14, quận Bình Thạnh cũ)</t>
  </si>
  <si>
    <t>428/QĐ-UBND ngày 18/6/2025</t>
  </si>
  <si>
    <t>641/PA-HĐBT(RXT)</t>
  </si>
  <si>
    <t>Trung tâm Quản lý nhà và Giám định xây dựng Thành phố Hồ Chí Minh (ông Đỗ Văn Nghị thuê theo Hợp đồng thuê nhà ở cũ thuộc sở hữu nhà nước - Hợp đồng số: 2329NCO2947)</t>
  </si>
  <si>
    <t>429/QĐ-UBND ngày 18/6/2025</t>
  </si>
  <si>
    <t>642/PA-HĐBT(RXT)</t>
  </si>
  <si>
    <t>09/PA-HĐBT(RXT)</t>
  </si>
  <si>
    <t>Nguyễn Thị Quí và các đồng thừa kế của ông Trương Ngọc Lít</t>
  </si>
  <si>
    <t>417 Xô Viết Nghệ Tĩnh, P.26</t>
  </si>
  <si>
    <t>660/QĐ-UBND ngày 06/11/2025</t>
  </si>
  <si>
    <t>999/QĐ-UBND ngày 04/06/2026</t>
  </si>
  <si>
    <t>915/QĐ-UBND ngày 22/05/2026; 1495/QĐ-UBND ngày 11/09/2026</t>
  </si>
  <si>
    <t>480/PA-HĐBT (RXT)</t>
  </si>
  <si>
    <t>Đoàn Thị Kim Chi</t>
  </si>
  <si>
    <t>246/13/25 Bạch Đằng, P.Bình Thạnh (Phường 14, quận Bình Thạnh cũ)</t>
  </si>
  <si>
    <t>430/QĐ-UBND ngày 18/6/2025</t>
  </si>
  <si>
    <t>643/PA-HĐBT(RXT)</t>
  </si>
  <si>
    <t>Lê Thị Trinh</t>
  </si>
  <si>
    <t>377/6 Đinh Bộ Lĩnh, P.26</t>
  </si>
  <si>
    <t>686/QĐ-UBND ngày 06/11/2025</t>
  </si>
  <si>
    <t>1165/QĐ-UBND ngày 16/6/2026</t>
  </si>
  <si>
    <t>915/QĐ-UBND ngày 22/05/2026; 1532/QĐ-UBND ngày 24/09/2026</t>
  </si>
  <si>
    <t>511/PA-HĐBT (RXT)</t>
  </si>
  <si>
    <t>Ngô Phi Hiệp - Lê Thị Tá</t>
  </si>
  <si>
    <t>246/13/33 Bạch Đằng, P.Bình Thạnh (Phường 14, quận Bình Thạnh cũ)</t>
  </si>
  <si>
    <t>431/QĐ-UBND ngày 18/6/2025</t>
  </si>
  <si>
    <t>1294/QĐ-UBND ngày 08/7/2026</t>
  </si>
  <si>
    <t>644/PA-HĐBT(RXT)</t>
  </si>
  <si>
    <t>443/PA</t>
  </si>
  <si>
    <t>Trần Ngọc Đỉnh - Trịnh Thị Ngọc Lan</t>
  </si>
  <si>
    <t>59/15 Đinh Bộ Lĩnh, P.26</t>
  </si>
  <si>
    <t>717/QĐ-UBND ngày 06/11/2025</t>
  </si>
  <si>
    <t xml:space="preserve">915/QĐ-UBND ngày 22/05/2026; 1532/QĐ-UBND ngày 24/09/2026 
</t>
  </si>
  <si>
    <t>522/PA-HĐBT (RXT)</t>
  </si>
  <si>
    <t>260/PA</t>
  </si>
  <si>
    <t>Nguyễn Thị Ngọc Sang</t>
  </si>
  <si>
    <t>194/60B Bạch Đằng, P.Bình Thạnh (Phường 14, quận Bình Thạnh cũ)</t>
  </si>
  <si>
    <t>432/QĐ-UBND ngày 18/6/2025</t>
  </si>
  <si>
    <t>645/PA-HĐBT(RXT)</t>
  </si>
  <si>
    <t>659/QĐ-UBND ngày 06/11/2025</t>
  </si>
  <si>
    <t>Bùi Trọng Kính và các đồng thừa kế của bà Trần Kim Cúc</t>
  </si>
  <si>
    <t>915/QĐ-UBND ngày 22/05/2026;1532/QĐ-UBND ngày 24/09/2026</t>
  </si>
  <si>
    <t>507/PA-HĐBT (RXT)</t>
  </si>
  <si>
    <t>451/41 Xô Viết Nghệ Tĩnh, P.26</t>
  </si>
  <si>
    <t xml:space="preserve">Nguyễn Thị Ngọc Mai
</t>
  </si>
  <si>
    <t>246/13/27 Bạch Đằng, P.Bình Thạnh (Phường 14, quận Bình Thạnh cũ)</t>
  </si>
  <si>
    <t>433/QĐ-UBND ngày 18/6/2025</t>
  </si>
  <si>
    <t>646/PA-HĐBT(RXT)</t>
  </si>
  <si>
    <t>Phạm Thị Dương là người đại diện của những người được thừa kế: Phạm Ngọc Quang, Phạm Thị Ngọc Uyên, Phạm Ngọc Long</t>
  </si>
  <si>
    <t>201/60/34 Nguyễn Xí, P.26</t>
  </si>
  <si>
    <t>723/QĐ-UBND ngày 06/11/2025</t>
  </si>
  <si>
    <t>503/PA-HĐBT (RXT)</t>
  </si>
  <si>
    <t>306/PA</t>
  </si>
  <si>
    <t>Võ Thị Diễm 
(chưa xác định tình trạng hôn nhân)</t>
  </si>
  <si>
    <t>194/50/57 Bạch Đằng, P.Bình Thạnh (Phường 14, quận Bình Thạnh cũ)</t>
  </si>
  <si>
    <t>434/QĐ-UBND ngày 18/6/2025</t>
  </si>
  <si>
    <t>647/PA-HĐBT(RXT)</t>
  </si>
  <si>
    <t>Nguyễn Thị Hồng Ngọc</t>
  </si>
  <si>
    <t>220/30 Nguyễn Xí, P.26</t>
  </si>
  <si>
    <t>54/QĐ-UBND ngày 06/8/2025</t>
  </si>
  <si>
    <t>1431/QĐ-UBND ngày 20/8/2026</t>
  </si>
  <si>
    <t>916/QĐ-UBND ngày 22/5/2026</t>
  </si>
  <si>
    <t>967/PA-HĐBT(RXT)</t>
  </si>
  <si>
    <t>Các đồng thừa kế của ông Trần Văn Long và bà Nguyễn Thị Huệ (Nguyễn Thị Bích Thủy nhận tiền)</t>
  </si>
  <si>
    <t>194/43/18 Bạch Đằng, P.Phường 14, quận Bình Thạnh (nay là phường Bình Thạnh)</t>
  </si>
  <si>
    <t>435/QĐ-UBND ngày 18/6/2025</t>
  </si>
  <si>
    <t>1153/QĐ-UBND ngày 13/6/2026</t>
  </si>
  <si>
    <t>648/PA-HĐBT(RXT)</t>
  </si>
  <si>
    <t>Nguyễn Thành Long - Nguyễn Quốc Thái - Nguyễn Quốc Tuấn - Nguyễn Thị Thanh Bình</t>
  </si>
  <si>
    <t>419 Xô Viết Nghệ Tĩnh, P.26</t>
  </si>
  <si>
    <t>362/QD-UBND ngày 24/10/2025</t>
  </si>
  <si>
    <t>223/PA-HĐBT (RXT)</t>
  </si>
  <si>
    <t>Phạm Thị Tuyến và các đồng thừa kế của ông Trần Văn Kiển</t>
  </si>
  <si>
    <t>194/58B Bạch Đằng, P.Bình Thạnh (Phường 14, quận Bình Thạnh cũ)</t>
  </si>
  <si>
    <t>436/QĐ-UBND ngày 18/6/2025</t>
  </si>
  <si>
    <t>649/PA-HĐBT(RXT)</t>
  </si>
  <si>
    <t>Hoàng Thị Nữ</t>
  </si>
  <si>
    <t>427/46A Xô Viết Nghệ Tĩnh, P.26</t>
  </si>
  <si>
    <t>715/QĐ-UBND ngày 06/11/2025</t>
  </si>
  <si>
    <t>498/PA-HĐBT (RXT)</t>
  </si>
  <si>
    <t>262/PA</t>
  </si>
  <si>
    <t>Nguyễn Văn Mười - Lê Thị Hoà</t>
  </si>
  <si>
    <t>194/45 Bạch Đằng, P.Bình Thạnh (Phường 14, quận Bình Thạnh cũ)</t>
  </si>
  <si>
    <t>437/QĐ-UBND ngày 18/6/2025</t>
  </si>
  <si>
    <t>650/PA-HĐBT(RXT)</t>
  </si>
  <si>
    <t>Nguyễn Xuân Huy</t>
  </si>
  <si>
    <t>451/45C/13 Xô Viết Nghệ Tĩnh, P.26</t>
  </si>
  <si>
    <t>468/QĐ-UBND ngày 24/6/2025</t>
  </si>
  <si>
    <t>672/PA-HĐBT(RXT)</t>
  </si>
  <si>
    <t>Tô Hữu Định - Trần Thị Lan</t>
  </si>
  <si>
    <t>243/30 Chu Văn An, P.12</t>
  </si>
  <si>
    <t>02/QĐ-UBND ngày 05/8/2025</t>
  </si>
  <si>
    <t>917/QĐ-UBND ngày 22/5/2026</t>
  </si>
  <si>
    <t>478/QĐ-UBND ngày 24/6/2025</t>
  </si>
  <si>
    <t>962/PA-HĐBT(RXT)</t>
  </si>
  <si>
    <t>673/PA-HĐBT(RXT)</t>
  </si>
  <si>
    <t>Hoàng Công Bình - Huỳnh Thị Ngọc Điệp</t>
  </si>
  <si>
    <t>Nguyễn Văn Thìn</t>
  </si>
  <si>
    <t>32/36/40E Bùi Đình Túy, P.12</t>
  </si>
  <si>
    <t>194/43/6 Bạch Đằng, P.Phường 14, quận Bình Thạnh (nay là phường Bình Thạnh)</t>
  </si>
  <si>
    <t>481/QĐ-UBND ngày 24/6/2025</t>
  </si>
  <si>
    <t>1322/QĐ-UBND ngày 14/7/2026</t>
  </si>
  <si>
    <t>677/PA-HĐBT(RXT)</t>
  </si>
  <si>
    <t>Lý Đỉnh - Lê Thị Nhân</t>
  </si>
  <si>
    <t>194/50/70 Bạch Đằng, P.14 (24 cũ)</t>
  </si>
  <si>
    <t>482/QĐ-UBND ngày 24/6/2025</t>
  </si>
  <si>
    <t>678/PA-HĐBT(RXT)</t>
  </si>
  <si>
    <t>438/PA</t>
  </si>
  <si>
    <t>Nguyễn Văn Bé Tám - Triệu Thị Tuyết Trong</t>
  </si>
  <si>
    <t>246/18D Bạch Đằng, P.14 (24 cũ)</t>
  </si>
  <si>
    <t>698/QĐ-UBND ngày 06/11/2025</t>
  </si>
  <si>
    <t>996/QĐ-UBND ngày 04/6/2026</t>
  </si>
  <si>
    <t>455/PA-HĐBT (RXT)</t>
  </si>
  <si>
    <t>239/PA</t>
  </si>
  <si>
    <t xml:space="preserve">Lý Anh Vũ (chưa xác định tình trạng hôn nhân)
</t>
  </si>
  <si>
    <t>246/13/27A Bạch Đằng, P.Bình Thạnh (Phường 14, quận Bình Thạnh cũ)</t>
  </si>
  <si>
    <t>483/QĐ-UBND ngày 24/6/2025</t>
  </si>
  <si>
    <t>679/PA-HĐBT(RXT)</t>
  </si>
  <si>
    <t>ông Đỗ Đức Vân - bà Hoàng Thị Hằng</t>
  </si>
  <si>
    <t>35/2D Đinh Bộ Lĩnh, P.14 (24 cũ)</t>
  </si>
  <si>
    <t>11/QĐ-UBND ngày 05/8/2025</t>
  </si>
  <si>
    <t xml:space="preserve">929/QĐ-UBND ngày 26/05/2026; 1388/QĐ-UBND ngày 04/08/2026 
</t>
  </si>
  <si>
    <t>937/PA-HĐBT(RXT)</t>
  </si>
  <si>
    <t>Nguyễn Thị Yến Hoa - Nguyễn Hoàng Gia Định</t>
  </si>
  <si>
    <t>Không số cạnh nhà 20/16 Đinh Bộ Lĩnh, P.Phường 14, quận Bình Thạnh (nay là phường Bình Thạnh)</t>
  </si>
  <si>
    <t>484/QĐ-UBND ngày 24/6/2025</t>
  </si>
  <si>
    <t>680/PA-HĐBT(RXT)</t>
  </si>
  <si>
    <t>Hội nông dân Việt Nam</t>
  </si>
  <si>
    <t>36A Đinh Bộ Lĩnh, P.14 (24 cũ)</t>
  </si>
  <si>
    <t>485/QĐ-UBND ngày 24/6/2025</t>
  </si>
  <si>
    <t>681/PA-HĐBT(RXT)</t>
  </si>
  <si>
    <t>Các đồng thừa kế của ông Nguyễn Huệ Nha - bà Nguyễn Ánh Nguyệt</t>
  </si>
  <si>
    <t>Không số (số tự cho 194/50/53A) Bạch Đằng, P.14 (24 cũ)</t>
  </si>
  <si>
    <t>491/QĐ-UBND ngày 29/10/2025</t>
  </si>
  <si>
    <t>929/QĐ-UBND ngày 26/05/2026; 1432/QĐ-UBND ngày 20/08/2026</t>
  </si>
  <si>
    <t>308/PA-HĐBT (RXT)</t>
  </si>
  <si>
    <t>Lê Ngọc Long - Phan Thị Thanh Tâm</t>
  </si>
  <si>
    <t>486/QĐ-UBND ngày 24/6/2025</t>
  </si>
  <si>
    <t>682/PA-HĐBT(RXT)</t>
  </si>
  <si>
    <t>Nguyễn Thị Nở và các đồng thừa kế của ông Hồ Hoàng Thành</t>
  </si>
  <si>
    <t>125/96A Bùi Đình Túy, P.14 (24 cũ)</t>
  </si>
  <si>
    <t>487/QĐ-UBND ngày 24/6/2025</t>
  </si>
  <si>
    <t>683/PA-HĐBT(RXT)</t>
  </si>
  <si>
    <t>Chùa Long Vân</t>
  </si>
  <si>
    <t>125/72 Bùi Đình Túy, P.14 (24 cũ)</t>
  </si>
  <si>
    <t>49/QĐ-UBND ngày 06/8/2025</t>
  </si>
  <si>
    <t>1267/QĐ-UBND ngày 01/7/2026</t>
  </si>
  <si>
    <t>997/QĐ-UBND ngày 04/06/2026</t>
  </si>
  <si>
    <t>954/PA-HĐBT(RXT)</t>
  </si>
  <si>
    <t>255/PA</t>
  </si>
  <si>
    <t>Nguyễn Thị Mai Giàu</t>
  </si>
  <si>
    <t>58/153G Phan Chu Trinh, P.Phường 14, quận Bình Thạnh (nay là phường Bình Thạnh)</t>
  </si>
  <si>
    <t>488/QĐ-UBND ngày 24/6/2025</t>
  </si>
  <si>
    <t>684/PA-HĐBT(RXT)</t>
  </si>
  <si>
    <t>Lương Thị Mai</t>
  </si>
  <si>
    <t>405/2 Xô Viết Nghệ Tĩnh, P.14 (24 cũ)</t>
  </si>
  <si>
    <t>391/QD-UBND ngày 24/10/2025</t>
  </si>
  <si>
    <t>245/PA-HĐBT (RXT)</t>
  </si>
  <si>
    <t>Lê Văn Chinh - Nguyễn Thị Nguyệt</t>
  </si>
  <si>
    <t>58/22/34L3 Phan Chu Trinh, P.Bình Thạnh (Phường 14, quận Bình Thạnh cũ)</t>
  </si>
  <si>
    <t>397/QĐ-UBND ngày 24/10/2025</t>
  </si>
  <si>
    <t>271/PA-HĐBT (RXT)</t>
  </si>
  <si>
    <t>Lê Thị Thu Thủy</t>
  </si>
  <si>
    <t>Không số (cạnh 58/148) Phan Chu Trinh, P.Bình Thạnh (Phường 14, quận Bình Thạnh cũ)</t>
  </si>
  <si>
    <t>490/QĐ-UBND ngày 24/6/2025</t>
  </si>
  <si>
    <t>686/PA-HĐBT(RXT)</t>
  </si>
  <si>
    <t>Lê Kim Dung - Phạm Văn Tâm</t>
  </si>
  <si>
    <t>58/144 Phan Chu Trinh, P.14 (24 cũ)</t>
  </si>
  <si>
    <t>491/QĐ-UBND ngày 24/6/2025</t>
  </si>
  <si>
    <t>687/PA-HĐBT(RXT)</t>
  </si>
  <si>
    <t>Vũ Mạnh Hùng - Nguyễn Thị Minh Hiếu</t>
  </si>
  <si>
    <t>618/QĐ-UBND ngày 05/11/2025</t>
  </si>
  <si>
    <t>246/23 Bạch Đằng, P.14 (24 cũ)</t>
  </si>
  <si>
    <t>438/PA-HĐBT (RXT)</t>
  </si>
  <si>
    <t xml:space="preserve">Nguyễn Văn Long
Nguyễn Thị Thùy Vân
</t>
  </si>
  <si>
    <t>40/40 Phan Chu Trinh, P.Bình Thạnh (Phường 14, quận Bình Thạnh cũ)</t>
  </si>
  <si>
    <t>492/QĐ-UBND ngày 24/6/2025</t>
  </si>
  <si>
    <t>688/PA-HĐBT(RXT)</t>
  </si>
  <si>
    <t>18/PA-HĐBT(RXT)</t>
  </si>
  <si>
    <t>Trương Thị Năm (là người đại diện của những người được thừa kế gồm các ông/bà Nguyễn Thị Kim Dững, Nguyễn Thị Kim Tuyết, Nguyễn Thị Kim Phương, Nguyễn Thị Kim Phượng, Nguyễn Thị Trương Mận)</t>
  </si>
  <si>
    <t>125/80 Bùi Đình Túy, P.14 (24 cũ)</t>
  </si>
  <si>
    <t>609/QĐ-UBND ngày 05/11/2025</t>
  </si>
  <si>
    <t>440/PA-HĐBT (RXT)</t>
  </si>
  <si>
    <t>Hồ Thị Thu - Hồ Thị Hoa - Hồ Thị Liên</t>
  </si>
  <si>
    <t>42/287A Huỳnh Đình Hai, P.Bình Thạnh (Phường 14, quận Bình Thạnh cũ)</t>
  </si>
  <si>
    <t>493/QĐ-UBND ngày 24/6/2025</t>
  </si>
  <si>
    <t>689/PA-HĐBT(RXT)</t>
  </si>
  <si>
    <t>Bùi Ngọc Thủy</t>
  </si>
  <si>
    <t>194/50/23A Bạch Đằng, P.14 (24 cũ)</t>
  </si>
  <si>
    <t>668/QĐ-UBND ngày 06/11/2025</t>
  </si>
  <si>
    <t>468/PA-HĐBT (RXT)</t>
  </si>
  <si>
    <t>352/PA</t>
  </si>
  <si>
    <t xml:space="preserve">Nguyễn Thùy Uyên - Nguyễn Trọng Tuần
</t>
  </si>
  <si>
    <t>494/QĐ-UBND ngày 24/6/2025</t>
  </si>
  <si>
    <t>690/PA-HĐBT(RXT)</t>
  </si>
  <si>
    <t>Hoàng Bích Ngọc</t>
  </si>
  <si>
    <t>Không số , P.26</t>
  </si>
  <si>
    <t>697/QĐ-UBND ngày 06/11/2025</t>
  </si>
  <si>
    <t>501/PA-HĐBT (RXT)</t>
  </si>
  <si>
    <t xml:space="preserve">Nguyễn Thị Thanh Vương - Vũ Xuân Hải
</t>
  </si>
  <si>
    <t>58/22/34L Phan Chu Trinh, P.Bình Thạnh (Phường 14, quận Bình Thạnh cũ)</t>
  </si>
  <si>
    <t>500/QĐ-UBND ngày 24/6/2025</t>
  </si>
  <si>
    <t>691/PA-HĐBT(RXT)</t>
  </si>
  <si>
    <t>Bà khắc đã mất -&gt; chờ khai nhận di sản</t>
  </si>
  <si>
    <t>729/QĐ-UBND ngày 06/11/2025</t>
  </si>
  <si>
    <t>1471/QĐ-UBND ngày 28/8/2026</t>
  </si>
  <si>
    <t>524/PA-HĐBT (RXT)</t>
  </si>
  <si>
    <t>552/PA</t>
  </si>
  <si>
    <t>Trần Văn Trung - Nguyễn Thị Pôline</t>
  </si>
  <si>
    <t>58/165B Phan Chu Trinh, P.Bình Thạnh (Phường 14, quận Bình Thạnh cũ)</t>
  </si>
  <si>
    <t>496/QĐ-UBND ngày 24/6/2025</t>
  </si>
  <si>
    <t>552/QĐ-UBND ngày 26/06/2025</t>
  </si>
  <si>
    <t>693/PA-HĐBT(RXT)</t>
  </si>
  <si>
    <t>QĐ 590/QĐ-UBND ngày 26/6/2025</t>
  </si>
  <si>
    <t>Vũ Xuân Út - Nguyễn Thị Lan</t>
  </si>
  <si>
    <t>785/PA-HĐBT(RXT)</t>
  </si>
  <si>
    <t>201/60/30 Nguyễn Xí, P.26</t>
  </si>
  <si>
    <t>13/PA-HĐBT(RXT)</t>
  </si>
  <si>
    <t>Nguyễn Văn Giàu - Trương Thị Tuyết Loan</t>
  </si>
  <si>
    <t>407A Xô Viết Nghệ Tĩnh, P.14 (24 cũ)</t>
  </si>
  <si>
    <t>521/QĐ-UBND ngày 26/6/2025</t>
  </si>
  <si>
    <t>712/PA-HĐBT(RXT)</t>
  </si>
  <si>
    <t>Lê Quang An - Nguyễn Thị Phượng</t>
  </si>
  <si>
    <t>32/36/40D Bùi Đình Túy, P.12</t>
  </si>
  <si>
    <t>620/QĐ-UBND ngày 05/11/2025</t>
  </si>
  <si>
    <t>999/QĐ-UBND ngày 04/06/2026; 1457/QĐ-UBND ngày 28/08/2026</t>
  </si>
  <si>
    <t>409/PA-HĐBT (RXT)</t>
  </si>
  <si>
    <t>Hồ Minh Hoàng - Huỳnh Thị Sen</t>
  </si>
  <si>
    <t>184/3/6B22 Nguyễn Xí, P.Bình Thạnh (Phường 26, quận Bình Thạnh cũ)</t>
  </si>
  <si>
    <t>522/QĐ-UBND ngày 26/6/2025</t>
  </si>
  <si>
    <t>713/PA-HĐBT(RXT)</t>
  </si>
  <si>
    <t>04/PA-HĐBT(RXT)</t>
  </si>
  <si>
    <t>Xuân Trọng Hoàng - Nguyễn Thị Hoàng Oanh</t>
  </si>
  <si>
    <t>290/51/11/7 Nơ Trang Long, P.12</t>
  </si>
  <si>
    <t>Kế toán liên hệ mà hộ dân ko nghe máy -&gt; đã nhắn nhờ a Hậu liên hệ dùm</t>
  </si>
  <si>
    <t>529/QĐ-UBND ngày 26/6/2025</t>
  </si>
  <si>
    <t>721/PA-HĐBT(RXT)</t>
  </si>
  <si>
    <t>Đoàn Thế Tranh</t>
  </si>
  <si>
    <t>76/46 Bạch Đằng, P.14 (24 cũ)</t>
  </si>
  <si>
    <t>617/QĐ-UBND ngày 05/11/2025</t>
  </si>
  <si>
    <t>413/PA-HĐBT (RXT)</t>
  </si>
  <si>
    <t xml:space="preserve">Vũ Thị Thu Hương
</t>
  </si>
  <si>
    <t>220/35 Nguyễn Xí, P.Bình Thạnh (Phường 26, quận Bình Thạnh cũ)</t>
  </si>
  <si>
    <t>530/QĐ-UBND ngày 26/6/2025</t>
  </si>
  <si>
    <t>722/PA-HĐBT(RXT)</t>
  </si>
  <si>
    <t>Nguyễn Công Hiệp</t>
  </si>
  <si>
    <t>58/22/75 Phan Chu Trinh, P.14 (24 cũ)</t>
  </si>
  <si>
    <t>531/QĐ-UBND ngày 26/6/2025</t>
  </si>
  <si>
    <t>732/QĐ-UBND ngày 28/4/2026</t>
  </si>
  <si>
    <t>723/PA-HĐBT(RXT)</t>
  </si>
  <si>
    <t>Vũ Thị Hạnh</t>
  </si>
  <si>
    <t>58/22/34B Phan Chu Trinh, P.14 (24 cũ)</t>
  </si>
  <si>
    <t>628/QĐ-UBND ngày 05/11/2025</t>
  </si>
  <si>
    <t>418/PA-HĐBT (RXT)</t>
  </si>
  <si>
    <t>Dương Thị Nguyệt Quới</t>
  </si>
  <si>
    <t>184/3/6B29A Nguyễn Xí, P.Bình Thạnh (Phường 26, quận Bình Thạnh cũ)</t>
  </si>
  <si>
    <t>532/QĐ-UBND ngày 26/6/2025</t>
  </si>
  <si>
    <t>724/PA-HĐBT(RXT)</t>
  </si>
  <si>
    <t>Các đồng thừa kế của bà Nguyễn Thị Khiêm</t>
  </si>
  <si>
    <t>194/50/49 Bạch Đằng, P.14 (24 cũ)</t>
  </si>
  <si>
    <t>533/QĐ-UBND ngày 26/6/2025</t>
  </si>
  <si>
    <t>725/PA-HĐBT(RXT)</t>
  </si>
  <si>
    <t>710/QĐ-UBND ngày 06/11/2025</t>
  </si>
  <si>
    <t>Nguyễn Thị Bích Hồng - Phạm Thị Ngọc Chi và các đồng thừa kế của ông Phạm Ngọc Quân</t>
  </si>
  <si>
    <t>1444/QĐ-UBND ngày 24/8/2026</t>
  </si>
  <si>
    <t>256C Bạch Đằng, P.14 (24 cũ)</t>
  </si>
  <si>
    <t>510/PA-HĐBT (RXT)</t>
  </si>
  <si>
    <t>477/PA</t>
  </si>
  <si>
    <t xml:space="preserve">Nguyễn Thị Ngọc Trân
</t>
  </si>
  <si>
    <t>220/9A Nguyễn Xí, P.Bình Thạnh (Phường 26, quận Bình Thạnh cũ)</t>
  </si>
  <si>
    <t>534/QĐ-UBND ngày 26/6/2025</t>
  </si>
  <si>
    <t>726/PA-HĐBT(RXT)</t>
  </si>
  <si>
    <t>Trung tâm Quản lý nhà và Giám định xây dựng Thành phố Hồ Chí Minh (ông Trần Đình Khả là người đại diện đang thuê theo Hợp đồng thuê nhà ở cũ thuộc sỡ hữu Nhà nước - Hợp đồng số: 2329NCO3344)</t>
  </si>
  <si>
    <t>20/29 Đinh Bộ Lĩnh, P.14 (24 cũ)</t>
  </si>
  <si>
    <t>536/QĐ-UBND ngày 26/6/2025</t>
  </si>
  <si>
    <t>728/PA-HĐBT(RXT)</t>
  </si>
  <si>
    <t>Lê Thị Quyên</t>
  </si>
  <si>
    <t>47/66 Bùi Đình Túy, P.14 (24 cũ)</t>
  </si>
  <si>
    <t>537/QĐ-UBND ngày 26/6/2025</t>
  </si>
  <si>
    <t>729/PA-HĐBT(RXT)</t>
  </si>
  <si>
    <t>Trương Hồng Quang - Trương Hồng Sơn - Trương Hồng Tâm</t>
  </si>
  <si>
    <t>58/142 Phan Chu Trinh, P.14 (24 cũ)</t>
  </si>
  <si>
    <t>538/QĐ-UBND ngày 26/6/2025</t>
  </si>
  <si>
    <t>730/PA-HĐBT(RXT)</t>
  </si>
  <si>
    <t>Các đồng thừa kế của ông Trương Vĩnh Giàu và bà Trương Thị Nhơn</t>
  </si>
  <si>
    <t>194/43/36 Bạch Đằng, P.14 (24 cũ)</t>
  </si>
  <si>
    <t>539/QĐ-UBND ngày 26/6/2025</t>
  </si>
  <si>
    <t>731/PA-HĐBT(RXT)</t>
  </si>
  <si>
    <t>Chu Văn Bường - Lý Thị Kim Dung</t>
  </si>
  <si>
    <t>58/153D Phan Chu Trinh, P.14 (24 cũ)</t>
  </si>
  <si>
    <t>1495/QĐ-UBND ngày 11/09/2026</t>
  </si>
  <si>
    <t>541/QĐ-UBND ngày 26/6/2025</t>
  </si>
  <si>
    <t>733/PA-HĐBT(RXT)</t>
  </si>
  <si>
    <t>Hoàng Thị Thu Nga và các đồng thừa kế của ông Nguyễn Tự Giang</t>
  </si>
  <si>
    <t>246/13/9 Bạch Đằng, P.14 (24 cũ)</t>
  </si>
  <si>
    <t>Không chi vì tổ chức cưỡng chế</t>
  </si>
  <si>
    <t>542/QĐ-UBND ngày 26/6/2025</t>
  </si>
  <si>
    <t>734/PA-HĐBT(RXT)</t>
  </si>
  <si>
    <t>Võ Văn Phúc - Trần Thị Lệ Hoa</t>
  </si>
  <si>
    <t>427/34 Xô Viết Nghệ Tĩnh, P.26</t>
  </si>
  <si>
    <t>543/QĐ-UBND ngày 26/6/2025</t>
  </si>
  <si>
    <t>735/PA-HĐBT(RXT)</t>
  </si>
  <si>
    <t>Nguyễn Văn Hoàng - Nguyễn Thị Thu Hà</t>
  </si>
  <si>
    <t>427/51 Xô Viết Nghệ Tĩnh, P.26</t>
  </si>
  <si>
    <t>544/QĐ-UBND ngày 26/6/2025</t>
  </si>
  <si>
    <t>736/PA-HĐBT(RXT)</t>
  </si>
  <si>
    <t>Các đồng thừa kế của ông Đôn Văn Bầy và bà Võ Thị Tây</t>
  </si>
  <si>
    <t>427/26 Xô Viết Nghệ Tĩnh, P.26</t>
  </si>
  <si>
    <t>545/QĐ-UBND ngày 26/6/2025</t>
  </si>
  <si>
    <t>737/PA-HĐBT(RXT)</t>
  </si>
  <si>
    <t>Lê Minh Song - Nguyễn Thị Ngọc Dung</t>
  </si>
  <si>
    <t>79/40 Nguyễn Xí, P.26</t>
  </si>
  <si>
    <t xml:space="preserve">sai tiền 816/QĐ-UBND ngày 08/05/2026 ( ngày BGMB 11/05/2026 - ngày BG căn hộ 26/05/2026 - đã làm tờ trình gửi lãnh đạo )
</t>
  </si>
  <si>
    <t>546/QĐ-UBND ngày 26/6/2025</t>
  </si>
  <si>
    <t>738/PA-HĐBT(RXT)</t>
  </si>
  <si>
    <t>Dương Thị Quỳnh Tiên cùng sử dụng đất, cùng sở hữu tài sản gắn liền với đất với bà Dương Thị Quỳnh Như - bà Dương Thị Quỳnh Uyên - bà Dương Thị Quỳnh Hoa - bà Dương Thị Quỳnh Chi - bà Dương Thị Quỳnh Thảo</t>
  </si>
  <si>
    <t>427/46E Xô Viết Nghệ Tĩnh, P.26</t>
  </si>
  <si>
    <t>547/QĐ-UBND ngày 26/6/2025</t>
  </si>
  <si>
    <t>1231/QĐ-UBND ngày 23/6/2026</t>
  </si>
  <si>
    <t>739/PA-HĐBT(RXT)</t>
  </si>
  <si>
    <t>Trương Thị Diễm Lệ</t>
  </si>
  <si>
    <t>220/61 Nguyễn Xí, P.26</t>
  </si>
  <si>
    <t>548/QĐ-UBND ngày 26/6/2025</t>
  </si>
  <si>
    <t>Nguyễn Văn Hoàng - Đặng Thị Nga</t>
  </si>
  <si>
    <t>59/44 Đinh Bộ Lĩnh, P.26</t>
  </si>
  <si>
    <t>Đang tạo  DVC T10/2026</t>
  </si>
  <si>
    <t>1453/QĐ-UBND ngày 26/08/2026</t>
  </si>
  <si>
    <t>550/QĐ-UBND ngày 26/6/2025</t>
  </si>
  <si>
    <t>742/PA-HĐBT(RXT)</t>
  </si>
  <si>
    <t>Đặng Thị Huyền Trang và các đồng thừa kế của ông Lê Hữu Bôi</t>
  </si>
  <si>
    <t>427/3 Xô Viết Nghệ Tĩnh, P.26</t>
  </si>
  <si>
    <t>551/QĐ-UBND ngày 26/6/2025</t>
  </si>
  <si>
    <t>743/PA-HĐBT(RXT)</t>
  </si>
  <si>
    <t>25/PA-HĐBT(RXT)</t>
  </si>
  <si>
    <t>Đàm Hoàng Minh Tuấn</t>
  </si>
  <si>
    <t>427/19 Xô Viết Nghệ Tĩnh, P.26</t>
  </si>
  <si>
    <t>QĐ 579/QĐ-UBND ngày 26/6/2025</t>
  </si>
  <si>
    <t>772/PA-HĐBT(RXT)</t>
  </si>
  <si>
    <t>Đang tạo DVC</t>
  </si>
  <si>
    <t>Nguyễn Phước Hiệp</t>
  </si>
  <si>
    <t>32/36/40B Bùi Đình Túy, P.12</t>
  </si>
  <si>
    <t>QĐ 580/QĐ-UBND ngày 26/6/2025</t>
  </si>
  <si>
    <t>773/PA-HĐBT(RXT)</t>
  </si>
  <si>
    <t>Nguyễn Văn Hào - Trần Thị Bạch Yến</t>
  </si>
  <si>
    <t>243/66 Chu Văn An, P.12</t>
  </si>
  <si>
    <t>QĐ 588/QĐ-UBND ngày 26/6/2025</t>
  </si>
  <si>
    <t>783/PA-HĐBT(RXT)</t>
  </si>
  <si>
    <t>Phạm Ngọc Em - Hoàng Thị Toàn</t>
  </si>
  <si>
    <t>246/7B/13 Bạch Đằng, P.14 (24 cũ)</t>
  </si>
  <si>
    <t>QĐ 589/QĐ-UBND ngày 26/6/2025</t>
  </si>
  <si>
    <t>784/PA-HĐBT(RXT)</t>
  </si>
  <si>
    <t>16/PA-HĐBT(RXT)</t>
  </si>
  <si>
    <t>Nguyễn Văn Phương - Bùi Thị Định</t>
  </si>
  <si>
    <t>125/82 Bùi Đình Túy, P.14 (24 cũ)</t>
  </si>
  <si>
    <t xml:space="preserve">Nhận bàn giao từ a Thủy: Đã ký =&gt; đợi chỉnh QĐ </t>
  </si>
  <si>
    <t>QĐ 591/QĐ-UBND ngày 26/6/2025</t>
  </si>
  <si>
    <t>786/PA-HĐBT(RXT)</t>
  </si>
  <si>
    <t>Lê Thị Bích Vân</t>
  </si>
  <si>
    <t>184/3/6B27 Nguyễn Xí, P.26</t>
  </si>
  <si>
    <t>QĐ 592/QĐ-UBND ngày 26/6/2025</t>
  </si>
  <si>
    <t>1265/QĐ-UBND ngày 01/7/2026</t>
  </si>
  <si>
    <t>787/PA-HĐBT(RXT)</t>
  </si>
  <si>
    <t>Nguyễn Trấn Quốc - Nguyễn Thị Thu</t>
  </si>
  <si>
    <t>QĐ 586/QĐ-UBND ngày 26/6/2025</t>
  </si>
  <si>
    <t>788/PA-HĐBT(RXT)</t>
  </si>
  <si>
    <t>Hoàng Hoa Anh</t>
  </si>
  <si>
    <t>225A Chu Văn An, P.26</t>
  </si>
  <si>
    <t>599/QĐ-UBND ngày 27/06/2025</t>
  </si>
  <si>
    <t>612/QĐ_UBND ngày 27/6/2025</t>
  </si>
  <si>
    <t>801/PA-HĐBT(RXT)</t>
  </si>
  <si>
    <t>Nguyễn Ngọc Hạnh</t>
  </si>
  <si>
    <t>32/40/40 (số cũ 662/132) Bùi Đình Túy, P.12</t>
  </si>
  <si>
    <t>616/QĐ_UBND ngày 27/6/2025</t>
  </si>
  <si>
    <t>805/PA-HĐBT(RXT)</t>
  </si>
  <si>
    <t>Trần Minh Bảo</t>
  </si>
  <si>
    <t>Không số Xô Viết Nghệ Tĩnh, P.26</t>
  </si>
  <si>
    <t>618/QĐ_UBND ngày 27/6/2025</t>
  </si>
  <si>
    <t>807/PA-HĐBT(RXT)</t>
  </si>
  <si>
    <t>Lê Phúc - Lê Thị Hương - Lê Thị Hòa</t>
  </si>
  <si>
    <t>194/41 (Số cũ: 194/43) Bạch Đằng, P.14 (24 cũ)</t>
  </si>
  <si>
    <t>619/QĐ_UBND ngày 27/6/2025</t>
  </si>
  <si>
    <t>808/PA-HĐBT(RXT)</t>
  </si>
  <si>
    <t>Lê Thị Thu Trang</t>
  </si>
  <si>
    <t>620/QĐ_UBND ngày 27/6/2025</t>
  </si>
  <si>
    <t>809/PA-HĐBT(RXT)</t>
  </si>
  <si>
    <t>Nguyễn Bạch Tuyết, Nguyễn Hoàng Anh, Nguyễn Hoàng Linh và một số người thừa kế khác chưa được xác định</t>
  </si>
  <si>
    <t>30 Đinh Bộ Lĩnh, P.14 (24 cũ)</t>
  </si>
  <si>
    <t>621/QĐ_UBND ngày 27/6/2025</t>
  </si>
  <si>
    <t>810/PA-HĐBT(RXT)</t>
  </si>
  <si>
    <t>03/PA-HĐBT(RXT)</t>
  </si>
  <si>
    <t>Các đồng thừa kế của ông Vũ Đức Hạnh và bà Nguyễn Thị Phượng</t>
  </si>
  <si>
    <t>194/50/53 (số cũ 194/50/71) Bạch Đằng, P.14 (24 cũ)</t>
  </si>
  <si>
    <t>622/QĐ_UBND ngày 27/6/2025</t>
  </si>
  <si>
    <t>811/PA-HĐBT(RXT)</t>
  </si>
  <si>
    <t>Nguyễn Anh Tuyết Trang</t>
  </si>
  <si>
    <t>246/25 Bạch Đằng, P.14 (24 cũ)</t>
  </si>
  <si>
    <t>623/QĐ_UBND ngày 27/6/2025</t>
  </si>
  <si>
    <t>812/PA-HĐBT(RXT)</t>
  </si>
  <si>
    <t>26/PA-HĐBT(RXT)</t>
  </si>
  <si>
    <t>Trần Văn Đức - Nguyễn Thị Họp</t>
  </si>
  <si>
    <t>427/46C Xô Viết Nghệ Tĩnh, P.26</t>
  </si>
  <si>
    <t>82/QĐ-UBND ngày 06/8/2025</t>
  </si>
  <si>
    <t>927/PA-HĐBT(RXT)</t>
  </si>
  <si>
    <t>Nguyễn Khắc Quân - Lưu Thị Nhung</t>
  </si>
  <si>
    <t>32/36/41 Bùi Đình Túy, P.Phường 12, quận Bình Thạnh (nay là phường Bình Thạnh)</t>
  </si>
  <si>
    <t>1502/QĐ-UBND ngày 11/09/2026</t>
  </si>
  <si>
    <t>ĐÃ KÝ DSC</t>
  </si>
  <si>
    <t>77/QĐ-UBND ngày 06/8/2025</t>
  </si>
  <si>
    <t>929/PA-HĐBT(RXT)</t>
  </si>
  <si>
    <t>Lê Thị Kim Oanh và các đồng thừa kế ông Cao Hiếu Thuận</t>
  </si>
  <si>
    <t>290/45/20/42 Nơ Trang Long, P.Phường 12, quận Bình Thạnh (nay là phường Bình Thạnh)</t>
  </si>
  <si>
    <t>75/QĐ-UBND ngày 06/8/2025</t>
  </si>
  <si>
    <t>930/PA-HĐBT(RXT)</t>
  </si>
  <si>
    <t>Bùi Hùng Tuấn - Hoàng Thị Lân</t>
  </si>
  <si>
    <t>243/60 Chu Văn An, P.Phường 12, quận Bình Thạnh (nay là phường Bình Thạnh)</t>
  </si>
  <si>
    <t>83/QĐ-UBND ngày 06/8/2025</t>
  </si>
  <si>
    <t>931/PA-HĐBT(RXT)</t>
  </si>
  <si>
    <t>Hồ Thị Quỳnh đại diện của những người thừa kế gồm: Lê Tiến Dũng, Lê Hoài Linh, Lê Thị Quỳnh Như, Lê Quỳnh Anh, Lê Hoài Thu, Lê Hoài Tâm, Lê Hoài Trung</t>
  </si>
  <si>
    <t>290/45/20/40 Nơ Trang Long, P.Phường 12, quận Bình Thạnh (nay là phường Bình Thạnh)</t>
  </si>
  <si>
    <t>73/QĐ-UBND ngày 06/8/2025</t>
  </si>
  <si>
    <t>932/PA-HĐBT(RXT)</t>
  </si>
  <si>
    <t>Nguyễn Hữu Thành - Lê Thị Lanh</t>
  </si>
  <si>
    <t>32/24/16 Bùi Đình Túy, P.Phường 12, quận Bình Thạnh (nay là phường Bình Thạnh)</t>
  </si>
  <si>
    <t>78/QĐ-UBND ngày 06/8/2025</t>
  </si>
  <si>
    <t>998/QĐ-UBND ngày 04/6/2026</t>
  </si>
  <si>
    <t>933/PA-HĐBT(RXT)</t>
  </si>
  <si>
    <t>228/PA-HĐBT(RXT)</t>
  </si>
  <si>
    <t>Nguyễn Thị Tuyết Hoa</t>
  </si>
  <si>
    <t>32/36/40F Bùi Đình Túy, P.Phường 12, quận Bình Thạnh (nay là phường Bình Thạnh)</t>
  </si>
  <si>
    <t>74/QĐ-UBND ngày 06/8/2025</t>
  </si>
  <si>
    <t>934/PA-HĐBT(RXT)</t>
  </si>
  <si>
    <t>Quan Thanh Tâm - Trịnh Thi Thu</t>
  </si>
  <si>
    <t>32/121 Bùi Đình Túy, P.Phường 12, quận Bình Thạnh (nay là phường Bình Thạnh)</t>
  </si>
  <si>
    <t>374/QĐ-UBND ngày 07/04/2026; 1398/QĐ-UBND ngày 07/8/2026</t>
  </si>
  <si>
    <t>20/QĐ-UBND ngày 05/8/2025</t>
  </si>
  <si>
    <t>936/PA-HĐBT(RXT)</t>
  </si>
  <si>
    <t>32/8/7 Bùi Đình Túy, P.Phường 12, quận Bình Thạnh (nay là phường Bình Thạnh)</t>
  </si>
  <si>
    <t>929/QĐ-UBND ngày 26/05/2026</t>
  </si>
  <si>
    <t xml:space="preserve">1388/QĐ-UBND ngày 04/08/2026 
</t>
  </si>
  <si>
    <t>26/QĐ-UBND ngày 05/8/2025</t>
  </si>
  <si>
    <t>938/PA-HĐBT(RXT)</t>
  </si>
  <si>
    <t>Đào Văn Hải - Nguyễn Kim Mai</t>
  </si>
  <si>
    <t>266/28 Bạch Đằng, P.Phường 14, quận Bình Thạnh (nay là phường Bình Thạnh)</t>
  </si>
  <si>
    <t>19/QĐ-UBND ngày 05/8/2025</t>
  </si>
  <si>
    <t>939/PA-HĐBT(RXT)</t>
  </si>
  <si>
    <t>Nguyễn Ngọc Dũng - Nguyễn Ngọc Diệp</t>
  </si>
  <si>
    <t>20/6 Đinh Bộ Lĩnh, P.Phường 14, quận Bình Thạnh (nay là phường Bình Thạnh)</t>
  </si>
  <si>
    <t>883/QĐ-UBND ngày 18/5/2026</t>
  </si>
  <si>
    <t xml:space="preserve"> 1388/QĐ-UBND ngày 04/08/2026</t>
  </si>
  <si>
    <t>Đã chi 23/9</t>
  </si>
  <si>
    <t>80/QĐ-UBND ngày 06/8/2025</t>
  </si>
  <si>
    <t>942/PA-HĐBT(RXT)</t>
  </si>
  <si>
    <t>592/PA-HĐBT(RXT)</t>
  </si>
  <si>
    <t>58/96/29 Phan Chu Trinh, P.Phường 14, quận Bình Thạnh (nay là phường Bình Thạnh)</t>
  </si>
  <si>
    <t>Đã tạo DVC</t>
  </si>
  <si>
    <t>79/QĐ-UBND ngày 06/8/2025</t>
  </si>
  <si>
    <t>945/PA-HĐBT(RXT)</t>
  </si>
  <si>
    <t>Tô Ngọc Linh - Lữ Thị Kim Tuyến</t>
  </si>
  <si>
    <t>47/19A Bùi Đình Túy, P.Phường 14, quận Bình Thạnh (nay là phường Bình Thạnh)</t>
  </si>
  <si>
    <t>10/QĐ-UBND ngày 05/8/2025</t>
  </si>
  <si>
    <t>946/PA-HĐBT(RXT)</t>
  </si>
  <si>
    <t>Phạm Phương Thảo</t>
  </si>
  <si>
    <t>20/31 Đinh Bộ Lĩnh, P.Phường 14, quận Bình Thạnh (nay là phường Bình Thạnh)</t>
  </si>
  <si>
    <t>30/QĐ-UBND ngày 05/8/2025</t>
  </si>
  <si>
    <t>948/PA-HĐBT(RXT)</t>
  </si>
  <si>
    <t>Công ty cổ phần Xây dựng - Vận tải số Chín</t>
  </si>
  <si>
    <t>20/8 Đinh Bộ Lĩnh, P.Phường 14, quận Bình Thạnh (nay là phường Bình Thạnh)</t>
  </si>
  <si>
    <t>27/QĐ-UBND ngày 05/8/2025</t>
  </si>
  <si>
    <t>949/PA-HĐBT(RXT)</t>
  </si>
  <si>
    <t>Nguyễn Thanh Tiếp - Nguyễn Thị Hoàng Phượng</t>
  </si>
  <si>
    <t>58/22/34A Phan Chu Trinh, P.Phường 14, quận Bình Thạnh (nay là phường Bình Thạnh)</t>
  </si>
  <si>
    <t>29/QĐ-UBND ngày 05/8/2025</t>
  </si>
  <si>
    <t>950/PA-HĐBT(RXT)</t>
  </si>
  <si>
    <t>231/PA</t>
  </si>
  <si>
    <t>Trần Hữu Thăng - Nguyễn Thị Thu Hà</t>
  </si>
  <si>
    <t>24 - 24A Đinh Bộ Lĩnh, P.Phường 14, quận Bình Thạnh (nay là phường Bình Thạnh)</t>
  </si>
  <si>
    <t>113/QĐ-UBND ngày 08/8/2025</t>
  </si>
  <si>
    <t>951/PA-HĐBT(RXT)</t>
  </si>
  <si>
    <t>Phan Văn Khải - Lê Thị Hiền</t>
  </si>
  <si>
    <t>238/35 Bạch Đằng, P.Phường 14, quận Bình Thạnh (nay là phường Bình Thạnh)</t>
  </si>
  <si>
    <t>06/QĐ-UBND ngày 05/8/2025</t>
  </si>
  <si>
    <t>952/PA-HĐBT(RXT)</t>
  </si>
  <si>
    <t>Võ Đông Châu</t>
  </si>
  <si>
    <t>47/25 Bùi Đình Túy, P.Phường 14, quận Bình Thạnh (nay là phường Bình Thạnh)</t>
  </si>
  <si>
    <t>Đã mời và hướng dẫn -&gt; công ty đang làm công văn và cử người qua làm thủ tục</t>
  </si>
  <si>
    <t>Không đồng ý</t>
  </si>
  <si>
    <t>21/QĐ-UBND ngày 05/8/2025</t>
  </si>
  <si>
    <t>Chờ KNDS</t>
  </si>
  <si>
    <t>955/PA-HĐBT(RXT)</t>
  </si>
  <si>
    <t>Nguyễn Thị Hiếu - Nguyễn Văn Lộc</t>
  </si>
  <si>
    <t>58/153B Phan Chu Trinh, P.Phường 14, quận Bình Thạnh (nay là phường Bình Thạnh)</t>
  </si>
  <si>
    <t>86/QĐ-UBND ngày 06/8/2025</t>
  </si>
  <si>
    <t>732/QĐ-UBND ngày 28/4/2026; 1309/QĐ-UBND ngày 10/7/2026</t>
  </si>
  <si>
    <t>956/PA-HĐBT(RXT)</t>
  </si>
  <si>
    <t>432/PA</t>
  </si>
  <si>
    <t>Lê Ngọc Vân</t>
  </si>
  <si>
    <t>118/184 Bạch Đằng, P.Phường 14, quận Bình Thạnh (nay là phường Bình Thạnh)</t>
  </si>
  <si>
    <t>24/QĐ-UBND ngày 05/8/2025</t>
  </si>
  <si>
    <t>957/PA-HĐBT(RXT)</t>
  </si>
  <si>
    <t>Lê Thị The và các đồng thừa kế của ông Trần Văn Thủ</t>
  </si>
  <si>
    <t>58/153L Phan Chu Trinh, P.Phường 14, quận Bình Thạnh (nay là phường Bình Thạnh)</t>
  </si>
  <si>
    <t>56/QĐ-UBND ngày 05/8/2025</t>
  </si>
  <si>
    <t>958/PA-HĐBT(RXT)</t>
  </si>
  <si>
    <t>Võ Đông Sơ - Nguyễn Thị Hồng</t>
  </si>
  <si>
    <t>194/50/71 (STC 194/50/59) Bạch Đằng, P.Phường 14, quận Bình Thạnh (nay là phường Bình Thạnh)</t>
  </si>
  <si>
    <t>23/QĐ-UBND ngày 05/8/2025</t>
  </si>
  <si>
    <t>960/PA-HĐBT(RXT)</t>
  </si>
  <si>
    <t>Trần Anh Tuấn - Cao Thị Kim Đợi</t>
  </si>
  <si>
    <t>58/165A Phan Chu Trinh, P.Phường 14, quận Bình Thạnh (nay là phường Bình Thạnh)</t>
  </si>
  <si>
    <t>17/QĐ-UBND ngày 05/8/2025</t>
  </si>
  <si>
    <t>961/PA-HĐBT(RXT)</t>
  </si>
  <si>
    <t>Các đồng thừa kế của Nguyễn Văn Xiếu</t>
  </si>
  <si>
    <t>194/50/36 Bạch Đằng, P.Phường 14, quận Bình Thạnh (nay là phường Bình Thạnh)</t>
  </si>
  <si>
    <t>18/QĐ-UBND ngày 05/8/2025</t>
  </si>
  <si>
    <t>963/PA-HĐBT(RXT)</t>
  </si>
  <si>
    <t>Nguyễn Văn Ngọc - Dương Thị Hoàng Oanh</t>
  </si>
  <si>
    <t>194/43/23B Bạch Đằng, P.Phường 14, quận Bình Thạnh (nay là phường Bình Thạnh)</t>
  </si>
  <si>
    <t>85/QĐ-UBND ngày 06/8/2025</t>
  </si>
  <si>
    <t>964/PA-HĐBT(RXT)</t>
  </si>
  <si>
    <t>125/77/22 Bùi Đình Túy, P.Phường 14, quận Bình Thạnh (nay là phường Bình Thạnh)</t>
  </si>
  <si>
    <t>04/QĐ-UBND ngày 05/8/2025</t>
  </si>
  <si>
    <t>965/PA-HĐBT(RXT)</t>
  </si>
  <si>
    <t>665/PA-HĐBT(RXT)</t>
  </si>
  <si>
    <t>Các đồng thừa kế của ông Nguyễn Văn Châu - bà Nguyễn Cẩm Xuân Hương</t>
  </si>
  <si>
    <t>194/43/30 Bạch Đằng, P.Phường 14, quận Bình Thạnh (nay là phường Bình Thạnh)</t>
  </si>
  <si>
    <t>07/QĐ-UBND ngày 05/8/2025</t>
  </si>
  <si>
    <t>966/PA-HĐBT(RXT)</t>
  </si>
  <si>
    <t>Trần Văn Hưng - Phùng Thị Mỹ Ánh</t>
  </si>
  <si>
    <t>194/43/40 Bạch Đằng, P.Phường 14, quận Bình Thạnh (nay là phường Bình Thạnh)</t>
  </si>
  <si>
    <t>05/QĐ-UBND ngày 05/8/2025</t>
  </si>
  <si>
    <t>1128/QĐ-UBND ngày 12/6/2026</t>
  </si>
  <si>
    <t>968/PA-HĐBT(RXT)</t>
  </si>
  <si>
    <t>340/PA</t>
  </si>
  <si>
    <t>Lê Ngọc Phượng - Bùi Thị Xuyền</t>
  </si>
  <si>
    <t>20/39 Đinh Bộ Lĩnh, P.Phường 14, quận Bình Thạnh (nay là phường Bình Thạnh)</t>
  </si>
  <si>
    <t>55/QĐ-UBND ngày 05/8/2025</t>
  </si>
  <si>
    <t>969/PA-HĐBT(RXT)</t>
  </si>
  <si>
    <t>có ngăn chặn</t>
  </si>
  <si>
    <t>Trịnh Thị Ngọc Thơm (là người đại diện của những người được thừa kế gồm các ông (bà) Trịnh Thị Ngọc Ánh, Trịnh Thị Ngọc Thoa, Nguyễn Ngọc Phương Khanh, Trịnh Ngọc Đăng Khoa và Trịnh Ngọc Đăng Trường)</t>
  </si>
  <si>
    <t>266/16A Bạch Đằng, P.Phường 14, quận Bình Thạnh (nay là phường Bình Thạnh)</t>
  </si>
  <si>
    <t>68/QĐ-UBND ngày 06/8/2025</t>
  </si>
  <si>
    <t>970/PA-HĐBT(RXT)</t>
  </si>
  <si>
    <t>Công ty cổ phần Nosafood (thuê đất) - Công ty cổ phần đầu tư xây dựng kinh doanh nhà Bến Thành (chủ sở hữu nhà)</t>
  </si>
  <si>
    <t>256 - 256A Bạch Đằng, P.Phường 14, quận Bình Thạnh (nay là phường Bình Thạnh)</t>
  </si>
  <si>
    <t>67/QĐ-UBND ngày 06/8/2025</t>
  </si>
  <si>
    <t>971/PA-HĐBT(RXT)</t>
  </si>
  <si>
    <t>Vũ Thị Tuyết</t>
  </si>
  <si>
    <t>194/50/48 Bạch Đằng, P.Phường 14, quận Bình Thạnh (nay là phường Bình Thạnh)</t>
  </si>
  <si>
    <t>64/QĐ-UBND ngày 06/8/2025</t>
  </si>
  <si>
    <t>972/PA-HĐBT(RXT)</t>
  </si>
  <si>
    <t>Lâm Thị Minh Trâm</t>
  </si>
  <si>
    <t>260C Bạch Đằng, P.Phường 14, quận Bình Thạnh (nay là phường Bình Thạnh)</t>
  </si>
  <si>
    <t>65/QĐ-UBND ngày 06/8/2025</t>
  </si>
  <si>
    <t>973/PA-HĐBT(RXT)</t>
  </si>
  <si>
    <t>Các đồng thừa kế của ông Tô Văn Khiêm - bà Lâm Thị Vân</t>
  </si>
  <si>
    <t>258A Bạch Đằng, P.Phường 14, quận Bình Thạnh (nay là phường Bình Thạnh)</t>
  </si>
  <si>
    <t>70/QĐ-UBND ngày 06/8/2025</t>
  </si>
  <si>
    <t>975/PA-HĐBT(RXT)</t>
  </si>
  <si>
    <t>Các đồng thừa kế của ông Trần Thành Đạt và bà Nguyễn Thị Giàu</t>
  </si>
  <si>
    <t>35/2H1 Đinh Bộ Lĩnh, P.Phường 14, quận Bình Thạnh (nay là phường Bình Thạnh)</t>
  </si>
  <si>
    <t>08/QĐ-UBND ngày 05/8/2025</t>
  </si>
  <si>
    <t>977/PA-HĐBT(RXT)</t>
  </si>
  <si>
    <t>Đặng Thị Minh Cầm</t>
  </si>
  <si>
    <t>58/22/28 Phan Chu Trinh, P.Phường 14, quận Bình Thạnh (nay là phường Bình Thạnh)</t>
  </si>
  <si>
    <t>61/QĐ-UBND ngày 06/8/2025</t>
  </si>
  <si>
    <t>979/PA-HĐBT(RXT)</t>
  </si>
  <si>
    <t>Đoàn Văn Sành và các đồng thừa kế của bà Nguyễn Thị Lệ</t>
  </si>
  <si>
    <t>246/18F Bạch Đằng, P.Phường 14, quận Bình Thạnh (nay là phường Bình Thạnh)</t>
  </si>
  <si>
    <t>59/QĐ-UBND ngày 06/8/2025</t>
  </si>
  <si>
    <t>980/PA-HĐBT(RXT)</t>
  </si>
  <si>
    <t>Công ty TNHH MTV Dịch vụ công ích quận Bình Thạnh đang sử dụng</t>
  </si>
  <si>
    <t>258B Bạch Đằng, P.Phường 14, quận Bình Thạnh (nay là phường Bình Thạnh)</t>
  </si>
  <si>
    <t>69/QĐ-UBND ngày 06/8/2025</t>
  </si>
  <si>
    <t>981/PA-HĐBT(RXT)</t>
  </si>
  <si>
    <t>Dương Thị Tuyết Nga - Nguyễn Anh Linh</t>
  </si>
  <si>
    <t>246/13/31 Bạch Đằng, P.Phường 14, quận Bình Thạnh (nay là phường Bình Thạnh)</t>
  </si>
  <si>
    <t>Nhận bàn giao từ a Thủy: Đợi QĐ giao nền đất =&gt; hết hạn GUQ</t>
  </si>
  <si>
    <t>62/QĐ-UBND ngày 06/8/2025</t>
  </si>
  <si>
    <t>983/PA-HĐBT(RXT)</t>
  </si>
  <si>
    <t>Lưu Thị Tươi, Lưu Kim Phụng, Lưu Kim Hiền, Lưu Kim Phương</t>
  </si>
  <si>
    <t>125/74 Bùi Đình Túy, P.Phường 14, quận Bình Thạnh (nay là phường Bình Thạnh)</t>
  </si>
  <si>
    <t>12/QĐ-UBND ngày 05/8/2025</t>
  </si>
  <si>
    <t>985/PA-HĐBT(RXT)</t>
  </si>
  <si>
    <t>Các đồng thừa kế của ông Hồ Văn Hồng - bà Trần Thị Sửu</t>
  </si>
  <si>
    <t>47/65 Bùi Đình Túy, P.Phường 14, quận Bình Thạnh (nay là phường Bình Thạnh)</t>
  </si>
  <si>
    <t>03/QĐ-UBND ngày 05/8/2025</t>
  </si>
  <si>
    <t>986/PA-HĐBT(RXT)</t>
  </si>
  <si>
    <t>Nguyễn Hà Uyên Phương</t>
  </si>
  <si>
    <t>20/35 Đinh Bộ Lĩnh, P.Phường 14, quận Bình Thạnh (nay là phường Bình Thạnh)</t>
  </si>
  <si>
    <t>48/QĐ-UBND ngày 06/8/2025</t>
  </si>
  <si>
    <t>987/PA-HĐBT(RXT)</t>
  </si>
  <si>
    <t>a</t>
  </si>
  <si>
    <t>Trần Thị Kim Sang</t>
  </si>
  <si>
    <t>125/77/20A Bùi Đình Túy, P.Phường 14, quận Bình Thạnh (nay là phường Bình Thạnh)</t>
  </si>
  <si>
    <t>53/QĐ-UBND ngày 06/8/2025</t>
  </si>
  <si>
    <t>988/PA-HĐBT(RXT)</t>
  </si>
  <si>
    <t>Công ty TNHH Xây dựng - Kinh Doanh Địa Ốc Nam An</t>
  </si>
  <si>
    <t>26 Đinh Bộ Lĩnh, P.Phường 14, quận Bình Thạnh (nay là phường Bình Thạnh)</t>
  </si>
  <si>
    <t>52/QĐ-UBND ngày 06/8/2025</t>
  </si>
  <si>
    <t>989/PA-HĐBT(RXT)</t>
  </si>
  <si>
    <t>Nguyễn Xuân Lộc</t>
  </si>
  <si>
    <t>266/26 Bạch Đằng, P.Phường 14, quận Bình Thạnh (nay là phường Bình Thạnh)</t>
  </si>
  <si>
    <t>51/QĐ-UBND ngày 06/8/2025</t>
  </si>
  <si>
    <t>990/PA-HĐBT(RXT)</t>
  </si>
  <si>
    <t>Lâm Thị Út</t>
  </si>
  <si>
    <t>264C Bạch Đằng, P.Phường 14, quận Bình Thạnh (nay là phường Bình Thạnh)</t>
  </si>
  <si>
    <t>50/QĐ-UBND ngày 06/8/2025</t>
  </si>
  <si>
    <t>991/PA-HĐBT(RXT)</t>
  </si>
  <si>
    <t>Ngô Thu Thủy</t>
  </si>
  <si>
    <t>58/22/34C Phan Chu Trinh, P.Phường 14, quận Bình Thạnh (nay là phường Bình Thạnh)</t>
  </si>
  <si>
    <t>39/QĐ-UBND ngày 05/8/2025</t>
  </si>
  <si>
    <t>992/PA-HĐBT(RXT)</t>
  </si>
  <si>
    <t>Ngô Minh Dũng là người đại diện của những người được thừa kế gồm: Ngô Thị Đông Mai</t>
  </si>
  <si>
    <t>427/49 Xô Viết Nghệ Tĩnh, P.Phường 26, quận Bình Thạnh (nay là phường Bình Thạnh)</t>
  </si>
  <si>
    <t>94/QĐ-UBND ngày 06/8/2025</t>
  </si>
  <si>
    <t>993/PA-HĐBT(RXT)</t>
  </si>
  <si>
    <t>Đặng Thị Thanh Thảo</t>
  </si>
  <si>
    <t>111/33 Xô Viết Nghệ Tĩnh, P.Phường 26, quận Bình Thạnh (nay là phường Bình Thạnh)</t>
  </si>
  <si>
    <t>88/QĐ-UBND ngày 06/8/2025</t>
  </si>
  <si>
    <t>1205/QĐ-UBND ngày 20/6/2026</t>
  </si>
  <si>
    <t>994/PA-HĐBT(RXT)</t>
  </si>
  <si>
    <t>327/PA</t>
  </si>
  <si>
    <t>Lê Thị Hạnh - Nguyễn Thanh Tú</t>
  </si>
  <si>
    <t>220/23A Nguyễn Xí, P.Phường 26, quận Bình Thạnh (nay là phường Bình Thạnh)</t>
  </si>
  <si>
    <t>107/QĐ-UBND ngày 06/8/2025</t>
  </si>
  <si>
    <t>995/PA-HĐBT(RXT)</t>
  </si>
  <si>
    <t>Lê Văn Hợp</t>
  </si>
  <si>
    <t>201/104 Nguyễn Xí, P.Phường 26, quận Bình Thạnh (nay là phường Bình Thạnh)</t>
  </si>
  <si>
    <t>106/QĐ-UBND ngày 06/8/2025</t>
  </si>
  <si>
    <t>996/PA-HĐBT(RXT)</t>
  </si>
  <si>
    <t>Hoàng Châu Hồ - Nguyễn Thị Bốn</t>
  </si>
  <si>
    <t>201/108 Nguyễn Xí, P.Phường 26, quận Bình Thạnh (nay là phường Bình Thạnh)</t>
  </si>
  <si>
    <t>89/QĐ-UBND ngày 06/8/2025</t>
  </si>
  <si>
    <t>998/PA-HĐBT(RXT)</t>
  </si>
  <si>
    <t>Âu Văn Mẫn - Nguyễn Thị Diệu Thắm</t>
  </si>
  <si>
    <t>220/19 Nguyễn Xí, P.Phường 26, quận Bình Thạnh (nay là phường Bình Thạnh)</t>
  </si>
  <si>
    <t>111/QĐ-UBND ngày 06/8/2025</t>
  </si>
  <si>
    <t>999/PA-HĐBT(RXT)</t>
  </si>
  <si>
    <t>Trần Trắc và các đồng thừa kế của bà Phạm Thị Nhựt</t>
  </si>
  <si>
    <t>75/76 Đinh Bộ Lĩnh, P.Phường 26, quận Bình Thạnh (nay là phường Bình Thạnh)</t>
  </si>
  <si>
    <t>108/QĐ-UBND ngày 06/8/2025</t>
  </si>
  <si>
    <t>1001/PA-HĐBT(RXT)</t>
  </si>
  <si>
    <t>Võ Trọng Đính - Trương Thị Quỳnh Hoa</t>
  </si>
  <si>
    <t>79/5BX15 Xô Viết Nghệ Tĩnh, P.Phường 26, quận Bình Thạnh (nay là phường Bình Thạnh)</t>
  </si>
  <si>
    <t>91/QĐ-UBND ngày 06/8/2025</t>
  </si>
  <si>
    <t>1002/PA-HĐBT(RXT)</t>
  </si>
  <si>
    <t>Các đồng thừa kế của ông Trần Viết Huynh và bà Trương Thị Quất</t>
  </si>
  <si>
    <t>59/17 Đinh Bộ Lĩnh, P.Phường 26, quận Bình Thạnh (nay là phường Bình Thạnh)</t>
  </si>
  <si>
    <t>Đã liên hệ -&gt; 2 vợ chồng ở nước ngoài chưa về được -&gt; có HĐUQ nhưng trong nội dung không ủy quyền nhận tiền</t>
  </si>
  <si>
    <t>92/QĐ-UBND ngày 06/8/2025</t>
  </si>
  <si>
    <t>1004/PA-HĐBT(RXT)</t>
  </si>
  <si>
    <t>Trần Văn Thành - Mai Thị Huệ</t>
  </si>
  <si>
    <t>93/QĐ-UBND ngày 06/8/2025</t>
  </si>
  <si>
    <t>1005/PA-HĐBT(RXT)</t>
  </si>
  <si>
    <t>547/PA-HĐBT(RXT)</t>
  </si>
  <si>
    <t>Ngô Thị Ngọc Thúy</t>
  </si>
  <si>
    <t>387 Đinh Bộ Lĩnh, P.Phường 26, quận Bình Thạnh (nay là phường Bình Thạnh)</t>
  </si>
  <si>
    <t>46/QĐ-UBND ngày 05/8/2025</t>
  </si>
  <si>
    <t>1006/PA-HĐBT(RXT)</t>
  </si>
  <si>
    <t>Nguyễn Thanh Chúc - Ngô Tôn Ngọc Liên</t>
  </si>
  <si>
    <t>79/5BX14 Xô Viết Nghệ Tĩnh, P.Phường 26, quận Bình Thạnh (nay là phường Bình Thạnh)</t>
  </si>
  <si>
    <t>103/QĐ-UBND ngày 06/8/2025</t>
  </si>
  <si>
    <t>1007/PA-HĐBT(RXT)</t>
  </si>
  <si>
    <t>Trịnh Hữu Viên - Nguyễn Thị Phương</t>
  </si>
  <si>
    <t>377/4 Đinh Bộ Lĩnh, P.Phường 26, quận Bình Thạnh (nay là phường Bình Thạnh)</t>
  </si>
  <si>
    <t>100/QĐ-UBND ngày 06/8/2025</t>
  </si>
  <si>
    <t>1008/PA-HĐBT(RXT)</t>
  </si>
  <si>
    <t>Đinh Viết Khải - Vũ Dương Thị Thanh Hương</t>
  </si>
  <si>
    <t>79/5BX10 Xô Viết Nghệ Tĩnh (đường Nguyễn Xí), P.Phường 26, quận Bình Thạnh (nay là phường Bình Thạnh)</t>
  </si>
  <si>
    <t>87/QĐ-UBND ngày 06/8/2025</t>
  </si>
  <si>
    <t>1009/PA-HĐBT(RXT)</t>
  </si>
  <si>
    <t>Phạm Thị Thu</t>
  </si>
  <si>
    <t>201/60/40 Nguyễn Xí, P.Phường 26, quận Bình Thạnh (nay là phường Bình Thạnh)</t>
  </si>
  <si>
    <t>96/QĐ-UBND ngày 06/8/2025</t>
  </si>
  <si>
    <t>1010/PA-HĐBT(RXT)</t>
  </si>
  <si>
    <t>Lê Viết An - Nguyễn Thị Ánh</t>
  </si>
  <si>
    <t>209A (79/5B/X07) Nguyễn Xí, P.Phường 26, quận Bình Thạnh (nay là phường Bình Thạnh)</t>
  </si>
  <si>
    <t>110/QĐ-UBND ngày 06/8/2025</t>
  </si>
  <si>
    <t>1011/PA-HĐBT(RXT)</t>
  </si>
  <si>
    <t>Nguyễn Văn Thứ - Lương Thị Thủy</t>
  </si>
  <si>
    <t>201/60/60 Nguyễn Xí, P.Phường 26, quận Bình Thạnh (nay là phường Bình Thạnh)</t>
  </si>
  <si>
    <t>105/QĐ-UBND ngày 06/8/2025</t>
  </si>
  <si>
    <t>1012/PA-HĐBT(RXT)</t>
  </si>
  <si>
    <t>Nguyễn Đức Tuyến - Nguyễn Thị Phương</t>
  </si>
  <si>
    <t>59/42 Đinh Bộ Lĩnh, P.Phường 26, quận Bình Thạnh (nay là phường Bình Thạnh)</t>
  </si>
  <si>
    <t>102/QĐ-UBND ngày 06/8/2025</t>
  </si>
  <si>
    <t>1013/PA-HĐBT(RXT)</t>
  </si>
  <si>
    <t>Các đồng thừa kế của bà Phạm Thị An</t>
  </si>
  <si>
    <t>59/52 Đinh Bộ Lĩnh, P.Phường 26, quận Bình Thạnh (nay là phường Bình Thạnh)</t>
  </si>
  <si>
    <t>98/QĐ-UBND ngày 06/8/2025</t>
  </si>
  <si>
    <t>1014/PA-HĐBT(RXT)</t>
  </si>
  <si>
    <t>Trần Giao - Huỳnh Thị Uyên Trang</t>
  </si>
  <si>
    <t>427/32/1 Xô Viết Nghệ Tĩnh, P.Phường 26, quận Bình Thạnh (nay là phường Bình Thạnh)</t>
  </si>
  <si>
    <t>97/QĐ-UBND ngày 06/8/2025</t>
  </si>
  <si>
    <t>1015/PA-HĐBT(RXT)</t>
  </si>
  <si>
    <t>Đinh Thị Đan Phương - Lê Minh Quang</t>
  </si>
  <si>
    <t>79/24H Nguyễn Xí, P.Phường 26, quận Bình Thạnh (nay là phường Bình Thạnh)</t>
  </si>
  <si>
    <t>109/QĐ-UBND ngày 06/8/2025</t>
  </si>
  <si>
    <t>1016/PA-HĐBT(RXT)</t>
  </si>
  <si>
    <t>Nguyễn Thị Bé</t>
  </si>
  <si>
    <t>Không số Nguyễn Xí, P.Phường 26, quận Bình Thạnh (nay là phường Bình Thạnh)</t>
  </si>
  <si>
    <t>99/QĐ-UBND ngày 06/8/2025</t>
  </si>
  <si>
    <t>1018/PA-HĐBT(RXT)</t>
  </si>
  <si>
    <t>Đối Thị Bích Na</t>
  </si>
  <si>
    <t>167 Chu Văn An, P.Phường 26, quận Bình Thạnh (nay là phường Bình Thạnh)</t>
  </si>
  <si>
    <t>112/QĐ-UBND ngày 08/8/2025</t>
  </si>
  <si>
    <t>1019/PA-HĐBT(RXT)</t>
  </si>
  <si>
    <t>Trương Minh Ngôn</t>
  </si>
  <si>
    <t>381 Đinh Bộ Lĩnh, P.Phường 26, quận Bình Thạnh (nay là phường Bình Thạnh)</t>
  </si>
  <si>
    <t>104/QĐ-UBND ngày 06/8/2025</t>
  </si>
  <si>
    <t>1020/PA-HĐBT(RXT)</t>
  </si>
  <si>
    <t>Lê Minh Trung - Hoàng Kim Thoa</t>
  </si>
  <si>
    <t>79/5BX9B Xô Viết Nghệ Tĩnh (nay là đường Nguyễn Xí), P.Phường 26, quận Bình Thạnh (nay là phường Bình Thạnh)</t>
  </si>
  <si>
    <t>35/QĐ-UBND ngày 05/8/2025</t>
  </si>
  <si>
    <t>1021/PA-HĐBT(RXT)</t>
  </si>
  <si>
    <t>Phạm Đức Châu - Vũ Thị Tính</t>
  </si>
  <si>
    <t>209H (79/5BX01 Xô Viết Nghệ Tĩnh) Nguyễn Xí, P.Phường 26, quận Bình Thạnh (nay là phường Bình Thạnh)</t>
  </si>
  <si>
    <t>31/QĐ-UBND ngày 05/8/2025</t>
  </si>
  <si>
    <t>1022/PA-HĐBT(RXT)</t>
  </si>
  <si>
    <t>59/17B Đinh Bộ Lĩnh, P.Phường 26, quận Bình Thạnh (nay là phường Bình Thạnh)</t>
  </si>
  <si>
    <t>44/QĐ-UBND ngày 05/8/2025</t>
  </si>
  <si>
    <t>1218/QĐ-UBND ngày 20/6/2026</t>
  </si>
  <si>
    <t>1023/PA-HĐBT(RXT)</t>
  </si>
  <si>
    <t>326/PA</t>
  </si>
  <si>
    <t>ông Trịnh Quang Hiệp - bà Nguyễn Thị Trang</t>
  </si>
  <si>
    <t>184/3/6B18 Nguyễn Xí, P.Phường 26, quận Bình Thạnh (nay là phường Bình Thạnh)</t>
  </si>
  <si>
    <t>114/QĐ-UBND ngày 08/8/2025</t>
  </si>
  <si>
    <t>1327/QĐ-UBND ngày 30/12/2025</t>
  </si>
  <si>
    <t>1024/PA-HĐBT(RXT)</t>
  </si>
  <si>
    <t>586/PA-HĐBT(RXT)</t>
  </si>
  <si>
    <t>184/3/6B10 Nguyễn Xí, P.Phường 26, quận Bình Thạnh (nay là phường Bình Thạnh)</t>
  </si>
  <si>
    <t>41/QĐ-UBND ngày 05/8/2025</t>
  </si>
  <si>
    <t>1025/PA-HĐBT(RXT)</t>
  </si>
  <si>
    <t>Nguyễn Thị Phương Linh</t>
  </si>
  <si>
    <t>427/38A Xô Viết Nghệ Tĩnh, P.Phường 26, quận Bình Thạnh (nay là phường Bình Thạnh)</t>
  </si>
  <si>
    <t>43/QĐ-UBND ngày 05/8/2025</t>
  </si>
  <si>
    <t>1026/PA-HĐBT(RXT)</t>
  </si>
  <si>
    <t>Huỳnh Ngọc Phủ - Trần Thị Mỹ Hạnh</t>
  </si>
  <si>
    <t>220/56 Nguyễn Xí, P.Phường 26, quận Bình Thạnh (nay là phường Bình Thạnh)</t>
  </si>
  <si>
    <t>34/QĐ-UBND ngày 05/8/2025</t>
  </si>
  <si>
    <t>1027/PA-HĐBT(RXT)</t>
  </si>
  <si>
    <t>Nguyễn Viết Lưỡng (chết) - Nguyễn Thị Sao</t>
  </si>
  <si>
    <t>209D (79/5BX04) Nguyễn Xí, P.Phường 26, quận Bình Thạnh (nay là phường Bình Thạnh)</t>
  </si>
  <si>
    <t>33/QĐ-UBND ngày 05/8/2025</t>
  </si>
  <si>
    <t>1028/PA-HĐBT(RXT)</t>
  </si>
  <si>
    <t>Lê Trung Kiên - Phạm Thị Thu</t>
  </si>
  <si>
    <t>79/5B/X13 Xô Viết Nghệ Tĩnh (nay là đường Nguyễn Xí), P.Phường 26, quận Bình Thạnh (nay là phường Bình Thạnh)</t>
  </si>
  <si>
    <t>42/QĐ-UBND ngày 05/8/2025</t>
  </si>
  <si>
    <t>1329/QĐ-UBND ngày 14/7/2026</t>
  </si>
  <si>
    <t>1029/PA-HĐBT(RXT)</t>
  </si>
  <si>
    <t>446/PA</t>
  </si>
  <si>
    <t>220/51 Nguyễn Xí, P.Phường 26, quận Bình Thạnh (nay là phường Bình Thạnh)</t>
  </si>
  <si>
    <t>47/QĐ-UBND ngày 05/8/2025</t>
  </si>
  <si>
    <t>1030/PA-HĐBT(RXT)</t>
  </si>
  <si>
    <t>Nguyễn Trung Hậu - Nguyễn Thị Thu Trang</t>
  </si>
  <si>
    <t>75/68 Đinh Bộ Lĩnh, P.Phường 26, quận Bình Thạnh (nay là phường Bình Thạnh)</t>
  </si>
  <si>
    <t>32/QĐ-UBND ngày 05/8/2025</t>
  </si>
  <si>
    <t>1031/PA-HĐBT(RXT)</t>
  </si>
  <si>
    <t>59/17A Đinh Bộ Lĩnh, P.Phường 26, quận Bình Thạnh (nay là phường Bình Thạnh)</t>
  </si>
  <si>
    <t>45/QĐ-UBND ngày 05/8/2025</t>
  </si>
  <si>
    <t>1033/PA-HĐBT(RXT)</t>
  </si>
  <si>
    <t>Nguyễn Thị Thanh Hồng - Tô Văn Phi Hùng</t>
  </si>
  <si>
    <t>220/27 Nguyễn Xí, P.Phường 26, quận Bình Thạnh (nay là phường Bình Thạnh)</t>
  </si>
  <si>
    <t>40/QĐ-UBND ngày 05/8/2025</t>
  </si>
  <si>
    <t>1034/PA-HĐBT(RXT)</t>
  </si>
  <si>
    <t>Bùi Văn Bông và các đồng thừa kế của bà Nguyễn Thị Ngọc</t>
  </si>
  <si>
    <t>Không số (số tự cho 184/3/6B24) Nguyễn Xí, P.Phường 26, quận Bình Thạnh (nay là phường Bình Thạnh)</t>
  </si>
  <si>
    <t>36/QĐ-UBND ngày 05/8/2025</t>
  </si>
  <si>
    <t>1491/QĐ-UBND ngày 11/9/2026</t>
  </si>
  <si>
    <t>1036/PA-HĐBT(RXT)</t>
  </si>
  <si>
    <t>490/PA</t>
  </si>
  <si>
    <t>Bùi Thị Được</t>
  </si>
  <si>
    <t>15/QĐ-UBND ngày 05/8/2025</t>
  </si>
  <si>
    <t>1037/PA-HĐBT(RXT)</t>
  </si>
  <si>
    <t>Các đồng thừa kế của bà Nguyễn Thị Lệ</t>
  </si>
  <si>
    <t>220/62 Nguyễn Xí, P.Phường 26, quận Bình Thạnh (nay là phường Bình Thạnh)</t>
  </si>
  <si>
    <t>14/QĐ-UBND ngày 05/8/2025</t>
  </si>
  <si>
    <t>1038/PA-HĐBT(RXT)</t>
  </si>
  <si>
    <t>Nguyễn Thu Trang</t>
  </si>
  <si>
    <t>169 Chu Văn An, P.Phường 26, quận Bình Thạnh (nay là phường Bình Thạnh)</t>
  </si>
  <si>
    <t>13/QĐ-UBND ngày 05/8/2025</t>
  </si>
  <si>
    <t>1076/PA-HĐBT(RXT)</t>
  </si>
  <si>
    <t>588/PA-HĐBT(RXT)</t>
  </si>
  <si>
    <t>Các đồng thừa kế của Trần Văn Phước và Huỳnh Thị Nhan</t>
  </si>
  <si>
    <t>194/50/39 Bạch Đằng, P.Phường 14, quận Bình Thạnh (nay là phường Bình Thạnh)</t>
  </si>
  <si>
    <t>Đã tạo danh sách và mời dân (hợp đồng ủy quyền không hợp lệ)</t>
  </si>
  <si>
    <t>63/QĐ-UBND ngày 06/8/2025</t>
  </si>
  <si>
    <t>1217/QĐ-UBND ngày 20/6/2026</t>
  </si>
  <si>
    <t>1078/PA-HĐBT(RXT)</t>
  </si>
  <si>
    <t>390/PA</t>
  </si>
  <si>
    <t>Các đồng thừa kế của bà Lê Thị Ánh</t>
  </si>
  <si>
    <t>220/23 Nguyễn Xí, P.Phường 26, quận Bình Thạnh (nay là phường Bình Thạnh)</t>
  </si>
  <si>
    <t>66/QĐ-UBND ngày 06/8/2025</t>
  </si>
  <si>
    <t>1079/PA-HĐBT(RXT)</t>
  </si>
  <si>
    <t>Các đồng thừa kế của ông Trần Thanh Bích</t>
  </si>
  <si>
    <t>194/50/40 Bạch Đằng, P.Phường 14, quận Bình Thạnh (nay là phường Bình Thạnh)</t>
  </si>
  <si>
    <t>168/QĐ-UBND ngày 13/10/2025</t>
  </si>
  <si>
    <t>45/PA-HĐBT (RXT)</t>
  </si>
  <si>
    <t>Nguyễn Trung Hiếu</t>
  </si>
  <si>
    <t>20/10 Đinh Bộ Lĩnh, P.Bình Thạnh (Phường 14, quận Bình Thạnh cũ)</t>
  </si>
  <si>
    <t>1089/QĐ-UBND ngày 09/06/2026</t>
  </si>
  <si>
    <t>164/QĐ-UBND ngày 13/10/2025</t>
  </si>
  <si>
    <t>Sẽ giảm dự toán tiền thưởng</t>
  </si>
  <si>
    <t>47/PA-HĐBT (RXT)</t>
  </si>
  <si>
    <t>thu hồi diện tích quá nhỏ nên phòng KT-HT không lấy mặt bằng=&gt; ko bàn giao mặt bằng</t>
  </si>
  <si>
    <t>47/84 Bùi Đình Túy, P.Bình Thạnh (Phường 24, quận Bình Thạnh cũ)</t>
  </si>
  <si>
    <t>179/QĐ-UBND ngày 13/10/2025</t>
  </si>
  <si>
    <t>48/PA-HĐBT (RXT)</t>
  </si>
  <si>
    <t>Trịnh Thị Hằng và các đồng thừa kế của ông Nguyễn Ngọc Văn</t>
  </si>
  <si>
    <t>79/5BX16 Xô Viết Nghệ Tĩnh, P.Bình Thạnh (Phường 26, quận Bình Thạnh cũ)</t>
  </si>
  <si>
    <t>152/QĐ-UBND ngày 13/10/2025</t>
  </si>
  <si>
    <t>49/PA-HĐBT (RXT)</t>
  </si>
  <si>
    <t>Lê Duy Phong</t>
  </si>
  <si>
    <t>220/20 Nguyễn Xí, P.Bình Thạnh (Phường 26, quận Bình Thạnh cũ)</t>
  </si>
  <si>
    <t>161/QĐ-UBND ngày 13/10/2025</t>
  </si>
  <si>
    <t>50/PA-HĐBT (RXT)</t>
  </si>
  <si>
    <t>Nguyễn Thị An và các đồng thừa kế của ông Lê Đoan</t>
  </si>
  <si>
    <t>220/18 Nguyễn Xí, P.Bình Thạnh (Phường 26, quận Bình Thạnh cũ)</t>
  </si>
  <si>
    <t>180/QĐ-UBND ngày 13/10/2025</t>
  </si>
  <si>
    <t>51/PA-HĐBT (RXT)</t>
  </si>
  <si>
    <t>Phạm Thị Ngoan và các đồng thừa kế của ông Nguyễn Văn Hoan</t>
  </si>
  <si>
    <t>79/5BX11 Xô Viết Nghệ Tĩnh, P.Bình Thạnh (Phường 26, quận Bình Thạnh cũ)</t>
  </si>
  <si>
    <t>158/QD-UBND ngày 13/10/2025</t>
  </si>
  <si>
    <t>52/PA-HĐBT (RXT)</t>
  </si>
  <si>
    <t>Trương Hoàng Vũ - Bùi Thị Thúy Hồng</t>
  </si>
  <si>
    <t>58/96/32A Phan Chu Trinh, P.Bình Thạnh (Phường 14, quận Bình Thạnh cũ)</t>
  </si>
  <si>
    <t>174/QD-UBND ngày 13/10/2025</t>
  </si>
  <si>
    <t>53/PA-HĐBT (RXT)</t>
  </si>
  <si>
    <t>Lê Thị Thơi và các đồng thừa kế của ông Hồ Thương</t>
  </si>
  <si>
    <t>176/QD-UBND ngày 13/10/2025</t>
  </si>
  <si>
    <t>54/PA-HĐBT (RXT)</t>
  </si>
  <si>
    <t>Lê Hữu Phú - Nguyễn Thị Kim Chi</t>
  </si>
  <si>
    <t>220/22 Nguyễn Xí, P.Bình Thạnh (Phường 26, quận Bình Thạnh cũ)</t>
  </si>
  <si>
    <t>157/QD-UBND ngày 13/10/2025</t>
  </si>
  <si>
    <t>55/PA-HĐBT (RXT)</t>
  </si>
  <si>
    <t>Dương Đức Trung - Lê Thị Trúc Anh</t>
  </si>
  <si>
    <t>405/12 (bên trái) Xô Viết Nghệ Tĩnh, P.Bình Thạnh (Phường 14, quận Bình Thạnh cũ)</t>
  </si>
  <si>
    <t>167/QD-UBND ngày 13/10/2025</t>
  </si>
  <si>
    <t>56/PA-HĐBT (RXT)</t>
  </si>
  <si>
    <t>Phạm Thị Đào</t>
  </si>
  <si>
    <t>389 Đinh Bộ Lĩnh, P.Bình Thạnh (Phường 26, quận Bình Thạnh cũ)</t>
  </si>
  <si>
    <t>165/QD-UBND ngày 13/10/2025</t>
  </si>
  <si>
    <t>58/PA-HĐBT (RXT)</t>
  </si>
  <si>
    <t>Võ Anh Tỏa - Nguyễn Thị Ly</t>
  </si>
  <si>
    <t>Đã tạo danh sách và mời dân -&gt; họ dân hẹn trong tuần này lên ký hồ sơ</t>
  </si>
  <si>
    <t>đã gọi đt chờ bổ sung QĐ nền dất</t>
  </si>
  <si>
    <t>160/QD-UBND ngày 13/10/2025</t>
  </si>
  <si>
    <t>61/PA-HĐBT (RXT)</t>
  </si>
  <si>
    <t>Phạm Văn Bự - Nguyễn Thu Thảo</t>
  </si>
  <si>
    <t>47 Đinh Bộ Lĩnh, P.Bình Thạnh (Phường 14, quận Bình Thạnh cũ)</t>
  </si>
  <si>
    <t>155/QD-UBND ngày 13/10/2025</t>
  </si>
  <si>
    <t>1242/QĐ-UBND ngày 25/6/2026</t>
  </si>
  <si>
    <t>62/PA-HĐBT (RXT)</t>
  </si>
  <si>
    <t>Trần Minh Nhựt - Võ Thị Kim Hạnh</t>
  </si>
  <si>
    <t>162/QD-UBND ngày 13/10/2025</t>
  </si>
  <si>
    <t>64/PA-HĐBT (RXT)</t>
  </si>
  <si>
    <t>Nguyễn Thị Ngọc Hồng</t>
  </si>
  <si>
    <t>194/43/38 Bạch Đằng, P.Bình Thạnh (Phường 14, quận Bình Thạnh cũ)</t>
  </si>
  <si>
    <t>151/QD-UBND ngày 13/10/2025</t>
  </si>
  <si>
    <t>66/PA-HĐBT (RXT)</t>
  </si>
  <si>
    <t>Các đồng thừa kế của ông Lục Văn Sanh và bà Huỳnh Thị Mân</t>
  </si>
  <si>
    <t>170/QD-UBND ngày 13/10/2025</t>
  </si>
  <si>
    <t>67/PA-HĐBT (RXT)</t>
  </si>
  <si>
    <t>Nguyễn Tấn Đăng Khoa - Vũ Tuyết Phương</t>
  </si>
  <si>
    <t>246/15D Bạch Đằng, P.Bình Thạnh (Phường 14, quận Bình Thạnh cũ)</t>
  </si>
  <si>
    <t>181/QD-UBND ngày 13/10/2025</t>
  </si>
  <si>
    <t>69/PA-HĐBT (RXT)</t>
  </si>
  <si>
    <t>Nguyễn Thanh Hải - Nguyễn Thị Vân</t>
  </si>
  <si>
    <t>201/118 Nguyễn Xí, P.Bình Thạnh (Phường 26, quận Bình Thạnh cũ)</t>
  </si>
  <si>
    <t>171/QD-UBND ngày 13/10/2025</t>
  </si>
  <si>
    <t>70/PA-HĐBT (RXT)</t>
  </si>
  <si>
    <t>Các đồng thừa kế của bà Trần Thị Thu Hà</t>
  </si>
  <si>
    <t>Không số Xô Viết Nghệ Tĩnh, P.Bình Thạnh (Phường 26, quận Bình Thạnh cũ)</t>
  </si>
  <si>
    <t>177/QD-UBND ngày 13/10/2025</t>
  </si>
  <si>
    <t>71/PA-HĐBT (RXT)</t>
  </si>
  <si>
    <t>Công ty cổ phần xây dựng và thương mại Đất Phương Nam</t>
  </si>
  <si>
    <t>241A Chu Văn An, P.Bình Thạnh (Phường 12, quận Bình Thạnh cũ)</t>
  </si>
  <si>
    <t>205/QD-UBND ngày 15/10/2025</t>
  </si>
  <si>
    <t>72/PA-HĐBT (RXT)</t>
  </si>
  <si>
    <t>Nguyễn Thị Khỏe</t>
  </si>
  <si>
    <t>Không số (phía trước nhà 194/56H) Bạch Đằng, P.Bình Thạnh (Phường 14, quận Bình Thạnh cũ)</t>
  </si>
  <si>
    <t>166/QD-UBND ngày 13/10/2025</t>
  </si>
  <si>
    <t>75/PA-HĐBT (RXT)</t>
  </si>
  <si>
    <t>Ngô Trọng Toàn - Trương Hoàng Loan</t>
  </si>
  <si>
    <t>266/24 Bạch Đằng, P.Bình Thạnh (Phường 14, quận Bình Thạnh cũ)</t>
  </si>
  <si>
    <t>Đã tạo danh sách và mời dân (các đồng thừa kế chưa lên đủ)</t>
  </si>
  <si>
    <t>154/QD-UBND ngày 13/10/2025</t>
  </si>
  <si>
    <t>76/PA-HĐBT (RXT)</t>
  </si>
  <si>
    <t>Nguyễn Ngọc Thọ - Đặng Thị Nga</t>
  </si>
  <si>
    <t>32/36/40A (số cũ: 662/78) Bùi Đình Túy, P.Bình Thạnh (Phường 12, quận Bình Thạnh cũ)</t>
  </si>
  <si>
    <t>186/QD-UBND ngày 14/10/2025</t>
  </si>
  <si>
    <t>77/PA-HĐBT (RXT)</t>
  </si>
  <si>
    <t>Nguyễn Thị Loan</t>
  </si>
  <si>
    <t>47/61 Bùi Đình Túy, P.Bình Thạnh (Phường 14, quận Bình Thạnh cũ)</t>
  </si>
  <si>
    <t>183/QD-UBND ngày 14/10/2025</t>
  </si>
  <si>
    <t>78/PA-HĐBT (RXT)</t>
  </si>
  <si>
    <t>Trịnh Vũ Long</t>
  </si>
  <si>
    <t>201/112 Nguyễn Xí, P.Bình Thạnh (Phường 26, quận Bình Thạnh cũ)</t>
  </si>
  <si>
    <t>182/QD-UBND ngày 14/10/2025</t>
  </si>
  <si>
    <t>79/PA-HĐBT (RXT)</t>
  </si>
  <si>
    <t>Phạm Văn Đoan - Vũ Thị Hương</t>
  </si>
  <si>
    <t>209B Nguyễn Xí, P.Bình Thạnh (Phường 26, quận Bình Thạnh cũ)</t>
  </si>
  <si>
    <t>184/QD-UBND ngày 14/10/2025</t>
  </si>
  <si>
    <t>80/PA-HĐBT (RXT)</t>
  </si>
  <si>
    <t>Nguyễn Thị Thu Giang (là đồng sở hữu và đại diện cho các đồng thừa kế của ông Phí Văn Phúc)</t>
  </si>
  <si>
    <t>201/106 Nguyễn Xí, P.Bình Thạnh (Phường 26, quận Bình Thạnh cũ)</t>
  </si>
  <si>
    <t>191/QD-UBND ngày 14/10/2025</t>
  </si>
  <si>
    <t>81/PA-HĐBT (RXT)</t>
  </si>
  <si>
    <t>Vũ Chí Tâm - Nguyễn Thị Hường</t>
  </si>
  <si>
    <t>220/8 Nguyễn Xí, P.Bình Thạnh (Phường 26, quận Bình Thạnh cũ)</t>
  </si>
  <si>
    <t>187/QD-UBND ngày 14/10/2025</t>
  </si>
  <si>
    <t>82/PA-HĐBT (RXT)</t>
  </si>
  <si>
    <t>Lê Xuân Ngọc - Lê Thị Liên</t>
  </si>
  <si>
    <t>201/60/44 Nguyễn Xí, P.Bình Thạnh (Phường 26, quận Bình Thạnh cũ)</t>
  </si>
  <si>
    <t>188/QD-UBND ngày 14/10/2025</t>
  </si>
  <si>
    <t>83/PA-HĐBT (RXT)</t>
  </si>
  <si>
    <t>Nguyễn Ngọc Nam Trân</t>
  </si>
  <si>
    <t>405B Xô Viết Nghệ Tĩnh, P.Bình Thạnh (Phường 14, quận Bình Thạnh cũ)</t>
  </si>
  <si>
    <t>189/QD-UBND ngày 14/10/2025</t>
  </si>
  <si>
    <t>84/PA-HĐBT (RXT)</t>
  </si>
  <si>
    <t>Trần Đình Quyền - Bùi Thị Ngọc Tâm</t>
  </si>
  <si>
    <t>405/10 Xô Viết Nghệ Tĩnh, P.Bình Thạnh (Phường 14, quận Bình Thạnh cũ)</t>
  </si>
  <si>
    <t>223/QD-UBND ngày 16/10/2025</t>
  </si>
  <si>
    <t>86/PA-HĐBT (RXT)</t>
  </si>
  <si>
    <t>Trần Quốc Hiếu - Trương Thị Bích Ngọc</t>
  </si>
  <si>
    <t>220/4 Nguyễn Xí, P.Bình Thạnh (Phường 26, quận Bình Thạnh cũ)</t>
  </si>
  <si>
    <t>192/QD-UBND ngày 14/10/2025</t>
  </si>
  <si>
    <t>87/PA-HĐBT (RXT)</t>
  </si>
  <si>
    <t>Tạ Đình Chiến, Tạ Yến Hồng, Tạ Thị Thu Lan, Tạ Minh Hùng, Tran Thao Thu Thi (Trần Thị Thu Thảo) và các đồng thừa kế của ông Tạ Anh Dũng</t>
  </si>
  <si>
    <t>32/36/39 Bùi Đình Túy, P.Bình Thạnh (Phường 12, quận Bình Thạnh cũ)</t>
  </si>
  <si>
    <t>193/QD-UBND ngày 14/10/2025</t>
  </si>
  <si>
    <t>89/PA-HĐBT (RXT)</t>
  </si>
  <si>
    <t>Nguyễn Viết Hùng - Nguyễn Thì Trân</t>
  </si>
  <si>
    <t>405/12 (bên phải) Xô Viết Nghệ Tĩnh, P.Bình Thạnh (Phường 14, quận Bình Thạnh cũ)</t>
  </si>
  <si>
    <t>185/QD-UBND ngày 14/10/2025</t>
  </si>
  <si>
    <t>90/PA-HĐBT (RXT)</t>
  </si>
  <si>
    <t>535/PA-HĐBT (RXT)</t>
  </si>
  <si>
    <t>Hoàng Trọng Hải và các đồng thừa kế của bà Đặng Thị Cúc</t>
  </si>
  <si>
    <t>201/60/42 Nguyễn Xí, P.Bình Thạnh (Phường 26, quận Bình Thạnh cũ)</t>
  </si>
  <si>
    <t>226/QD-UBND ngày 16/10/2025</t>
  </si>
  <si>
    <t>96/PA-HĐBT (RXT)</t>
  </si>
  <si>
    <t>Trần Thị Thúy Nga và các đồng thừa kế ông Trần Thanh Nhàn</t>
  </si>
  <si>
    <t>42/381 Huỳnh Đình Hai, P.Bình Thạnh (Phường 14, quận Bình Thạnh cũ)</t>
  </si>
  <si>
    <t>196/QD-UBND ngày 15/10/2025</t>
  </si>
  <si>
    <t>32/PA-HĐBT (RXT)</t>
  </si>
  <si>
    <t>Lê Ngọc Trâm Anh</t>
  </si>
  <si>
    <t>377/8 Đinh Bộ Lĩnh, P.Bình Thạnh (Phường 26, quận Bình Thạnh cũ)</t>
  </si>
  <si>
    <t>194/QD-UBND ngày 15/10/2025</t>
  </si>
  <si>
    <t>33/PA-HĐBT (RXT)</t>
  </si>
  <si>
    <t>Hồ Bá Đức - Nguyễn Thị Hường</t>
  </si>
  <si>
    <t>59/40 Đinh Bộ Lĩnh, P.Bình Thạnh (Phường 26, quận Bình Thạnh cũ)</t>
  </si>
  <si>
    <t>197/QD-UBND ngày 15/10/2025</t>
  </si>
  <si>
    <t>34/PA-HĐBT (RXT)</t>
  </si>
  <si>
    <t>Trương Hùng - Lại Thị Bích Nga - Lại Thế Phúc</t>
  </si>
  <si>
    <t>209C Nguyễn Xí, P.Bình Thạnh (Phường 26, quận Bình Thạnh cũ)</t>
  </si>
  <si>
    <t>199/QD-UBND ngày 15/10/2025</t>
  </si>
  <si>
    <t>35/PA-HĐBT (RXT)</t>
  </si>
  <si>
    <t>559/PA-HĐBT (RXT)</t>
  </si>
  <si>
    <t>Đỗ Thị Loan - Nguyễn Hoàng Thanh Phương</t>
  </si>
  <si>
    <t>209E Nguyễn Xí, P.Bình Thạnh (Phường 26, quận Bình Thạnh cũ)</t>
  </si>
  <si>
    <t>200/QD-UBND ngày 15/10/2025</t>
  </si>
  <si>
    <t>36/PA-HĐBT (RXT)</t>
  </si>
  <si>
    <t>Nguyễn Văn Nhạc - Vũ Minh Thúy</t>
  </si>
  <si>
    <t>79/5BX13 Xô Viết Nghệ Tĩnh, P.Bình Thạnh (Phường 26, quận Bình Thạnh cũ)</t>
  </si>
  <si>
    <t>206/QD-UBND ngày 15/10/2025</t>
  </si>
  <si>
    <t>1448/QĐ-UBND ngày 25/8/2026</t>
  </si>
  <si>
    <t>38/PA-HĐBT (RXT)</t>
  </si>
  <si>
    <t>126/PA</t>
  </si>
  <si>
    <t>Huỳnh Thị Có và các đồng thừa kế ông Nguyễn Sanh</t>
  </si>
  <si>
    <t>290/238 Nơ Trang Long, P.Bình Thạnh (Phường 12, quận Bình Thạnh cũ)</t>
  </si>
  <si>
    <t xml:space="preserve">PA 86 sai, đã báo tổ làm điều chỉnh </t>
  </si>
  <si>
    <t>201/QD-UBND ngày 15/10/2025</t>
  </si>
  <si>
    <t>1499/QĐ-UBND ngày 11/9/2026</t>
  </si>
  <si>
    <t>40/PA-HĐBT (RXT)</t>
  </si>
  <si>
    <t>571/PA</t>
  </si>
  <si>
    <t>Các đồng thừa kế của ông Lại Văn Khẩn - bà Nguyễn Thị Rịu</t>
  </si>
  <si>
    <t>59/3/1 Đinh Bộ Lĩnh, P.Bình Thạnh (Phường 26, quận Bình Thạnh cũ)</t>
  </si>
  <si>
    <t>202/QD-UBND ngày 15/10/2025</t>
  </si>
  <si>
    <t>42/PA-HĐBT (RXT)</t>
  </si>
  <si>
    <t>459/PA</t>
  </si>
  <si>
    <t>Bùi Đăng Tuân - Lê Thị Minh Trinh</t>
  </si>
  <si>
    <t>194/43/42 Bạch Đằng, P.Bình Thạnh (Phường 14, quận Bình Thạnh cũ)</t>
  </si>
  <si>
    <t>203/QD-UBND ngày 15/10/2025</t>
  </si>
  <si>
    <t>43/PA-HĐBT (RXT)</t>
  </si>
  <si>
    <t>Lê Thế Dân - Phan Thị Hồng Phấn</t>
  </si>
  <si>
    <t>427/46A Xô Viết Nghệ Tĩnh, P.Bình Thạnh (Phường 26, quận Bình Thạnh cũ)</t>
  </si>
  <si>
    <t>204/QD-UBND ngày 15/10/2025</t>
  </si>
  <si>
    <t>44/PA-HĐBT (RXT)</t>
  </si>
  <si>
    <t>Trịnh Thị Thu Hà và các đồng thừa kế của ông Huỳnh Văn Của</t>
  </si>
  <si>
    <t>246/15E Bạch Đằng, P.Bình Thạnh (Phường 14, quận Bình Thạnh cũ)</t>
  </si>
  <si>
    <t>209/QD-UBND ngày 16/10/2025</t>
  </si>
  <si>
    <t>85/PA-HĐBT (RXT)</t>
  </si>
  <si>
    <t>Nguyễn Ngọc Đan</t>
  </si>
  <si>
    <t>194/50/52A Bạch Đằng, P.Bình Thạnh (Phường 14, quận Bình Thạnh cũ)</t>
  </si>
  <si>
    <t xml:space="preserve">1569/QĐ-UBND ngày 06/10/2026; 1570/QĐ-UBND ngày 06/10/2026
</t>
  </si>
  <si>
    <t>210/QD-UBND ngày 16/10/2025</t>
  </si>
  <si>
    <t>92/PA-HĐBT (RXT)</t>
  </si>
  <si>
    <t>Nguyễn Thị Kim Anh</t>
  </si>
  <si>
    <t>47/55 Bùi Đình Túy, P.Bình Thạnh (Phường 14, quận Bình Thạnh cũ)</t>
  </si>
  <si>
    <t>Đang làm DVC</t>
  </si>
  <si>
    <t>215/QD-UBND ngày 16/10/2025</t>
  </si>
  <si>
    <t>94/PA-HĐBT (RXT)</t>
  </si>
  <si>
    <t>Phạm Thị Hồng Lĩnh</t>
  </si>
  <si>
    <t>387 Đinh Bộ Lĩnh, P.Bình Thạnh (Phường 26, quận Bình Thạnh cũ)</t>
  </si>
  <si>
    <t>222/QD-UBND ngày 16/10/2025</t>
  </si>
  <si>
    <t>95/PA-HĐBT (RXT)</t>
  </si>
  <si>
    <t>Phạm Kim Tuyết - Võ Hiếu Nghĩa</t>
  </si>
  <si>
    <t>423 Xô Viết Nghệ Tĩnh, P.Bình Thạnh (Phường 26, quận Bình Thạnh cũ)</t>
  </si>
  <si>
    <t>218/QD-UBND ngày 16/10/2025</t>
  </si>
  <si>
    <t>98/PA-HĐBT (RXT)</t>
  </si>
  <si>
    <t>Đinh Văn Khôi - Lê Thị Đào</t>
  </si>
  <si>
    <t>79/5BX2 Xô Viết Nghệ Tĩnh, P.Bình Thạnh (Phường 26, quận Bình Thạnh cũ)</t>
  </si>
  <si>
    <t>225/QĐ-UBND ngày 16/10/2025</t>
  </si>
  <si>
    <t>99/PA-HĐBT (RXT)</t>
  </si>
  <si>
    <t>Nguyễn Thành Chương</t>
  </si>
  <si>
    <t>220/26 Nguyễn Xí, P.Bình Thạnh (Phường 26, quận Bình Thạnh cũ)</t>
  </si>
  <si>
    <t>1184/QĐ-UBND ngày 17/06/2026</t>
  </si>
  <si>
    <t>212/QĐ-UBND ngày 16/10/2025</t>
  </si>
  <si>
    <t>102/PA-HĐBT (RXT)</t>
  </si>
  <si>
    <t>Nguyễn Đức Kiển - Nguyễn Thị Kiểu</t>
  </si>
  <si>
    <t>427/48 Xô Viết Nghệ Tĩnh, P.Bình Thạnh (Phường 26, quận Bình Thạnh cũ)</t>
  </si>
  <si>
    <t>220/QĐ-UBND ngày 16/10/2025</t>
  </si>
  <si>
    <t>1224/QĐ-UBND ngày 23/6/2026</t>
  </si>
  <si>
    <t>104/PA-HĐBT (RXT)</t>
  </si>
  <si>
    <t>Nguyễn Văn Lễ - Nguyễn Thị Phấn</t>
  </si>
  <si>
    <t>427/43 Xô Viết Nghệ Tĩnh, P.Bình Thạnh (Phường 26, quận Bình Thạnh cũ)</t>
  </si>
  <si>
    <t>229/QĐ-UBND ngày 16/10/2025</t>
  </si>
  <si>
    <t>105/PA-HĐBT (RXT)</t>
  </si>
  <si>
    <t>Đặng Thị Thu Cúc</t>
  </si>
  <si>
    <t>47/41 Bùi Đình Túy, P.Bình Thạnh (Phường 14, quận Bình Thạnh cũ)</t>
  </si>
  <si>
    <t>252/QĐ-UBND ngày 16/10/2025</t>
  </si>
  <si>
    <t>107/PA-HĐBT (RXT)</t>
  </si>
  <si>
    <t>Đỗ Kim Oanh</t>
  </si>
  <si>
    <t>201/60/56 Nguyễn Xí, P.Bình Thạnh (Phường 26, quận Bình Thạnh cũ)</t>
  </si>
  <si>
    <t>221/QĐ-UBND ngày 16/10/2025</t>
  </si>
  <si>
    <t>108/PA-HĐBT (RXT)</t>
  </si>
  <si>
    <t>Công ty Tem (Cơ sở II)</t>
  </si>
  <si>
    <t>Không số Bùi Đình Túy, P.Bình Thạnh (Phường 12, quận Bình Thạnh cũ)</t>
  </si>
  <si>
    <t>216/QĐ-UBND ngày 16/10/2025</t>
  </si>
  <si>
    <t>109/PA-HĐBT (RXT)</t>
  </si>
  <si>
    <t>Các đồng thừa kế của ông Đinh Văn Hoành và bà Nguyễn Thị Nhỏ</t>
  </si>
  <si>
    <t>58/22/60B Phan Chu Trinh, P.Bình Thạnh (Phường 14, quận Bình Thạnh cũ)</t>
  </si>
  <si>
    <t>227/QĐ-UBND ngày 16/10/2025</t>
  </si>
  <si>
    <t>110/PA-HĐBT (RXT)</t>
  </si>
  <si>
    <t>Đồng Thế Đại - Hà Thị Kim Ngọc</t>
  </si>
  <si>
    <t>211/QĐ-UBND ngày 16/10/2025</t>
  </si>
  <si>
    <t>112/PA-HĐBT (RXT)</t>
  </si>
  <si>
    <t>Nguyễn Thị Thu</t>
  </si>
  <si>
    <t>125/77/32 Bùi Đình Túy, P.Bình Thạnh (Phường 14, quận Bình Thạnh cũ)</t>
  </si>
  <si>
    <t>224/QĐ-UBND ngày 16/10/2025</t>
  </si>
  <si>
    <t>113/PA-HĐBT (RXT)</t>
  </si>
  <si>
    <t>Nguyễn Ngọc Hiếu</t>
  </si>
  <si>
    <t>125/77/51 Bùi Đình Túy, P.Bình Thạnh (Phường 14, quận Bình Thạnh cũ)</t>
  </si>
  <si>
    <t>207/QĐ-UBND ngày 16/10/2025</t>
  </si>
  <si>
    <t>115/PA-HĐBT (RXT)</t>
  </si>
  <si>
    <t>232/PA</t>
  </si>
  <si>
    <t>Nguyễn Thanh Xuân - Nguyễn Thị Kim Tín</t>
  </si>
  <si>
    <t>125/79 Bùi Đình Túy, P.Bình Thạnh (Phường 14, quận Bình Thạnh cũ)</t>
  </si>
  <si>
    <t>217/QĐ-UBND ngày 16/10/2025</t>
  </si>
  <si>
    <t>116/PA-HĐBT (RXT)</t>
  </si>
  <si>
    <t>Võ Thị Nguyệt và các đồng thừa kế của ông Tô Văn Công</t>
  </si>
  <si>
    <t>47/19 Bùi Đình Túy, P.Bình Thạnh (Phường 14, quận Bình Thạnh cũ)</t>
  </si>
  <si>
    <t>213/QĐ-UBND ngày 16/10/2025</t>
  </si>
  <si>
    <t>117/PA-HĐBT (RXT)</t>
  </si>
  <si>
    <t>Các đồng thừa kế của bà Nguyễn Thị Bạch Lan</t>
  </si>
  <si>
    <t>58/153H Phan Chu Trinh, P.Bình Thạnh (Phường 24, quận Bình Thạnh cũ)</t>
  </si>
  <si>
    <t>238/QĐ-UBND ngày 16/10/2025</t>
  </si>
  <si>
    <t>118/PA-HĐBT (RXT)</t>
  </si>
  <si>
    <t>Lý Hương Thảo</t>
  </si>
  <si>
    <t>220/14 Nguyễn Xí, P.Bình Thạnh (Phường 26, quận Bình Thạnh cũ)</t>
  </si>
  <si>
    <t>đang đi DVC</t>
  </si>
  <si>
    <t>245/QĐ-UBND ngày 16/10/2025</t>
  </si>
  <si>
    <t>119/PA-HĐBT (RXT)</t>
  </si>
  <si>
    <t>Lê Ngọc Sang - Nguyễn Thị Mai</t>
  </si>
  <si>
    <t>427/87 Xô Viết Nghệ Tĩnh, P.Bình Thạnh (Phường 26, quận Bình Thạnh cũ)</t>
  </si>
  <si>
    <t>Không chi vì đã cho ra khỏi ranh dự án</t>
  </si>
  <si>
    <t>Bỏ ra ngoài ranh dự án (A nghĩa nhắn, đang chờ a nghĩa bổ sung hồ sơ chứng minh)</t>
  </si>
  <si>
    <t xml:space="preserve">929/QĐ-UBND ngày 26/05/2026; 1388/QĐ-UBND ngày 04/08/2026
</t>
  </si>
  <si>
    <t>239/QĐ-UBND ngày 16/10/2025</t>
  </si>
  <si>
    <t>120/PA-HĐBT (RXT)</t>
  </si>
  <si>
    <t>Nguyễn Tiến Lập - Nguyễn Thị Lan</t>
  </si>
  <si>
    <t>201/60/38 Nguyễn Xí, P.Bình Thạnh (Phường 26, quận Bình Thạnh cũ)</t>
  </si>
  <si>
    <t>243/QĐ-UBND ngày 16/10/2025</t>
  </si>
  <si>
    <t>121/PA-HĐBT (RXT)</t>
  </si>
  <si>
    <t>Nguyễn Thị Thanh Thúy</t>
  </si>
  <si>
    <t>201/60/48 Nguyễn Xí, P.Bình Thạnh (Phường 26, quận Bình Thạnh cũ)</t>
  </si>
  <si>
    <t>235/QĐ-UBND ngày 16/10/2025</t>
  </si>
  <si>
    <t>124/PA-HĐBT (RXT)</t>
  </si>
  <si>
    <t>Trịnh Quang Hiệp - Nguyễn Thị Trang</t>
  </si>
  <si>
    <t>184/3/6B19 Nguyễn Xí, P.Bình Thạnh (Phường 26, quận Bình Thạnh cũ)</t>
  </si>
  <si>
    <t>234/QĐ-UBND ngày 16/10/2025</t>
  </si>
  <si>
    <t>125/PA-HĐBT (RXT)</t>
  </si>
  <si>
    <t>Nguyễn Xuân Phương</t>
  </si>
  <si>
    <t>47/76 Bùi Đình Túy, P.Bình Thạnh (Phường 14, quận Bình Thạnh cũ)</t>
  </si>
  <si>
    <t>237/QĐ-UBND ngày 16/10/2025</t>
  </si>
  <si>
    <t>1244/QĐ-UBND ngày 25/6/2026</t>
  </si>
  <si>
    <t>127/PA-HĐBT (RXT)</t>
  </si>
  <si>
    <t>Dương Văn Hải - Nguyễn Thị Tám</t>
  </si>
  <si>
    <t>201/124 Nguyễn Xí, P.Bình Thạnh (Phường 26, quận Bình Thạnh cũ)</t>
  </si>
  <si>
    <t>251/QĐ-UBND ngày 16/10/2025</t>
  </si>
  <si>
    <t>1417/QĐ-UBND ngày 14/8/2026</t>
  </si>
  <si>
    <t>129/PA-HĐBT (RXT)</t>
  </si>
  <si>
    <t>525/PA</t>
  </si>
  <si>
    <t>Nguyễn Thành Tâm - Vũ Thị Tuyết Lê</t>
  </si>
  <si>
    <t>201/60/58 Nguyễn Xí, P.Bình Thạnh (Phường 26, quận Bình Thạnh cũ)</t>
  </si>
  <si>
    <t>233/QĐ-UBND ngày 16/10/2025</t>
  </si>
  <si>
    <t>130/PA-HĐBT (RXT)</t>
  </si>
  <si>
    <t>Lê Xuân Lâm - Võ Thị Bích Dung</t>
  </si>
  <si>
    <t>201/116 (một phần) Nguyễn Xí, P.Bình Thạnh (Phường 26, quận Bình Thạnh cũ)</t>
  </si>
  <si>
    <t>236/QĐ-UBND ngày 16/10/2025</t>
  </si>
  <si>
    <t>131/PA-HĐBT (RXT)</t>
  </si>
  <si>
    <t>Tô Thị Huệ Trinh</t>
  </si>
  <si>
    <t>184/3/6B8 Nguyễn Xí, P.Bình Thạnh (Phường 26, quận Bình Thạnh cũ)</t>
  </si>
  <si>
    <t>231/QĐ-UBND ngày 16/10/2025</t>
  </si>
  <si>
    <t>1129/QĐ-UBND ngày 12/6/2026</t>
  </si>
  <si>
    <t>132/PA-HĐBT (RXT)</t>
  </si>
  <si>
    <t>265/PA</t>
  </si>
  <si>
    <t>Nguyễn Thị So</t>
  </si>
  <si>
    <t>290/51/11/1 Nơ Trang Long, P.Bình Thạnh (Phường 12, quận Bình Thạnh cũ)</t>
  </si>
  <si>
    <t>254/QĐ-UBND ngày 16/10/2025</t>
  </si>
  <si>
    <t>133/PA-HĐBT (RXT)</t>
  </si>
  <si>
    <t>Trần Văn Viên - Phạm Thị Rùa</t>
  </si>
  <si>
    <t>247/QĐ-UBND ngày 16/10/2025</t>
  </si>
  <si>
    <t>134/PA-HĐBT (RXT)</t>
  </si>
  <si>
    <t>Cao Văn Quí - Phạm Thị Kim Mao</t>
  </si>
  <si>
    <t>125/77/53 Bùi Đình Túy, P.Bình Thạnh (Phường 14, quận Bình Thạnh cũ)</t>
  </si>
  <si>
    <t xml:space="preserve">1211/QĐ-UBND ngày 20/6/2026 </t>
  </si>
  <si>
    <t xml:space="preserve">1212/QĐ-UBND ngày 20/06/2026; 1536/QĐ-UBND ngày 25/09/2026
</t>
  </si>
  <si>
    <t>Nhận bàn giao từ a Thủy: Đợi QĐ giao nền đất</t>
  </si>
  <si>
    <t>241/QĐ-UBND ngày 16/10/2025</t>
  </si>
  <si>
    <t>136/PA-HĐBT (RXT)</t>
  </si>
  <si>
    <t>Huỳnh Trí Đức - Lâm Mỹ Châu</t>
  </si>
  <si>
    <t>125/77/4 Bùi Đình Túy, P.Bình Thạnh (Phường 14, quận Bình Thạnh cũ)</t>
  </si>
  <si>
    <t>Đã lập DSC</t>
  </si>
  <si>
    <t>250/QĐ-UBND ngày 16/10/2025</t>
  </si>
  <si>
    <t>137/PA-HĐBT (RXT)</t>
  </si>
  <si>
    <t>Lê Xuân Hùng - Vũ Mai Hương</t>
  </si>
  <si>
    <t>248/QĐ-UBND ngày 16/10/2025</t>
  </si>
  <si>
    <t>138/PA-HĐBT (RXT)</t>
  </si>
  <si>
    <t>Nguyễn Văn Bửng</t>
  </si>
  <si>
    <t>75/56 Đinh Bộ Lĩnh, P.Bình Thạnh (Phường 26, quận Bình Thạnh cũ)</t>
  </si>
  <si>
    <t>232/QĐ-UBND ngày 16/10/2025</t>
  </si>
  <si>
    <t>139/PA-HĐBT (RXT)</t>
  </si>
  <si>
    <t>Trần Hồng Hòa - Trần Thị Phúc</t>
  </si>
  <si>
    <t>290/45/20/37 Nơ Trang Long, P.Bình Thạnh (Phường 12, quận Bình Thạnh cũ)</t>
  </si>
  <si>
    <t>283/QĐ-UBND ngày 20/10/2025</t>
  </si>
  <si>
    <t>136/QĐ-UBND ngày 27/01/2026</t>
  </si>
  <si>
    <t>140/PA-HĐBT (RXT)</t>
  </si>
  <si>
    <t>663/PA-HĐBT (RXT)
40/PA-HĐBT (RXT)</t>
  </si>
  <si>
    <t>Huỳnh Văn Lộc</t>
  </si>
  <si>
    <t>194/50/31 Bạch Đằng, P.Bình Thạnh (Phường 14, quận Bình Thạnh cũ)</t>
  </si>
  <si>
    <t>244/QĐ-UBND ngày 16/10/2025</t>
  </si>
  <si>
    <t>1422/QĐ-UBND ngày 19/8/2026</t>
  </si>
  <si>
    <t>122/PA-HĐBT (RXT)</t>
  </si>
  <si>
    <t>278/PA</t>
  </si>
  <si>
    <t>Võ Quang Bốn - Huỳnh Thị Kim Hương</t>
  </si>
  <si>
    <t>220/3 Nguyễn Xí, P.Bình Thạnh (Phường 26, quận Bình Thạnh cũ)</t>
  </si>
  <si>
    <t>Hẹn qua T5 tuần sau</t>
  </si>
  <si>
    <t>293/QĐ-UBND ngày 20/10/2025</t>
  </si>
  <si>
    <t>1263/QĐ-UBND ngày 30/6/2026</t>
  </si>
  <si>
    <t>128/PA-HĐBT (RXT)</t>
  </si>
  <si>
    <t>376/PA</t>
  </si>
  <si>
    <t>NGĂN CHẶN</t>
  </si>
  <si>
    <t>Chờ tạo DVC</t>
  </si>
  <si>
    <t xml:space="preserve">chờ bs thời gian tạm cư từ ngày đến ngày, đã có tờ trình </t>
  </si>
  <si>
    <t>Nguyễn Quyên - Đặng Thị Cho</t>
  </si>
  <si>
    <t>Không số (số tự cho 233) Chu Văn An, P.Bình Thạnh (Phường 26, quận Bình Thạnh cũ)</t>
  </si>
  <si>
    <t>Đã nhờ bé Quyền liên hệ</t>
  </si>
  <si>
    <t>1268/QĐ-UBND ngày 01/07/2026</t>
  </si>
  <si>
    <t>287/QĐ-UBND ngày 20/10/2025</t>
  </si>
  <si>
    <t>846/QĐ-UBND ngày 12/5/2026</t>
  </si>
  <si>
    <t>143/PA-HĐBT (RXT)</t>
  </si>
  <si>
    <t>Lê Thị Kim Hoàn</t>
  </si>
  <si>
    <t>51A Đinh Bộ Lĩnh, P.Bình Thạnh (Phường 26, quận Bình Thạnh cũ)</t>
  </si>
  <si>
    <t>292/QĐ-UBND ngày 20/10/2025</t>
  </si>
  <si>
    <t>144/PA-HĐBT (RXT)</t>
  </si>
  <si>
    <t>263/PA</t>
  </si>
  <si>
    <t>Quản Thế Chinh và các đồng thừa kế của bà Nguyễn Thị Ty</t>
  </si>
  <si>
    <t>201/120 Nguyễn Xí, P.Bình Thạnh (Phường 26, quận Bình Thạnh cũ)</t>
  </si>
  <si>
    <t>295/QĐ-UBND ngày 20/10/2025</t>
  </si>
  <si>
    <t>147/PA-HĐBT (RXT)</t>
  </si>
  <si>
    <t>Nguyễn Thị Lành và các đồng thừa kế của ông Nguyễn Văn Luận</t>
  </si>
  <si>
    <t>421 Xô Viết Nghệ Tĩnh, P.Bình Thạnh (Phường 26, quận Bình Thạnh cũ)</t>
  </si>
  <si>
    <t>294/QĐ-UBND ngày 20/10/2025</t>
  </si>
  <si>
    <t>1305/QĐ-UBND ngày 09/7/2026</t>
  </si>
  <si>
    <t>149/PA-HĐBT (RXT)</t>
  </si>
  <si>
    <t>338/PA</t>
  </si>
  <si>
    <t>Hồ Bá Hiếu - Trần Thị Thanh Thuý</t>
  </si>
  <si>
    <t>59/54 Đinh Bộ Lĩnh, P.Bình Thạnh (Phường 26, quận Bình Thạnh cũ)</t>
  </si>
  <si>
    <t>Đã chi 24/9</t>
  </si>
  <si>
    <t xml:space="preserve">997/QĐ-UBND ngày 04/06/2026; 1536/QĐ-UBND ngày 25/09/2026
</t>
  </si>
  <si>
    <t>DVC 24-9</t>
  </si>
  <si>
    <t>Đã liên hệ</t>
  </si>
  <si>
    <t>296/QĐ-UBND ngày 20/10/2025</t>
  </si>
  <si>
    <t>153/PA-HĐBT (RXT)</t>
  </si>
  <si>
    <t>02 Đường số 14 (Cư xá Chu Văn An), P.Bình Thạnh (Phường 26, quận Bình Thạnh cũ)</t>
  </si>
  <si>
    <t>286/QĐ-UBND ngày 20/10/2025</t>
  </si>
  <si>
    <t>154/PA-HĐBT (RXT)</t>
  </si>
  <si>
    <t>Nguyễn Thị Thu Hiền (đồng sở hữu) - Nguyễn Thị Minh Hậu - Nguyễn Ngọc Điệp</t>
  </si>
  <si>
    <t>220/16 Nguyễn Xí, P.Bình Thạnh (Phường 26, quận Bình Thạnh cũ)</t>
  </si>
  <si>
    <t>284/QĐ-UBND ngày 20/10/2025</t>
  </si>
  <si>
    <t>155/PA-HĐBT (RXT)</t>
  </si>
  <si>
    <t>Ninh Văn Bình - Nguyễn Thanh Cao</t>
  </si>
  <si>
    <t>Không số (số tự cho 47/59) Bùi Đình Tuý, P.Bình Thạnh (Phường 14, quận Bình Thạnh cũ)</t>
  </si>
  <si>
    <t>291/QĐ-UBND ngày 20/10/2025</t>
  </si>
  <si>
    <t>156/PA-HĐBT (RXT)</t>
  </si>
  <si>
    <t>Trịnh Vũ Lương</t>
  </si>
  <si>
    <t>201/112A Nguyễn Xí, P.Bình Thạnh (Phường 26, quận Bình Thạnh cũ)</t>
  </si>
  <si>
    <t>323/QĐ-UBND ngày 21/10/2025</t>
  </si>
  <si>
    <t>157/PA-HĐBT (RXT)</t>
  </si>
  <si>
    <t>Nguyễn Thị Phượng - Lê Nguyễn Anh Tuấn</t>
  </si>
  <si>
    <t>Không số (số tự cho: 427/85) Xô Viết Nghệ Tĩnh, P.Bình Thạnh (Phường 26, quận Bình Thạnh cũ)</t>
  </si>
  <si>
    <t>307/QĐ-UBND ngày 21/10/2025</t>
  </si>
  <si>
    <t>158/PA-HĐBT (RXT)</t>
  </si>
  <si>
    <t>Nguyễn Văn Thanh - Nguyễn Kim Pha</t>
  </si>
  <si>
    <t>427/41 Xô Viết Nghệ Tĩnh, P.Bình Thạnh (Phường 26, quận Bình Thạnh cũ)</t>
  </si>
  <si>
    <t>310/QĐ-UBND ngày 21/10/2025</t>
  </si>
  <si>
    <t>159/PA-HĐBT (RXT)</t>
  </si>
  <si>
    <t>246/PA</t>
  </si>
  <si>
    <t>Nguyễn Thị Thu Hân</t>
  </si>
  <si>
    <t>266/18 Bạch Đằng, P.Bình Thạnh (Phường 14, quận Bình Thạnh cũ)</t>
  </si>
  <si>
    <t>315/QĐ-UBND ngày 21/10/2025</t>
  </si>
  <si>
    <t>162/PA-HĐBT (RXT)</t>
  </si>
  <si>
    <t>Trần Nhân Đức - Nguyễn Ngọc Huân - Đặng Chu Kiền</t>
  </si>
  <si>
    <t>79/5BX9 Xô Viết Nghệ Tĩnh, P.Bình Thạnh (Phường 26, quận Bình Thạnh cũ)</t>
  </si>
  <si>
    <t>319/QĐ-UBND ngày 21/10/2025</t>
  </si>
  <si>
    <t>164/PA-HĐBT (RXT)</t>
  </si>
  <si>
    <t>Nguyễn Thị Băng Thùy, Nguyễn Thị Thùy Mỵ, Nguyễn Ngọc Thiên Kim</t>
  </si>
  <si>
    <t>24B Đinh Bộ Lĩnh, P.Bình Thạnh (Phường 14, quận Bình Thạnh cũ)</t>
  </si>
  <si>
    <t>326/QĐ-UBND ngày 21/10/2025</t>
  </si>
  <si>
    <t>166/PA-HĐBT (RXT)</t>
  </si>
  <si>
    <t>Trần Hoàng Hoa Duyên và các đồng thừa kế của ông Nguyễn Trọng Thắng</t>
  </si>
  <si>
    <t>427/11 Xô Viết Nghệ Tĩnh, P.Bình Thạnh (Phường 26, quận Bình Thạnh cũ)</t>
  </si>
  <si>
    <t>311/QĐ-UBND ngày 21/10/2025</t>
  </si>
  <si>
    <t>167/PA-HĐBT (RXT)</t>
  </si>
  <si>
    <t>Phạm Văn Hiền - Trần Đặng Hoàng Duy</t>
  </si>
  <si>
    <t>427/77 Xô Viết Nghệ Tĩnh, P.Bình Thạnh (Phường 26, quận Bình Thạnh cũ)</t>
  </si>
  <si>
    <t>322/QĐ-UBND ngày 21/10/2025</t>
  </si>
  <si>
    <t>168/PA-HĐBT (RXT)</t>
  </si>
  <si>
    <t>Lê Thị Xuân Hiệp</t>
  </si>
  <si>
    <t>260C Bạch Đằng, P.Bình Thạnh (Phường 14, quận Bình Thạnh cũ)</t>
  </si>
  <si>
    <t>318/QĐ-UBND ngày 21/10/2025</t>
  </si>
  <si>
    <t>1356/QĐ-UBND ngày 22/7/2026</t>
  </si>
  <si>
    <t>169/PA-HĐBT (RXT)</t>
  </si>
  <si>
    <t>487/PA</t>
  </si>
  <si>
    <t>Đào Trung Việt - Nguyễn Thị Lan Anh</t>
  </si>
  <si>
    <t>184/3/6B30 Nguyễn Xí, P.Bình Thạnh (Phường 26, quận Bình Thạnh cũ)</t>
  </si>
  <si>
    <t>302/QĐ-UBND ngày 21/10/2025</t>
  </si>
  <si>
    <t>172/PA-HĐBT (RXT)</t>
  </si>
  <si>
    <t>Các đồng thừa kế của ông Võ Tấn Công - bà Nguyễn Thị Yến</t>
  </si>
  <si>
    <t>125/88 Bùi Đình Tuý, P.Bình Thạnh (Phường 14, quận Bình Thạnh cũ)</t>
  </si>
  <si>
    <t>48/QĐ-UBND ngày 15/01/2026, 1564/QĐ-UBND ngày 02/10/2026</t>
  </si>
  <si>
    <t>321/QĐ-UBND ngày 21/10/2025</t>
  </si>
  <si>
    <t>173/PA-HĐBT (RXT)</t>
  </si>
  <si>
    <t>Trương Thị Kim Hoàn - Phan Thị Ngọc Trinh - Phan Thị Ngọc Thảo</t>
  </si>
  <si>
    <t>324/QĐ-UBND ngày 21/10/2025</t>
  </si>
  <si>
    <t>1270/QĐ-UBND ngày 01/7/2026</t>
  </si>
  <si>
    <t>174/PA-HĐBT (RXT)</t>
  </si>
  <si>
    <t>405/PA</t>
  </si>
  <si>
    <t>Phan Đình Phong - Nguyễn Thị Cảnh</t>
  </si>
  <si>
    <t>47/63 Bùi Đình Tuý, P.Bình Thạnh (Phường 14, quận Bình Thạnh cũ)</t>
  </si>
  <si>
    <t>306/QĐ-UBND ngày 21/10/2025</t>
  </si>
  <si>
    <t>175/PA-HĐBT (RXT)</t>
  </si>
  <si>
    <t>Hồ Tấn Chỉ - Nguyễn Bạch Mai</t>
  </si>
  <si>
    <t>201/60/52 Nguyễn Xí, P.Bình Thạnh (Phường 26, quận Bình Thạnh cũ)</t>
  </si>
  <si>
    <t>325/QĐ-UBND ngày 21/10/2025</t>
  </si>
  <si>
    <t>1430/QĐ-UBND ngày 20/8/2026</t>
  </si>
  <si>
    <t>176/PA-HĐBT (RXT)</t>
  </si>
  <si>
    <t>522/PA</t>
  </si>
  <si>
    <t>Trần Thị Ánh Tuyết và các đồng thừa kế của ông Phạm Văn Ban</t>
  </si>
  <si>
    <t>423A Xô Viết Nghệ Tĩnh, P.Bình Thạnh (Phường 26, quận Bình Thạnh cũ)</t>
  </si>
  <si>
    <t>305/QĐ-UBND ngày 21/10/2025</t>
  </si>
  <si>
    <t>178/PA-HĐBT (RXT)</t>
  </si>
  <si>
    <t>Trần Thị Thiệt và các đồng thừa kế của ông Huỳnh Viết Đắc</t>
  </si>
  <si>
    <t>42/383 Huỳnh Đình Hai, P.Bình Thạnh (Phường 24, quận Bình Thạnh cũ)</t>
  </si>
  <si>
    <t>317/QĐ-UBND ngày 21/10/2025</t>
  </si>
  <si>
    <t>179/PA-HĐBT (RXT)</t>
  </si>
  <si>
    <t>Ngô Thị Liên</t>
  </si>
  <si>
    <t>35/2B Đinh Bộ Lĩnh, P.Bình Thạnh (Phường 14, quận Bình Thạnh cũ)</t>
  </si>
  <si>
    <t>303/QĐ-UBND ngày 21/10/2025</t>
  </si>
  <si>
    <t>180/PA-HĐBT (RXT)</t>
  </si>
  <si>
    <t>Phạm Hoàng Minh</t>
  </si>
  <si>
    <t>194/50/42 Bạch Đằng, P.Bình Thạnh (Phường 14, quận Bình Thạnh cũ)</t>
  </si>
  <si>
    <t>320/QĐ-UBND ngày 21/10/2025</t>
  </si>
  <si>
    <t>181/PA-HĐBT (RXT)</t>
  </si>
  <si>
    <t>266/20A Bạch Đằng, P.Bình Thạnh (Phường 14, quận Bình Thạnh cũ)</t>
  </si>
  <si>
    <t>309/QĐ-UBND ngày 21/10/2025</t>
  </si>
  <si>
    <t>182/PA-HĐBT (RXT)</t>
  </si>
  <si>
    <t>Nguyễn Văn Sâm - Nguyễn Thị Thu Hường</t>
  </si>
  <si>
    <t>201/110 Nguyễn Xí, P.Bình Thạnh (Phường 26, quận Bình Thạnh cũ)</t>
  </si>
  <si>
    <t>Trang chấp ở tòa</t>
  </si>
  <si>
    <t>304/QĐ-UBND ngày 21/10/2025</t>
  </si>
  <si>
    <t>183/PA-HĐBT (RXT)</t>
  </si>
  <si>
    <t>Dương Văn Tuấn (người trực tiếp sử dụng nhà - đất)</t>
  </si>
  <si>
    <t>Không số Đinh Bộ Lĩnh, P.Bình Thạnh (Phường 26, quận Bình Thạnh cũ)</t>
  </si>
  <si>
    <t>300/QĐ-UBND ngày 21/10/2025</t>
  </si>
  <si>
    <t>184/PA-HĐBT (RXT)</t>
  </si>
  <si>
    <t>0 đồng -&gt; chưa có thông tin -&gt; đã nhắn nhờ bé thư gọi</t>
  </si>
  <si>
    <t>Nguyễn Thị Lắm</t>
  </si>
  <si>
    <t>194/50/23 Bạch Đằng, P.Bình Thạnh (Phường 14, quận Bình Thạnh cũ)</t>
  </si>
  <si>
    <t>313/QĐ-UBND ngày 21/10/2025</t>
  </si>
  <si>
    <t>1378/QĐ-UBND ngày 31/7/2026</t>
  </si>
  <si>
    <t>185/PA-HĐBT (RXT)</t>
  </si>
  <si>
    <t>515/PA</t>
  </si>
  <si>
    <t>Nguyễn Văn Mông - Nguyễn Thị Kiều Vân</t>
  </si>
  <si>
    <t>427/37 Xô Viết Nghệ Tĩnh, P.Bình Thạnh (Phường 26, quận Bình Thạnh cũ)</t>
  </si>
  <si>
    <t>331/QĐ-UBND ngày 22/10/2025</t>
  </si>
  <si>
    <t>186/PA-HĐBT (RXT)</t>
  </si>
  <si>
    <t>Trần Ngọc Thanh - Giang Phú Thuận</t>
  </si>
  <si>
    <t>58/96/29A Phan Chu Trinh, P.Bình Thạnh (Phường 24, quận Bình Thạnh cũ)</t>
  </si>
  <si>
    <t>335/QĐ-UBND ngày 22/10/2025</t>
  </si>
  <si>
    <t>191/PA-HĐBT (RXT)</t>
  </si>
  <si>
    <t>Lê Thị Nhiễu và các đồng thừa kế của ông Lê Văn Thông</t>
  </si>
  <si>
    <t>194/56M Bạch Đằng, P.Bình Thạnh (Phường 14, quận Bình Thạnh cũ)</t>
  </si>
  <si>
    <t>332/QĐ-UBND ngày 22/10/2025</t>
  </si>
  <si>
    <t>201/PA-HĐBT (RXT)</t>
  </si>
  <si>
    <t>Tô Thành Châu</t>
  </si>
  <si>
    <t>47/19A Bùi Đình Túy, P.Bình Thạnh (Phường 14, quận Bình Thạnh cũ)</t>
  </si>
  <si>
    <t>214/QĐ-UBND ngày 16/10/2025</t>
  </si>
  <si>
    <t>97/PA-HĐBT (RXT)</t>
  </si>
  <si>
    <t>Nguyễn Tam Kha - Nguyễn Thanh Phương</t>
  </si>
  <si>
    <t>407B Xô Viết Nghệ Tĩnh, P.Bình Thạnh (Phường 14, quận Bình Thạnh cũ)</t>
  </si>
  <si>
    <t>256/QĐ-UBND ngày 16/10/2025</t>
  </si>
  <si>
    <t>103/PA-HĐBT (RXT)</t>
  </si>
  <si>
    <t>Đỗ Thị Thanh Thủy - Nguyễn Văn Trung</t>
  </si>
  <si>
    <t>427/7 Xô Viết Nghệ Tĩnh, P.Bình Thạnh (Phường 26, quận Bình Thạnh cũ)</t>
  </si>
  <si>
    <t>327/QĐ-UBND ngày 21/10/2025</t>
  </si>
  <si>
    <t>163/PA-HĐBT (RXT)</t>
  </si>
  <si>
    <t>Các đồng thừa kế của bà Hồ Thị Hai</t>
  </si>
  <si>
    <t>344/QĐ-UBND ngày 22/10/2025</t>
  </si>
  <si>
    <t>188/PA-HĐBT (RXT)</t>
  </si>
  <si>
    <t>521/PA</t>
  </si>
  <si>
    <t>Nguyễn Đức Trung - Trần Thị Yến</t>
  </si>
  <si>
    <t>427/46B Xô Viết Nghệ Tĩnh, P.Bình Thạnh (Phường 26, quận Bình Thạnh cũ)</t>
  </si>
  <si>
    <t>Đã mời hộ dân -&gt; hẹn trong tuần này sắp xếp lên</t>
  </si>
  <si>
    <t>342/QĐ-UBND ngày 22/10/2025</t>
  </si>
  <si>
    <t>1401/QĐ-UBND ngày 11/8/2026</t>
  </si>
  <si>
    <t>194/PA-HĐBT (RXT)</t>
  </si>
  <si>
    <t>467/PA</t>
  </si>
  <si>
    <t>Các đồng thừa kế của bà Trần Thị Chung và ông Nguyễn Văn Ngân</t>
  </si>
  <si>
    <t>427/65A Xô Viết Nghệ Tĩnh, P.Bình Thạnh (Phường 26, quận Bình Thạnh cũ)</t>
  </si>
  <si>
    <t>339/QD-UBND ngày 22/10/2025</t>
  </si>
  <si>
    <t>197/PA-HĐBT (RXT)</t>
  </si>
  <si>
    <t>Đỗ Kim Dũng</t>
  </si>
  <si>
    <t>260F Bạch Đằng, P.Bình Thạnh (Phường 14, quận Bình Thạnh cũ)</t>
  </si>
  <si>
    <t>345/QĐ-UBND ngày 22/10/2025</t>
  </si>
  <si>
    <t>198/PA-HĐBT (RXT)</t>
  </si>
  <si>
    <t>194/56H Bạch Đằng, P.Bình Thạnh (Phường 14, quận Bình Thạnh cũ)</t>
  </si>
  <si>
    <t>Nguyễn Văn Tuấn chết, đang chờ làm lại KNDS</t>
  </si>
  <si>
    <t>343/QĐ-UBND ngày 22/10/2025</t>
  </si>
  <si>
    <t>199/PA-HĐBT (RXT)</t>
  </si>
  <si>
    <t>Các đồng thừa kế của ông Dương Đức Thuần và bà Đặng Thị Bích Hiệp</t>
  </si>
  <si>
    <t>238/27 Bạch Đằng, P.Bình Thạnh (Phường 14, quận Bình Thạnh cũ)</t>
  </si>
  <si>
    <t>340/QĐ-UBND ngày 22/10/2025</t>
  </si>
  <si>
    <t>1366/QĐ-UBND ngày 28/7/2026</t>
  </si>
  <si>
    <t>200/PA-HĐBT (RXT)</t>
  </si>
  <si>
    <t>377/PA</t>
  </si>
  <si>
    <t>Đặng Đức - Đỗ Thị Thỏa</t>
  </si>
  <si>
    <t>201/122 Nguyễn Xí, P.Bình Thạnh (Phường 26, quận Bình Thạnh cũ)</t>
  </si>
  <si>
    <t>351/QĐ-UBND ngày 23/10/2025</t>
  </si>
  <si>
    <t>204/PA-HĐBT (RXT)</t>
  </si>
  <si>
    <t>Nguyễn Văn Dậu - Trương Thị Mỹ Loan</t>
  </si>
  <si>
    <t>32/36/40G Bùi Đình Túy, P.Bình Thạnh (Phường 12, quận Bình Thạnh cũ)</t>
  </si>
  <si>
    <t>350/QĐ-UBND ngày 23/10/2025</t>
  </si>
  <si>
    <t>205/PA-HĐBT (RXT)</t>
  </si>
  <si>
    <t>Trần Thị Hiển</t>
  </si>
  <si>
    <t>47/49 Bùi Đình Túy, P.Bình Thạnh (Phường 14, quận Bình Thạnh cũ)</t>
  </si>
  <si>
    <t>349/QĐ-UBND ngày 23/10/2025</t>
  </si>
  <si>
    <t>208/PA-HĐBT (RXT)</t>
  </si>
  <si>
    <t>Đỗ Văn Định - Trịnh Thị Thao</t>
  </si>
  <si>
    <t>356/QD-UBND ngày 23/10/2025</t>
  </si>
  <si>
    <t>210/PA-HĐBT (RXT)</t>
  </si>
  <si>
    <t>Phạm Thị Thanh Phương</t>
  </si>
  <si>
    <t>201/60/54 Nguyễn Xí, P.Bình Thạnh (Phường 26, quận Bình Thạnh cũ)</t>
  </si>
  <si>
    <t>396/QD-UBND ngày 24/10/2025</t>
  </si>
  <si>
    <t>1434/QĐ-UBND ngày 20/8/2026</t>
  </si>
  <si>
    <t>189/PA-HĐBT (RXT)</t>
  </si>
  <si>
    <t>529/PA</t>
  </si>
  <si>
    <t>Các đồng thừa kế của bà Phạm Thị Bình (Chưa xác định tình trạng hôn nhân) -(Tôn Thất Hùng - Thái Quốc San - Thái Mạnh Giàu)</t>
  </si>
  <si>
    <t>409B (Số cũ: 347A) Xô Viết Nghệ Tĩnh, P.Bình Thạnh (Phường 26, quận Bình Thạnh cũ)</t>
  </si>
  <si>
    <t>369/QĐ-UBND ngày 24/10/2025</t>
  </si>
  <si>
    <t>214/PA-HĐBT (RXT)</t>
  </si>
  <si>
    <t>Nguyễn Thị Lệ Hằng</t>
  </si>
  <si>
    <t>59/48 Đinh Bộ Lĩnh, P.Bình Thạnh (Phường 26, quận Bình Thạnh cũ)</t>
  </si>
  <si>
    <t>359/QĐ-UBND ngày 24/10/2025</t>
  </si>
  <si>
    <t>215/PA-HĐBT (RXT)</t>
  </si>
  <si>
    <t>Nguyễn Hữu Đạt - Nguyễn Phan Như Ý</t>
  </si>
  <si>
    <t>427/13 Xô Viết Nghệ Tĩnh, P.Bình Thạnh (Phường 26, quận Bình Thạnh cũ)</t>
  </si>
  <si>
    <t>368/QĐ-UBND ngày 24/10/2025</t>
  </si>
  <si>
    <t>216/PA-HĐBT (RXT)</t>
  </si>
  <si>
    <t>Các đồng thừa kế của ông Huỳnh Văn Mười và bà Nguyễn Thị Liêng</t>
  </si>
  <si>
    <t>427/65 Xô Viết Nghệ Tĩnh, P.Bình Thạnh (Phường 26, quận Bình Thạnh cũ)</t>
  </si>
  <si>
    <t>361/QĐ-UBND ngày 24/10/2025</t>
  </si>
  <si>
    <t>217/PA-HĐBT (RXT)</t>
  </si>
  <si>
    <t>297/PA</t>
  </si>
  <si>
    <t>Nguyễn Đăng Thiệu - Bùi Thị Hồng Vĩnh</t>
  </si>
  <si>
    <t>201/130 Nguyễn Xí, P.Bình Thạnh (Phường 26, quận Bình Thạnh cũ)</t>
  </si>
  <si>
    <t>365/QĐ-UBND ngày 24/10/2025</t>
  </si>
  <si>
    <t>219/PA-HĐBT (RXT)</t>
  </si>
  <si>
    <t>Các đồng thừa kế của ông Trần Văn Lợi - bà Nguyễn Thị Mai</t>
  </si>
  <si>
    <t>125/77/8 Bùi Đình Túy, P.Bình Thạnh (Phường 14, quận Bình Thạnh cũ)</t>
  </si>
  <si>
    <t>366/QĐ-UBND ngày 24/10/2025</t>
  </si>
  <si>
    <t>220/PA-HĐBT (RXT)</t>
  </si>
  <si>
    <t>Nguyễn Văn Nhân - Trần Thị Vân</t>
  </si>
  <si>
    <t>364/QD-UBND ngày 24/10/2025</t>
  </si>
  <si>
    <t>1371/QĐ-UBND ngày 29/7/2026</t>
  </si>
  <si>
    <t>221/PA-HĐBT (RXT)</t>
  </si>
  <si>
    <t>462/PA</t>
  </si>
  <si>
    <t>Võ Anh Tuấn</t>
  </si>
  <si>
    <t>194/50/37 Bạch Đằng, P.Bình Thạnh (Phường 14, quận Bình Thạnh cũ)</t>
  </si>
  <si>
    <t>370/QD-UBND ngày 24/10/2025</t>
  </si>
  <si>
    <t>222/PA-HĐBT (RXT)</t>
  </si>
  <si>
    <t>Lô Thị Kim Phượng</t>
  </si>
  <si>
    <t>427/31 Xô Viết Nghệ Tĩnh, P.Bình Thạnh (Phường 26, quận Bình Thạnh cũ)</t>
  </si>
  <si>
    <t>360/QD-UBND ngày 24/10/2025</t>
  </si>
  <si>
    <t>224/PA-HĐBT (RXT)</t>
  </si>
  <si>
    <t>Nguyễn Anh Minh - Nguyễn Thị Kim Thanh</t>
  </si>
  <si>
    <t>407C Xô Viết Nghệ Tĩnh, P.Bình Thạnh (Phường 14, quận Bình Thạnh cũ)</t>
  </si>
  <si>
    <t>363/QD-UBND ngày 24/10/2025</t>
  </si>
  <si>
    <t>226/PA-HĐBT (RXT)</t>
  </si>
  <si>
    <t>Mai Văn Nam</t>
  </si>
  <si>
    <t>194/58 Bạch Đằng, P.Bình Thạnh (Phường 14, quận Bình Thạnh cũ)</t>
  </si>
  <si>
    <t>DVC 25-9</t>
  </si>
  <si>
    <t>395/QD-UBND ngày 24/10/2025</t>
  </si>
  <si>
    <t>228/PA-HĐBT (RXT)</t>
  </si>
  <si>
    <t>Nguyễn Ngọc Dũng - Trần Thị Kim Liên</t>
  </si>
  <si>
    <t>194/43/34 Bạch Đằng, P.Bình Thạnh (Phường 14, quận Bình Thạnh cũ)</t>
  </si>
  <si>
    <t>381/QD-UBND ngày 24/10/2025</t>
  </si>
  <si>
    <t>230/PA-HĐBT (RXT)</t>
  </si>
  <si>
    <t>Nguyễn Ngọc Tòng - Nguyễn Phượng Hoa</t>
  </si>
  <si>
    <t>220/36 Nguyễn Xí, P.Bình Thạnh (Phường 26, quận Bình Thạnh cũ)</t>
  </si>
  <si>
    <t>394/QD-UBND ngày 24/10/2025</t>
  </si>
  <si>
    <t>232/PA-HĐBT (RXT)</t>
  </si>
  <si>
    <t>Các đồng thừa kế của ông Mai Hữu Châu - bà Lê Thị Hường</t>
  </si>
  <si>
    <t>49 Đinh Bộ Lĩnh, P.Bình Thạnh (Phường 14, quận Bình Thạnh cũ)</t>
  </si>
  <si>
    <t>371/QĐ-UBND ngày 24/10/2025</t>
  </si>
  <si>
    <t>1349/QĐ-UBND ngày 21/7/2026</t>
  </si>
  <si>
    <t>233/PA-HĐBT (RXT)</t>
  </si>
  <si>
    <t>Các đồng thừa kế của ông Nguyễn Thành Sanh và bà Võ Thị Vân</t>
  </si>
  <si>
    <t>427/29 Xô Viết Nghệ Tĩnh, P.Bình Thạnh (Phường 26, quận Bình Thạnh cũ)</t>
  </si>
  <si>
    <t xml:space="preserve">1454/QĐ-UBND ngày 26/08/2026; 1562/QĐ-UBND ngày 02/10/2026
</t>
  </si>
  <si>
    <t>729/QĐ-UBND ngày 24/4/2026</t>
  </si>
  <si>
    <t>1432/QĐ-UBND ngày 20/08/2026</t>
  </si>
  <si>
    <t>DVC - 24-9</t>
  </si>
  <si>
    <t>373/QĐ-UBND ngày 24/10/2025</t>
  </si>
  <si>
    <t>235/PA-HĐBT (RXT)</t>
  </si>
  <si>
    <t>Các đồng thừa kế của ông Lê Hoàng Toàn</t>
  </si>
  <si>
    <t>125/77/6 Bùi Đình Túy, P.Bình Thạnh (Phường 14, quận Bình Thạnh cũ)</t>
  </si>
  <si>
    <t>Đang Tạo DVC</t>
  </si>
  <si>
    <t>Đã tạo DSC</t>
  </si>
  <si>
    <t>393/QD-UBND ngày 24/10/2025</t>
  </si>
  <si>
    <t>237/PA-HĐBT (RXT)</t>
  </si>
  <si>
    <t>Trần Minh Mẫn - Hoàng Hồ Thanh Bình</t>
  </si>
  <si>
    <t>427/32/2 Xô Viết Nghệ Tĩnh, P.Bình Thạnh (Phường 26, quận Bình Thạnh cũ)</t>
  </si>
  <si>
    <t>392/QD-UBND ngày 24/10/2025</t>
  </si>
  <si>
    <t>239/PA-HĐBT (RXT)</t>
  </si>
  <si>
    <t>59/36 Đinh Bộ Lĩnh, P.Bình Thạnh (Phường 26, quận Bình Thạnh cũ)</t>
  </si>
  <si>
    <t>375/QD-UBND ngày 24/10/2025</t>
  </si>
  <si>
    <t>241/PA-HĐBT (RXT)</t>
  </si>
  <si>
    <t>Võ Kim Phụng</t>
  </si>
  <si>
    <t>194/50/68 Bạch Đằng, P.Bình Thạnh (Phường 14, quận Bình Thạnh cũ)</t>
  </si>
  <si>
    <t>377/QD-UBND ngày 24/10/2025</t>
  </si>
  <si>
    <t>thi hành án</t>
  </si>
  <si>
    <t>242/PA-HĐBT (RXT)</t>
  </si>
  <si>
    <t>Trần Thị Kim Cúc và các đồng thừa kế của ông Trương Tài Năng</t>
  </si>
  <si>
    <t>427/69 Xô Viết Nghệ Tĩnh, P.Bình Thạnh (Phường 26, quận Bình Thạnh cũ)</t>
  </si>
  <si>
    <t>383/QD-UBND ngày 24/10/2025</t>
  </si>
  <si>
    <t>243/PA-HĐBT (RXT)</t>
  </si>
  <si>
    <t>Đỗ Quốc Định - Võ Thị Ngọc Kiều</t>
  </si>
  <si>
    <t>225 Chu Văn An, P.Bình Thạnh (Phường 26, quận Bình Thạnh cũ)</t>
  </si>
  <si>
    <t>1329/QĐ-UBND ngày 14/7/2026; 1521/QĐ-UBND ngày 21/9/2026</t>
  </si>
  <si>
    <t>446/PA; 558/PA</t>
  </si>
  <si>
    <t>379/QD-UBND ngày 24/10/2025</t>
  </si>
  <si>
    <t>247/PA-HĐBT (RXT)</t>
  </si>
  <si>
    <t>Trần Minh Phương - Tất Thu Lan</t>
  </si>
  <si>
    <t>427/32 Xô Viết Nghệ Tĩnh, P.Bình Thạnh (Phường 26, quận Bình Thạnh cũ)</t>
  </si>
  <si>
    <t>407/QD-UBND ngày 24/10/2025</t>
  </si>
  <si>
    <t>231/QD-UBND ngày 31/01/2026</t>
  </si>
  <si>
    <t>249/PA-HĐBT (RXT)</t>
  </si>
  <si>
    <t>Nguyễn Thị Ngọc Di</t>
  </si>
  <si>
    <t>42 Đinh Bộ Lĩnh, P.Bình Thạnh (Phường 26, quận Bình Thạnh cũ)</t>
  </si>
  <si>
    <t>374/QĐ-UBND ngày 24/10/2025</t>
  </si>
  <si>
    <t>251/PA-HĐBT (RXT)</t>
  </si>
  <si>
    <t>HỘ NÀY CÓ HỢP CHÚ Ý: ĐỒNG ỦY QUYỀN NHƯNG KHÔNG GHI NỘI DUNG ỦY QUYỀN NHẬN TIỀN CỦA CĂN NHÀ NÀY.</t>
  </si>
  <si>
    <t>59/13C Đinh Bộ Lĩnh, P.Bình Thạnh (Phường 26, quận Bình Thạnh cũ)</t>
  </si>
  <si>
    <t>372/QĐ-UBND ngày 24/10/2025</t>
  </si>
  <si>
    <t>252/PA-HĐBT (RXT)</t>
  </si>
  <si>
    <t>Phòng Thị Hồng Yến</t>
  </si>
  <si>
    <t>385 Đinh Bộ Lĩnh, P.Bình Thạnh (Phường 26, quận Bình Thạnh cũ)</t>
  </si>
  <si>
    <t>388/QĐ-UBND ngày 24/10/2025</t>
  </si>
  <si>
    <t>254/PA-HĐBT (RXT)</t>
  </si>
  <si>
    <t>Phạm Soại - Phạm Thị Tuyết Nga</t>
  </si>
  <si>
    <t>32/8/13 (số cũ 705G) Bùi Đình Túy, P.Bình Thạnh (Phường 12, quận Bình Thạnh cũ)</t>
  </si>
  <si>
    <t>387/QĐ-UBND ngày 24/10/2025</t>
  </si>
  <si>
    <t>255/PA-HĐBT (RXT)</t>
  </si>
  <si>
    <t>Nguyễn Thế Phương - Đặng Thị Gấm</t>
  </si>
  <si>
    <t>79/38 Xô Viết Nghệ Tĩnh, P.Bình Thạnh (Phường 26, quận Bình Thạnh cũ)</t>
  </si>
  <si>
    <t>404/QĐ-UBND ngày 24/10/2025</t>
  </si>
  <si>
    <t>256/PA-HĐBT (RXT)</t>
  </si>
  <si>
    <t>Nguyễn Thị Cơ và các đồng thừa kế của ông Võ Khắc Hườn</t>
  </si>
  <si>
    <t>47/9 Bùi Đình Túy, P.Bình Thạnh (Phường 14, quận Bình Thạnh cũ)</t>
  </si>
  <si>
    <t>385/QĐ-UBND ngày 24/10/2025</t>
  </si>
  <si>
    <t>259/PA-HĐBT (RXT)</t>
  </si>
  <si>
    <t>Phạm Vũ Ca - Lê Kim Tuyến</t>
  </si>
  <si>
    <t>220/36A Nguyễn Xí, P.Bình Thạnh (Phường 26, quận Bình Thạnh cũ)</t>
  </si>
  <si>
    <t>384/QĐ-UBND ngày 24/10/2025</t>
  </si>
  <si>
    <t>260/PA-HĐBT (RXT)</t>
  </si>
  <si>
    <t>Đỗ Thế Phùng - Nguyễn Thị Bích Huyên</t>
  </si>
  <si>
    <t>220/36B Nguyễn Xí, P.Bình Thạnh (Phường 26, quận Bình Thạnh cũ)</t>
  </si>
  <si>
    <t>Không đồng -&gt; Liên hệ không được -&gt; đã Nhờ tổ BT liên hệ</t>
  </si>
  <si>
    <t>427/QD-UBND ngày 24/10/2025</t>
  </si>
  <si>
    <t>262/PA-HĐBT (RXT)</t>
  </si>
  <si>
    <t>Nguyễn Bạch Tuyết</t>
  </si>
  <si>
    <t>32 Đinh Bộ Lĩnh, P.Bình Thạnh (Phường 14, quận Bình Thạnh cũ)</t>
  </si>
  <si>
    <t>1347/QĐ-UBND ngày 21/7/2026</t>
  </si>
  <si>
    <t>451/PA</t>
  </si>
  <si>
    <t>400/QĐ-UBND ngày 24/10/2025</t>
  </si>
  <si>
    <t>266/PA-HĐBT (RXT)</t>
  </si>
  <si>
    <t>Nguyễn Thị Vũ Nguyên</t>
  </si>
  <si>
    <t>266/22 Bạch Đằng, P.Bình Thạnh (Phường 24, quận Bình Thạnh cũ)</t>
  </si>
  <si>
    <t>399/QĐ-UBND ngày 24/10/2025</t>
  </si>
  <si>
    <t>267/PA-HĐBT (RXT)</t>
  </si>
  <si>
    <t>Không số Nguyễn Xí, P.Bình Thạnh (Phường 26, quận Bình Thạnh cũ)</t>
  </si>
  <si>
    <t>398/QĐ-UBND ngày 24/10/2025</t>
  </si>
  <si>
    <t>268/PA-HĐBT (RXT)</t>
  </si>
  <si>
    <t>Đặng Thị Liên</t>
  </si>
  <si>
    <t>59/46 Đinh Bộ Lĩnh, P.Bình Thạnh (Phường 26, quận Bình Thạnh cũ)</t>
  </si>
  <si>
    <t>424/QĐ-UBND ngày 24/10/2025</t>
  </si>
  <si>
    <t>269/PA-HĐBT (RXT)</t>
  </si>
  <si>
    <t>Bùi Thị Quỳnh Mai</t>
  </si>
  <si>
    <t xml:space="preserve">1087/QĐ-UBND ngày 09/06/2026; 1562/QĐ-UBND ngày 02/10/2026
</t>
  </si>
  <si>
    <t>125/77/18 Bùi Đình Túy, P.Bình Thạnh (Phường 14, quận Bình Thạnh cũ)</t>
  </si>
  <si>
    <t>409/QĐ-UBND ngày 24/10/2025</t>
  </si>
  <si>
    <t>275/PA-HĐBT (RXT)</t>
  </si>
  <si>
    <t>Lê Thị Ngọc Trang - Đỗ Văn Bồn</t>
  </si>
  <si>
    <t>401/QD-UBND ngày 24/10/2025</t>
  </si>
  <si>
    <t>1325/QĐ-UBND ngày 14/7/2026</t>
  </si>
  <si>
    <t>277/PA-HĐBT (RXT)</t>
  </si>
  <si>
    <t>454/PA</t>
  </si>
  <si>
    <t>Bùi Đạt Khương - Lê Thị Huê Em</t>
  </si>
  <si>
    <t>220/42 (số tự cho) Nguyễn Xí, P.Bình Thạnh (Phường 26, quận Bình Thạnh cũ)</t>
  </si>
  <si>
    <t>403/QD-UBND ngày 24/10/2025</t>
  </si>
  <si>
    <t>279/PA-HĐBT (RXT)</t>
  </si>
  <si>
    <t>Các đồng thừa kế của Ngô Văn Phát và Nguyễn Thị Huỳnh</t>
  </si>
  <si>
    <t>194/62 Bạch Đằng, P.Bình Thạnh (Phường 14, quận Bình Thạnh cũ)</t>
  </si>
  <si>
    <t>195/QD-UBND ngày 15/10/2025</t>
  </si>
  <si>
    <t>37/PA-HĐBT (RXT)</t>
  </si>
  <si>
    <t>Các đồng thừa kế của bà Võ Thị Tài và ông Trương Văn Hóa</t>
  </si>
  <si>
    <t>35/18H Đinh Bộ Lĩnh, P.Bình Thạnh (Phường 14, quận Bình Thạnh cũ)</t>
  </si>
  <si>
    <t>190/QD-UBND ngày 14/10/2025</t>
  </si>
  <si>
    <t>1281/QĐ-UBND ngày 03/7/2026</t>
  </si>
  <si>
    <t>88/PA-HĐBT (RXT)</t>
  </si>
  <si>
    <t>395/PA</t>
  </si>
  <si>
    <t>Vũ Văn Tuấn - Lê Thị Hương Thu</t>
  </si>
  <si>
    <t>201/60/50 Nguyễn Xí, P.Bình Thạnh (Phường 26, quận Bình Thạnh cũ)</t>
  </si>
  <si>
    <t>333/QD-UBND ngày 22/10/2025</t>
  </si>
  <si>
    <t>161/PA-HĐBT (RXT)</t>
  </si>
  <si>
    <t>Nguyễn Hoàng Anh Tuấn - Võ Thị Thảo</t>
  </si>
  <si>
    <t>337/QD-UBND ngày 22/10/2025</t>
  </si>
  <si>
    <t>187/PA-HĐBT (RXT)</t>
  </si>
  <si>
    <t>Trương Thị Tuyết Nga</t>
  </si>
  <si>
    <t>41E (số tự cho 229) Chu Văn An, P.Bình Thạnh (Phường 26, quận Bình Thạnh cũ)</t>
  </si>
  <si>
    <t>334/QD-UBND ngày 22/10/2025</t>
  </si>
  <si>
    <t>192/PA-HĐBT (RXT)</t>
  </si>
  <si>
    <t>Các đồng thừa kế của Trần Văn Long và Nguyễn Thị Huệ</t>
  </si>
  <si>
    <t>194/43/28 Bạch Đằng, P.Bình Thạnh (Phường 14, quận Bình Thạnh cũ)</t>
  </si>
  <si>
    <t>338/QD-UBND ngày 22/10/2025</t>
  </si>
  <si>
    <t>1382/QĐ-UBND ngày 31/7/2026</t>
  </si>
  <si>
    <t>195/PA-HĐBT (RXT)</t>
  </si>
  <si>
    <t>442/PA</t>
  </si>
  <si>
    <t>Lâm Thị Lang</t>
  </si>
  <si>
    <t>427/61A Xô Viết Nghệ Tĩnh, P.Bình Thạnh (Phường 26, quận Bình Thạnh cũ)</t>
  </si>
  <si>
    <t>341/QD-UBND ngày 22/10/2025</t>
  </si>
  <si>
    <t>196/PA-HĐBT (RXT)</t>
  </si>
  <si>
    <t>Nguyễn Thị Ngân và các đồng thừa kế của ông Trần Trọng An</t>
  </si>
  <si>
    <t>427/17 (số cũ: 156/4A) Xô Viết Nghệ Tĩnh, P.Bình Thạnh (Phường 26, quận Bình Thạnh cũ)</t>
  </si>
  <si>
    <t>336/QĐ-UBND ngày 22/10/2025</t>
  </si>
  <si>
    <t>202/PA-HĐBT (RXT)</t>
  </si>
  <si>
    <t>Ngô Thị Mỹ Nhân</t>
  </si>
  <si>
    <t>58/22/30 Phan Chu Trinh, P.Bình Thạnh (Phường 14, quận Bình Thạnh cũ)</t>
  </si>
  <si>
    <t>347/QĐ-UBND ngày 23/10/2025</t>
  </si>
  <si>
    <t>203/PA-HĐBT (RXT)</t>
  </si>
  <si>
    <t>Huỳnh Phi Yến</t>
  </si>
  <si>
    <t>194/50/27 Bạch Đằng, P.Bình Thạnh (Phường 14, quận Bình Thạnh cũ)</t>
  </si>
  <si>
    <t>348/QĐ-UBND ngày 23/10/2025</t>
  </si>
  <si>
    <t>212/PA-HĐBT (RXT)</t>
  </si>
  <si>
    <t>Lê Văn Lộc - Đặng Thị Tuyết Minh</t>
  </si>
  <si>
    <t>367/QD-UBND ngày 23/10/2025</t>
  </si>
  <si>
    <t>225/PA-HĐBT (RXT)</t>
  </si>
  <si>
    <t>Nguyễn Thị Thân và các đồng thừa kế của ông Trần Văn Bảo</t>
  </si>
  <si>
    <t>125/77/49 Bùi Đình Túy, P.Bình Thạnh (Phường 14, quận Bình Thạnh cũ)</t>
  </si>
  <si>
    <t>437/QD-UBND ngày 24/10/2025</t>
  </si>
  <si>
    <t>1274/QĐ-UBND ngày 02/7/2026</t>
  </si>
  <si>
    <t>229/PA-HĐBT (RXT)</t>
  </si>
  <si>
    <t>413/PA</t>
  </si>
  <si>
    <t>Nguyễn Văn Hoàng (trước đây là Các đồng thừa kế của ông Nguyễn Văn Mung và bà Trần Thị Kim)</t>
  </si>
  <si>
    <t>482/QD-UBND ngày 24/10/2025</t>
  </si>
  <si>
    <t>1263/QĐ-UBND ngày 30/6/2026; 1475/QĐ-UBND ngày 28/8/2026</t>
  </si>
  <si>
    <t>236/PA-HĐBT (RXT)</t>
  </si>
  <si>
    <t>392/PA; 566/PA</t>
  </si>
  <si>
    <t>Vũ Thị Hoa</t>
  </si>
  <si>
    <t>32/8/6 (số cũ 705K) Bùi Đình Túy, P.Bình Thạnh (Phường 12, quận Bình Thạnh cũ)</t>
  </si>
  <si>
    <t>435/QD-UBND ngày 24/10/2025</t>
  </si>
  <si>
    <t>240/PA-HĐBT (RXT)</t>
  </si>
  <si>
    <t>Võ Thành Son - Đặng Thị Cuốn</t>
  </si>
  <si>
    <t>194/56L Bạch Đằng, P.Bình Thạnh (Phường 14, quận Bình Thạnh cũ)</t>
  </si>
  <si>
    <t>434/QD-UBND ngày 24/10/2025</t>
  </si>
  <si>
    <t>250/PA-HĐBT (RXT)</t>
  </si>
  <si>
    <t>Lê Thắng Cảnh - Lê Thị Chinh</t>
  </si>
  <si>
    <t>201/132 Nguyễn Xí, P.Bình Thạnh (Phường 26, quận Bình Thạnh cũ)</t>
  </si>
  <si>
    <t>chờ KNDS</t>
  </si>
  <si>
    <t>1132/QĐ-UBND ngày 12/06/2026</t>
  </si>
  <si>
    <t>428/QD-UBND ngày 24/10/2025</t>
  </si>
  <si>
    <t>1290/QĐ-UBND ngày 08/7/2026</t>
  </si>
  <si>
    <t>273/PA-HĐBT (RXT)</t>
  </si>
  <si>
    <t>356/PA</t>
  </si>
  <si>
    <t>Huỳnh Thị Hương</t>
  </si>
  <si>
    <t>194/50/47 Bạch Đằng, P.Bình Thạnh (Phường 14, quận Bình Thạnh cũ)</t>
  </si>
  <si>
    <t>chờ XNTTHN</t>
  </si>
  <si>
    <t>478/QĐ-UBND ngày 28/10/2025</t>
  </si>
  <si>
    <t>281/PA-HĐBT (RXT)</t>
  </si>
  <si>
    <t>Ninh Công Đức</t>
  </si>
  <si>
    <t>472/QĐ-UBND ngày 28/10/2025</t>
  </si>
  <si>
    <t>1291/QĐ-UBND ngày 08/7/2026</t>
  </si>
  <si>
    <t>284/PA-HĐBT (RXT)</t>
  </si>
  <si>
    <t>380/PA</t>
  </si>
  <si>
    <t>Đặng Tiến Minh</t>
  </si>
  <si>
    <t>194/50/41 Bạch Đằng, P.Bình Thạnh (Phường 14, quận Bình Thạnh cũ)</t>
  </si>
  <si>
    <t>471/QĐ-UBND ngày 28/10/2025</t>
  </si>
  <si>
    <t>289/PA-HĐBT (RXT)</t>
  </si>
  <si>
    <t>437/PA</t>
  </si>
  <si>
    <t>Ngô Mạnh Hùng</t>
  </si>
  <si>
    <t>407 Xô Viết Nghệ Tĩnh, P.Bình Thạnh (Phường 14, quận Bình Thạnh cũ)</t>
  </si>
  <si>
    <t>Đã tạo danh sách và mời dân (hộ dân hẹn trong tuần này)</t>
  </si>
  <si>
    <t>477/QĐ-UBND ngày 28/10/2025</t>
  </si>
  <si>
    <t>290/PA-HĐBT (RXT)</t>
  </si>
  <si>
    <t>Phạm Gia Mỹ - Châu Ngọc Mỹ</t>
  </si>
  <si>
    <t>427/67 Xô Viết Nghệ Tĩnh, P.Bình Thạnh (Phường 26, quận Bình Thạnh cũ)</t>
  </si>
  <si>
    <t>479/QĐ-UBND ngày 28/10/2025</t>
  </si>
  <si>
    <t>291/PA-HĐBT (RXT)</t>
  </si>
  <si>
    <t>Nguyễn Văn Thắng - Nguyễn Thị Phượng</t>
  </si>
  <si>
    <t>201/60/46 Nguyễn Xí, P.Bình Thạnh (Phường 26, quận Bình Thạnh cũ)</t>
  </si>
  <si>
    <t>476/QĐ-UBND ngày 28/10/2025</t>
  </si>
  <si>
    <t>292/PA-HĐBT (RXT)</t>
  </si>
  <si>
    <t>Nguyễn Trí Tôn - Mai Thị Sửu</t>
  </si>
  <si>
    <t>266/20 Bạch Đằng, P.Bình Thạnh (Phường 14, quận Bình Thạnh cũ)</t>
  </si>
  <si>
    <t>487/QĐ-UBND ngày 29/10/2025</t>
  </si>
  <si>
    <t>294/PA-HĐBT (RXT)</t>
  </si>
  <si>
    <t>Phan Thị Mĩnh và những người thừa kế của ông Nguyễn Văn Phương</t>
  </si>
  <si>
    <t>194/50/41A Bạch Đằng, P.Bình Thạnh (Phường 14, quận Bình Thạnh cũ)</t>
  </si>
  <si>
    <t>496/QĐ-UBND ngày 29/10/2025</t>
  </si>
  <si>
    <t>295/PA-HĐBT (RXT)</t>
  </si>
  <si>
    <t>Trịnh Xuân Hòa - Nguyễn Thị Hai</t>
  </si>
  <si>
    <t>194/56K Bạch Đằng, P.Bình Thạnh (Phường 14, quận Bình Thạnh cũ)</t>
  </si>
  <si>
    <t>495/QĐ-UBND ngày 29/10/2025</t>
  </si>
  <si>
    <t>296/PA-HĐBT (RXT)</t>
  </si>
  <si>
    <t>Võ Thị Mỹ Lệ (là người thừa kế theo văn bản thỏa thuận phân chia di sản tại Văn phòng công chứng Đông Thành Phố lập ngày 08/6/2024)</t>
  </si>
  <si>
    <t>58/22/34Y Phan Chu Trinh, P.Bình Thạnh (Phường 14, quận Bình Thạnh cũ)</t>
  </si>
  <si>
    <t>489/QĐ-UBND ngày 29/10/2025</t>
  </si>
  <si>
    <t>297/PA-HĐBT (RXT)</t>
  </si>
  <si>
    <t>Võ Minh Liêm - Đặng Thị Bảo Trân</t>
  </si>
  <si>
    <t>Không số (phía sau nhà 260B) Bạch Đằng, P.Bình Thạnh (Phường 14, quận Bình Thạnh cũ)</t>
  </si>
  <si>
    <t>483/QĐ-UBND ngày 29/10/2025</t>
  </si>
  <si>
    <t>298/PA-HĐBT (RXT)</t>
  </si>
  <si>
    <t>Lê Phước</t>
  </si>
  <si>
    <t>220/28 Nguyễn Xí, P.Bình Thạnh (Phường 26, quận Bình Thạnh cũ)</t>
  </si>
  <si>
    <t>493/QĐ-UBND ngày 29/10/2025</t>
  </si>
  <si>
    <t>299/PA-HĐBT (RXT)</t>
  </si>
  <si>
    <t>Công ty TNHH Tân Hoàng Thân (đang sử dụng)</t>
  </si>
  <si>
    <t>34 - 36B Đinh Bộ Lĩnh, P.Bình Thạnh (Phường 14, quận Bình Thạnh cũ)</t>
  </si>
  <si>
    <t>481/QĐ-UBND ngày 29/10/2025</t>
  </si>
  <si>
    <t>300/PA-HĐBT (RXT)</t>
  </si>
  <si>
    <t>Phạm Ngọc Châu</t>
  </si>
  <si>
    <t>125/110 Bùi Đình Túy, P.Bình Thạnh (Phường 14, quận Bình Thạnh cũ)</t>
  </si>
  <si>
    <t>484/QĐ-UBND ngày 29/10/2025</t>
  </si>
  <si>
    <t>301/PA-HĐBT (RXT)</t>
  </si>
  <si>
    <t>đóng dấu sai</t>
  </si>
  <si>
    <t>Phạm Thanh Ngọc - Võ Thị Yến</t>
  </si>
  <si>
    <t>40E Chu Văn An, P.Bình Thạnh (Phường 26, quận Bình Thạnh cũ)</t>
  </si>
  <si>
    <t>Bỏ ra ngoài ranh dự án (Thiện nhắn)</t>
  </si>
  <si>
    <t>488/QĐ-UBND ngày 29/10/2025</t>
  </si>
  <si>
    <t>303/PA-HĐBT (RXT)</t>
  </si>
  <si>
    <t>Phan Xuân Hoàng - Nguyễn Thị Kim Hân</t>
  </si>
  <si>
    <t>220/2A Nguyễn Xí, P.Bình Thạnh (Phường 26, quận Bình Thạnh cũ)</t>
  </si>
  <si>
    <t>494/QĐ-UBND ngày 29/10/2025</t>
  </si>
  <si>
    <t>304/PA-HĐBT (RXT)</t>
  </si>
  <si>
    <t>Võ Minh Sơn - Hồ Thị A</t>
  </si>
  <si>
    <t>220/2 Nguyễn Xí, P.Bình Thạnh (Phường 26, quận Bình Thạnh cũ)</t>
  </si>
  <si>
    <t>498/QĐ-UBND ngày 29/10/2025</t>
  </si>
  <si>
    <t>306/PA-HĐBT (RXT)</t>
  </si>
  <si>
    <t>Các đồng thừa kế của bà Nguyễn Thị Sáu và ông Nguyễn Trung Phương</t>
  </si>
  <si>
    <t>427/39 Xô Viết Nghệ Tĩnh, P.Bình Thạnh (Phường 26, quận Bình Thạnh cũ)</t>
  </si>
  <si>
    <t>486/QĐ-UBND ngày 29/10/2025</t>
  </si>
  <si>
    <t>1336/QĐ-UBND ngày 16/7/2026</t>
  </si>
  <si>
    <t>307/PA-HĐBT (RXT)</t>
  </si>
  <si>
    <t>453/PA</t>
  </si>
  <si>
    <t>Bùi Thị Thanh Tuyền</t>
  </si>
  <si>
    <t>220/44A Nguyễn Xí, P.Bình Thạnh (Phường 26, quận Bình Thạnh cũ)</t>
  </si>
  <si>
    <t>1169/QĐ-UBND ngày 16/06/2026</t>
  </si>
  <si>
    <t>506/QĐ-UBND ngày 30/10/2025</t>
  </si>
  <si>
    <t>315/PA-HĐBT (RXT)</t>
  </si>
  <si>
    <t>Nguyễn Hữu Vân - Lê Thị Tư</t>
  </si>
  <si>
    <t>194/50/62 Bạch Đằng, P.Bình Thạnh (Phường 14, quận Bình Thạnh cũ)</t>
  </si>
  <si>
    <t>503/QĐ-UBND ngày 30/10/2025</t>
  </si>
  <si>
    <t>316/PA-HĐBT (RXT)</t>
  </si>
  <si>
    <t>Nguyễn Thị Nhung</t>
  </si>
  <si>
    <t>662/76 Bùi Đình Túy, P.Bình Thạnh (Phường 12, quận Bình Thạnh cũ)</t>
  </si>
  <si>
    <t>507/QĐ-UBND ngày 30/10/2025</t>
  </si>
  <si>
    <t>317/PA-HĐBT (RXT)</t>
  </si>
  <si>
    <t>Mai Phong</t>
  </si>
  <si>
    <t>184/3/6B3 Nguyễn Xí, P.Bình Thạnh (Phường 26, quận Bình Thạnh cũ)</t>
  </si>
  <si>
    <t>502/QĐ-UBND ngày 30/10/2025</t>
  </si>
  <si>
    <t>318/PA-HĐBT (RXT)</t>
  </si>
  <si>
    <t>Nguyễn Thị Xứng</t>
  </si>
  <si>
    <t>125/77/20 Bùi Đình Túy, P.Bình Thạnh (Phường 14, quận Bình Thạnh cũ)</t>
  </si>
  <si>
    <t>501/QĐ-UBND ngày 30/10/2025</t>
  </si>
  <si>
    <t>319/PA-HĐBT (RXT)</t>
  </si>
  <si>
    <t>Phạm Văn Hùng - Nguyễn Thị Loan</t>
  </si>
  <si>
    <t>238/31 Bạch Đằng, P.Bình Thạnh (Phường 14, quận Bình Thạnh cũ)</t>
  </si>
  <si>
    <t>511/QĐ-UBND ngày 31/10/2025</t>
  </si>
  <si>
    <t>321/PA-HĐBT (RXT)</t>
  </si>
  <si>
    <t>Mai Thị Lương và các đồng thừa kế của ông Nguyễn Văn Chánh</t>
  </si>
  <si>
    <t>427/75 Xô Viết Nghệ Tĩnh, P.Bình Thạnh (Phường 26, quận Bình Thạnh cũ)</t>
  </si>
  <si>
    <t>513/QĐ-UBND ngày 31/10/2025</t>
  </si>
  <si>
    <t>325/PA-HĐBT (RXT)</t>
  </si>
  <si>
    <t>Các đồng thừa kế của ông Đặng Văn Một - bà Huỳnh Thị Thôi</t>
  </si>
  <si>
    <t>42/365 Huỳnh Đình Hai, P.Bình Thạnh (Phường 14, quận Bình Thạnh cũ)</t>
  </si>
  <si>
    <t>429/QĐ-UBND ngày 24/10/2025</t>
  </si>
  <si>
    <t>274/PA-HĐBT (RXT)</t>
  </si>
  <si>
    <t>Bùi Thành Phát - Nguyễn Thị Hoa</t>
  </si>
  <si>
    <t>512/QĐ-UBND ngày 31/10/2025</t>
  </si>
  <si>
    <t>322/PA-HĐBT (RXT)</t>
  </si>
  <si>
    <t>514/QĐ-UBND ngày 31/10/2025</t>
  </si>
  <si>
    <t>324/PA-HĐBT(RXT)</t>
  </si>
  <si>
    <t>403/PA</t>
  </si>
  <si>
    <t>Đỗ Văn Chính - Phạm Minh Hương</t>
  </si>
  <si>
    <t>32/8/4
( số cũ 705I) Bùi Đình Túy, P.Bình Thạnh (Phường 12, quận Bình Thạnh cũ)</t>
  </si>
  <si>
    <t>517/QĐ-UBND ngày 03/11/2025</t>
  </si>
  <si>
    <t>328/PA-HĐBT(RXT)</t>
  </si>
  <si>
    <t>271/PA</t>
  </si>
  <si>
    <t>Các đồng thừa kế của ông Phú Canh và bà Lâm Thị Mười</t>
  </si>
  <si>
    <t>427/63 Xô Viết Nghệ Tĩnh, P.Bình Thạnh (Phường 26, quận Bình Thạnh cũ)</t>
  </si>
  <si>
    <t>1387/QĐ-UBND ngày 04/08/2026</t>
  </si>
  <si>
    <t>dvc-24-9</t>
  </si>
  <si>
    <t>1456/QĐ-UBND ngày 28/08/2026</t>
  </si>
  <si>
    <t>521/QĐ-UBND ngày 03/11/2025</t>
  </si>
  <si>
    <t>336/PA-HĐBT(RXT)</t>
  </si>
  <si>
    <t>Nguyễn thị Kim Thoa</t>
  </si>
  <si>
    <t>519/QĐ-UBND ngày 03/11/2025</t>
  </si>
  <si>
    <t>340/PA-HĐBT(RXT)</t>
  </si>
  <si>
    <t xml:space="preserve">Nguyễn Thị Phương Minh và các đồng thừa kế của ông Nguyễn Bảo Hoàng
</t>
  </si>
  <si>
    <t>165/1 Xô Viết Nghệ Tĩnh, P.Bình Thạnh (Phường 26, quận Bình Thạnh cũ)</t>
  </si>
  <si>
    <t>518/QĐ-UBND ngày 03/11/2025</t>
  </si>
  <si>
    <t>342/PA-HĐBT(RXT)</t>
  </si>
  <si>
    <t xml:space="preserve">Nguyễn Thị Bích Hà - Nguyễn Thị Bích Ngọc - Nguyễn Thị Bích Hằng
</t>
  </si>
  <si>
    <t>47/15 Bùi Đình Túy, P.Bình Thạnh (Phường 14, quận Bình Thạnh cũ)</t>
  </si>
  <si>
    <t>606/QĐ-UBND ngày 05/11/2025</t>
  </si>
  <si>
    <t>388/PA-HĐBT (RXT)</t>
  </si>
  <si>
    <t>273/PA</t>
  </si>
  <si>
    <t xml:space="preserve">Đinh Hương Thu Thủy
</t>
  </si>
  <si>
    <t>35/18G Đinh Bộ Lĩnh, P.Bình Thạnh (Phường 14, quận Bình Thạnh cũ)</t>
  </si>
  <si>
    <t>629/QĐ-UBND ngày 05/11/2025</t>
  </si>
  <si>
    <t>448/PA-HĐBT(RXT) bị sửa đổi, bổ sung và thay thế bơi 15/PA</t>
  </si>
  <si>
    <t>Lưu Thị Thu Hiền đổi thành Nguyễn Thị Thúy Hằng và Nguyễn Văn Út</t>
  </si>
  <si>
    <t>Không số Nơ Trang long, P.Bình Thạnh (Phường 12, quận Bình Thạnh cũ)</t>
  </si>
  <si>
    <t>69/QĐ-UBND ngày 22/01/2026</t>
  </si>
  <si>
    <t>Điều chỉnh giảm dự toán</t>
  </si>
  <si>
    <t>15/PA-HĐBT(RXT) sửa đổi bổ sung thay thế 448/PA</t>
  </si>
  <si>
    <t>Còn tồn 10.000.000đ +15.000.000 do chi từ NH 10.000.0000 và thường 15.000.000đ theo QĐ DT 732=&gt; PHẢI ĐIỀU CHỈNH GIẢM DỰ TOÁN</t>
  </si>
  <si>
    <t>632/QĐ-UBND ngày 05/11/2025</t>
  </si>
  <si>
    <t>Đợi điểu chỉnh giảm</t>
  </si>
  <si>
    <t>470/PA-HĐBT(RXT) bị sửa đổi, bổ sung và thay thế bởi PA 473/PA-HĐBT(RXT)</t>
  </si>
  <si>
    <t>Bùi Thị Mỹ Nương</t>
  </si>
  <si>
    <t>Nhà đất nằm trong khuôn viên nhà số 79/43 Nguyễn Xí, P.Bình Thạnh (Phường 26, quận Bình Thạnh cũ)</t>
  </si>
  <si>
    <t>685/QĐ-UBND ngày 06/11/2025</t>
  </si>
  <si>
    <t>529/PA-HĐBT(RXT)</t>
  </si>
  <si>
    <t>Nguyễn Sơn Hùng - Lê Võ Thái Châu</t>
  </si>
  <si>
    <t>47/45 Bùi Đình Túy, P.Bình Thạnh (Phường 14, quận Bình Thạnh cũ)</t>
  </si>
  <si>
    <t>430/QĐ-UBND ngày 24/10/2025</t>
  </si>
  <si>
    <t>1478/QĐ-UBND ngày 03/9/2026</t>
  </si>
  <si>
    <t>272/PA-HĐBT (RXT)</t>
  </si>
  <si>
    <t>565/PA</t>
  </si>
  <si>
    <t>Phạm Đông Phương - Nguyễn Thị Mai Hương</t>
  </si>
  <si>
    <t>374 Chu Văn An, P.Bình Thạnh (Phường 26, quận Bình Thạnh cũ)</t>
  </si>
  <si>
    <t>500/QĐ-UBND ngày 29/10/2025</t>
  </si>
  <si>
    <t>'280/PA-HĐBT (RXT)</t>
  </si>
  <si>
    <t>Nguyễn Thị Thanh Sơn và các đồng thừa kế của ông Phạm Như Mai</t>
  </si>
  <si>
    <t>238/29 Bạch Đằng, P.Bình Thạnh (Phường 14, quận Bình Thạnh cũ)</t>
  </si>
  <si>
    <t>473/QĐ-UBND ngày 28/10/2025</t>
  </si>
  <si>
    <t>285/PA-HĐBT (RXT)</t>
  </si>
  <si>
    <t>Phạm Thị Tuyết Mai - Lê Thu Trang</t>
  </si>
  <si>
    <t>697 Bùi Đình Túy, P.Bình Thạnh (Phường 12, quận Bình Thạnh cũ)</t>
  </si>
  <si>
    <t>480/QĐ-UBND ngày 28/10/2025</t>
  </si>
  <si>
    <t>305/PA-HĐBT (RXT)</t>
  </si>
  <si>
    <t xml:space="preserve">Phạm Bá Minh
</t>
  </si>
  <si>
    <t>235 Chu Văn An, P.Bình Thạnh (Phường 26, quận Bình Thạnh cũ)</t>
  </si>
  <si>
    <t>Chưa liên hệ được với hộ dân -&gt; đã phát hành thông báo</t>
  </si>
  <si>
    <t>Đã mời dân (hộ dân chưa nghe máy)</t>
  </si>
  <si>
    <t>515/QĐ-UBND ngày 31/10/2025</t>
  </si>
  <si>
    <t>326/PA-HĐBT (RXT)</t>
  </si>
  <si>
    <t>Đặng Văn Sơn - Trần Thị Hường</t>
  </si>
  <si>
    <t>194/50/58 Bạch Đằng, P.Bình Thạnh (Phường 14, quận Bình Thạnh cũ)</t>
  </si>
  <si>
    <t>527/QĐ-UBND ngày 03/11/2025</t>
  </si>
  <si>
    <t>330/PA-HĐBT (RXT)</t>
  </si>
  <si>
    <t>Tam Quan Thiên Hương (là người đại diện của những người được thừa kế gồm : Lee Yin Cheng, Lee Yin Yi)</t>
  </si>
  <si>
    <t>705F Bùi Đình Túy, P.Bình Thạnh
(Phường 12, quận Bình Thạnh cũ)</t>
  </si>
  <si>
    <t>525/QĐ-UBND ngày 03/11/2025</t>
  </si>
  <si>
    <t>332/PA-HĐBT (RXT)</t>
  </si>
  <si>
    <t>220/34A Nguyễn Xí, P.Bình Thạnh 
(Phường 26 quận Bình Thạnh cũ)</t>
  </si>
  <si>
    <t>1509/QĐ-UBND ngày 16/9/2026</t>
  </si>
  <si>
    <t>590/PA</t>
  </si>
  <si>
    <t>524/QĐ-UBND ngày 03/11/2025</t>
  </si>
  <si>
    <t>333/PA-HĐBT (RXT)</t>
  </si>
  <si>
    <t>Nguyễn Thị Kim Thoa</t>
  </si>
  <si>
    <t>Không số (trong khuôn viên nhà đất số 234/7) Bạch Đằng, P.Bình Thạnh 
(Phường 14 quận Bình Thạnh cũ)</t>
  </si>
  <si>
    <t>0 đồng chờ khai nhận di sản</t>
  </si>
  <si>
    <t>523/QĐ-UBND ngày 03/11/2025</t>
  </si>
  <si>
    <t>334/PA-HĐBT (RXT)</t>
  </si>
  <si>
    <t>Nguyễn Đức Bằng - Nguyễn Thị Kim Thủy</t>
  </si>
  <si>
    <t>Không số (trong khuôn viên 234/7) Bạch Đằng, P.Bình Thạnh 
(Phường 14 quận Bình Thạnh cũ)</t>
  </si>
  <si>
    <t>526/QĐ-UBND ngày 03/11/2025</t>
  </si>
  <si>
    <t>Đợi điều chỉnh giảm</t>
  </si>
  <si>
    <t>338/PA-HĐBT (RXT) bị 132/PA-HĐBT(RXT) ngày 07/6/2026 thay thế</t>
  </si>
  <si>
    <t>Phạm Lân</t>
  </si>
  <si>
    <t>Không số (trong khuôn viên nhà đất 234/7) Bạch Đằng, P.Bình Thạnh 
( Phường 14 quận Bình Thạnh cũ)</t>
  </si>
  <si>
    <t>530/QĐ-UBND ngày 03/11/2025</t>
  </si>
  <si>
    <t>339/PA-HĐBT (RXT) bị thay thế 221/PA-HĐBT(RXT) ngày 24/4/2026</t>
  </si>
  <si>
    <t>567/QĐ-UBND ngày 04/11/2025</t>
  </si>
  <si>
    <t>345/PA-HĐBT (RXT)</t>
  </si>
  <si>
    <t>Huỳnh Kim Ánh - Dương Minh Tiến</t>
  </si>
  <si>
    <t>220/44B Nguyễn Xí, P.Bình Thạnh 
(Phường 26, quận Bình Thạnh cũ)</t>
  </si>
  <si>
    <t>Đi DVC</t>
  </si>
  <si>
    <t>532/QĐ-UBND ngày 04/11/2025</t>
  </si>
  <si>
    <t>347/PA-HĐBT (RXT)</t>
  </si>
  <si>
    <t>Võ Văn Hay - Lê Thị Dung</t>
  </si>
  <si>
    <t>360 Chu Văn An, P.Bình Thạnh (Phường 26, quận Bình Thạnh cũ)</t>
  </si>
  <si>
    <t>571/QĐ-UBND ngày 04/11/2025</t>
  </si>
  <si>
    <t>348/PA-HĐBT (RXT)</t>
  </si>
  <si>
    <t>Bùi Mạnh Tường - Phù Mỹ Dung</t>
  </si>
  <si>
    <t>220/44 Nguyễn Xí, P.Bình Thạnh 
(Phường 26, quận Bình Thạnh cũ)</t>
  </si>
  <si>
    <t>537/QĐ-UBND ngày 04/11/2025</t>
  </si>
  <si>
    <t>349/PA-HĐBT (RXT)</t>
  </si>
  <si>
    <t>Các đồng thừa kế của ông Bùi Văn Hoàng và bà Lê Thị Mai</t>
  </si>
  <si>
    <t>58/22/34H Phan Chu Trinh, P.Bình Thạnh (Phường 14, quận Bình Thạnh cũ)</t>
  </si>
  <si>
    <t xml:space="preserve">499/QĐ-UBND ngày 09/04/2026; 1536/QĐ-UBND ngày 25/09/2026
</t>
  </si>
  <si>
    <t>545/QĐ-UBND ngày 04/11/2025</t>
  </si>
  <si>
    <t>352/PA-HĐBT (RXT)</t>
  </si>
  <si>
    <t>382/PA</t>
  </si>
  <si>
    <t>Đặng Thị Hiền</t>
  </si>
  <si>
    <t>238/30 Bạch Đằng, P.Bình Thạnh (Phường 14, quận Bình Thạnh cũ)</t>
  </si>
  <si>
    <t>1219/QĐ-UBND ngày 20/06/2026</t>
  </si>
  <si>
    <t>Đồng ý -&gt; chờ KNDS</t>
  </si>
  <si>
    <t>Đồng ý -&gt; chờ khai nhận di sản</t>
  </si>
  <si>
    <t>544/QĐ-UBND ngày 04/11/2025</t>
  </si>
  <si>
    <t>354/PA-HĐBT (RXT)</t>
  </si>
  <si>
    <t>Lê Thị Hồng</t>
  </si>
  <si>
    <t>234/9C Bạch Đằng, P.Bình Thạnh 
(Phường 14, quận Bình Thạnh cũ)</t>
  </si>
  <si>
    <t>Đã tạo danh sách và mời dân (hẹn trong tuần này)</t>
  </si>
  <si>
    <t xml:space="preserve"> 1495/QĐ-UBND ngày 11/09/2026</t>
  </si>
  <si>
    <t>Đã tạo danh sách và  mời dân</t>
  </si>
  <si>
    <t>1161/QĐ-UBND ngày 15/06/2026</t>
  </si>
  <si>
    <t>552/QĐ-UBND ngày 04/11/2025</t>
  </si>
  <si>
    <t>359/PA-HĐBT (RXT)</t>
  </si>
  <si>
    <t>Hoàng Đức Chính - Vũ Thị Hậu</t>
  </si>
  <si>
    <t>194/50/46 Bạch Đằng, P.Bình Thạnh (Phường 14, quận Bình Thạnh cũ)</t>
  </si>
  <si>
    <t>540/QĐ-UBND ngày 04/11/2025</t>
  </si>
  <si>
    <t>360/PA-HĐBT(RXT)</t>
  </si>
  <si>
    <t>Võ Thị Thân - Nguyễn Trọng Dũng</t>
  </si>
  <si>
    <t>234/9F Bạch Đằng, P.Bình Thạnh (Phường 14, quận Bình Thạnh cũ)</t>
  </si>
  <si>
    <t>543/QĐ-UBND ngày 04/11/2025</t>
  </si>
  <si>
    <t>361/PA-HĐBT (RXT)</t>
  </si>
  <si>
    <t>Trần Thị Mộng Tuyền - Nguyễn Hoàng Cường</t>
  </si>
  <si>
    <t>234/9A Bạch Đằng, P.Bình Thạnh (Phường 14, quận Bình Thạnh cũ)</t>
  </si>
  <si>
    <t>535/QĐ-UBND ngày 04/11/2025</t>
  </si>
  <si>
    <t>362/PA-HĐBT (RXT)</t>
  </si>
  <si>
    <t>Hoàng Thị Hương Trang - Nguyễn Xuân Châu</t>
  </si>
  <si>
    <t>554/QĐ-UBND ngày 04/11/2025</t>
  </si>
  <si>
    <t>364/PA-HĐBT (RXT)</t>
  </si>
  <si>
    <t>698/PA-HĐBT(RXT)</t>
  </si>
  <si>
    <t>Trần Thị Tố Huyền</t>
  </si>
  <si>
    <t>1313/QĐ-UBND ngày 13/07/2026</t>
  </si>
  <si>
    <t>1480/QĐ-UBND ngày 07/09/2026</t>
  </si>
  <si>
    <t>585/QĐ-UBND ngày 04/11/2025</t>
  </si>
  <si>
    <t>1226A/QĐ-UBND ngày 23/6/2026</t>
  </si>
  <si>
    <t>367/PA-HĐBT (RXT)</t>
  </si>
  <si>
    <t>651/PA-HĐBT (RXT); 397/PA</t>
  </si>
  <si>
    <t xml:space="preserve">Nguyễn Thị Bích Tuyền - Lê Văn Dũng
</t>
  </si>
  <si>
    <t>559/QĐ-UBND ngày 04/11/2025</t>
  </si>
  <si>
    <t>1160/QĐ-UBND ngày 15/6/2026</t>
  </si>
  <si>
    <t>368/PA-HĐBT (RXT)</t>
  </si>
  <si>
    <t>229/PA</t>
  </si>
  <si>
    <t>Nguyễn Kỳ Phát - Trần Thị Kim Mai</t>
  </si>
  <si>
    <t>234/13 Bạch Đằng, P.Bình Thạnh (Phường 14, quận Bình Thạnh cũ)</t>
  </si>
  <si>
    <t>584/QĐ-UBND ngày 04/11/2025</t>
  </si>
  <si>
    <t>1419/QĐ-UBND ngày 17/8/2026</t>
  </si>
  <si>
    <t>369/PA-HĐBT (RXT)</t>
  </si>
  <si>
    <t>494/PA</t>
  </si>
  <si>
    <t>Đào Thị Lai</t>
  </si>
  <si>
    <t>79/52 Nguyên Xí, P.Bình Thạnh (Phường 26, quận Bình Thạnh cũ)</t>
  </si>
  <si>
    <t>546/QĐ-UBND ngày 04/11/2025</t>
  </si>
  <si>
    <t>370/PA-HĐBT (RXT)</t>
  </si>
  <si>
    <t>Lê Thị Chiếu và các đồng thừa kế của ông Nguyễn Thành Cao</t>
  </si>
  <si>
    <t>42/371 (Số tự cho 58/165 đường Phan Chu Trinh) Huỳnh Đình Hai, P.Bình Thạnh (Phường 14, quận Bình Thạnh cũ)</t>
  </si>
  <si>
    <t>568/QĐ-UBND ngày 04/11/2025</t>
  </si>
  <si>
    <t>1489/QĐ-UBND ngày 11/9/2026</t>
  </si>
  <si>
    <t>372/PA-HĐBT (RXT)</t>
  </si>
  <si>
    <t>543/PA</t>
  </si>
  <si>
    <t>58/165 (Số cũ 42/371 Huỳnh Đình Hai) Phan Chu Trinh, P.Bình Thạnh 
(Phường 14, quận Bình Thạnh cũ)</t>
  </si>
  <si>
    <t>563/QĐ-UBND ngày 04/11/2025</t>
  </si>
  <si>
    <t>374/PA-HĐBT (RXT)</t>
  </si>
  <si>
    <t>Các đồng thừa kế của bà Phan Thị Ngọc Liên</t>
  </si>
  <si>
    <t>260 Bạch Đằng, P.Bình Thạnh 
(Phường 14, quận Bình Thạnh cũ)</t>
  </si>
  <si>
    <t>547/QĐ-UBND ngày 04/11/2025</t>
  </si>
  <si>
    <t>378/PA-HĐBT (RXT)</t>
  </si>
  <si>
    <t>Võ Thị Kim Loan và các đồng thừa kế của ông Nguyễn Văn Hùng</t>
  </si>
  <si>
    <t>246/13/21 Bạch Đằng, P.Bình Thạnh (Phường 14, quận Bình Thạnh cũ)</t>
  </si>
  <si>
    <t>587/QĐ-UBND ngày 04/11/2025</t>
  </si>
  <si>
    <t>1279/QĐ-UBND ngày 03/7/2026</t>
  </si>
  <si>
    <t>379/PA-HĐBT (RXT)</t>
  </si>
  <si>
    <t>696/PA-HĐBT (RXT); 433/PA</t>
  </si>
  <si>
    <t>Trần Đại Thành</t>
  </si>
  <si>
    <t>561/QĐ-UBND ngày 04/11/2025</t>
  </si>
  <si>
    <t>380/PA-HĐBT (RXT)</t>
  </si>
  <si>
    <t>Nguyễn Thế Hùng - Đặng Thị Ngọc Lan</t>
  </si>
  <si>
    <t>79/1 Xô Viết Nghệ Tĩnh, P.Bình Thạnh (Phường 26, quận Bình Thạnh cũ)</t>
  </si>
  <si>
    <t>550/QĐ-UBND ngày 04/11/2025</t>
  </si>
  <si>
    <t>381/PA-HĐBT (RXT)</t>
  </si>
  <si>
    <t>Lê Văn Hậu - Nguyễn Thị Thùy Ngân</t>
  </si>
  <si>
    <t>35/2F Đinh Bộ Lĩnh, P.Bình Thạnh (Phường 14, quận Bình Thạnh cũ)</t>
  </si>
  <si>
    <t>566/QĐ-UBND ngày 04/11/2025</t>
  </si>
  <si>
    <t>384/PA-HĐBT (RXT)</t>
  </si>
  <si>
    <t>Các đồng thừa kế bà Nguyễn Thị Hoài Mỹ</t>
  </si>
  <si>
    <t>58/22/34L1 Phan Chu Trinh, P.Bình Thạnh (Phường 14, quận Bình Thạnh cũ)</t>
  </si>
  <si>
    <t>818/QĐ-UBND ngày 11/05/2026</t>
  </si>
  <si>
    <t>549/QĐ-UBND ngày 04/11/2025</t>
  </si>
  <si>
    <t>387/PA-HĐBT (RXT) bị thay thế bởi PA 131/PA ngày 07/4/2026</t>
  </si>
  <si>
    <t>Phạm Thị Thúy Nga</t>
  </si>
  <si>
    <t>570/QĐ-UBND ngày 04/11/2025</t>
  </si>
  <si>
    <t>390/PA-HĐBT (RXT)</t>
  </si>
  <si>
    <t>Mai Xuân Thành - Trần Ngọc Hòa</t>
  </si>
  <si>
    <t>Không số (trong khuôn viên 234/7) Bạch Đằng, P.Bình Thạnh 
(Phường 14, quận Bình Thạnh cũ)</t>
  </si>
  <si>
    <t>Đồng ý -&gt; hộ dân đang chuẩn bị hồ sơ để đến làm thủ tục nhận tiền</t>
  </si>
  <si>
    <t>578/QĐ-UBND ngày 04/11/2025</t>
  </si>
  <si>
    <t>1344/QĐ-UBND ngày 17/7/2026</t>
  </si>
  <si>
    <t>393/PA-HĐBT (RXT)</t>
  </si>
  <si>
    <t>555/PA-HĐBT (RXT); 428/PA</t>
  </si>
  <si>
    <t>Nguyễn Thanh Trí - Nguyễn Thị Ánh Xuân</t>
  </si>
  <si>
    <t>427/15 Xô Viết Nghệ Tĩnh, P.Bình Thạnh 
(Phường 26, quận Bình Thạnh cũ)</t>
  </si>
  <si>
    <t>Đã mời dân</t>
  </si>
  <si>
    <t>636/QĐ-UBND ngày 05/11/2025</t>
  </si>
  <si>
    <t>399/PA-HĐBT (RXT)</t>
  </si>
  <si>
    <t>Các đồng thừa kế của ông Phạm Văn Út - bà Đỗ Thị Nhơn</t>
  </si>
  <si>
    <t>125/77/16 Bùi Đình Túy, P.Bình Thạnh (Phường 14, quận Bình Thạnh cũ)</t>
  </si>
  <si>
    <t>1517/QĐ-UBND ngày 18/9/2026</t>
  </si>
  <si>
    <t>551/PA</t>
  </si>
  <si>
    <t>574/QĐ-UBND ngày 04/11/2025</t>
  </si>
  <si>
    <t>401/PA-HĐBT (RXT)</t>
  </si>
  <si>
    <t>Nguyễn Thị Thủy Tiên</t>
  </si>
  <si>
    <t>234/11E Bạch Đằng, P.Bình Thạnh 
(Phường 14, quận Bình Thạnh cũ)</t>
  </si>
  <si>
    <t>575/QĐ-UBND ngày 04/11/2025</t>
  </si>
  <si>
    <t>402/PA-HĐBT (RXT)</t>
  </si>
  <si>
    <t>Nguyễn Thị Hoa và các đồng thừa kế của ông Võ Thành Long</t>
  </si>
  <si>
    <t>Đã tạo danh sách -&gt; Chờ bổ sung dự toán 7,5 triệu</t>
  </si>
  <si>
    <t>để xuất bổ sung dự toán 7.5trieu</t>
  </si>
  <si>
    <t>Không số (phía sau nhà 125/94) Bùi Đình Túy, P.Bình Thạnh 
(Phường 14, quận Bình Thạnh cũ)</t>
  </si>
  <si>
    <t>607/QĐ-UBND ngày 05/11/2025</t>
  </si>
  <si>
    <t>403/PA-HĐBT (RXT)</t>
  </si>
  <si>
    <t>Nguyễn Xuân Để và các đồng thừa kế của bà Nguyễn Thị Sáu</t>
  </si>
  <si>
    <t>194/43/32 Bạch đằng, P.Bình Thạnh (Phường 14, quận Bình Thạnh cũ)</t>
  </si>
  <si>
    <t>581/QĐ-UBND ngày 04/11/2025</t>
  </si>
  <si>
    <t>404/PA-HĐBT (RXT)</t>
  </si>
  <si>
    <t>Lương Đại Thành - Nguyễn Thu Huyền</t>
  </si>
  <si>
    <t>125/77/26 Bùi Đình Túy, P.Bình Thạnh 
(Phường 14, quận Bình Thạnh cũ)</t>
  </si>
  <si>
    <t>604/QĐ-UBND ngày 05/11/2025</t>
  </si>
  <si>
    <t>405/PA-HĐBT (RXT)</t>
  </si>
  <si>
    <t>549/PA-HĐBT (RXT)</t>
  </si>
  <si>
    <t>Nguyễn Thị Thông và các đồng thừa kế của ông Nguyễn Bình</t>
  </si>
  <si>
    <t>125/94 Bùi Đình Túy, P.Bình Thạnh (Phường 14, quận Bình Thạnh cũ)</t>
  </si>
  <si>
    <t>605/QĐ-UBND ngày 05/11/2025</t>
  </si>
  <si>
    <t>406/PA-HĐBT (RXT)</t>
  </si>
  <si>
    <t>Nguyễn Thị Bích Nga</t>
  </si>
  <si>
    <t>234/11B1 Bạch Đằng, P.Bình Thạnh (Phường 14, quận Bình Thạnh cũ)</t>
  </si>
  <si>
    <t>580/QĐ-UBND ngày 04/11/2025</t>
  </si>
  <si>
    <t>407/PA-HĐBT (RXT)</t>
  </si>
  <si>
    <t>Đặng Thị Ngọc Thu và các đồng thừa kế của ông Huỳnh Hữu Trí</t>
  </si>
  <si>
    <t>125/100A Bùi Đình Túy
, P.Bình Thạnh 
(Phường 14, quận Bình Thạnh cũ)</t>
  </si>
  <si>
    <t xml:space="preserve">1538/QĐ-UBND ngày 25/09/2026
</t>
  </si>
  <si>
    <t>gọi rồi, chờ hộ dân lên ký</t>
  </si>
  <si>
    <t xml:space="preserve">915/QĐ-UBND ngày 22/05/2026; </t>
  </si>
  <si>
    <t>1522/QĐ-UBND ngày 21/9/2026</t>
  </si>
  <si>
    <t>577/PA</t>
  </si>
  <si>
    <t xml:space="preserve">1292/QĐ-UBND ngày 08/07/2026; </t>
  </si>
  <si>
    <t>608/QĐ-UBND ngày 05/11/2025</t>
  </si>
  <si>
    <t>414/PA-HĐBT (RXT)</t>
  </si>
  <si>
    <t>Nguyễn Văn Triều - Trần Thị Ngọc</t>
  </si>
  <si>
    <t>Dương Thị Nguyệt Quới (Võ Kim Trước nhận UQ)</t>
  </si>
  <si>
    <t>602/QĐ-UBND ngày 05/11/2025</t>
  </si>
  <si>
    <t>419/PA-HĐBT (RXT)</t>
  </si>
  <si>
    <t>690/PA-HĐBT (RXT)</t>
  </si>
  <si>
    <t>Huỳnh Thị Bé và các đồng thừa kế của ông Trần Văn Đạo (Trần Văn Nam được UQ)</t>
  </si>
  <si>
    <t>47/37 Bùi Đình Túy, P.Bình Thạnh (Phường 14, quận Bình Thạnh cũ)</t>
  </si>
  <si>
    <t>dvc - 24-9</t>
  </si>
  <si>
    <t>601/QĐ-UBND ngày 05/11/2025</t>
  </si>
  <si>
    <t>421/PA-HĐBT (RXT)</t>
  </si>
  <si>
    <t>618/PA sửa tên</t>
  </si>
  <si>
    <t>Trần Thị Lệ - Bùi Quang Hoàng</t>
  </si>
  <si>
    <t>59/38 Đinh Bộ Lĩnh, P.Bình Thạnh (Phường 26, quận Bình Thạnh cũ)</t>
  </si>
  <si>
    <t>624/QĐ-UBND ngày 05/11/2025</t>
  </si>
  <si>
    <t>425/PA-HĐBT (RXT)</t>
  </si>
  <si>
    <t xml:space="preserve">Nguyễn Thị Mỹ Phượng
</t>
  </si>
  <si>
    <t xml:space="preserve">1454/QĐ-UBND ngày 26/08/2026 
</t>
  </si>
  <si>
    <t>Lê Thị Thanh và đồng thừa kế ông Nguyễn Hà</t>
  </si>
  <si>
    <t xml:space="preserve">369/QĐ-UBND ngày 03/04/2026; </t>
  </si>
  <si>
    <t>627/QĐ-UBND ngày 05/11/2025</t>
  </si>
  <si>
    <t>430/PA-HĐBT(RXT)</t>
  </si>
  <si>
    <t>Huỳnh Thị Tây và các đồng thừa kế ông Phạm Minh Luyến</t>
  </si>
  <si>
    <t>47/35 Bùi Đình Túy, P.Bình Thạnh (Phường 14, quận Bình Thạnh cũ)</t>
  </si>
  <si>
    <t xml:space="preserve">448/PA-HĐBT(RXT) </t>
  </si>
  <si>
    <t>619/QĐ-UBND ngày 05/11/2025</t>
  </si>
  <si>
    <t>431/PA-HĐBT (RXT)</t>
  </si>
  <si>
    <t xml:space="preserve">Trần Phúc Thịnh - Nguyễn Thị Mỹ Trinh
</t>
  </si>
  <si>
    <t>Nhà không số (số cũ 47/37) Bùi Đình Túy, P.Bình Thạnh (Phường 14, quận Bình Thạnh cũ)</t>
  </si>
  <si>
    <t>610/QĐ-UBND ngày 05/11/2025</t>
  </si>
  <si>
    <t>434/PA-HĐBT (RXT)</t>
  </si>
  <si>
    <t>Đã chi xong, bị dư dự toán phải điều chỉnh giảm</t>
  </si>
  <si>
    <t xml:space="preserve">1237/QĐ-UBND ngày 24/06/2026; </t>
  </si>
  <si>
    <t>1493/QĐ-UBND ngày 11/09/2026</t>
  </si>
  <si>
    <t>613/QĐ-UBND ngày 05/11/2025</t>
  </si>
  <si>
    <t>1029/QĐ-UBND ngày 05/6/2026</t>
  </si>
  <si>
    <t>437/PA-HĐBT (RXT)</t>
  </si>
  <si>
    <t xml:space="preserve">Nguyễn Thành Sơn - Lê Thùy Ái Nữ Huyền Trang
</t>
  </si>
  <si>
    <t>Tranh chấp</t>
  </si>
  <si>
    <t xml:space="preserve">1268/QĐ-UBND ngày 01/07/2026; 1518/QĐ-UBND ngày 18/09/2026
</t>
  </si>
  <si>
    <t>Các đồng thừa kế của ông Trần Ngọc Duy và bà Phùng Thị Nở</t>
  </si>
  <si>
    <t>625/QĐ-UBND ngày 05/11/2025</t>
  </si>
  <si>
    <t>445/PA-HĐBT (RXT)</t>
  </si>
  <si>
    <t>Mai Xuân Thành - Trần Ngọc Hoà</t>
  </si>
  <si>
    <t>626/QĐ-UBND ngày 05/11/2025</t>
  </si>
  <si>
    <t>446/PA-HĐBT (RXT)</t>
  </si>
  <si>
    <t>Dương Thị Phải 
và các đồng thừa kế của ông Nguyễn Văn Thịnh</t>
  </si>
  <si>
    <t>382 Bùi Đình Túy, P.Bình Thạnh (Phường 14, quận Bình Thạnh cũ)</t>
  </si>
  <si>
    <t>639/QĐ-UBND ngày 05/11/2025</t>
  </si>
  <si>
    <t>1497/QĐ-UBND ngày 11/9/2026</t>
  </si>
  <si>
    <t>471/PA-HĐBT (RXT)</t>
  </si>
  <si>
    <t>569/PA</t>
  </si>
  <si>
    <t>Nguyễn Bích Hằng</t>
  </si>
  <si>
    <t>194/50/72 Bạch Đằng, P.Bình Thạnh (Phường 14, quận Bình Thạnh cũ)</t>
  </si>
  <si>
    <t>611/QĐ-UBND ngày 05/11/2025</t>
  </si>
  <si>
    <t>397/PA-HĐBT (RXT)</t>
  </si>
  <si>
    <t>Phạm Thị Phúc và Các đồng thừa kế của ông Nguyễn Minh Đức</t>
  </si>
  <si>
    <t>58/153F (số cũ 42/387) Phan Chu Trinh, P.Bình Thạnh (Phường 14, quận Bình Thạnh cũ)</t>
  </si>
  <si>
    <t>681/QĐ-UBND ngày 06/11/2025</t>
  </si>
  <si>
    <t>1442/QĐ-UBND ngày 24/8/2026</t>
  </si>
  <si>
    <t>476/PA</t>
  </si>
  <si>
    <t>220/13 Nguyễn Xí, P.Bình Thạnh (Phường 26, quận Bình Thạnh cũ)</t>
  </si>
  <si>
    <t>677/QĐ-UBND ngày 06/11/2025</t>
  </si>
  <si>
    <t>424/PA-HĐBT(RXT)</t>
  </si>
  <si>
    <t>Phan Ngọc Dung</t>
  </si>
  <si>
    <t>669/QĐ-UBND ngày 06/11/2025</t>
  </si>
  <si>
    <t>1277/QĐ-UBND ngày 03/7/2026</t>
  </si>
  <si>
    <t>426/PA-HĐBT (RXT)</t>
  </si>
  <si>
    <t>422/PA</t>
  </si>
  <si>
    <t>Đỗ Hoài Nam</t>
  </si>
  <si>
    <t xml:space="preserve">821/QĐ-UBND ngày 11/05/2026; 1561/QĐ-UBND ngày 08/10/2026
</t>
  </si>
  <si>
    <t>649/QĐ-UBND ngày 05/11/2025</t>
  </si>
  <si>
    <t>429/PA-HĐBT (RXT)</t>
  </si>
  <si>
    <t>Nguyễn Thị Tuyết Dung - Nguyễn Thị Thu Hồng</t>
  </si>
  <si>
    <t>75/58 Đinh Bộ Lĩnh, P.Bình Thạnh (Phường 26, quận Bình Thạnh cũ)</t>
  </si>
  <si>
    <t>648/QĐ-UBND ngày 05/11/2025</t>
  </si>
  <si>
    <t>1420/QD-UBND ngày 18/8/2026</t>
  </si>
  <si>
    <t>433/PA-HĐBT (RXT)</t>
  </si>
  <si>
    <t>489/PA</t>
  </si>
  <si>
    <t>Lê Thị Ánh</t>
  </si>
  <si>
    <t xml:space="preserve">1286/QĐ-UBND ngày 06/07/2026; 1571/QĐ-UBND ngày 07/10/2026
</t>
  </si>
  <si>
    <t>Đinh Duy Hiếu</t>
  </si>
  <si>
    <t>682/QĐ-UBND ngày 06/11/2025</t>
  </si>
  <si>
    <t>443/PA-HĐBT (RXT)</t>
  </si>
  <si>
    <t>Lê Thị Thanh</t>
  </si>
  <si>
    <t>Không số (cạnh nhà 58/165B) Phan Chu Trinh, P.Bình Thạnh (Phường 14, quận Bình Thạnh cũ)</t>
  </si>
  <si>
    <t xml:space="preserve">372/QĐ-UBND ngày 07/04/2026; 1571/QĐ-UBND ngày 07/10/2026
</t>
  </si>
  <si>
    <t>642/QĐ-UBND ngày 05/11/2025</t>
  </si>
  <si>
    <t>452/PA-HĐBT (RXT)</t>
  </si>
  <si>
    <t>Đinh Đức Viên - Lê Nguyệt Hồng</t>
  </si>
  <si>
    <t>194/50/29 Bạch Đằng, P.Bình Thạnh (Phường 14, quận Bình Thạnh cũ)</t>
  </si>
  <si>
    <t>644/QĐ-UBND ngày 05/11/2025</t>
  </si>
  <si>
    <t>454/PA-HĐBT (RXT)</t>
  </si>
  <si>
    <t>Nguyễn Thị Bích Ly</t>
  </si>
  <si>
    <t>Không số (cạnh 427/87) Xô Viết Nghệ Tĩnh, P.Bình Thạnh (Phường 26, quận Bình Thạnh cũ)</t>
  </si>
  <si>
    <t>676/QĐ-UBND ngày 06/11/2025</t>
  </si>
  <si>
    <t>1333/QĐ-UBND ngày 14/7/2026</t>
  </si>
  <si>
    <t>456/PA-HĐBT (RXT)</t>
  </si>
  <si>
    <t>434/PA</t>
  </si>
  <si>
    <t xml:space="preserve">1287/QĐ-UBND ngày 06/07/2026; 1562/QĐ-UBND ngày 02/10/2026
</t>
  </si>
  <si>
    <t>646/QĐ-UBND ngày 05/11/2025</t>
  </si>
  <si>
    <t>462/PA-HĐBT (RXT)</t>
  </si>
  <si>
    <t>22/PA-HĐBT (RXT)</t>
  </si>
  <si>
    <t>Nguyễn Viết Hoàng Tuấn - Phùng Thanh Hoa</t>
  </si>
  <si>
    <t>125/77/30 Bùi Đình Túy, P.Bình Thạnh (Phường 14, quận Bình Thạnh cũ)</t>
  </si>
  <si>
    <t>675/QĐ-UBND ngày 06/11/2025</t>
  </si>
  <si>
    <t>1331/QĐ-UBND ngày 14/7/2026</t>
  </si>
  <si>
    <t>466/PA-HĐBT (RXT)</t>
  </si>
  <si>
    <t>445/PA</t>
  </si>
  <si>
    <t>645/QĐ-UBND ngày 05/11/2025</t>
  </si>
  <si>
    <t>469/PA-HĐBT (RXT)</t>
  </si>
  <si>
    <t>Phạm Thúy Quyên (chưa xác định tình trạng hôn nhân)</t>
  </si>
  <si>
    <t>Một phần nhà đất số 194/50/53C Bạch Đằng, P.Bình Thạnh (Phường 14, quận Bình Thạnh cũ)</t>
  </si>
  <si>
    <t>658/QĐ-UBND ngày 06/11/2025</t>
  </si>
  <si>
    <t>472/PA-HĐBT (RXT)</t>
  </si>
  <si>
    <t xml:space="preserve">Nguyễn Văn Đức - Trần Thị Thanh Hường
</t>
  </si>
  <si>
    <t>662/QĐ-UBND ngày 06/11/2025</t>
  </si>
  <si>
    <t>476/PA-HĐBT (RXT)</t>
  </si>
  <si>
    <t xml:space="preserve">Nguyễn Thị Thu Hương
</t>
  </si>
  <si>
    <t>671/QĐ-UBND ngày 06/11/2025</t>
  </si>
  <si>
    <t>1321/QĐ-UBND ngày 14/7/2026</t>
  </si>
  <si>
    <t>477/PA-HĐBT (RXT)</t>
  </si>
  <si>
    <t>314/PA</t>
  </si>
  <si>
    <t>Phan Thị Nghinh</t>
  </si>
  <si>
    <t>79/43 Nguyễn Xí, P.Bình Thạnh (Phường 26, quận Bình Thạnh cũ)</t>
  </si>
  <si>
    <t>653/QĐ-UBND ngày 06/11/2025</t>
  </si>
  <si>
    <t>482/PA-HĐBT (RXT)</t>
  </si>
  <si>
    <t>Nguyễn Cao Thắng</t>
  </si>
  <si>
    <t>Một phần nhà đất 194/50/53C Bạch Đằng, P.Bình Thạnh (Phường 14, quận Bình Thạnh cũ)</t>
  </si>
  <si>
    <t>652/QĐ-UBND ngày 06/11/2025</t>
  </si>
  <si>
    <t>489/PA-HĐBT (RXT)</t>
  </si>
  <si>
    <t>Thuộc khuôn viên nhà đất số 79/43 Nguyễn Xí, P.Bình Thạnh (Phường 26, quận Bình Thạnh cũ)</t>
  </si>
  <si>
    <t>670/QĐ-UBND ngày 06/11/2025</t>
  </si>
  <si>
    <t>492/PA-HĐBT (RXT)</t>
  </si>
  <si>
    <t>Nguyễn Thị Thanh Thảo</t>
  </si>
  <si>
    <t>220/66 Nguyễn Xí, P.Bình Thạnh (Phường 26, quận Bình Thạnh cũ)</t>
  </si>
  <si>
    <t>655/QĐ-UBND ngày 06/11/2025</t>
  </si>
  <si>
    <t>1334/QĐ-UBND ngày 16/7/2026</t>
  </si>
  <si>
    <t>495/PA-HĐBT (RXT)</t>
  </si>
  <si>
    <t>Đinh Ngọc Cường - Nguyễn Thị Chính</t>
  </si>
  <si>
    <t>Đồng ý -&gt; Tranh chấp ở tòa</t>
  </si>
  <si>
    <t>Quyết định bị sai tên -&gt; đang chờ điều chỉnh, Tranh chấp</t>
  </si>
  <si>
    <t>tranh chấp</t>
  </si>
  <si>
    <t>679/QĐ-UBND ngày 06/11/2025</t>
  </si>
  <si>
    <t>499/PA-HĐBT (RXT)</t>
  </si>
  <si>
    <t>06/PA-HĐBT (RXT)</t>
  </si>
  <si>
    <t>Đoàn Văn Thuận - Ngô Thị Hồng</t>
  </si>
  <si>
    <t>Không số (số tự cho 47/47B) Bùi Đình Túy, P.Bình Thạnh (Phường 14, quận Bình Thạnh cũ)</t>
  </si>
  <si>
    <t>667/QĐ-UBND ngày 06/11/2025</t>
  </si>
  <si>
    <t>1252/QĐ-UBND ngày 26/6/2026</t>
  </si>
  <si>
    <t>505/PA-HĐBT (RXT)</t>
  </si>
  <si>
    <t>Trần Thị Tố Huyền và các đồng thừa kế của ông Đặng Văn Ngọc</t>
  </si>
  <si>
    <t>915/QĐ-UBND ngày 22/05/2026</t>
  </si>
  <si>
    <t>666/QĐ-UBND ngày 06/11/2025</t>
  </si>
  <si>
    <t>516/PA-HĐBT (RXT)</t>
  </si>
  <si>
    <t>Võ Thị Bích Liên - Đỗ Duy Khánh</t>
  </si>
  <si>
    <t>Không số (cạnh 35/18G) Đinh Bộ Lĩnh, P.Bình Thạnh (Phường 14, quận Bình Thạnh cũ)</t>
  </si>
  <si>
    <t>678/QĐ-UBND ngày 06/11/2025</t>
  </si>
  <si>
    <t>519/PA-HĐBT (RXT)</t>
  </si>
  <si>
    <t>678/PA-HĐBT (RXT)</t>
  </si>
  <si>
    <t>Trần Thị Dầu - Vũ Trọng Dinh</t>
  </si>
  <si>
    <t>47/7 Bùi Đình Túy, P.Bình Thạnh (Phường 14, quận Bình Thạnh cũ)</t>
  </si>
  <si>
    <t>661/QĐ-UBND ngày 06/11/2025</t>
  </si>
  <si>
    <t>1484/QĐ-UBND ngày 08/9/2026</t>
  </si>
  <si>
    <t>521/PA-HĐBT (RXT)</t>
  </si>
  <si>
    <t>574/PA</t>
  </si>
  <si>
    <t>Lý Thị Tố Nga</t>
  </si>
  <si>
    <t>248/PA-HĐBT (RXT)</t>
  </si>
  <si>
    <t>Các đồng thừa kế của ông Ngô Văn Minh và các đồng thừa kế của bà Ngô Thị Tùng</t>
  </si>
  <si>
    <t>391 Đinh Bộ Lĩnh, P.Bình Thạnh (Phường 26, quận Bình Thạnh cũ)</t>
  </si>
  <si>
    <t>583/QĐ-UBND ngày 04/11/2025</t>
  </si>
  <si>
    <t>350/PA-HĐBT (RXT)</t>
  </si>
  <si>
    <t>Đào Công Nghiệp - Trương Thị Phượng</t>
  </si>
  <si>
    <t>209E1 Nguyễn Xí, P.Bình Thạnh (Phường 26, quận Bình Thạnh cũ)</t>
  </si>
  <si>
    <t>551/QĐ-UBND ngày 04/11/2025</t>
  </si>
  <si>
    <t>371/PA-HĐBT (RXT)</t>
  </si>
  <si>
    <t>42/371 Huỳnh Đình Hai, P.Bình Thạnh (Phường 14, quận Bình Thạnh cũ)</t>
  </si>
  <si>
    <t>Đã tạo danh sách -&gt; 2 ông bà li dị. chưa liên hệ dc cho nhau lên làm thủ tục</t>
  </si>
  <si>
    <t>hộ chưa nhận tạm cư chờ điều chỉnh bổ sung nhân khẩu, hộ dân đã làm việc với tổ BT</t>
  </si>
  <si>
    <t>558/QĐ-UBND ngày 04/11/2025</t>
  </si>
  <si>
    <t>382/PA-HĐBT (RXT)</t>
  </si>
  <si>
    <t>Lê Ngọc Yến - Nguyễn Văn Oanh</t>
  </si>
  <si>
    <t>Không số (trong khuôn viên 450/4) Xô Viết Nghệ Tĩnh, P.Bình Thạnh (Phường 14, quận Bình Thạnh cũ)</t>
  </si>
  <si>
    <t>560/QĐ-UBND ngày 04/11/2025</t>
  </si>
  <si>
    <t>383/PA-HĐBT (RXT)</t>
  </si>
  <si>
    <t>Cao Văn Thành - Lê Thị Ngọc Anh</t>
  </si>
  <si>
    <t>638/QĐ-UBND ngày 05/11/2025</t>
  </si>
  <si>
    <t>1238/QĐ-UBND ngày 24/6/2026</t>
  </si>
  <si>
    <t>394/PA-HĐBT (RXT)</t>
  </si>
  <si>
    <t>Tu Hội Nhập Thể Tận Hiến Truyền Giáo</t>
  </si>
  <si>
    <t>59/3/3 Đinh Bộ Lĩnh, P.Bình Thạnh (Phường 26, quận Bình Thạnh cũ)</t>
  </si>
  <si>
    <t>637/QĐ-UBND ngày 06/11/2025</t>
  </si>
  <si>
    <t>395/PA-HĐBT (RXT)</t>
  </si>
  <si>
    <t>Công ty TNHH MTV Địa ốc Bình Thạnh</t>
  </si>
  <si>
    <t>449/PA-HĐBT (RXT)</t>
  </si>
  <si>
    <t>299/PA-HĐBT(RXT)</t>
  </si>
  <si>
    <t>Nguyễn Thị Hồng Vân</t>
  </si>
  <si>
    <t>58/153F Phan Chu Trinh, P.Bình Thạnh (Phường 14, quận Bình Thạnh cũ)</t>
  </si>
  <si>
    <t>641/QĐ-UBND ngày 05/11/2025</t>
  </si>
  <si>
    <t>457/PA-HĐBT (RXT)</t>
  </si>
  <si>
    <t xml:space="preserve">Nguyễn Thị Hằng và các đồng thừa kế của ông Dương Ca 
</t>
  </si>
  <si>
    <t>Không số (khuôn viên 405/4) Xô Viết Nghệ Tĩnh, P.Bình Thạnh (Phường 14, quận Bình Thạnh cũ)</t>
  </si>
  <si>
    <t>721/QĐ-UBND ngày 06/11/2025</t>
  </si>
  <si>
    <t>459/PA-HĐBT (RXT)</t>
  </si>
  <si>
    <t xml:space="preserve">Từ Thị Trang
</t>
  </si>
  <si>
    <t>719/QĐ-UBND ngày 06/11/2025</t>
  </si>
  <si>
    <t>463/PA-HĐBT
(RXT)</t>
  </si>
  <si>
    <t>427/79 - 81 Xô Viết Nghệ Tĩnh, P.Bình Thạnh (Phường 26, quận Bình Thạnh cũ)</t>
  </si>
  <si>
    <t>692/QĐ-UBND ngày 06/11/2025</t>
  </si>
  <si>
    <t>467/PA-HĐBT (RXT)</t>
  </si>
  <si>
    <t>Thái Lam Sơn - Nguyễn Thị Thanh Hòa</t>
  </si>
  <si>
    <t>690/QĐ-UBND ngày 06/11/2025</t>
  </si>
  <si>
    <t>1312/QĐ-UBND ngày 13/7/2026</t>
  </si>
  <si>
    <t>473/PA-HĐBT (RXT)</t>
  </si>
  <si>
    <t>349/PA</t>
  </si>
  <si>
    <t>Nguyễn Hoàng Việt (chưa xác định tình trạng hôn nhân)</t>
  </si>
  <si>
    <t>718/QĐ-UBND ngày 06/11/2025</t>
  </si>
  <si>
    <t>475/PA-HĐBT (RXT)</t>
  </si>
  <si>
    <t>Đoàn Văn Thân</t>
  </si>
  <si>
    <t>59/50 Đinh Bộ Lĩnh, P.Bình Thạnh (Phường 26, quận Bình Thạnh cũ)</t>
  </si>
  <si>
    <t>702/QĐ-UBND ngày 06/11/2025</t>
  </si>
  <si>
    <t>479/PA-HĐBT (RXT)</t>
  </si>
  <si>
    <t>Trần Thị Thanh Hương và các đồng thừa kế của ông Mai Xuân Dũng</t>
  </si>
  <si>
    <t>722/QĐ-UBND ngày 06/11/2025</t>
  </si>
  <si>
    <t>481/PA-HĐBT (RXT)</t>
  </si>
  <si>
    <t>Phạm Huy Hoàng - Nguyễn Thị Hiền</t>
  </si>
  <si>
    <t>Không số (cạnh số 194/50/46) Bạch Đằng, P.Bình Thạnh (Phường 14, quận Bình Thạnh cũ)</t>
  </si>
  <si>
    <t>703/QĐ-UBND ngày 06/11/2025</t>
  </si>
  <si>
    <t>483/PA-HĐBT (RXT)</t>
  </si>
  <si>
    <t>316/PA</t>
  </si>
  <si>
    <t>Trần Kim Yến - Nguyễn Ngọc Chiếu</t>
  </si>
  <si>
    <t>Không số (số tự cho: 79/43) Nguyễn Xí, P.Bình Thạnh (Phường 26, quận Bình Thạnh cũ)</t>
  </si>
  <si>
    <t>707/QĐ-UBND ngày 06/11/2025</t>
  </si>
  <si>
    <t>485/PA-HĐBT (RXT) bị thay thế bởi 347/PA-HĐBT(RXT)</t>
  </si>
  <si>
    <t>Trần Ngọc Quang - Lê Tuyết Linh</t>
  </si>
  <si>
    <t>699/QĐ-UBND ngày 06/11/2025</t>
  </si>
  <si>
    <t>486/PA-HĐBT (RXT)</t>
  </si>
  <si>
    <t>Trần Ngọc Thêm - Trương Hải Hưng</t>
  </si>
  <si>
    <t>220/31 Nguyễn Xí, P.Bình Thạnh (Phường 26, quận Bình Thạnh cũ)</t>
  </si>
  <si>
    <t>688/QĐ-UBND ngày 06/11/2025</t>
  </si>
  <si>
    <t>487/PA-HĐBT (RXT)</t>
  </si>
  <si>
    <t>Các đồng thừa kế của ông Châu Văn Nguyên</t>
  </si>
  <si>
    <t>720/QĐ-UBND ngày 06/11/2025</t>
  </si>
  <si>
    <t>488/PA-HĐBT (RXT)</t>
  </si>
  <si>
    <t>Phan Thị Nặng (chưa xác định tình trạng hôn nhân)</t>
  </si>
  <si>
    <t>Nhà, đất nằm trong khuôn viên nhà số 79/43 Nguyễn Xí, P.Bình Thạnh (Phường 26, quận Bình Thạnh cũ)</t>
  </si>
  <si>
    <t>714/QĐ-UBND ngày 06/11/2025</t>
  </si>
  <si>
    <t>491/PA-HĐBT (RXT) bị sửa đổi, bổ sung và thay thế 251/PA-HĐBT(RXT)</t>
  </si>
  <si>
    <t>Trần Thị Dĩnh (chưa xác định tình trạng hôn nhân)</t>
  </si>
  <si>
    <t>725/QĐ-UBND ngày 06/11/2025</t>
  </si>
  <si>
    <t>496/PA-HĐBT (RXT)</t>
  </si>
  <si>
    <t>269/PA</t>
  </si>
  <si>
    <t>Nguyễn Tiến Nam - Dương Kim Thủy</t>
  </si>
  <si>
    <t>Một phần nhà đất số 58/22/34L2 Phan Chu Trinh, P.Bình Thạnh (Phường 14, quận Bình Thạnh cũ)</t>
  </si>
  <si>
    <t>695/QĐ-UBND ngày 06/11/2025</t>
  </si>
  <si>
    <t>508/PA-HĐBT (RXT)</t>
  </si>
  <si>
    <t>Nguyễn Thị Mỹ Ngọc</t>
  </si>
  <si>
    <t>Số tự cho 58/22/34L3 Phan Chu Trinh, P.Bình Thạnh (Phường 14, quận Bình Thạnh cũ)</t>
  </si>
  <si>
    <t>704/QĐ-UBND ngày 06/11/2025</t>
  </si>
  <si>
    <t>509/PA-HĐBT (RXT) bị thay thế 472/PA-HĐBT(RXT)</t>
  </si>
  <si>
    <t>Trương Huyền Thu (chưa xác định tình trạng hôn nhân)</t>
  </si>
  <si>
    <t>373/QĐ-UBND ngày 07/04/2026</t>
  </si>
  <si>
    <t>1323/QĐ-UBND ngày 14/07/2026</t>
  </si>
  <si>
    <t>691/QĐ-UBND ngày 06/11/2025</t>
  </si>
  <si>
    <t>513/PA-HĐBT (RXT)</t>
  </si>
  <si>
    <t>Nguyễn Văn Nghiêm - Võ Thị Gái</t>
  </si>
  <si>
    <t>Không số (số tự cho 239; 241; 243) Chu Văn An, P.Bình Thạnh (Phường 26, quận Bình Thạnh cũ)</t>
  </si>
  <si>
    <t>694/QĐ-UBND ngày 06/11/2025</t>
  </si>
  <si>
    <t>514/PA-HĐBT (RXT)</t>
  </si>
  <si>
    <t>Nguyễn Văn Nghiêm- Võ Thị Gái</t>
  </si>
  <si>
    <t>213 Chu Văn An, P.Bình Thạnh (Phường 26, quận Bình Thạnh cũ)</t>
  </si>
  <si>
    <t>550/QĐ-UBND ngày 13/04/2026;</t>
  </si>
  <si>
    <t>716/QĐ-UBND ngày 06/11/2025</t>
  </si>
  <si>
    <t>1017/QĐ-UBND ngày 04/6/2026</t>
  </si>
  <si>
    <t>518/PA-HĐBT (RXT)</t>
  </si>
  <si>
    <t>Đặng Thế Lâm (chưa xác định tình trạng hôn nhân)</t>
  </si>
  <si>
    <t>705/QĐ-UBND ngày 06/11/2025</t>
  </si>
  <si>
    <t>523/PA-HĐBT (RXT)</t>
  </si>
  <si>
    <t>Nguyễn Thị Tăng và các đồng thừa kế của ông Hứa Văn Hơn</t>
  </si>
  <si>
    <t>680/QĐ-UBND ngày 06/11/2025</t>
  </si>
  <si>
    <t>Đã liên hệ hộ dân nhưng hộ dân bị bệnh chưa lên ký hồ sơ được</t>
  </si>
  <si>
    <t>525/PA-HĐBT (RXT)</t>
  </si>
  <si>
    <t>Võ Văn Ngọc - Lê Thị Hương</t>
  </si>
  <si>
    <t>Không số (cạnh số 194/45) Bạch Đằng, P.Bình Thạnh (Phường 14, quận Bình Thạnh cũ)</t>
  </si>
  <si>
    <t>711/QĐ-UBND ngày 06/11/2025</t>
  </si>
  <si>
    <t>527/PA-HĐBT (RXT)</t>
  </si>
  <si>
    <t>Không số (trước 35/18B) Đinh Bộ Lĩnh, P.Bình Thạnh (Phường 14, quận Bình Thạnh cũ)</t>
  </si>
  <si>
    <t>Đã tạo DVC T10/2026</t>
  </si>
  <si>
    <t>730/QĐ-UBND ngày 06/11/2025</t>
  </si>
  <si>
    <t>474/PA-HĐBT (RXT)</t>
  </si>
  <si>
    <t>682/PA-HĐBT (RXT); 370/PA</t>
  </si>
  <si>
    <t>Nguyễn Văn Chiến - Nguyễn Ánh Nguyệt</t>
  </si>
  <si>
    <t>58/22/32 Phan Chu Trinh, P.Bình Thạnh (Phường 14, quận Bình Thạnh cũ)</t>
  </si>
  <si>
    <t>654/QĐ-UBND ngày 06/11/2025</t>
  </si>
  <si>
    <t>493/PA-HĐBT (RXT)</t>
  </si>
  <si>
    <t>557/PA-HĐBT (RXT)</t>
  </si>
  <si>
    <t>Đồng Thế Nam Hà - Ngô Tuyết Phượng</t>
  </si>
  <si>
    <t>726/QĐ-UBND ngày 06/11/2025</t>
  </si>
  <si>
    <t>520/PA-HĐBT (RXT)</t>
  </si>
  <si>
    <t>686/PA-HĐBT (RXT)</t>
  </si>
  <si>
    <t>Các đồng thừa kế của ông Nguyễn Văn Dưỡng và bà Châu Thị Linh</t>
  </si>
  <si>
    <t>Không số gần nhà 58/96/25 (Số tự cho: 58/96/27) Phan Chu Trinh, P.Bình Thạnh (Phường 14, quận Bình Thạnh cũ)</t>
  </si>
  <si>
    <t>Đã tạo danh sách và mời hộ dân</t>
  </si>
  <si>
    <t>727/QĐ-UBND ngày 06/11/2025</t>
  </si>
  <si>
    <t>Đợi Điều chỉnh giảm</t>
  </si>
  <si>
    <t>695/PA-HĐBT (RXT)</t>
  </si>
  <si>
    <t>528/PA-HĐBT (RXT) (ĐẪ BỊ THAY THẾ BỞI 359/PA-HĐBT (RXT))</t>
  </si>
  <si>
    <t xml:space="preserve"> DVC GRV 1915</t>
  </si>
  <si>
    <t>1151/QĐ-UBND ngày 13/6/2026</t>
  </si>
  <si>
    <t>360/PA-HĐBT (RXT)</t>
  </si>
  <si>
    <t>Hứa Văn Khoa - Hồng Thị Kim Sang</t>
  </si>
  <si>
    <t>1049/QĐ-UBND ngày 08/6/2026</t>
  </si>
  <si>
    <t>926/QĐ-UBND ngày 26/5/2026</t>
  </si>
  <si>
    <t>221/PA-HĐBT(RXT) thay thế PA 339/PA-HĐBT (RXT)</t>
  </si>
  <si>
    <t>Mai Xuân Thành - Trần Ngọc Hòa (tên cũ là Lê Thị Hương)</t>
  </si>
  <si>
    <t>925/QĐ-UBND ngày 26/5/2026</t>
  </si>
  <si>
    <t>132/PA-HĐBT(RXT) thay thế PA 338/PA-HĐBT (RXT)</t>
  </si>
  <si>
    <t>Phạm Thị Hằng ( tên cũ là Phạm Lân)</t>
  </si>
  <si>
    <t>924/QĐ-UBND ngày 26/5/2026</t>
  </si>
  <si>
    <t>131/PA-HĐBT(RXT) thay thế 387/PA-HĐBT (RXT)</t>
  </si>
  <si>
    <t>Phạm Thị Hằng (Tên cũ Phạm Thị Thúy Nga)</t>
  </si>
  <si>
    <t>Đã tạo danh sách và mời hộ dân (Đồng thừa kế chưa lên đủ)</t>
  </si>
  <si>
    <t>đã gọi đt, không đủ người ký DS</t>
  </si>
  <si>
    <t>251/PA-HĐBT(RXT) sửa đổi, bổ sung và thay thế 491/PA-HĐBT (RXT)</t>
  </si>
  <si>
    <t>Nguyễn Thị Thúy Hồng (tên cũ là Trần Thị Dĩnh)</t>
  </si>
  <si>
    <t>1399/QĐ-UBND ngày 07/8/2026</t>
  </si>
  <si>
    <t>473/PA-HĐBT(RXT) sửa đổi, bổ sung và thay thế 470/PA-HĐBT(RXT)</t>
  </si>
  <si>
    <t>Trần Văn Hà (tên cũ là Bùi Thị Mỹ Nương)</t>
  </si>
  <si>
    <t>472/PA-HĐBT(RXT) sửa đổi, bổ sung và thay thế 509/PA-HĐBT (RXT)</t>
  </si>
  <si>
    <t>Trần Văn Hà (tên cũ là Trương Huyền Thu (chưa xác định tình trạng hôn nhân)</t>
  </si>
  <si>
    <t>347/PA-HĐBT(RXT) sửa đổi, bổ sung và thay thế 485/PA-HĐBT (RXT)</t>
  </si>
  <si>
    <t>Trần Nguyễn Thị Thu (tên cũ là Trần Ngọc Quang - Lê Tuyết Linh)</t>
  </si>
  <si>
    <t>1427/QĐ-UBND ngày 20/8/2026</t>
  </si>
  <si>
    <t>513/PA-HĐBT(RXT)</t>
  </si>
  <si>
    <t>Ban Quản lý dự án đầu tư xây dựng phường Bình Thạnh</t>
  </si>
  <si>
    <t>20/29 Đinh Bộ Lĩnh, Phường Bình Thạnh (Phường 14, quận Bình Thạnh cũ)</t>
  </si>
  <si>
    <t>194/50/45 Bạch Đằng, Phường Bình Thạnh (Phường 14, quận Bình Thạnh cũ)</t>
  </si>
  <si>
    <t>Tranh chấp -&gt; có đơn ngăn chặn của tòa án (đang gửi NH)</t>
  </si>
  <si>
    <t>Tranh chấp -&gt; có đơn ngăn chặn của tòa án</t>
  </si>
  <si>
    <t>Đã tạo danh sách và mời dân (2 vợ chồng đang ở nước ngoài. có ủy quyền nhưng nội dung ko có ủy quyền nhận tiền)</t>
  </si>
  <si>
    <t>Đã tạo DS và mời dân</t>
  </si>
  <si>
    <t>Đã tạo danh sách -&gt; đã nhờ Phấn tổ 2 gọi nhiều lần mà chưa lên</t>
  </si>
  <si>
    <t>1565/QĐ-UBND ngày 02/10/2026</t>
  </si>
  <si>
    <t>CĂN HỘ NGÀY BG 31/05/2025 TRƯỚC NGÀY BBMB - KHÔNG CHI-đã làm tờ trình lãnh đạo</t>
  </si>
  <si>
    <t>PA sai tên -&gt; Đã báo phấn làm điều chỉnh lại PA -&gt; chờ phấn làm báo cáo</t>
  </si>
  <si>
    <t xml:space="preserve">Người dân đã liên hệ kế toán hỏi tiền bổ sung. Để không ảnh hưởng đến tiến độ chi tiền và người dân chờ lâu có ý kiến. kính mong tổ BT sớm hoàn thiện hồ sơ </t>
  </si>
  <si>
    <t>Thế chấp ngân hàng</t>
  </si>
  <si>
    <t>đang thế chấp sổ ở ngân hàng -&gt; đã qua làm việc với tiến, chờ có sổ mới chi</t>
  </si>
  <si>
    <t>đã gọi đt</t>
  </si>
  <si>
    <t xml:space="preserve">1473/QĐ-UBND ngày 28/08/2026
</t>
  </si>
  <si>
    <t>không liên lạc được - 0909096104</t>
  </si>
  <si>
    <t>Đợi điều chỉnh giảm dự toán</t>
  </si>
  <si>
    <t xml:space="preserve">1506/QĐ-UBND ngày 16/09/2026
</t>
  </si>
  <si>
    <t xml:space="preserve">1567/QĐ-UBND ngày 06/10/2026
</t>
  </si>
  <si>
    <t xml:space="preserve">1219/QĐ-UBND ngày 20/06/2026; 1532/QĐ-UBND ngày 24/09/2026
</t>
  </si>
  <si>
    <t xml:space="preserve">1161/QĐ-UBND ngày 15/06/2026;1532/QĐ-UBND ngày 24/09/2026
</t>
  </si>
  <si>
    <t>Không liên hệ được -&gt; đã nhờ Lợi (cán bọ bồi thường 2) liên hệ dùm</t>
  </si>
  <si>
    <t>Đi 2 lần, dó lần đầu TK bị đóng</t>
  </si>
  <si>
    <t xml:space="preserve">1101/QĐ-UBND ngày 10/06/2026;1454/QĐ-UBND ngày 26/08/2026
</t>
  </si>
  <si>
    <t>đã gọi hộ dân</t>
  </si>
  <si>
    <t>chưa đồng ý nhận tiền bồi thường, tạm cư</t>
  </si>
  <si>
    <t xml:space="preserve">1101/QĐ-UBND ngày 10/06/2026; 1454/QĐ-UBND ngày 26/08/2026
</t>
  </si>
  <si>
    <t xml:space="preserve">1220/QĐ-UBND ngày 20/06/2026; 1457/QĐ-UBND ngày 28/08/2026
</t>
  </si>
  <si>
    <t xml:space="preserve">1571/QĐ-UBND ngày 07/10/2026
</t>
  </si>
  <si>
    <t>Chưa nhận tiền bồi thường đợt đầu -&gt; Đã liên hệ 4 lần nhưng chưa chịu lên</t>
  </si>
  <si>
    <t xml:space="preserve">1220/QĐ-UBND ngày 20/06/2026; 1571/QĐ-UBND ngày 07/10/2026
</t>
  </si>
  <si>
    <t xml:space="preserve">1516/QĐ-UBND ngày 17/09/2026
</t>
  </si>
  <si>
    <t>Chưa làm xong giấy XNTTHN -&gt; thông tin a Nam cung cấp</t>
  </si>
  <si>
    <t>Tranh chấp ở tòa</t>
  </si>
  <si>
    <t xml:space="preserve">tranh chấp, QĐTC chưa có ngày đến ngày </t>
  </si>
  <si>
    <t>Có bản án của Tòa; chưa liên hệ được với các ĐTK của ông Châu Văn Nguyên</t>
  </si>
  <si>
    <t>CĂN HỘ NGÀY BG 31/05/2026 - trước BBBGMB NGÀY 05/06/2026 - KHÔNG CHI- đã làm tờ trình lãnh đạo</t>
  </si>
  <si>
    <t xml:space="preserve">373/QĐ-UBND ngày 07/04/2026; 1323/QĐ-UBND ngày 14/07/2026; 1568/QĐ-UBND ngày 06/10/2026
</t>
  </si>
  <si>
    <t xml:space="preserve">915/QĐ-UBND ngày 22/05/2026; 1532/QĐ-UBND ngày 24/09/2026
</t>
  </si>
  <si>
    <t>Đã tạp DVC T10/2026</t>
  </si>
  <si>
    <t>chưa chịu ký , lý do thiếu nhân khẩu, đã báo tổ BT</t>
  </si>
  <si>
    <t>Đợi điều chỉnh giảm dự toán -&gt; đã chuyển trả về TK 92026</t>
  </si>
  <si>
    <t xml:space="preserve">1243/QĐ-UBND ngày 25/06/2026;1536/QĐ-UBND ngày 25/09/2026
</t>
  </si>
  <si>
    <t xml:space="preserve">1243/QĐ-UBND ngày 25/06/2026; 1536/QĐ-UBND ngày 25/09/2026
</t>
  </si>
  <si>
    <t>Chưa có dự toán -&gt; dân đã ký danh sách</t>
  </si>
  <si>
    <t>Dự toán</t>
  </si>
  <si>
    <t>Đã chi</t>
  </si>
  <si>
    <t>Trạng thái hồ sơ</t>
  </si>
  <si>
    <t>Ghi chú</t>
  </si>
  <si>
    <t>Chưa chi thưởng BGMB</t>
  </si>
  <si>
    <t>Chưa chi Bồi thường bổ sung, NVTC</t>
  </si>
  <si>
    <t>Chưa chi Bồi thường lần đầu</t>
  </si>
  <si>
    <t>Chưa chi Tạm cư</t>
  </si>
  <si>
    <t>LÝ DO CHƯA CHI</t>
  </si>
  <si>
    <t>ĐÃ CHI 14/10/2026</t>
  </si>
  <si>
    <t>Tổng PA : 884 - trong đó : 8 PA bị thay thế nhưng chưa điều chỉnh giảm dự toán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</si>
</sst>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 #,##0_-;_-* &quot;-&quot;??_-;_-@"/>
    <numFmt numFmtId="165" formatCode="#,##0;\(#,##0\)"/>
    <numFmt numFmtId="166" formatCode="_(* #,##0_);_(* \(#,##0\);_(* &quot;-&quot;??_);_(@_)"/>
    <numFmt numFmtId="167" formatCode="#,##0.0000"/>
    <numFmt numFmtId="168" formatCode="d/m"/>
  </numFmts>
  <fonts count="29" x14ac:knownFonts="1">
    <font>
      <sz val="11"/>
      <color theme="1"/>
      <name val="Calibri"/>
      <scheme val="minor"/>
    </font>
    <font>
      <sz val="11"/>
      <color theme="1"/>
      <name val="Calibri"/>
      <family val="2"/>
      <scheme val="minor"/>
    </font>
    <font>
      <sz val="11"/>
      <color theme="1"/>
      <name val="Calibri"/>
      <family val="2"/>
      <scheme val="minor"/>
    </font>
    <font>
      <b/>
      <sz val="20"/>
      <color theme="1"/>
      <name val="Times New Roman"/>
      <family val="1"/>
    </font>
    <font>
      <b/>
      <sz val="14"/>
      <color theme="1"/>
      <name val="Times New Roman"/>
      <family val="1"/>
    </font>
    <font>
      <sz val="11"/>
      <color theme="1"/>
      <name val="Calibri"/>
      <family val="2"/>
    </font>
    <font>
      <b/>
      <sz val="12"/>
      <color theme="1"/>
      <name val="Times New Roman"/>
      <family val="1"/>
    </font>
    <font>
      <b/>
      <sz val="12"/>
      <color rgb="FF0C0C0C"/>
      <name val="Times New Roman"/>
      <family val="1"/>
    </font>
    <font>
      <sz val="12"/>
      <color theme="1"/>
      <name val="Calibri"/>
      <family val="2"/>
    </font>
    <font>
      <b/>
      <sz val="12"/>
      <color rgb="FFFF0000"/>
      <name val="Times New Roman"/>
      <family val="1"/>
    </font>
    <font>
      <b/>
      <sz val="11"/>
      <color theme="1"/>
      <name val="Times New Roman"/>
      <family val="1"/>
    </font>
    <font>
      <sz val="11"/>
      <name val="Calibri"/>
      <family val="2"/>
    </font>
    <font>
      <b/>
      <sz val="14"/>
      <color rgb="FF0C0C0C"/>
      <name val="Times New Roman"/>
      <family val="1"/>
    </font>
    <font>
      <sz val="12"/>
      <color theme="1"/>
      <name val="Times New Roman"/>
      <family val="1"/>
    </font>
    <font>
      <b/>
      <sz val="10"/>
      <color theme="1"/>
      <name val="Times New Roman"/>
      <family val="1"/>
    </font>
    <font>
      <b/>
      <sz val="14"/>
      <color rgb="FFFF0000"/>
      <name val="Times New Roman"/>
      <family val="1"/>
    </font>
    <font>
      <sz val="10"/>
      <color theme="1"/>
      <name val="Times New Roman"/>
      <family val="1"/>
    </font>
    <font>
      <b/>
      <sz val="13"/>
      <color rgb="FFFF0000"/>
      <name val="Times New Roman"/>
      <family val="1"/>
    </font>
    <font>
      <sz val="13"/>
      <color theme="1"/>
      <name val="Times New Roman"/>
      <family val="1"/>
    </font>
    <font>
      <sz val="16"/>
      <color theme="1"/>
      <name val="Times New Roman"/>
      <family val="1"/>
    </font>
    <font>
      <sz val="15"/>
      <color theme="1"/>
      <name val="Times New Roman"/>
      <family val="1"/>
    </font>
    <font>
      <sz val="12"/>
      <color rgb="FFFF0000"/>
      <name val="Times New Roman"/>
      <family val="1"/>
    </font>
    <font>
      <sz val="11"/>
      <color theme="1"/>
      <name val="Times New Roman"/>
      <family val="1"/>
    </font>
    <font>
      <sz val="14"/>
      <color theme="1"/>
      <name val="Times New Roman"/>
      <family val="1"/>
    </font>
    <font>
      <sz val="18"/>
      <color theme="1"/>
      <name val="Times New Roman"/>
      <family val="1"/>
    </font>
    <font>
      <sz val="16"/>
      <color rgb="FFFF0000"/>
      <name val="Times New Roman"/>
      <family val="1"/>
    </font>
    <font>
      <sz val="11"/>
      <name val="Times New Roman"/>
      <family val="1"/>
    </font>
    <font>
      <sz val="12"/>
      <name val="Times New Roman"/>
      <family val="1"/>
    </font>
    <font>
      <b/>
      <sz val="12"/>
      <name val="Times New Roman"/>
      <family val="1"/>
    </font>
  </fonts>
  <fills count="13">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theme="9"/>
        <bgColor theme="9"/>
      </patternFill>
    </fill>
    <fill>
      <patternFill patternType="solid">
        <fgColor rgb="FFBFBFBF"/>
        <bgColor rgb="FFBFBFBF"/>
      </patternFill>
    </fill>
    <fill>
      <patternFill patternType="solid">
        <fgColor rgb="FFA4C2F4"/>
        <bgColor rgb="FFA4C2F4"/>
      </patternFill>
    </fill>
    <fill>
      <patternFill patternType="solid">
        <fgColor rgb="FFFF9900"/>
        <bgColor rgb="FFFF9900"/>
      </patternFill>
    </fill>
    <fill>
      <patternFill patternType="solid">
        <fgColor rgb="FFA8D08D"/>
        <bgColor rgb="FFA8D08D"/>
      </patternFill>
    </fill>
    <fill>
      <patternFill patternType="solid">
        <fgColor rgb="FF93C47D"/>
        <bgColor rgb="FF93C47D"/>
      </patternFill>
    </fill>
    <fill>
      <patternFill patternType="solid">
        <fgColor rgb="FFFFC000"/>
        <bgColor rgb="FFCCCCCC"/>
      </patternFill>
    </fill>
    <fill>
      <patternFill patternType="solid">
        <fgColor rgb="FF00B050"/>
        <bgColor rgb="FFFFFF00"/>
      </patternFill>
    </fill>
    <fill>
      <patternFill patternType="solid">
        <fgColor rgb="FF00B050"/>
        <bgColor indexed="64"/>
      </patternFill>
    </fill>
  </fills>
  <borders count="23">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right style="thin">
        <color rgb="FF000000"/>
      </right>
      <top/>
      <bottom style="thin">
        <color rgb="FF000000"/>
      </bottom>
      <diagonal/>
    </border>
    <border>
      <left/>
      <right style="thin">
        <color rgb="FF000000"/>
      </right>
      <top/>
      <bottom/>
      <diagonal/>
    </border>
  </borders>
  <cellStyleXfs count="1">
    <xf numFmtId="0" fontId="0" fillId="0" borderId="0"/>
  </cellStyleXfs>
  <cellXfs count="331">
    <xf numFmtId="0" fontId="0" fillId="0" borderId="0" xfId="0"/>
    <xf numFmtId="0" fontId="3" fillId="0" borderId="0" xfId="0" applyFont="1" applyAlignment="1">
      <alignment horizontal="left" vertical="center"/>
    </xf>
    <xf numFmtId="0" fontId="2" fillId="0" borderId="0" xfId="0" applyFont="1"/>
    <xf numFmtId="0" fontId="5" fillId="0" borderId="0" xfId="0" applyFont="1" applyAlignment="1">
      <alignment vertical="center"/>
    </xf>
    <xf numFmtId="0" fontId="5" fillId="0" borderId="0" xfId="0" applyFont="1" applyAlignment="1">
      <alignment vertical="center" wrapText="1"/>
    </xf>
    <xf numFmtId="0" fontId="5" fillId="0" borderId="2" xfId="0" applyFont="1" applyBorder="1"/>
    <xf numFmtId="0" fontId="8" fillId="0" borderId="0" xfId="0" applyFont="1"/>
    <xf numFmtId="0" fontId="8" fillId="0" borderId="0" xfId="0" applyFont="1" applyAlignment="1">
      <alignment vertical="center"/>
    </xf>
    <xf numFmtId="164" fontId="8" fillId="0" borderId="0" xfId="0" applyNumberFormat="1" applyFont="1" applyAlignment="1">
      <alignment vertical="center"/>
    </xf>
    <xf numFmtId="0" fontId="8" fillId="0" borderId="0" xfId="0" applyFont="1" applyAlignment="1">
      <alignment wrapText="1"/>
    </xf>
    <xf numFmtId="14" fontId="3" fillId="0" borderId="0" xfId="0" applyNumberFormat="1" applyFont="1" applyAlignment="1">
      <alignment vertical="center"/>
    </xf>
    <xf numFmtId="0" fontId="10" fillId="0" borderId="2" xfId="0" applyFont="1" applyBorder="1" applyAlignment="1">
      <alignment horizontal="center" vertical="center"/>
    </xf>
    <xf numFmtId="0" fontId="10" fillId="0" borderId="2" xfId="0" applyFont="1" applyBorder="1" applyAlignment="1">
      <alignment vertical="center"/>
    </xf>
    <xf numFmtId="0" fontId="8" fillId="0" borderId="0" xfId="0" applyFont="1" applyAlignment="1">
      <alignment vertical="center" wrapText="1"/>
    </xf>
    <xf numFmtId="0" fontId="10" fillId="0" borderId="2" xfId="0" applyFont="1" applyBorder="1" applyAlignment="1">
      <alignment horizontal="center" wrapText="1"/>
    </xf>
    <xf numFmtId="0" fontId="13" fillId="0" borderId="0" xfId="0" applyFont="1"/>
    <xf numFmtId="0" fontId="10" fillId="0" borderId="2" xfId="0" applyFont="1" applyBorder="1" applyAlignment="1">
      <alignment horizontal="center"/>
    </xf>
    <xf numFmtId="0" fontId="12" fillId="0" borderId="2" xfId="0" applyFont="1" applyBorder="1" applyAlignment="1">
      <alignment horizontal="center" vertical="center" wrapText="1"/>
    </xf>
    <xf numFmtId="0" fontId="10" fillId="0" borderId="2" xfId="0" applyFont="1" applyBorder="1" applyAlignment="1">
      <alignment vertical="center" wrapText="1"/>
    </xf>
    <xf numFmtId="0" fontId="7" fillId="3"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6" fillId="4" borderId="2" xfId="0" applyFont="1" applyFill="1" applyBorder="1" applyAlignment="1">
      <alignment horizontal="center" vertical="center" wrapText="1"/>
    </xf>
    <xf numFmtId="164" fontId="6" fillId="4" borderId="2" xfId="0" applyNumberFormat="1" applyFont="1" applyFill="1" applyBorder="1" applyAlignment="1">
      <alignment horizontal="center" vertical="center" wrapText="1"/>
    </xf>
    <xf numFmtId="0" fontId="4" fillId="4" borderId="2" xfId="0" applyFont="1" applyFill="1" applyBorder="1" applyAlignment="1">
      <alignment horizontal="center" vertical="center" wrapText="1"/>
    </xf>
    <xf numFmtId="0" fontId="10" fillId="3" borderId="2" xfId="0" applyFont="1" applyFill="1" applyBorder="1" applyAlignment="1">
      <alignment horizontal="center"/>
    </xf>
    <xf numFmtId="0" fontId="4" fillId="5" borderId="2" xfId="0" applyFont="1" applyFill="1" applyBorder="1" applyAlignment="1">
      <alignment horizontal="center" vertical="center" wrapText="1"/>
    </xf>
    <xf numFmtId="0" fontId="6" fillId="3" borderId="2" xfId="0" applyFont="1" applyFill="1" applyBorder="1" applyAlignment="1">
      <alignment horizontal="center" vertical="center"/>
    </xf>
    <xf numFmtId="0" fontId="6" fillId="5" borderId="2" xfId="0" applyFont="1" applyFill="1" applyBorder="1" applyAlignment="1">
      <alignment horizontal="center" vertical="center" wrapText="1"/>
    </xf>
    <xf numFmtId="0" fontId="6" fillId="3" borderId="2" xfId="0" applyFont="1" applyFill="1" applyBorder="1" applyAlignment="1">
      <alignment horizontal="center"/>
    </xf>
    <xf numFmtId="0" fontId="13" fillId="0" borderId="0" xfId="0" applyFont="1" applyAlignment="1">
      <alignment horizontal="center" vertical="center"/>
    </xf>
    <xf numFmtId="0" fontId="8" fillId="0" borderId="0" xfId="0" applyFont="1" applyAlignment="1">
      <alignment horizontal="center" vertical="center"/>
    </xf>
    <xf numFmtId="0" fontId="16" fillId="0" borderId="2" xfId="0" applyFont="1" applyBorder="1" applyAlignment="1">
      <alignment vertical="center" wrapText="1"/>
    </xf>
    <xf numFmtId="0" fontId="13" fillId="0" borderId="2" xfId="0" applyFont="1" applyBorder="1" applyAlignment="1">
      <alignment vertical="center" wrapText="1"/>
    </xf>
    <xf numFmtId="0" fontId="9" fillId="0" borderId="2" xfId="0" applyFont="1" applyBorder="1" applyAlignment="1">
      <alignment horizontal="right" vertical="center" wrapText="1"/>
    </xf>
    <xf numFmtId="3" fontId="9" fillId="0" borderId="2" xfId="0" applyNumberFormat="1" applyFont="1" applyBorder="1" applyAlignment="1">
      <alignment horizontal="right" vertical="center" wrapText="1"/>
    </xf>
    <xf numFmtId="3" fontId="17" fillId="0" borderId="2" xfId="0" applyNumberFormat="1" applyFont="1" applyBorder="1" applyAlignment="1">
      <alignment horizontal="right" vertical="center" wrapText="1"/>
    </xf>
    <xf numFmtId="0" fontId="5" fillId="0" borderId="0" xfId="0" applyFont="1" applyAlignment="1">
      <alignment horizontal="center" vertical="center"/>
    </xf>
    <xf numFmtId="164" fontId="9" fillId="0" borderId="2" xfId="0" applyNumberFormat="1" applyFont="1" applyBorder="1" applyAlignment="1">
      <alignment horizontal="right" vertical="center" wrapText="1"/>
    </xf>
    <xf numFmtId="0" fontId="17" fillId="0" borderId="2" xfId="0" applyFont="1" applyBorder="1" applyAlignment="1">
      <alignment vertical="center" wrapText="1"/>
    </xf>
    <xf numFmtId="165" fontId="17" fillId="0" borderId="2" xfId="0" applyNumberFormat="1" applyFont="1" applyBorder="1" applyAlignment="1">
      <alignment horizontal="right" vertical="center" wrapText="1"/>
    </xf>
    <xf numFmtId="0" fontId="17" fillId="0" borderId="2" xfId="0" applyFont="1" applyBorder="1" applyAlignment="1">
      <alignment horizontal="right" vertical="center" wrapText="1"/>
    </xf>
    <xf numFmtId="0" fontId="13" fillId="0" borderId="2" xfId="0" applyFont="1" applyBorder="1" applyAlignment="1">
      <alignment horizontal="right" vertical="center" wrapText="1"/>
    </xf>
    <xf numFmtId="0" fontId="13" fillId="0" borderId="2" xfId="0" applyFont="1" applyBorder="1" applyAlignment="1">
      <alignment wrapText="1"/>
    </xf>
    <xf numFmtId="164" fontId="13" fillId="0" borderId="2" xfId="0" applyNumberFormat="1" applyFont="1" applyBorder="1" applyAlignment="1">
      <alignment horizontal="right" vertical="center" wrapText="1"/>
    </xf>
    <xf numFmtId="164" fontId="16" fillId="0" borderId="2" xfId="0" applyNumberFormat="1" applyFont="1" applyBorder="1" applyAlignment="1">
      <alignment vertical="center" wrapText="1"/>
    </xf>
    <xf numFmtId="164" fontId="13" fillId="0" borderId="2" xfId="0" applyNumberFormat="1" applyFont="1" applyBorder="1" applyAlignment="1">
      <alignment horizontal="right" wrapText="1"/>
    </xf>
    <xf numFmtId="165" fontId="9" fillId="0" borderId="2" xfId="0" applyNumberFormat="1" applyFont="1" applyBorder="1" applyAlignment="1">
      <alignment horizontal="right" vertical="center" wrapText="1"/>
    </xf>
    <xf numFmtId="3" fontId="13" fillId="0" borderId="2" xfId="0" applyNumberFormat="1" applyFont="1" applyBorder="1" applyAlignment="1">
      <alignment horizontal="right" vertical="center" wrapText="1"/>
    </xf>
    <xf numFmtId="3" fontId="16" fillId="0" borderId="2" xfId="0" applyNumberFormat="1" applyFont="1" applyBorder="1" applyAlignment="1">
      <alignment vertical="center" wrapText="1"/>
    </xf>
    <xf numFmtId="0" fontId="6" fillId="6" borderId="2" xfId="0" applyFont="1" applyFill="1" applyBorder="1" applyAlignment="1">
      <alignment horizontal="center" vertical="center" wrapText="1"/>
    </xf>
    <xf numFmtId="0" fontId="8" fillId="0" borderId="2" xfId="0" applyFont="1" applyBorder="1" applyAlignment="1">
      <alignment vertical="center" wrapText="1"/>
    </xf>
    <xf numFmtId="3" fontId="13" fillId="0" borderId="2" xfId="0" applyNumberFormat="1" applyFont="1" applyBorder="1" applyAlignment="1">
      <alignment vertical="center" wrapText="1"/>
    </xf>
    <xf numFmtId="164" fontId="6" fillId="6" borderId="2" xfId="0" applyNumberFormat="1" applyFont="1" applyFill="1" applyBorder="1" applyAlignment="1">
      <alignment horizontal="center" vertical="center" wrapText="1"/>
    </xf>
    <xf numFmtId="0" fontId="16" fillId="0" borderId="2" xfId="0" applyFont="1" applyBorder="1" applyAlignment="1">
      <alignment wrapText="1"/>
    </xf>
    <xf numFmtId="0" fontId="16" fillId="8" borderId="2" xfId="0" applyFont="1" applyFill="1" applyBorder="1" applyAlignment="1">
      <alignment horizontal="center" vertical="center" wrapText="1"/>
    </xf>
    <xf numFmtId="0" fontId="8" fillId="8" borderId="13" xfId="0" applyFont="1" applyFill="1" applyBorder="1" applyAlignment="1">
      <alignment horizontal="center"/>
    </xf>
    <xf numFmtId="3" fontId="15" fillId="8" borderId="2" xfId="0" applyNumberFormat="1" applyFont="1" applyFill="1" applyBorder="1" applyAlignment="1">
      <alignment horizontal="center" vertical="center" wrapText="1"/>
    </xf>
    <xf numFmtId="0" fontId="16" fillId="8" borderId="2" xfId="0" applyFont="1" applyFill="1" applyBorder="1" applyAlignment="1">
      <alignment vertical="center" wrapText="1"/>
    </xf>
    <xf numFmtId="164" fontId="18" fillId="0" borderId="2" xfId="0" applyNumberFormat="1" applyFont="1" applyBorder="1" applyAlignment="1">
      <alignment horizontal="right" wrapText="1"/>
    </xf>
    <xf numFmtId="0" fontId="13" fillId="8" borderId="2" xfId="0" applyFont="1" applyFill="1" applyBorder="1" applyAlignment="1">
      <alignment horizontal="center" vertical="center" wrapText="1"/>
    </xf>
    <xf numFmtId="3" fontId="9" fillId="8" borderId="2" xfId="0" applyNumberFormat="1" applyFont="1" applyFill="1" applyBorder="1" applyAlignment="1">
      <alignment horizontal="center" vertical="center" wrapText="1"/>
    </xf>
    <xf numFmtId="0" fontId="19" fillId="0" borderId="2" xfId="0" applyFont="1" applyBorder="1" applyAlignment="1">
      <alignment vertical="center" wrapText="1"/>
    </xf>
    <xf numFmtId="164" fontId="19" fillId="0" borderId="2" xfId="0" applyNumberFormat="1" applyFont="1" applyBorder="1" applyAlignment="1">
      <alignment horizontal="right" vertical="center" wrapText="1"/>
    </xf>
    <xf numFmtId="0" fontId="5" fillId="8" borderId="13" xfId="0" applyFont="1" applyFill="1" applyBorder="1" applyAlignment="1">
      <alignment horizontal="center"/>
    </xf>
    <xf numFmtId="3" fontId="19" fillId="0" borderId="2" xfId="0" applyNumberFormat="1" applyFont="1" applyBorder="1" applyAlignment="1">
      <alignment horizontal="right" vertical="center" wrapText="1"/>
    </xf>
    <xf numFmtId="164" fontId="13" fillId="0" borderId="2" xfId="0" applyNumberFormat="1" applyFont="1" applyBorder="1" applyAlignment="1">
      <alignment vertical="center" wrapText="1"/>
    </xf>
    <xf numFmtId="3" fontId="9" fillId="2" borderId="2" xfId="0" applyNumberFormat="1" applyFont="1" applyFill="1" applyBorder="1" applyAlignment="1">
      <alignment horizontal="right" vertical="center" wrapText="1"/>
    </xf>
    <xf numFmtId="3" fontId="8" fillId="0" borderId="2" xfId="0" applyNumberFormat="1" applyFont="1" applyBorder="1"/>
    <xf numFmtId="3" fontId="13" fillId="0" borderId="2" xfId="0" applyNumberFormat="1" applyFont="1" applyBorder="1" applyAlignment="1">
      <alignment horizontal="right" wrapText="1"/>
    </xf>
    <xf numFmtId="3" fontId="9" fillId="9" borderId="2" xfId="0" applyNumberFormat="1" applyFont="1" applyFill="1" applyBorder="1" applyAlignment="1">
      <alignment horizontal="center" vertical="center" wrapText="1"/>
    </xf>
    <xf numFmtId="3" fontId="9" fillId="7" borderId="2" xfId="0" applyNumberFormat="1" applyFont="1" applyFill="1" applyBorder="1" applyAlignment="1">
      <alignment horizontal="center" vertical="center" wrapText="1"/>
    </xf>
    <xf numFmtId="0" fontId="13" fillId="8" borderId="13" xfId="0" applyFont="1" applyFill="1" applyBorder="1" applyAlignment="1">
      <alignment horizontal="center"/>
    </xf>
    <xf numFmtId="3" fontId="13" fillId="0" borderId="2" xfId="0" applyNumberFormat="1" applyFont="1" applyBorder="1" applyAlignment="1">
      <alignment wrapText="1"/>
    </xf>
    <xf numFmtId="3" fontId="8" fillId="0" borderId="2" xfId="0" applyNumberFormat="1" applyFont="1" applyBorder="1" applyAlignment="1">
      <alignment wrapText="1"/>
    </xf>
    <xf numFmtId="3" fontId="8" fillId="0" borderId="2" xfId="0" applyNumberFormat="1" applyFont="1" applyBorder="1" applyAlignment="1">
      <alignment vertical="center" wrapText="1"/>
    </xf>
    <xf numFmtId="164" fontId="19" fillId="0" borderId="2" xfId="0" applyNumberFormat="1" applyFont="1" applyBorder="1" applyAlignment="1">
      <alignment horizontal="right" wrapText="1"/>
    </xf>
    <xf numFmtId="164" fontId="20" fillId="0" borderId="2" xfId="0" applyNumberFormat="1" applyFont="1" applyBorder="1" applyAlignment="1">
      <alignment horizontal="right" vertical="center" wrapText="1"/>
    </xf>
    <xf numFmtId="3" fontId="20" fillId="0" borderId="2" xfId="0" applyNumberFormat="1" applyFont="1" applyBorder="1" applyAlignment="1">
      <alignment horizontal="right" vertical="center" wrapText="1"/>
    </xf>
    <xf numFmtId="3" fontId="21" fillId="0" borderId="2" xfId="0" applyNumberFormat="1" applyFont="1" applyBorder="1" applyAlignment="1">
      <alignment horizontal="right" vertical="center" wrapText="1"/>
    </xf>
    <xf numFmtId="164" fontId="21" fillId="0" borderId="2" xfId="0" applyNumberFormat="1" applyFont="1" applyBorder="1" applyAlignment="1">
      <alignment horizontal="right" vertical="center" wrapText="1"/>
    </xf>
    <xf numFmtId="0" fontId="22" fillId="0" borderId="2" xfId="0" applyFont="1" applyBorder="1" applyAlignment="1">
      <alignment vertical="center" wrapText="1"/>
    </xf>
    <xf numFmtId="164" fontId="23" fillId="0" borderId="2" xfId="0" applyNumberFormat="1" applyFont="1" applyBorder="1" applyAlignment="1">
      <alignment horizontal="right" vertical="center" wrapText="1"/>
    </xf>
    <xf numFmtId="3" fontId="19" fillId="0" borderId="2" xfId="0" applyNumberFormat="1" applyFont="1" applyBorder="1" applyAlignment="1">
      <alignment vertical="center" wrapText="1"/>
    </xf>
    <xf numFmtId="3" fontId="13" fillId="3" borderId="2" xfId="0" applyNumberFormat="1" applyFont="1" applyFill="1" applyBorder="1" applyAlignment="1">
      <alignment horizontal="right" wrapText="1"/>
    </xf>
    <xf numFmtId="3" fontId="24" fillId="0" borderId="2" xfId="0" applyNumberFormat="1" applyFont="1" applyBorder="1" applyAlignment="1">
      <alignment vertical="center" wrapText="1"/>
    </xf>
    <xf numFmtId="164" fontId="16" fillId="0" borderId="2" xfId="0" applyNumberFormat="1" applyFont="1" applyBorder="1" applyAlignment="1">
      <alignment wrapText="1"/>
    </xf>
    <xf numFmtId="164" fontId="13" fillId="0" borderId="2" xfId="0" applyNumberFormat="1" applyFont="1" applyBorder="1" applyAlignment="1">
      <alignment wrapText="1"/>
    </xf>
    <xf numFmtId="0" fontId="13" fillId="3" borderId="2" xfId="0" applyFont="1" applyFill="1" applyBorder="1" applyAlignment="1">
      <alignment vertical="center" wrapText="1"/>
    </xf>
    <xf numFmtId="0" fontId="13" fillId="3" borderId="2" xfId="0" applyFont="1" applyFill="1" applyBorder="1" applyAlignment="1">
      <alignment horizontal="right" vertical="center" wrapText="1"/>
    </xf>
    <xf numFmtId="0" fontId="16" fillId="3" borderId="2" xfId="0" applyFont="1" applyFill="1" applyBorder="1" applyAlignment="1">
      <alignment vertical="center" wrapText="1"/>
    </xf>
    <xf numFmtId="3" fontId="13" fillId="3" borderId="2" xfId="0" applyNumberFormat="1" applyFont="1" applyFill="1" applyBorder="1" applyAlignment="1">
      <alignment horizontal="right" vertical="center" wrapText="1"/>
    </xf>
    <xf numFmtId="0" fontId="13" fillId="3" borderId="2" xfId="0" applyFont="1" applyFill="1" applyBorder="1" applyAlignment="1">
      <alignment wrapText="1"/>
    </xf>
    <xf numFmtId="164" fontId="13" fillId="3" borderId="2" xfId="0" applyNumberFormat="1" applyFont="1" applyFill="1" applyBorder="1" applyAlignment="1">
      <alignment horizontal="right" vertical="center" wrapText="1"/>
    </xf>
    <xf numFmtId="3" fontId="13" fillId="3" borderId="2" xfId="0" applyNumberFormat="1" applyFont="1" applyFill="1" applyBorder="1" applyAlignment="1">
      <alignment vertical="center" wrapText="1"/>
    </xf>
    <xf numFmtId="0" fontId="16" fillId="3" borderId="2" xfId="0" applyFont="1" applyFill="1" applyBorder="1" applyAlignment="1">
      <alignment wrapText="1"/>
    </xf>
    <xf numFmtId="3" fontId="8" fillId="3" borderId="2" xfId="0" applyNumberFormat="1" applyFont="1" applyFill="1" applyBorder="1" applyAlignment="1">
      <alignment wrapText="1"/>
    </xf>
    <xf numFmtId="0" fontId="5" fillId="3" borderId="13" xfId="0" applyFont="1" applyFill="1" applyBorder="1"/>
    <xf numFmtId="3" fontId="19" fillId="0" borderId="2" xfId="0" applyNumberFormat="1" applyFont="1" applyBorder="1" applyAlignment="1">
      <alignment horizontal="right" wrapText="1"/>
    </xf>
    <xf numFmtId="3" fontId="24" fillId="0" borderId="2" xfId="0" applyNumberFormat="1" applyFont="1" applyBorder="1" applyAlignment="1">
      <alignment horizontal="right" vertical="center" wrapText="1"/>
    </xf>
    <xf numFmtId="3" fontId="25" fillId="0" borderId="2" xfId="0" applyNumberFormat="1" applyFont="1" applyBorder="1" applyAlignment="1">
      <alignment horizontal="right" vertical="center" wrapText="1"/>
    </xf>
    <xf numFmtId="0" fontId="21" fillId="0" borderId="2" xfId="0" applyFont="1" applyBorder="1" applyAlignment="1">
      <alignment vertical="center" wrapText="1"/>
    </xf>
    <xf numFmtId="3" fontId="21" fillId="0" borderId="2" xfId="0" applyNumberFormat="1" applyFont="1" applyBorder="1" applyAlignment="1">
      <alignment wrapText="1"/>
    </xf>
    <xf numFmtId="0" fontId="6" fillId="0" borderId="2" xfId="0" applyFont="1" applyBorder="1" applyAlignment="1">
      <alignment vertical="center" wrapText="1"/>
    </xf>
    <xf numFmtId="164" fontId="13" fillId="3" borderId="2" xfId="0" applyNumberFormat="1" applyFont="1" applyFill="1" applyBorder="1" applyAlignment="1">
      <alignment vertical="center" wrapText="1"/>
    </xf>
    <xf numFmtId="3" fontId="13" fillId="3" borderId="2" xfId="0" applyNumberFormat="1" applyFont="1" applyFill="1" applyBorder="1" applyAlignment="1">
      <alignment wrapText="1"/>
    </xf>
    <xf numFmtId="3" fontId="23" fillId="0" borderId="2" xfId="0" applyNumberFormat="1" applyFont="1" applyBorder="1" applyAlignment="1">
      <alignment horizontal="right" vertical="center" wrapText="1"/>
    </xf>
    <xf numFmtId="0" fontId="19" fillId="3" borderId="2" xfId="0" applyFont="1" applyFill="1" applyBorder="1" applyAlignment="1">
      <alignment vertical="center" wrapText="1"/>
    </xf>
    <xf numFmtId="3" fontId="19" fillId="3" borderId="2" xfId="0" applyNumberFormat="1" applyFont="1" applyFill="1" applyBorder="1" applyAlignment="1">
      <alignment horizontal="right" vertical="center" wrapText="1"/>
    </xf>
    <xf numFmtId="3" fontId="23" fillId="3" borderId="2" xfId="0" applyNumberFormat="1" applyFont="1" applyFill="1" applyBorder="1" applyAlignment="1">
      <alignment horizontal="right" vertical="center" wrapText="1"/>
    </xf>
    <xf numFmtId="0" fontId="9" fillId="0" borderId="2" xfId="0" applyFont="1" applyBorder="1" applyAlignment="1">
      <alignment vertical="center" wrapText="1"/>
    </xf>
    <xf numFmtId="164" fontId="13" fillId="3" borderId="2" xfId="0" applyNumberFormat="1" applyFont="1" applyFill="1" applyBorder="1" applyAlignment="1">
      <alignment wrapText="1"/>
    </xf>
    <xf numFmtId="0" fontId="25" fillId="0" borderId="2" xfId="0" applyFont="1" applyBorder="1" applyAlignment="1">
      <alignment vertical="center" wrapText="1"/>
    </xf>
    <xf numFmtId="0" fontId="19" fillId="0" borderId="2" xfId="0" applyFont="1" applyBorder="1" applyAlignment="1">
      <alignment horizontal="right" vertical="center" wrapText="1"/>
    </xf>
    <xf numFmtId="0" fontId="23" fillId="0" borderId="2" xfId="0" applyFont="1" applyBorder="1" applyAlignment="1">
      <alignment vertical="center" wrapText="1"/>
    </xf>
    <xf numFmtId="3" fontId="20" fillId="3" borderId="2" xfId="0" applyNumberFormat="1" applyFont="1" applyFill="1" applyBorder="1" applyAlignment="1">
      <alignment horizontal="right" vertical="center" wrapText="1"/>
    </xf>
    <xf numFmtId="164" fontId="25" fillId="0" borderId="2" xfId="0" applyNumberFormat="1" applyFont="1" applyBorder="1" applyAlignment="1">
      <alignment horizontal="right" vertical="center" wrapText="1"/>
    </xf>
    <xf numFmtId="164" fontId="19" fillId="0" borderId="2" xfId="0" applyNumberFormat="1" applyFont="1" applyBorder="1" applyAlignment="1">
      <alignment vertical="center" wrapText="1"/>
    </xf>
    <xf numFmtId="0" fontId="13" fillId="0" borderId="2" xfId="0" applyFont="1" applyBorder="1" applyAlignment="1">
      <alignment horizontal="right" wrapText="1"/>
    </xf>
    <xf numFmtId="3" fontId="18" fillId="0" borderId="2" xfId="0" applyNumberFormat="1" applyFont="1" applyBorder="1" applyAlignment="1">
      <alignment horizontal="right" wrapText="1"/>
    </xf>
    <xf numFmtId="0" fontId="19" fillId="0" borderId="2" xfId="0" applyFont="1" applyBorder="1" applyAlignment="1">
      <alignment wrapText="1"/>
    </xf>
    <xf numFmtId="0" fontId="22" fillId="0" borderId="0" xfId="0" applyFont="1"/>
    <xf numFmtId="0" fontId="13" fillId="0" borderId="0" xfId="0" applyFont="1" applyAlignment="1">
      <alignment wrapText="1"/>
    </xf>
    <xf numFmtId="0" fontId="13" fillId="0" borderId="0" xfId="0" applyFont="1" applyAlignment="1">
      <alignment vertical="center"/>
    </xf>
    <xf numFmtId="0" fontId="13" fillId="0" borderId="0" xfId="0" applyFont="1" applyAlignment="1">
      <alignment vertical="center" wrapText="1"/>
    </xf>
    <xf numFmtId="3" fontId="6" fillId="0" borderId="2" xfId="0" applyNumberFormat="1" applyFont="1" applyBorder="1" applyAlignment="1">
      <alignment horizontal="center" wrapText="1"/>
    </xf>
    <xf numFmtId="0" fontId="6" fillId="0" borderId="0" xfId="0" applyFont="1" applyAlignment="1">
      <alignment horizontal="center" vertical="center" wrapText="1"/>
    </xf>
    <xf numFmtId="0" fontId="7" fillId="0" borderId="2" xfId="0" applyFont="1" applyBorder="1" applyAlignment="1">
      <alignment horizontal="center" vertical="center" wrapText="1"/>
    </xf>
    <xf numFmtId="3" fontId="6" fillId="6" borderId="2" xfId="0" applyNumberFormat="1" applyFont="1" applyFill="1" applyBorder="1" applyAlignment="1">
      <alignment horizontal="center" vertical="center" wrapText="1"/>
    </xf>
    <xf numFmtId="165" fontId="9" fillId="8" borderId="2" xfId="0" applyNumberFormat="1" applyFont="1" applyFill="1" applyBorder="1" applyAlignment="1">
      <alignment horizontal="center" vertical="center" wrapText="1"/>
    </xf>
    <xf numFmtId="0" fontId="6" fillId="0" borderId="0" xfId="0" applyFont="1" applyAlignment="1">
      <alignment horizontal="left" vertical="center" wrapText="1"/>
    </xf>
    <xf numFmtId="164" fontId="13" fillId="0" borderId="0" xfId="0" applyNumberFormat="1" applyFont="1" applyAlignment="1">
      <alignment vertical="center" wrapText="1"/>
    </xf>
    <xf numFmtId="3" fontId="13" fillId="0" borderId="0" xfId="0" applyNumberFormat="1" applyFont="1" applyAlignment="1">
      <alignment wrapText="1"/>
    </xf>
    <xf numFmtId="165" fontId="13" fillId="0" borderId="0" xfId="0" applyNumberFormat="1" applyFont="1" applyAlignment="1">
      <alignment wrapText="1"/>
    </xf>
    <xf numFmtId="0" fontId="6" fillId="2" borderId="0" xfId="0" applyFont="1" applyFill="1" applyAlignment="1">
      <alignment vertical="center" wrapText="1"/>
    </xf>
    <xf numFmtId="14" fontId="6" fillId="0" borderId="0" xfId="0" applyNumberFormat="1" applyFont="1" applyAlignment="1">
      <alignment horizontal="left" vertical="center" wrapText="1"/>
    </xf>
    <xf numFmtId="0" fontId="6" fillId="0" borderId="2" xfId="0" applyFont="1" applyBorder="1" applyAlignment="1">
      <alignment horizontal="center" vertical="center" wrapText="1"/>
    </xf>
    <xf numFmtId="3" fontId="13" fillId="0" borderId="0" xfId="0" applyNumberFormat="1" applyFont="1" applyAlignment="1">
      <alignment vertical="center" wrapText="1"/>
    </xf>
    <xf numFmtId="165" fontId="13" fillId="0" borderId="0" xfId="0" applyNumberFormat="1" applyFont="1" applyAlignment="1">
      <alignment vertical="center" wrapText="1"/>
    </xf>
    <xf numFmtId="0" fontId="27" fillId="0" borderId="9" xfId="0" applyFont="1" applyBorder="1" applyAlignment="1">
      <alignment wrapText="1"/>
    </xf>
    <xf numFmtId="0" fontId="13" fillId="0" borderId="0" xfId="0" applyFont="1" applyAlignment="1">
      <alignment horizontal="center" vertical="center" wrapText="1"/>
    </xf>
    <xf numFmtId="0" fontId="13" fillId="8" borderId="13" xfId="0" applyFont="1" applyFill="1" applyBorder="1" applyAlignment="1">
      <alignment horizontal="center" wrapText="1"/>
    </xf>
    <xf numFmtId="0" fontId="13" fillId="0" borderId="0" xfId="0" applyFont="1" applyAlignment="1">
      <alignment horizontal="center" wrapText="1"/>
    </xf>
    <xf numFmtId="0" fontId="27" fillId="0" borderId="2" xfId="0" applyFont="1" applyBorder="1" applyAlignment="1">
      <alignment vertical="center" wrapText="1"/>
    </xf>
    <xf numFmtId="0" fontId="27" fillId="0" borderId="2" xfId="0" applyFont="1" applyBorder="1" applyAlignment="1">
      <alignment horizontal="right" vertical="center" wrapText="1"/>
    </xf>
    <xf numFmtId="0" fontId="27" fillId="0" borderId="2" xfId="0" applyFont="1" applyBorder="1" applyAlignment="1">
      <alignment wrapText="1"/>
    </xf>
    <xf numFmtId="14" fontId="27" fillId="0" borderId="2" xfId="0" applyNumberFormat="1" applyFont="1" applyBorder="1" applyAlignment="1">
      <alignment wrapText="1"/>
    </xf>
    <xf numFmtId="164" fontId="27" fillId="0" borderId="2" xfId="0" applyNumberFormat="1" applyFont="1" applyBorder="1" applyAlignment="1">
      <alignment horizontal="right" vertical="center" wrapText="1"/>
    </xf>
    <xf numFmtId="3" fontId="27" fillId="0" borderId="2" xfId="0" applyNumberFormat="1" applyFont="1" applyBorder="1" applyAlignment="1">
      <alignment horizontal="right" wrapText="1"/>
    </xf>
    <xf numFmtId="166" fontId="27" fillId="0" borderId="2" xfId="0" applyNumberFormat="1" applyFont="1" applyBorder="1" applyAlignment="1">
      <alignment horizontal="right" wrapText="1"/>
    </xf>
    <xf numFmtId="3" fontId="27" fillId="0" borderId="2" xfId="0" applyNumberFormat="1" applyFont="1" applyBorder="1" applyAlignment="1">
      <alignment wrapText="1"/>
    </xf>
    <xf numFmtId="3" fontId="27" fillId="0" borderId="2" xfId="0" applyNumberFormat="1" applyFont="1" applyBorder="1" applyAlignment="1">
      <alignment vertical="center" wrapText="1"/>
    </xf>
    <xf numFmtId="166" fontId="27" fillId="0" borderId="2" xfId="0" applyNumberFormat="1" applyFont="1" applyBorder="1" applyAlignment="1">
      <alignment vertical="center" wrapText="1"/>
    </xf>
    <xf numFmtId="166" fontId="28" fillId="0" borderId="2" xfId="0" applyNumberFormat="1" applyFont="1" applyBorder="1" applyAlignment="1">
      <alignment wrapText="1"/>
    </xf>
    <xf numFmtId="3" fontId="28" fillId="0" borderId="2" xfId="0" applyNumberFormat="1" applyFont="1" applyBorder="1" applyAlignment="1">
      <alignment horizontal="right" wrapText="1"/>
    </xf>
    <xf numFmtId="166" fontId="27" fillId="0" borderId="2" xfId="0" applyNumberFormat="1" applyFont="1" applyBorder="1" applyAlignment="1">
      <alignment wrapText="1"/>
    </xf>
    <xf numFmtId="0" fontId="27" fillId="0" borderId="0" xfId="0" applyFont="1" applyAlignment="1">
      <alignment wrapText="1"/>
    </xf>
    <xf numFmtId="164" fontId="27" fillId="0" borderId="2" xfId="0" applyNumberFormat="1" applyFont="1" applyBorder="1" applyAlignment="1">
      <alignment vertical="center" wrapText="1"/>
    </xf>
    <xf numFmtId="3" fontId="27" fillId="0" borderId="2" xfId="0" applyNumberFormat="1" applyFont="1" applyBorder="1" applyAlignment="1">
      <alignment horizontal="right" vertical="center" wrapText="1"/>
    </xf>
    <xf numFmtId="3" fontId="28" fillId="0" borderId="9" xfId="0" applyNumberFormat="1" applyFont="1" applyBorder="1" applyAlignment="1">
      <alignment wrapText="1"/>
    </xf>
    <xf numFmtId="3" fontId="27" fillId="0" borderId="9" xfId="0" applyNumberFormat="1" applyFont="1" applyBorder="1" applyAlignment="1">
      <alignment wrapText="1"/>
    </xf>
    <xf numFmtId="3" fontId="28" fillId="0" borderId="9" xfId="0" applyNumberFormat="1" applyFont="1" applyBorder="1" applyAlignment="1">
      <alignment vertical="center" wrapText="1"/>
    </xf>
    <xf numFmtId="0" fontId="27" fillId="0" borderId="9" xfId="0" applyFont="1" applyBorder="1" applyAlignment="1">
      <alignment vertical="center" wrapText="1"/>
    </xf>
    <xf numFmtId="0" fontId="27" fillId="0" borderId="14" xfId="0" applyFont="1" applyBorder="1" applyAlignment="1">
      <alignment vertical="center" wrapText="1"/>
    </xf>
    <xf numFmtId="14" fontId="27" fillId="0" borderId="2" xfId="0" applyNumberFormat="1" applyFont="1" applyBorder="1" applyAlignment="1">
      <alignment vertical="center" wrapText="1"/>
    </xf>
    <xf numFmtId="167" fontId="27" fillId="0" borderId="2" xfId="0" applyNumberFormat="1" applyFont="1" applyBorder="1" applyAlignment="1">
      <alignment vertical="center" wrapText="1"/>
    </xf>
    <xf numFmtId="165" fontId="27" fillId="0" borderId="2" xfId="0" applyNumberFormat="1" applyFont="1" applyBorder="1" applyAlignment="1">
      <alignment vertical="center" wrapText="1"/>
    </xf>
    <xf numFmtId="164" fontId="27" fillId="0" borderId="2" xfId="0" applyNumberFormat="1" applyFont="1" applyBorder="1" applyAlignment="1">
      <alignment wrapText="1"/>
    </xf>
    <xf numFmtId="0" fontId="28" fillId="0" borderId="9" xfId="0" applyFont="1" applyBorder="1" applyAlignment="1">
      <alignment vertical="center" wrapText="1"/>
    </xf>
    <xf numFmtId="3" fontId="27" fillId="0" borderId="1" xfId="0" applyNumberFormat="1" applyFont="1" applyBorder="1" applyAlignment="1">
      <alignment horizontal="right" wrapText="1"/>
    </xf>
    <xf numFmtId="3" fontId="27" fillId="0" borderId="1" xfId="0" applyNumberFormat="1" applyFont="1" applyBorder="1" applyAlignment="1">
      <alignment wrapText="1"/>
    </xf>
    <xf numFmtId="3" fontId="28" fillId="0" borderId="2" xfId="0" applyNumberFormat="1" applyFont="1" applyBorder="1" applyAlignment="1">
      <alignment horizontal="right" vertical="center" wrapText="1"/>
    </xf>
    <xf numFmtId="168" fontId="27" fillId="0" borderId="9" xfId="0" applyNumberFormat="1" applyFont="1" applyBorder="1" applyAlignment="1">
      <alignment wrapText="1"/>
    </xf>
    <xf numFmtId="3" fontId="27" fillId="0" borderId="0" xfId="0" applyNumberFormat="1" applyFont="1" applyAlignment="1">
      <alignment horizontal="right" wrapText="1"/>
    </xf>
    <xf numFmtId="3" fontId="27" fillId="0" borderId="9" xfId="0" applyNumberFormat="1" applyFont="1" applyBorder="1" applyAlignment="1">
      <alignment horizontal="right" wrapText="1"/>
    </xf>
    <xf numFmtId="0" fontId="27" fillId="0" borderId="2" xfId="0" applyFont="1" applyBorder="1" applyAlignment="1">
      <alignment horizontal="right" wrapText="1"/>
    </xf>
    <xf numFmtId="3" fontId="27" fillId="0" borderId="9" xfId="0" applyNumberFormat="1" applyFont="1" applyBorder="1" applyAlignment="1">
      <alignment vertical="center" wrapText="1"/>
    </xf>
    <xf numFmtId="3" fontId="27" fillId="0" borderId="15" xfId="0" applyNumberFormat="1" applyFont="1" applyBorder="1" applyAlignment="1">
      <alignment horizontal="right" wrapText="1"/>
    </xf>
    <xf numFmtId="3" fontId="27" fillId="0" borderId="15" xfId="0" applyNumberFormat="1" applyFont="1" applyBorder="1" applyAlignment="1">
      <alignment wrapText="1"/>
    </xf>
    <xf numFmtId="3" fontId="27" fillId="0" borderId="16" xfId="0" applyNumberFormat="1" applyFont="1" applyBorder="1" applyAlignment="1">
      <alignment horizontal="right" wrapText="1"/>
    </xf>
    <xf numFmtId="3" fontId="27" fillId="0" borderId="16" xfId="0" applyNumberFormat="1" applyFont="1" applyBorder="1" applyAlignment="1">
      <alignment wrapText="1"/>
    </xf>
    <xf numFmtId="3" fontId="27" fillId="0" borderId="10" xfId="0" applyNumberFormat="1" applyFont="1" applyBorder="1" applyAlignment="1">
      <alignment horizontal="right" wrapText="1"/>
    </xf>
    <xf numFmtId="166" fontId="27" fillId="0" borderId="0" xfId="0" applyNumberFormat="1" applyFont="1" applyAlignment="1">
      <alignment wrapText="1"/>
    </xf>
    <xf numFmtId="164" fontId="27" fillId="0" borderId="2" xfId="0" applyNumberFormat="1" applyFont="1" applyBorder="1" applyAlignment="1">
      <alignment horizontal="right" wrapText="1"/>
    </xf>
    <xf numFmtId="3" fontId="27" fillId="0" borderId="0" xfId="0" applyNumberFormat="1" applyFont="1" applyAlignment="1">
      <alignment wrapText="1"/>
    </xf>
    <xf numFmtId="0" fontId="27" fillId="0" borderId="14" xfId="0" applyFont="1" applyBorder="1" applyAlignment="1">
      <alignment wrapText="1"/>
    </xf>
    <xf numFmtId="0" fontId="27" fillId="0" borderId="2" xfId="0" quotePrefix="1" applyFont="1" applyBorder="1" applyAlignment="1">
      <alignment wrapText="1"/>
    </xf>
    <xf numFmtId="166" fontId="27" fillId="0" borderId="0" xfId="0" applyNumberFormat="1" applyFont="1" applyAlignment="1">
      <alignment horizontal="right" wrapText="1"/>
    </xf>
    <xf numFmtId="0" fontId="27" fillId="0" borderId="15" xfId="0" applyFont="1" applyBorder="1" applyAlignment="1">
      <alignment wrapText="1"/>
    </xf>
    <xf numFmtId="0" fontId="28" fillId="0" borderId="2" xfId="0" applyFont="1" applyBorder="1" applyAlignment="1">
      <alignment vertical="center" wrapText="1"/>
    </xf>
    <xf numFmtId="0" fontId="27" fillId="0" borderId="10" xfId="0" applyFont="1" applyBorder="1" applyAlignment="1">
      <alignment horizontal="right" wrapText="1"/>
    </xf>
    <xf numFmtId="166" fontId="27" fillId="0" borderId="1" xfId="0" applyNumberFormat="1" applyFont="1" applyBorder="1" applyAlignment="1">
      <alignment horizontal="right" wrapText="1"/>
    </xf>
    <xf numFmtId="166" fontId="27" fillId="0" borderId="10" xfId="0" applyNumberFormat="1" applyFont="1" applyBorder="1" applyAlignment="1">
      <alignment wrapText="1"/>
    </xf>
    <xf numFmtId="166" fontId="27" fillId="0" borderId="1" xfId="0" applyNumberFormat="1" applyFont="1" applyBorder="1" applyAlignment="1">
      <alignment wrapText="1"/>
    </xf>
    <xf numFmtId="166" fontId="27" fillId="0" borderId="10" xfId="0" applyNumberFormat="1" applyFont="1" applyBorder="1" applyAlignment="1">
      <alignment horizontal="right" wrapText="1"/>
    </xf>
    <xf numFmtId="0" fontId="28" fillId="0" borderId="9" xfId="0" applyFont="1" applyBorder="1" applyAlignment="1">
      <alignment wrapText="1"/>
    </xf>
    <xf numFmtId="0" fontId="27" fillId="0" borderId="1" xfId="0" applyFont="1" applyBorder="1" applyAlignment="1">
      <alignment horizontal="right" wrapText="1"/>
    </xf>
    <xf numFmtId="3" fontId="27" fillId="0" borderId="17" xfId="0" applyNumberFormat="1" applyFont="1" applyBorder="1" applyAlignment="1">
      <alignment wrapText="1"/>
    </xf>
    <xf numFmtId="166" fontId="27" fillId="0" borderId="17" xfId="0" applyNumberFormat="1" applyFont="1" applyBorder="1" applyAlignment="1">
      <alignment wrapText="1"/>
    </xf>
    <xf numFmtId="0" fontId="27" fillId="0" borderId="13" xfId="0" applyFont="1" applyBorder="1" applyAlignment="1">
      <alignment wrapText="1"/>
    </xf>
    <xf numFmtId="3" fontId="27" fillId="0" borderId="18" xfId="0" applyNumberFormat="1" applyFont="1" applyBorder="1" applyAlignment="1">
      <alignment wrapText="1"/>
    </xf>
    <xf numFmtId="3" fontId="27" fillId="0" borderId="18" xfId="0" applyNumberFormat="1" applyFont="1" applyBorder="1" applyAlignment="1">
      <alignment horizontal="right" wrapText="1"/>
    </xf>
    <xf numFmtId="166" fontId="27" fillId="0" borderId="9" xfId="0" applyNumberFormat="1" applyFont="1" applyBorder="1" applyAlignment="1">
      <alignment horizontal="right" wrapText="1"/>
    </xf>
    <xf numFmtId="3" fontId="27" fillId="0" borderId="10" xfId="0" applyNumberFormat="1" applyFont="1" applyBorder="1" applyAlignment="1">
      <alignment wrapText="1"/>
    </xf>
    <xf numFmtId="166" fontId="27" fillId="0" borderId="5" xfId="0" applyNumberFormat="1" applyFont="1" applyBorder="1" applyAlignment="1">
      <alignment horizontal="right" wrapText="1"/>
    </xf>
    <xf numFmtId="166" fontId="27" fillId="0" borderId="9" xfId="0" applyNumberFormat="1" applyFont="1" applyBorder="1" applyAlignment="1">
      <alignment wrapText="1"/>
    </xf>
    <xf numFmtId="164" fontId="27" fillId="0" borderId="9" xfId="0" applyNumberFormat="1" applyFont="1" applyBorder="1" applyAlignment="1">
      <alignment wrapText="1"/>
    </xf>
    <xf numFmtId="164" fontId="27" fillId="0" borderId="9" xfId="0" applyNumberFormat="1" applyFont="1" applyBorder="1" applyAlignment="1">
      <alignment horizontal="right" wrapText="1"/>
    </xf>
    <xf numFmtId="164" fontId="27" fillId="0" borderId="1" xfId="0" applyNumberFormat="1" applyFont="1" applyBorder="1" applyAlignment="1">
      <alignment wrapText="1"/>
    </xf>
    <xf numFmtId="164" fontId="27" fillId="0" borderId="10" xfId="0" applyNumberFormat="1" applyFont="1" applyBorder="1" applyAlignment="1">
      <alignment wrapText="1"/>
    </xf>
    <xf numFmtId="3" fontId="27" fillId="0" borderId="14" xfId="0" applyNumberFormat="1" applyFont="1" applyBorder="1" applyAlignment="1">
      <alignment wrapText="1"/>
    </xf>
    <xf numFmtId="0" fontId="7" fillId="3" borderId="3"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7" fillId="3" borderId="5" xfId="0" applyFont="1" applyFill="1" applyBorder="1" applyAlignment="1">
      <alignment horizontal="center" vertical="center" wrapText="1"/>
    </xf>
    <xf numFmtId="3" fontId="9" fillId="0" borderId="16" xfId="0" applyNumberFormat="1" applyFont="1" applyBorder="1" applyAlignment="1">
      <alignment horizontal="right" vertical="center" wrapText="1"/>
    </xf>
    <xf numFmtId="165" fontId="9" fillId="0" borderId="16" xfId="0" applyNumberFormat="1" applyFont="1" applyBorder="1" applyAlignment="1">
      <alignment horizontal="right" vertical="center" wrapText="1"/>
    </xf>
    <xf numFmtId="0" fontId="6" fillId="3" borderId="20" xfId="0" applyFont="1" applyFill="1" applyBorder="1" applyAlignment="1">
      <alignment horizontal="center" vertical="center" wrapText="1"/>
    </xf>
    <xf numFmtId="0" fontId="6" fillId="5" borderId="20" xfId="0" applyFont="1" applyFill="1" applyBorder="1" applyAlignment="1">
      <alignment horizontal="center" vertical="center" wrapText="1"/>
    </xf>
    <xf numFmtId="0" fontId="27" fillId="0" borderId="2" xfId="0" applyFont="1" applyBorder="1" applyAlignment="1">
      <alignment horizontal="center" wrapText="1"/>
    </xf>
    <xf numFmtId="3" fontId="27" fillId="0" borderId="2" xfId="0" applyNumberFormat="1" applyFont="1" applyBorder="1" applyAlignment="1">
      <alignment horizontal="center" wrapText="1"/>
    </xf>
    <xf numFmtId="0" fontId="0" fillId="0" borderId="0" xfId="0" applyAlignment="1">
      <alignment wrapText="1"/>
    </xf>
    <xf numFmtId="0" fontId="0" fillId="0" borderId="0" xfId="0" applyAlignment="1">
      <alignment horizontal="center"/>
    </xf>
    <xf numFmtId="0" fontId="1" fillId="0" borderId="0" xfId="0" applyFont="1"/>
    <xf numFmtId="0" fontId="6" fillId="0" borderId="20" xfId="0" applyFont="1" applyBorder="1" applyAlignment="1">
      <alignment horizontal="center" vertical="center" wrapText="1"/>
    </xf>
    <xf numFmtId="0" fontId="7" fillId="0" borderId="20" xfId="0" applyFont="1" applyBorder="1" applyAlignment="1">
      <alignment horizontal="center" vertical="center" wrapText="1"/>
    </xf>
    <xf numFmtId="0" fontId="6" fillId="0" borderId="20" xfId="0" applyFont="1" applyBorder="1" applyAlignment="1">
      <alignment horizontal="center"/>
    </xf>
    <xf numFmtId="0" fontId="26" fillId="0" borderId="20" xfId="0" applyFont="1" applyBorder="1" applyAlignment="1">
      <alignment wrapText="1"/>
    </xf>
    <xf numFmtId="0" fontId="6" fillId="0" borderId="20" xfId="0" applyFont="1" applyBorder="1" applyAlignment="1">
      <alignment vertical="center"/>
    </xf>
    <xf numFmtId="0" fontId="6" fillId="0" borderId="20" xfId="0" applyFont="1" applyBorder="1" applyAlignment="1">
      <alignment horizontal="center" vertical="center"/>
    </xf>
    <xf numFmtId="0" fontId="26" fillId="0" borderId="20" xfId="0" applyFont="1" applyBorder="1" applyAlignment="1">
      <alignment vertical="center" wrapText="1"/>
    </xf>
    <xf numFmtId="3" fontId="26" fillId="0" borderId="20" xfId="0" applyNumberFormat="1" applyFont="1" applyBorder="1" applyAlignment="1">
      <alignment horizontal="right" vertical="center" wrapText="1"/>
    </xf>
    <xf numFmtId="166" fontId="26" fillId="0" borderId="20" xfId="0" applyNumberFormat="1" applyFont="1" applyBorder="1" applyAlignment="1">
      <alignment vertical="center" wrapText="1"/>
    </xf>
    <xf numFmtId="3" fontId="26" fillId="0" borderId="20" xfId="0" applyNumberFormat="1" applyFont="1" applyBorder="1" applyAlignment="1">
      <alignment vertical="center" wrapText="1"/>
    </xf>
    <xf numFmtId="166" fontId="26" fillId="0" borderId="20" xfId="0" applyNumberFormat="1" applyFont="1" applyBorder="1" applyAlignment="1">
      <alignment horizontal="right" vertical="center" wrapText="1"/>
    </xf>
    <xf numFmtId="0" fontId="26" fillId="0" borderId="20" xfId="0" applyFont="1" applyBorder="1" applyAlignment="1">
      <alignment horizontal="right" vertical="center" wrapText="1"/>
    </xf>
    <xf numFmtId="14" fontId="26" fillId="0" borderId="20" xfId="0" applyNumberFormat="1" applyFont="1" applyBorder="1" applyAlignment="1">
      <alignment vertical="center" wrapText="1"/>
    </xf>
    <xf numFmtId="0" fontId="13" fillId="0" borderId="13" xfId="0" applyFont="1" applyBorder="1" applyAlignment="1">
      <alignment vertical="center"/>
    </xf>
    <xf numFmtId="0" fontId="13" fillId="0" borderId="13" xfId="0" applyFont="1" applyBorder="1"/>
    <xf numFmtId="0" fontId="6" fillId="0" borderId="13" xfId="0" applyFont="1" applyBorder="1" applyAlignment="1">
      <alignment horizontal="center"/>
    </xf>
    <xf numFmtId="0" fontId="13" fillId="0" borderId="13" xfId="0" applyFont="1" applyBorder="1" applyAlignment="1">
      <alignment vertical="center" wrapText="1"/>
    </xf>
    <xf numFmtId="0" fontId="0" fillId="0" borderId="0" xfId="0" applyAlignment="1">
      <alignment vertical="center"/>
    </xf>
    <xf numFmtId="0" fontId="27" fillId="0" borderId="2" xfId="0" quotePrefix="1" applyFont="1" applyBorder="1" applyAlignment="1">
      <alignment vertical="center" wrapText="1"/>
    </xf>
    <xf numFmtId="0" fontId="27" fillId="0" borderId="15" xfId="0" applyFont="1" applyBorder="1" applyAlignment="1">
      <alignment vertical="center" wrapText="1"/>
    </xf>
    <xf numFmtId="3" fontId="27" fillId="0" borderId="15" xfId="0" applyNumberFormat="1" applyFont="1" applyBorder="1" applyAlignment="1">
      <alignment horizontal="right" vertical="center" wrapText="1"/>
    </xf>
    <xf numFmtId="3" fontId="27" fillId="0" borderId="15" xfId="0" applyNumberFormat="1" applyFont="1" applyBorder="1" applyAlignment="1">
      <alignment vertical="center" wrapText="1"/>
    </xf>
    <xf numFmtId="3" fontId="27" fillId="0" borderId="1" xfId="0" applyNumberFormat="1" applyFont="1" applyBorder="1" applyAlignment="1">
      <alignment horizontal="right" vertical="center" wrapText="1"/>
    </xf>
    <xf numFmtId="3" fontId="27" fillId="0" borderId="1" xfId="0" applyNumberFormat="1" applyFont="1" applyBorder="1" applyAlignment="1">
      <alignment vertical="center" wrapText="1"/>
    </xf>
    <xf numFmtId="166" fontId="27" fillId="0" borderId="1" xfId="0" applyNumberFormat="1" applyFont="1" applyBorder="1" applyAlignment="1">
      <alignment horizontal="right" vertical="center" wrapText="1"/>
    </xf>
    <xf numFmtId="3" fontId="27" fillId="0" borderId="10" xfId="0" applyNumberFormat="1" applyFont="1" applyBorder="1" applyAlignment="1">
      <alignment vertical="center" wrapText="1"/>
    </xf>
    <xf numFmtId="0" fontId="27" fillId="0" borderId="2" xfId="0" applyFont="1" applyBorder="1" applyAlignment="1">
      <alignment horizontal="center" vertical="center" wrapText="1"/>
    </xf>
    <xf numFmtId="3" fontId="27" fillId="0" borderId="3" xfId="0" applyNumberFormat="1" applyFont="1" applyBorder="1" applyAlignment="1">
      <alignment horizontal="right" vertical="center" wrapText="1"/>
    </xf>
    <xf numFmtId="3" fontId="27" fillId="0" borderId="5" xfId="0" applyNumberFormat="1" applyFont="1" applyBorder="1" applyAlignment="1">
      <alignment vertical="center" wrapText="1"/>
    </xf>
    <xf numFmtId="3" fontId="27" fillId="0" borderId="20" xfId="0" applyNumberFormat="1" applyFont="1" applyBorder="1" applyAlignment="1">
      <alignment vertical="center" wrapText="1"/>
    </xf>
    <xf numFmtId="3" fontId="28" fillId="0" borderId="2" xfId="0" applyNumberFormat="1" applyFont="1" applyBorder="1" applyAlignment="1">
      <alignment horizontal="center" vertical="center" wrapText="1"/>
    </xf>
    <xf numFmtId="0" fontId="0" fillId="0" borderId="0" xfId="0" applyAlignment="1">
      <alignment horizontal="center" vertical="center"/>
    </xf>
    <xf numFmtId="0" fontId="13" fillId="2" borderId="0" xfId="0" applyFont="1" applyFill="1" applyAlignment="1">
      <alignment horizontal="center" wrapText="1"/>
    </xf>
    <xf numFmtId="0" fontId="13" fillId="2" borderId="0" xfId="0" applyFont="1" applyFill="1" applyAlignment="1">
      <alignment horizontal="center" vertical="center" wrapText="1"/>
    </xf>
    <xf numFmtId="3" fontId="9" fillId="0" borderId="16" xfId="0" applyNumberFormat="1" applyFont="1" applyBorder="1" applyAlignment="1">
      <alignment horizontal="center" vertical="center" wrapText="1"/>
    </xf>
    <xf numFmtId="0" fontId="27" fillId="0" borderId="20" xfId="0" applyFont="1" applyBorder="1" applyAlignment="1">
      <alignment vertical="center" wrapText="1"/>
    </xf>
    <xf numFmtId="0" fontId="0" fillId="0" borderId="0" xfId="0" applyAlignment="1">
      <alignment vertical="center" wrapText="1"/>
    </xf>
    <xf numFmtId="0" fontId="27" fillId="0" borderId="20" xfId="0" applyFont="1" applyBorder="1" applyAlignment="1">
      <alignment horizontal="right" vertical="center" wrapText="1"/>
    </xf>
    <xf numFmtId="14" fontId="27" fillId="0" borderId="20" xfId="0" applyNumberFormat="1" applyFont="1" applyBorder="1" applyAlignment="1">
      <alignment vertical="center" wrapText="1"/>
    </xf>
    <xf numFmtId="3" fontId="27" fillId="0" borderId="20" xfId="0" applyNumberFormat="1" applyFont="1" applyBorder="1" applyAlignment="1">
      <alignment horizontal="right" vertical="center" wrapText="1"/>
    </xf>
    <xf numFmtId="0" fontId="27" fillId="0" borderId="20" xfId="0" applyFont="1" applyBorder="1" applyAlignment="1">
      <alignment horizontal="center" vertical="center" wrapText="1"/>
    </xf>
    <xf numFmtId="166" fontId="27" fillId="0" borderId="20" xfId="0" applyNumberFormat="1" applyFont="1" applyBorder="1" applyAlignment="1">
      <alignment horizontal="right" vertical="center" wrapText="1"/>
    </xf>
    <xf numFmtId="0" fontId="28" fillId="0" borderId="20" xfId="0" applyFont="1" applyBorder="1" applyAlignment="1">
      <alignment vertical="center" wrapText="1"/>
    </xf>
    <xf numFmtId="0" fontId="27" fillId="0" borderId="20" xfId="0" applyFont="1" applyBorder="1" applyAlignment="1">
      <alignment wrapText="1"/>
    </xf>
    <xf numFmtId="0" fontId="27" fillId="0" borderId="5" xfId="0" applyFont="1" applyBorder="1" applyAlignment="1">
      <alignment wrapText="1"/>
    </xf>
    <xf numFmtId="0" fontId="6" fillId="0" borderId="1" xfId="0" applyFont="1" applyBorder="1" applyAlignment="1">
      <alignment horizontal="center" vertical="center" wrapText="1"/>
    </xf>
    <xf numFmtId="0" fontId="27" fillId="0" borderId="9" xfId="0" applyFont="1" applyBorder="1" applyAlignment="1">
      <alignment wrapText="1"/>
    </xf>
    <xf numFmtId="0" fontId="7" fillId="0" borderId="1" xfId="0" applyFont="1" applyBorder="1" applyAlignment="1">
      <alignment horizontal="center" vertical="center" wrapText="1"/>
    </xf>
    <xf numFmtId="0" fontId="9" fillId="7" borderId="1" xfId="0" applyFont="1" applyFill="1" applyBorder="1" applyAlignment="1">
      <alignment horizontal="center" vertical="center" wrapText="1"/>
    </xf>
    <xf numFmtId="0" fontId="27" fillId="0" borderId="9" xfId="0" applyFont="1" applyBorder="1" applyAlignment="1">
      <alignment horizontal="center" wrapText="1"/>
    </xf>
    <xf numFmtId="0" fontId="9" fillId="0" borderId="1" xfId="0" applyFont="1" applyBorder="1" applyAlignment="1">
      <alignment horizontal="center" vertical="center" wrapText="1"/>
    </xf>
    <xf numFmtId="0" fontId="6" fillId="3" borderId="3" xfId="0" applyFont="1" applyFill="1" applyBorder="1" applyAlignment="1">
      <alignment horizontal="center" wrapText="1"/>
    </xf>
    <xf numFmtId="0" fontId="27" fillId="0" borderId="4" xfId="0" applyFont="1" applyBorder="1" applyAlignment="1">
      <alignment wrapText="1"/>
    </xf>
    <xf numFmtId="0" fontId="27" fillId="0" borderId="20" xfId="0" applyFont="1" applyBorder="1" applyAlignment="1">
      <alignment wrapText="1"/>
    </xf>
    <xf numFmtId="0" fontId="27" fillId="0" borderId="5" xfId="0" applyFont="1" applyBorder="1" applyAlignment="1">
      <alignment wrapText="1"/>
    </xf>
    <xf numFmtId="0" fontId="6" fillId="4" borderId="3" xfId="0" applyFont="1" applyFill="1" applyBorder="1" applyAlignment="1">
      <alignment horizontal="center" wrapText="1"/>
    </xf>
    <xf numFmtId="0" fontId="6" fillId="6" borderId="11" xfId="0" applyFont="1" applyFill="1" applyBorder="1" applyAlignment="1">
      <alignment horizontal="center" wrapText="1"/>
    </xf>
    <xf numFmtId="0" fontId="27" fillId="0" borderId="12" xfId="0" applyFont="1" applyBorder="1" applyAlignment="1">
      <alignment wrapText="1"/>
    </xf>
    <xf numFmtId="0" fontId="7" fillId="5" borderId="6" xfId="0" applyFont="1" applyFill="1" applyBorder="1" applyAlignment="1">
      <alignment horizontal="center" vertical="center" wrapText="1"/>
    </xf>
    <xf numFmtId="0" fontId="27" fillId="0" borderId="7" xfId="0" applyFont="1" applyBorder="1" applyAlignment="1">
      <alignment wrapText="1"/>
    </xf>
    <xf numFmtId="0" fontId="6" fillId="0" borderId="0" xfId="0" applyFont="1" applyAlignment="1">
      <alignment horizontal="center" vertical="center" wrapText="1"/>
    </xf>
    <xf numFmtId="0" fontId="9" fillId="5" borderId="17" xfId="0" applyFont="1" applyFill="1" applyBorder="1" applyAlignment="1">
      <alignment horizontal="center" vertical="center" wrapText="1"/>
    </xf>
    <xf numFmtId="0" fontId="27" fillId="0" borderId="21" xfId="0" applyFont="1" applyBorder="1" applyAlignment="1">
      <alignment wrapText="1"/>
    </xf>
    <xf numFmtId="0" fontId="27" fillId="0" borderId="10" xfId="0" applyFont="1" applyBorder="1" applyAlignment="1">
      <alignment wrapText="1"/>
    </xf>
    <xf numFmtId="0" fontId="7" fillId="0" borderId="3" xfId="0" applyFont="1" applyBorder="1" applyAlignment="1">
      <alignment horizontal="left" vertical="center" wrapText="1"/>
    </xf>
    <xf numFmtId="0" fontId="6" fillId="0" borderId="3" xfId="0" applyFont="1" applyBorder="1" applyAlignment="1">
      <alignment horizontal="center" vertical="center" wrapText="1"/>
    </xf>
    <xf numFmtId="0" fontId="4" fillId="0" borderId="1" xfId="0" applyFont="1" applyBorder="1" applyAlignment="1">
      <alignment horizontal="center" vertical="center" wrapText="1"/>
    </xf>
    <xf numFmtId="0" fontId="11" fillId="0" borderId="9" xfId="0" applyFont="1" applyBorder="1"/>
    <xf numFmtId="0" fontId="9" fillId="5" borderId="1" xfId="0" applyFont="1" applyFill="1" applyBorder="1" applyAlignment="1">
      <alignment horizontal="center" vertical="center" wrapText="1"/>
    </xf>
    <xf numFmtId="0" fontId="6" fillId="3" borderId="3" xfId="0" applyFont="1" applyFill="1" applyBorder="1" applyAlignment="1">
      <alignment horizontal="center"/>
    </xf>
    <xf numFmtId="0" fontId="11" fillId="0" borderId="4" xfId="0" applyFont="1" applyBorder="1"/>
    <xf numFmtId="0" fontId="11" fillId="0" borderId="5" xfId="0" applyFont="1" applyBorder="1"/>
    <xf numFmtId="0" fontId="10" fillId="4" borderId="3" xfId="0" applyFont="1" applyFill="1" applyBorder="1" applyAlignment="1">
      <alignment horizontal="center"/>
    </xf>
    <xf numFmtId="0" fontId="12" fillId="5" borderId="6" xfId="0" applyFont="1" applyFill="1" applyBorder="1" applyAlignment="1">
      <alignment horizontal="center" vertical="center" wrapText="1"/>
    </xf>
    <xf numFmtId="0" fontId="11" fillId="0" borderId="7" xfId="0" applyFont="1" applyBorder="1"/>
    <xf numFmtId="0" fontId="11" fillId="0" borderId="8" xfId="0" applyFont="1" applyBorder="1"/>
    <xf numFmtId="0" fontId="13" fillId="0" borderId="1" xfId="0" applyFont="1" applyBorder="1" applyAlignment="1">
      <alignment horizontal="center" vertical="center" wrapText="1"/>
    </xf>
    <xf numFmtId="0" fontId="13" fillId="0" borderId="1" xfId="0" applyFont="1" applyBorder="1" applyAlignment="1">
      <alignment horizontal="left" vertical="center" wrapText="1"/>
    </xf>
    <xf numFmtId="0" fontId="10" fillId="0" borderId="3" xfId="0" applyFont="1" applyBorder="1" applyAlignment="1">
      <alignment horizontal="center" vertical="center"/>
    </xf>
    <xf numFmtId="0" fontId="12" fillId="0" borderId="3" xfId="0" applyFont="1" applyBorder="1" applyAlignment="1">
      <alignment horizontal="left" vertical="center"/>
    </xf>
    <xf numFmtId="0" fontId="14" fillId="0" borderId="1" xfId="0" applyFont="1" applyBorder="1" applyAlignment="1">
      <alignment horizontal="center" vertical="center" wrapText="1"/>
    </xf>
    <xf numFmtId="0" fontId="11" fillId="0" borderId="10" xfId="0" applyFont="1" applyBorder="1"/>
    <xf numFmtId="0" fontId="12" fillId="0" borderId="1" xfId="0" applyFont="1" applyBorder="1" applyAlignment="1">
      <alignment horizontal="center" vertical="center" wrapText="1"/>
    </xf>
    <xf numFmtId="0" fontId="12" fillId="0" borderId="1" xfId="0" applyFont="1" applyBorder="1" applyAlignment="1">
      <alignment vertical="center" wrapText="1"/>
    </xf>
    <xf numFmtId="0" fontId="15" fillId="0" borderId="1" xfId="0" applyFont="1" applyBorder="1" applyAlignment="1">
      <alignment horizontal="center" vertical="center" wrapText="1"/>
    </xf>
    <xf numFmtId="0" fontId="6" fillId="4" borderId="3" xfId="0" applyFont="1" applyFill="1" applyBorder="1" applyAlignment="1">
      <alignment horizontal="center"/>
    </xf>
    <xf numFmtId="0" fontId="13" fillId="0" borderId="1" xfId="0" applyFont="1" applyBorder="1" applyAlignment="1">
      <alignment horizontal="center" wrapText="1"/>
    </xf>
    <xf numFmtId="0" fontId="19" fillId="0" borderId="1" xfId="0" applyFont="1" applyBorder="1" applyAlignment="1">
      <alignment horizontal="left" vertical="center" wrapText="1"/>
    </xf>
    <xf numFmtId="0" fontId="16"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7" fillId="0" borderId="3" xfId="0" applyFont="1" applyBorder="1" applyAlignment="1">
      <alignment wrapText="1"/>
    </xf>
    <xf numFmtId="0" fontId="27" fillId="0" borderId="5" xfId="0" applyFont="1" applyBorder="1" applyAlignment="1">
      <alignment horizontal="center" wrapText="1"/>
    </xf>
    <xf numFmtId="0" fontId="27" fillId="0" borderId="18" xfId="0" applyFont="1" applyBorder="1" applyAlignment="1">
      <alignment wrapText="1"/>
    </xf>
    <xf numFmtId="0" fontId="6" fillId="0" borderId="0" xfId="0" applyFont="1" applyAlignment="1">
      <alignment vertical="center" wrapText="1"/>
    </xf>
    <xf numFmtId="0" fontId="7" fillId="10" borderId="19" xfId="0" applyFont="1" applyFill="1" applyBorder="1" applyAlignment="1">
      <alignment horizontal="center" vertical="center" wrapText="1"/>
    </xf>
    <xf numFmtId="0" fontId="7" fillId="10" borderId="13" xfId="0" applyFont="1" applyFill="1" applyBorder="1" applyAlignment="1">
      <alignment horizontal="center" vertical="center" wrapText="1"/>
    </xf>
    <xf numFmtId="0" fontId="7" fillId="10" borderId="22" xfId="0" applyFont="1" applyFill="1" applyBorder="1" applyAlignment="1">
      <alignment horizontal="center" vertical="center" wrapText="1"/>
    </xf>
    <xf numFmtId="0" fontId="6" fillId="10" borderId="2" xfId="0" applyFont="1" applyFill="1" applyBorder="1" applyAlignment="1">
      <alignment horizontal="center" vertical="center" wrapText="1"/>
    </xf>
    <xf numFmtId="0" fontId="6" fillId="10" borderId="3" xfId="0" applyFont="1" applyFill="1" applyBorder="1" applyAlignment="1">
      <alignment horizontal="center" vertical="center" wrapText="1"/>
    </xf>
    <xf numFmtId="0" fontId="6" fillId="10" borderId="20" xfId="0" applyFont="1" applyFill="1" applyBorder="1" applyAlignment="1">
      <alignment horizontal="center" vertical="center" wrapText="1"/>
    </xf>
    <xf numFmtId="0" fontId="6" fillId="11" borderId="11" xfId="0" applyFont="1" applyFill="1" applyBorder="1" applyAlignment="1">
      <alignment horizontal="center" wrapText="1"/>
    </xf>
    <xf numFmtId="0" fontId="27" fillId="12" borderId="12" xfId="0" applyFont="1" applyFill="1" applyBorder="1" applyAlignment="1">
      <alignment wrapText="1"/>
    </xf>
    <xf numFmtId="0" fontId="27" fillId="12" borderId="20" xfId="0" applyFont="1" applyFill="1" applyBorder="1" applyAlignment="1">
      <alignment wrapText="1"/>
    </xf>
    <xf numFmtId="0" fontId="6" fillId="11" borderId="2" xfId="0" applyFont="1" applyFill="1" applyBorder="1" applyAlignment="1">
      <alignment horizontal="center" vertical="center" wrapText="1"/>
    </xf>
    <xf numFmtId="165" fontId="6" fillId="11" borderId="2" xfId="0" applyNumberFormat="1" applyFont="1" applyFill="1" applyBorder="1" applyAlignment="1">
      <alignment horizontal="center" vertical="center" wrapText="1"/>
    </xf>
    <xf numFmtId="164" fontId="6" fillId="11" borderId="3" xfId="0" applyNumberFormat="1" applyFont="1" applyFill="1" applyBorder="1" applyAlignment="1">
      <alignment horizontal="center" vertical="center" wrapText="1"/>
    </xf>
    <xf numFmtId="0" fontId="6" fillId="11" borderId="20" xfId="0" applyFont="1" applyFill="1" applyBorder="1" applyAlignment="1">
      <alignment horizontal="center" vertical="center" wrapText="1"/>
    </xf>
    <xf numFmtId="165" fontId="6" fillId="11" borderId="5"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898"/>
  <sheetViews>
    <sheetView zoomScale="90" zoomScaleNormal="90" workbookViewId="0">
      <pane xSplit="12" ySplit="12" topLeftCell="M13" activePane="bottomRight" state="frozen"/>
      <selection pane="topRight" activeCell="M1" sqref="M1"/>
      <selection pane="bottomLeft" activeCell="A14" sqref="A14"/>
      <selection pane="bottomRight" activeCell="I5" sqref="I5:I8"/>
    </sheetView>
  </sheetViews>
  <sheetFormatPr defaultColWidth="14.42578125" defaultRowHeight="15" customHeight="1" x14ac:dyDescent="0.25"/>
  <cols>
    <col min="1" max="1" width="8.85546875" hidden="1" customWidth="1"/>
    <col min="2" max="2" width="6.28515625" customWidth="1"/>
    <col min="3" max="3" width="21.7109375" customWidth="1"/>
    <col min="4" max="4" width="18.28515625" hidden="1" customWidth="1"/>
    <col min="5" max="5" width="16.140625" customWidth="1"/>
    <col min="6" max="7" width="17.42578125" customWidth="1"/>
    <col min="8" max="9" width="13.7109375" customWidth="1"/>
    <col min="10" max="10" width="12.85546875" customWidth="1"/>
    <col min="11" max="11" width="12.5703125" customWidth="1"/>
    <col min="12" max="12" width="33.140625" customWidth="1"/>
    <col min="13" max="13" width="7.140625" customWidth="1"/>
    <col min="14" max="14" width="36.140625" customWidth="1"/>
    <col min="15" max="15" width="21.42578125" customWidth="1"/>
    <col min="16" max="16" width="20.7109375" customWidth="1"/>
    <col min="17" max="20" width="23.42578125" customWidth="1"/>
    <col min="21" max="21" width="19.42578125" customWidth="1"/>
    <col min="22" max="23" width="23.42578125" customWidth="1"/>
    <col min="24" max="34" width="19.28515625" customWidth="1"/>
    <col min="35" max="35" width="23.42578125" customWidth="1"/>
    <col min="36" max="36" width="21.85546875" customWidth="1"/>
    <col min="37" max="38" width="23.42578125" customWidth="1"/>
    <col min="39" max="39" width="17.7109375" customWidth="1"/>
    <col min="40" max="40" width="21.7109375" customWidth="1"/>
    <col min="41" max="42" width="17.7109375" customWidth="1"/>
    <col min="43" max="43" width="24.85546875" style="221" customWidth="1"/>
    <col min="44" max="44" width="19.85546875" style="221" customWidth="1"/>
    <col min="46" max="62" width="8.7109375" customWidth="1"/>
  </cols>
  <sheetData>
    <row r="1" spans="1:62" s="122" customFormat="1" ht="14.25" customHeight="1" x14ac:dyDescent="0.25">
      <c r="B1" s="283" t="s">
        <v>4</v>
      </c>
      <c r="C1" s="283"/>
      <c r="D1" s="283"/>
      <c r="E1" s="283"/>
      <c r="F1" s="283"/>
      <c r="G1" s="283"/>
      <c r="H1" s="283"/>
      <c r="I1" s="283"/>
      <c r="J1" s="283"/>
      <c r="K1" s="283"/>
      <c r="T1" s="124"/>
      <c r="U1" s="124"/>
      <c r="V1" s="131"/>
      <c r="AB1" s="132"/>
      <c r="AE1" s="133"/>
      <c r="AH1" s="133"/>
      <c r="AN1" s="134"/>
      <c r="AO1" s="134"/>
      <c r="AP1" s="134"/>
      <c r="AQ1" s="142"/>
      <c r="AR1" s="255"/>
    </row>
    <row r="2" spans="1:62" s="122" customFormat="1" ht="14.25" customHeight="1" x14ac:dyDescent="0.25">
      <c r="C2" s="316" t="s">
        <v>13</v>
      </c>
      <c r="F2" s="135">
        <v>46309</v>
      </c>
      <c r="T2" s="124"/>
      <c r="U2" s="124"/>
      <c r="V2" s="131"/>
      <c r="AB2" s="132"/>
      <c r="AE2" s="133"/>
      <c r="AH2" s="133"/>
      <c r="AN2" s="134"/>
      <c r="AO2" s="134"/>
      <c r="AP2" s="134"/>
      <c r="AQ2" s="142"/>
      <c r="AR2" s="255"/>
    </row>
    <row r="3" spans="1:62" s="122" customFormat="1" ht="14.25" customHeight="1" x14ac:dyDescent="0.25">
      <c r="B3" s="130"/>
      <c r="F3" s="135"/>
      <c r="T3" s="124"/>
      <c r="U3" s="124"/>
      <c r="V3" s="131"/>
      <c r="AB3" s="132"/>
      <c r="AE3" s="133"/>
      <c r="AH3" s="133"/>
      <c r="AN3" s="134"/>
      <c r="AO3" s="134"/>
      <c r="AP3" s="134"/>
      <c r="AQ3" s="142"/>
      <c r="AR3" s="255"/>
    </row>
    <row r="4" spans="1:62" s="122" customFormat="1" ht="15.6" customHeight="1" x14ac:dyDescent="0.25">
      <c r="A4" s="124"/>
      <c r="B4" s="288" t="s">
        <v>16</v>
      </c>
      <c r="C4" s="275"/>
      <c r="D4" s="275"/>
      <c r="E4" s="277"/>
      <c r="F4" s="136" t="s">
        <v>15</v>
      </c>
      <c r="G4" s="136" t="s">
        <v>17</v>
      </c>
      <c r="H4" s="136" t="s">
        <v>18</v>
      </c>
      <c r="I4" s="136" t="s">
        <v>19</v>
      </c>
      <c r="J4" s="126"/>
      <c r="K4" s="126"/>
      <c r="L4" s="124"/>
      <c r="M4" s="124"/>
      <c r="N4" s="124"/>
      <c r="O4" s="124"/>
      <c r="P4" s="124"/>
      <c r="Q4" s="124"/>
      <c r="R4" s="124"/>
      <c r="S4" s="124"/>
      <c r="T4" s="124"/>
      <c r="U4" s="124"/>
      <c r="V4" s="131"/>
      <c r="W4" s="124"/>
      <c r="X4" s="124"/>
      <c r="Y4" s="124"/>
      <c r="Z4" s="124"/>
      <c r="AA4" s="124"/>
      <c r="AB4" s="137"/>
      <c r="AC4" s="124"/>
      <c r="AD4" s="124"/>
      <c r="AE4" s="138"/>
      <c r="AF4" s="124"/>
      <c r="AG4" s="124"/>
      <c r="AH4" s="138"/>
      <c r="AI4" s="124"/>
      <c r="AJ4" s="124"/>
      <c r="AK4" s="124"/>
      <c r="AL4" s="124"/>
      <c r="AM4" s="124"/>
      <c r="AN4" s="134"/>
      <c r="AO4" s="134"/>
      <c r="AP4" s="134"/>
      <c r="AQ4" s="140"/>
      <c r="AR4" s="256"/>
      <c r="AT4" s="124"/>
      <c r="AU4" s="124"/>
      <c r="AV4" s="124"/>
      <c r="AW4" s="124"/>
      <c r="AX4" s="124"/>
      <c r="AY4" s="124"/>
      <c r="AZ4" s="124"/>
      <c r="BA4" s="124"/>
      <c r="BB4" s="124"/>
      <c r="BC4" s="124"/>
      <c r="BD4" s="124"/>
      <c r="BE4" s="124"/>
      <c r="BF4" s="124"/>
      <c r="BG4" s="124"/>
      <c r="BH4" s="124"/>
      <c r="BI4" s="124"/>
      <c r="BJ4" s="124"/>
    </row>
    <row r="5" spans="1:62" s="122" customFormat="1" ht="15.6" customHeight="1" x14ac:dyDescent="0.25">
      <c r="B5" s="287" t="s">
        <v>20</v>
      </c>
      <c r="C5" s="275"/>
      <c r="D5" s="275"/>
      <c r="E5" s="277"/>
      <c r="F5" s="125">
        <f>O13</f>
        <v>841</v>
      </c>
      <c r="G5" s="125">
        <f>T13</f>
        <v>796</v>
      </c>
      <c r="H5" s="125">
        <f>AI13</f>
        <v>45</v>
      </c>
      <c r="I5" s="268" t="s">
        <v>4058</v>
      </c>
      <c r="J5" s="126"/>
      <c r="K5" s="126"/>
      <c r="T5" s="124"/>
      <c r="U5" s="124"/>
      <c r="V5" s="131"/>
      <c r="AB5" s="132"/>
      <c r="AE5" s="133"/>
      <c r="AH5" s="133"/>
      <c r="AN5" s="134"/>
      <c r="AO5" s="134"/>
      <c r="AP5" s="134"/>
      <c r="AQ5" s="142"/>
      <c r="AR5" s="255"/>
    </row>
    <row r="6" spans="1:62" s="122" customFormat="1" ht="15.6" customHeight="1" x14ac:dyDescent="0.25">
      <c r="B6" s="287" t="s">
        <v>23</v>
      </c>
      <c r="C6" s="275"/>
      <c r="D6" s="275"/>
      <c r="E6" s="277"/>
      <c r="F6" s="125">
        <f>P13</f>
        <v>242</v>
      </c>
      <c r="G6" s="125">
        <f>U13</f>
        <v>223</v>
      </c>
      <c r="H6" s="125">
        <f>AJ13</f>
        <v>21</v>
      </c>
      <c r="I6" s="286"/>
      <c r="J6" s="126"/>
      <c r="K6" s="126"/>
      <c r="T6" s="124"/>
      <c r="U6" s="124"/>
      <c r="V6" s="131"/>
      <c r="AB6" s="132"/>
      <c r="AE6" s="133"/>
      <c r="AH6" s="133"/>
      <c r="AN6" s="134"/>
      <c r="AO6" s="134"/>
      <c r="AP6" s="134"/>
      <c r="AQ6" s="142"/>
      <c r="AR6" s="255"/>
    </row>
    <row r="7" spans="1:62" s="122" customFormat="1" ht="15.6" customHeight="1" x14ac:dyDescent="0.25">
      <c r="B7" s="287" t="s">
        <v>25</v>
      </c>
      <c r="C7" s="275"/>
      <c r="D7" s="275"/>
      <c r="E7" s="277"/>
      <c r="F7" s="125">
        <f>Q13</f>
        <v>865</v>
      </c>
      <c r="G7" s="125">
        <f>V13</f>
        <v>744</v>
      </c>
      <c r="H7" s="125">
        <f>AK13</f>
        <v>122</v>
      </c>
      <c r="I7" s="286"/>
      <c r="J7" s="126"/>
      <c r="K7" s="126"/>
      <c r="T7" s="124"/>
      <c r="U7" s="124"/>
      <c r="V7" s="131"/>
      <c r="AB7" s="132"/>
      <c r="AE7" s="133"/>
      <c r="AH7" s="133"/>
      <c r="AN7" s="134"/>
      <c r="AO7" s="134"/>
      <c r="AP7" s="134"/>
      <c r="AQ7" s="142"/>
      <c r="AR7" s="255"/>
    </row>
    <row r="8" spans="1:62" s="122" customFormat="1" ht="15.75" x14ac:dyDescent="0.25">
      <c r="B8" s="287" t="s">
        <v>26</v>
      </c>
      <c r="C8" s="275"/>
      <c r="D8" s="275"/>
      <c r="E8" s="277"/>
      <c r="F8" s="125">
        <f>R13</f>
        <v>204</v>
      </c>
      <c r="G8" s="125">
        <f>W13</f>
        <v>173</v>
      </c>
      <c r="H8" s="125">
        <f>AL13</f>
        <v>56</v>
      </c>
      <c r="I8" s="269"/>
      <c r="J8" s="126"/>
      <c r="K8" s="126"/>
      <c r="T8" s="124"/>
      <c r="U8" s="124"/>
      <c r="V8" s="131"/>
      <c r="AB8" s="132"/>
      <c r="AE8" s="133"/>
      <c r="AH8" s="133"/>
      <c r="AN8" s="134"/>
      <c r="AO8" s="134"/>
      <c r="AP8" s="134"/>
      <c r="AQ8" s="142"/>
      <c r="AR8" s="255"/>
    </row>
    <row r="9" spans="1:62" s="122" customFormat="1" ht="14.25" customHeight="1" x14ac:dyDescent="0.25">
      <c r="T9" s="124"/>
      <c r="U9" s="124"/>
      <c r="V9" s="131"/>
      <c r="AB9" s="132"/>
      <c r="AE9" s="133"/>
      <c r="AH9" s="133"/>
      <c r="AN9" s="134"/>
      <c r="AO9" s="134"/>
      <c r="AP9" s="134"/>
      <c r="AQ9" s="142"/>
      <c r="AR9" s="255"/>
    </row>
    <row r="10" spans="1:62" s="122" customFormat="1" ht="30.75" customHeight="1" x14ac:dyDescent="0.25">
      <c r="A10" s="268" t="s">
        <v>1</v>
      </c>
      <c r="B10" s="268" t="s">
        <v>3</v>
      </c>
      <c r="C10" s="270" t="s">
        <v>5</v>
      </c>
      <c r="D10" s="43"/>
      <c r="E10" s="270" t="s">
        <v>6</v>
      </c>
      <c r="F10" s="270" t="s">
        <v>7</v>
      </c>
      <c r="G10" s="270" t="s">
        <v>8</v>
      </c>
      <c r="H10" s="270" t="s">
        <v>9</v>
      </c>
      <c r="I10" s="270" t="s">
        <v>10</v>
      </c>
      <c r="J10" s="270" t="s">
        <v>32</v>
      </c>
      <c r="K10" s="270" t="s">
        <v>33</v>
      </c>
      <c r="L10" s="270" t="s">
        <v>34</v>
      </c>
      <c r="M10" s="273" t="s">
        <v>12</v>
      </c>
      <c r="N10" s="268" t="s">
        <v>14</v>
      </c>
      <c r="O10" s="274" t="s">
        <v>15</v>
      </c>
      <c r="P10" s="275"/>
      <c r="Q10" s="275"/>
      <c r="R10" s="276"/>
      <c r="S10" s="277"/>
      <c r="T10" s="278" t="s">
        <v>4057</v>
      </c>
      <c r="U10" s="275"/>
      <c r="V10" s="275"/>
      <c r="W10" s="275"/>
      <c r="X10" s="277"/>
      <c r="Y10" s="279" t="s">
        <v>36</v>
      </c>
      <c r="Z10" s="280"/>
      <c r="AA10" s="280"/>
      <c r="AB10" s="280"/>
      <c r="AC10" s="280"/>
      <c r="AD10" s="323" t="s">
        <v>42</v>
      </c>
      <c r="AE10" s="324"/>
      <c r="AF10" s="324"/>
      <c r="AG10" s="325"/>
      <c r="AH10" s="324"/>
      <c r="AI10" s="281" t="s">
        <v>18</v>
      </c>
      <c r="AJ10" s="282"/>
      <c r="AK10" s="280"/>
      <c r="AL10" s="276"/>
      <c r="AM10" s="284" t="s">
        <v>21</v>
      </c>
      <c r="AN10" s="317" t="s">
        <v>4056</v>
      </c>
      <c r="AO10" s="318"/>
      <c r="AP10" s="318"/>
      <c r="AQ10" s="319"/>
      <c r="AR10" s="271" t="s">
        <v>45</v>
      </c>
    </row>
    <row r="11" spans="1:62" s="122" customFormat="1" ht="32.450000000000003" customHeight="1" x14ac:dyDescent="0.25">
      <c r="A11" s="269"/>
      <c r="B11" s="269"/>
      <c r="C11" s="269"/>
      <c r="D11" s="127" t="s">
        <v>24</v>
      </c>
      <c r="E11" s="269"/>
      <c r="F11" s="269"/>
      <c r="G11" s="269"/>
      <c r="H11" s="269"/>
      <c r="I11" s="269"/>
      <c r="J11" s="269"/>
      <c r="K11" s="269"/>
      <c r="L11" s="269"/>
      <c r="M11" s="269"/>
      <c r="N11" s="269"/>
      <c r="O11" s="19" t="s">
        <v>27</v>
      </c>
      <c r="P11" s="19" t="s">
        <v>28</v>
      </c>
      <c r="Q11" s="211" t="s">
        <v>25</v>
      </c>
      <c r="R11" s="216" t="s">
        <v>26</v>
      </c>
      <c r="S11" s="213" t="s">
        <v>29</v>
      </c>
      <c r="T11" s="22" t="s">
        <v>27</v>
      </c>
      <c r="U11" s="22" t="s">
        <v>28</v>
      </c>
      <c r="V11" s="23" t="s">
        <v>25</v>
      </c>
      <c r="W11" s="22" t="s">
        <v>26</v>
      </c>
      <c r="X11" s="22" t="s">
        <v>30</v>
      </c>
      <c r="Y11" s="50" t="s">
        <v>27</v>
      </c>
      <c r="Z11" s="50" t="s">
        <v>28</v>
      </c>
      <c r="AA11" s="53" t="s">
        <v>25</v>
      </c>
      <c r="AB11" s="128" t="s">
        <v>26</v>
      </c>
      <c r="AC11" s="50" t="s">
        <v>30</v>
      </c>
      <c r="AD11" s="326" t="s">
        <v>27</v>
      </c>
      <c r="AE11" s="327" t="s">
        <v>28</v>
      </c>
      <c r="AF11" s="328" t="s">
        <v>25</v>
      </c>
      <c r="AG11" s="329" t="s">
        <v>26</v>
      </c>
      <c r="AH11" s="330" t="s">
        <v>30</v>
      </c>
      <c r="AI11" s="28" t="s">
        <v>27</v>
      </c>
      <c r="AJ11" s="28" t="s">
        <v>28</v>
      </c>
      <c r="AK11" s="212" t="s">
        <v>25</v>
      </c>
      <c r="AL11" s="217" t="s">
        <v>26</v>
      </c>
      <c r="AM11" s="285"/>
      <c r="AN11" s="320" t="s">
        <v>27</v>
      </c>
      <c r="AO11" s="320" t="s">
        <v>28</v>
      </c>
      <c r="AP11" s="321" t="s">
        <v>25</v>
      </c>
      <c r="AQ11" s="322" t="s">
        <v>26</v>
      </c>
      <c r="AR11" s="272"/>
      <c r="AT11" s="140"/>
      <c r="AU11" s="140"/>
      <c r="AV11" s="140"/>
      <c r="AW11" s="140"/>
      <c r="AX11" s="140"/>
      <c r="AY11" s="140"/>
      <c r="AZ11" s="140"/>
      <c r="BA11" s="140"/>
      <c r="BB11" s="140"/>
      <c r="BC11" s="140"/>
      <c r="BD11" s="140"/>
      <c r="BE11" s="140"/>
      <c r="BF11" s="140"/>
      <c r="BG11" s="140"/>
      <c r="BH11" s="140"/>
      <c r="BI11" s="140"/>
      <c r="BJ11" s="140"/>
    </row>
    <row r="12" spans="1:62" s="122" customFormat="1" ht="14.25" customHeight="1" x14ac:dyDescent="0.25">
      <c r="A12" s="33"/>
      <c r="B12" s="33"/>
      <c r="C12" s="33"/>
      <c r="D12" s="33"/>
      <c r="E12" s="33"/>
      <c r="F12" s="33"/>
      <c r="G12" s="33"/>
      <c r="H12" s="33"/>
      <c r="I12" s="33"/>
      <c r="J12" s="33"/>
      <c r="K12" s="33"/>
      <c r="L12" s="34" t="s">
        <v>31</v>
      </c>
      <c r="M12" s="34" t="s">
        <v>31</v>
      </c>
      <c r="N12" s="34" t="s">
        <v>31</v>
      </c>
      <c r="O12" s="35">
        <f t="shared" ref="O12:AM12" si="0">SUM(O14:O897)</f>
        <v>3763781053926</v>
      </c>
      <c r="P12" s="35">
        <f t="shared" si="0"/>
        <v>202297978230</v>
      </c>
      <c r="Q12" s="35">
        <f t="shared" si="0"/>
        <v>10320000000</v>
      </c>
      <c r="R12" s="214">
        <f t="shared" si="0"/>
        <v>15277266691</v>
      </c>
      <c r="S12" s="35">
        <f t="shared" si="0"/>
        <v>3991676298847</v>
      </c>
      <c r="T12" s="35">
        <f t="shared" si="0"/>
        <v>3658712389995</v>
      </c>
      <c r="U12" s="35">
        <f t="shared" si="0"/>
        <v>186498030826</v>
      </c>
      <c r="V12" s="38">
        <f t="shared" si="0"/>
        <v>8996250000</v>
      </c>
      <c r="W12" s="35">
        <f t="shared" si="0"/>
        <v>11459266691</v>
      </c>
      <c r="X12" s="47">
        <f t="shared" si="0"/>
        <v>-8686446994</v>
      </c>
      <c r="Y12" s="47">
        <f t="shared" si="0"/>
        <v>0</v>
      </c>
      <c r="Z12" s="47">
        <f t="shared" si="0"/>
        <v>0</v>
      </c>
      <c r="AA12" s="47">
        <f t="shared" si="0"/>
        <v>0</v>
      </c>
      <c r="AB12" s="35">
        <f t="shared" si="0"/>
        <v>594000000</v>
      </c>
      <c r="AC12" s="47">
        <f t="shared" si="0"/>
        <v>0</v>
      </c>
      <c r="AD12" s="47">
        <f t="shared" si="0"/>
        <v>3658712389995</v>
      </c>
      <c r="AE12" s="47">
        <f t="shared" si="0"/>
        <v>186498030826</v>
      </c>
      <c r="AF12" s="47">
        <f t="shared" si="0"/>
        <v>8996250000</v>
      </c>
      <c r="AG12" s="215">
        <f t="shared" si="0"/>
        <v>12053266691</v>
      </c>
      <c r="AH12" s="47">
        <f t="shared" si="0"/>
        <v>-8686446994</v>
      </c>
      <c r="AI12" s="35">
        <f t="shared" si="0"/>
        <v>105068663931</v>
      </c>
      <c r="AJ12" s="35">
        <f t="shared" si="0"/>
        <v>15799947404</v>
      </c>
      <c r="AK12" s="35">
        <f t="shared" si="0"/>
        <v>1323750000</v>
      </c>
      <c r="AL12" s="214">
        <f t="shared" si="0"/>
        <v>3224000000</v>
      </c>
      <c r="AM12" s="35">
        <f t="shared" si="0"/>
        <v>105376718315</v>
      </c>
      <c r="AN12" s="67"/>
      <c r="AO12" s="67"/>
      <c r="AP12" s="67"/>
      <c r="AQ12" s="257"/>
      <c r="AR12" s="71"/>
    </row>
    <row r="13" spans="1:62" s="122" customFormat="1" ht="37.5" customHeight="1" x14ac:dyDescent="0.25">
      <c r="A13" s="60"/>
      <c r="B13" s="60"/>
      <c r="C13" s="60"/>
      <c r="D13" s="60"/>
      <c r="E13" s="60"/>
      <c r="F13" s="60"/>
      <c r="G13" s="61">
        <f>COUNTA(G14:G897)</f>
        <v>876</v>
      </c>
      <c r="H13" s="60"/>
      <c r="I13" s="61"/>
      <c r="J13" s="61"/>
      <c r="K13" s="61"/>
      <c r="L13" s="61">
        <f>COUNTA(L14:L897)</f>
        <v>884</v>
      </c>
      <c r="M13" s="60"/>
      <c r="N13" s="60"/>
      <c r="O13" s="61">
        <f t="shared" ref="O13:W13" si="1">COUNTIF(O14:O897,"&gt;0")</f>
        <v>841</v>
      </c>
      <c r="P13" s="61">
        <f t="shared" si="1"/>
        <v>242</v>
      </c>
      <c r="Q13" s="61">
        <f t="shared" si="1"/>
        <v>865</v>
      </c>
      <c r="R13" s="61">
        <f t="shared" si="1"/>
        <v>204</v>
      </c>
      <c r="S13" s="61">
        <f t="shared" si="1"/>
        <v>868</v>
      </c>
      <c r="T13" s="61">
        <f t="shared" si="1"/>
        <v>796</v>
      </c>
      <c r="U13" s="61">
        <f t="shared" si="1"/>
        <v>223</v>
      </c>
      <c r="V13" s="61">
        <f t="shared" si="1"/>
        <v>744</v>
      </c>
      <c r="W13" s="61">
        <f t="shared" si="1"/>
        <v>173</v>
      </c>
      <c r="X13" s="61">
        <f>COUNT(X14:X897)</f>
        <v>3</v>
      </c>
      <c r="Y13" s="61">
        <f t="shared" ref="Y13:AB13" si="2">COUNTIF(Y14:Y897,"&gt;0")</f>
        <v>0</v>
      </c>
      <c r="Z13" s="61">
        <f t="shared" si="2"/>
        <v>0</v>
      </c>
      <c r="AA13" s="61">
        <f t="shared" si="2"/>
        <v>0</v>
      </c>
      <c r="AB13" s="61">
        <f t="shared" si="2"/>
        <v>8</v>
      </c>
      <c r="AC13" s="61">
        <f>COUNTIF(AC14:AC897,"&lt;0")</f>
        <v>0</v>
      </c>
      <c r="AD13" s="61">
        <f t="shared" ref="AD13:AG13" si="3">COUNTIF(AD14:AD897,"&gt;0")</f>
        <v>796</v>
      </c>
      <c r="AE13" s="129">
        <f t="shared" si="3"/>
        <v>223</v>
      </c>
      <c r="AF13" s="61">
        <f t="shared" si="3"/>
        <v>744</v>
      </c>
      <c r="AG13" s="61">
        <f t="shared" si="3"/>
        <v>177</v>
      </c>
      <c r="AH13" s="129">
        <f>COUNTIF(AH14:AH897,"&lt;0")</f>
        <v>3</v>
      </c>
      <c r="AI13" s="61">
        <f t="shared" ref="AI13:AL13" si="4">COUNTIF(AI14:AI897,"&gt;0")</f>
        <v>45</v>
      </c>
      <c r="AJ13" s="61">
        <f t="shared" si="4"/>
        <v>21</v>
      </c>
      <c r="AK13" s="61">
        <f t="shared" si="4"/>
        <v>122</v>
      </c>
      <c r="AL13" s="61">
        <f t="shared" si="4"/>
        <v>56</v>
      </c>
      <c r="AM13" s="61">
        <f>COUNT(AM14:AM897)</f>
        <v>43</v>
      </c>
      <c r="AN13" s="70"/>
      <c r="AO13" s="70"/>
      <c r="AP13" s="70"/>
      <c r="AQ13" s="61"/>
      <c r="AR13" s="71"/>
      <c r="AT13" s="141"/>
      <c r="AU13" s="141"/>
      <c r="AV13" s="141"/>
      <c r="AW13" s="141"/>
      <c r="AX13" s="141"/>
      <c r="AY13" s="141"/>
      <c r="AZ13" s="141"/>
      <c r="BA13" s="141"/>
      <c r="BB13" s="141"/>
      <c r="BC13" s="141"/>
      <c r="BD13" s="141"/>
      <c r="BE13" s="141"/>
      <c r="BF13" s="141"/>
      <c r="BG13" s="141"/>
      <c r="BH13" s="141"/>
      <c r="BI13" s="141"/>
      <c r="BJ13" s="141"/>
    </row>
    <row r="14" spans="1:62" s="156" customFormat="1" ht="47.25" x14ac:dyDescent="0.25">
      <c r="A14" s="143" t="s">
        <v>60</v>
      </c>
      <c r="B14" s="144">
        <v>1</v>
      </c>
      <c r="C14" s="143" t="s">
        <v>61</v>
      </c>
      <c r="D14" s="143" t="s">
        <v>61</v>
      </c>
      <c r="E14" s="145" t="s">
        <v>62</v>
      </c>
      <c r="F14" s="146"/>
      <c r="G14" s="143" t="s">
        <v>63</v>
      </c>
      <c r="H14" s="143" t="s">
        <v>64</v>
      </c>
      <c r="I14" s="143"/>
      <c r="J14" s="143"/>
      <c r="K14" s="143"/>
      <c r="L14" s="143" t="s">
        <v>65</v>
      </c>
      <c r="M14" s="143" t="s">
        <v>43</v>
      </c>
      <c r="N14" s="143" t="s">
        <v>66</v>
      </c>
      <c r="O14" s="147">
        <v>4401325040</v>
      </c>
      <c r="P14" s="148">
        <v>997248000</v>
      </c>
      <c r="Q14" s="149">
        <v>7500000</v>
      </c>
      <c r="R14" s="150"/>
      <c r="S14" s="147">
        <f t="shared" ref="S14:S268" si="5">O14+P14+Q14+R14</f>
        <v>5406073040</v>
      </c>
      <c r="T14" s="151">
        <v>4401325040</v>
      </c>
      <c r="U14" s="151">
        <v>997248000</v>
      </c>
      <c r="V14" s="147">
        <v>7500000</v>
      </c>
      <c r="W14" s="143"/>
      <c r="X14" s="143"/>
      <c r="Y14" s="152">
        <f t="shared" ref="Y14:AB14" si="6">AD14-T14</f>
        <v>0</v>
      </c>
      <c r="Z14" s="151">
        <f t="shared" si="6"/>
        <v>0</v>
      </c>
      <c r="AA14" s="151">
        <f t="shared" si="6"/>
        <v>0</v>
      </c>
      <c r="AB14" s="152">
        <f t="shared" si="6"/>
        <v>0</v>
      </c>
      <c r="AC14" s="143"/>
      <c r="AD14" s="153">
        <v>4401325040</v>
      </c>
      <c r="AE14" s="154">
        <v>997248000</v>
      </c>
      <c r="AF14" s="148">
        <v>7500000</v>
      </c>
      <c r="AG14" s="155"/>
      <c r="AH14" s="143">
        <f t="shared" ref="AH14:AH268" si="7">X14+AC14</f>
        <v>0</v>
      </c>
      <c r="AI14" s="151"/>
      <c r="AJ14" s="151">
        <f t="shared" ref="AJ14:AL14" si="8">P14-AE14</f>
        <v>0</v>
      </c>
      <c r="AK14" s="151">
        <f t="shared" si="8"/>
        <v>0</v>
      </c>
      <c r="AL14" s="151">
        <f t="shared" si="8"/>
        <v>0</v>
      </c>
      <c r="AM14" s="145"/>
      <c r="AN14" s="145"/>
      <c r="AO14" s="145"/>
      <c r="AP14" s="145"/>
      <c r="AQ14" s="145"/>
      <c r="AR14" s="145"/>
    </row>
    <row r="15" spans="1:62" s="156" customFormat="1" ht="31.5" x14ac:dyDescent="0.25">
      <c r="A15" s="143" t="s">
        <v>83</v>
      </c>
      <c r="B15" s="144">
        <v>2</v>
      </c>
      <c r="C15" s="143" t="s">
        <v>61</v>
      </c>
      <c r="D15" s="143" t="s">
        <v>61</v>
      </c>
      <c r="E15" s="145"/>
      <c r="F15" s="146"/>
      <c r="G15" s="143" t="s">
        <v>84</v>
      </c>
      <c r="H15" s="143"/>
      <c r="I15" s="143" t="s">
        <v>85</v>
      </c>
      <c r="J15" s="143"/>
      <c r="K15" s="143"/>
      <c r="L15" s="143" t="s">
        <v>86</v>
      </c>
      <c r="M15" s="143" t="s">
        <v>43</v>
      </c>
      <c r="N15" s="143" t="s">
        <v>87</v>
      </c>
      <c r="O15" s="147"/>
      <c r="P15" s="150"/>
      <c r="Q15" s="155"/>
      <c r="R15" s="150"/>
      <c r="S15" s="147">
        <f t="shared" si="5"/>
        <v>0</v>
      </c>
      <c r="T15" s="144">
        <v>0</v>
      </c>
      <c r="U15" s="143"/>
      <c r="V15" s="157"/>
      <c r="W15" s="143"/>
      <c r="X15" s="143"/>
      <c r="Y15" s="151">
        <f t="shared" ref="Y15:AB15" si="9">AD15-T15</f>
        <v>0</v>
      </c>
      <c r="Z15" s="151">
        <f t="shared" si="9"/>
        <v>0</v>
      </c>
      <c r="AA15" s="151">
        <f t="shared" si="9"/>
        <v>0</v>
      </c>
      <c r="AB15" s="152">
        <f t="shared" si="9"/>
        <v>0</v>
      </c>
      <c r="AC15" s="143"/>
      <c r="AD15" s="148">
        <v>0</v>
      </c>
      <c r="AE15" s="150"/>
      <c r="AF15" s="150"/>
      <c r="AG15" s="155"/>
      <c r="AH15" s="143">
        <f t="shared" si="7"/>
        <v>0</v>
      </c>
      <c r="AI15" s="151"/>
      <c r="AJ15" s="151">
        <f t="shared" ref="AJ15:AL15" si="10">P15-AE15</f>
        <v>0</v>
      </c>
      <c r="AK15" s="151">
        <f t="shared" si="10"/>
        <v>0</v>
      </c>
      <c r="AL15" s="151">
        <f t="shared" si="10"/>
        <v>0</v>
      </c>
      <c r="AM15" s="145"/>
      <c r="AN15" s="139"/>
      <c r="AO15" s="139"/>
      <c r="AP15" s="139"/>
      <c r="AQ15" s="145"/>
      <c r="AR15" s="145"/>
    </row>
    <row r="16" spans="1:62" s="156" customFormat="1" ht="31.5" x14ac:dyDescent="0.25">
      <c r="A16" s="143" t="s">
        <v>60</v>
      </c>
      <c r="B16" s="144">
        <v>3</v>
      </c>
      <c r="C16" s="143" t="s">
        <v>61</v>
      </c>
      <c r="D16" s="143" t="s">
        <v>61</v>
      </c>
      <c r="E16" s="145"/>
      <c r="F16" s="146"/>
      <c r="G16" s="143" t="s">
        <v>97</v>
      </c>
      <c r="H16" s="143"/>
      <c r="I16" s="143"/>
      <c r="J16" s="143"/>
      <c r="K16" s="143"/>
      <c r="L16" s="143" t="s">
        <v>98</v>
      </c>
      <c r="M16" s="143" t="s">
        <v>43</v>
      </c>
      <c r="N16" s="143" t="s">
        <v>99</v>
      </c>
      <c r="O16" s="147">
        <v>3873005</v>
      </c>
      <c r="P16" s="150"/>
      <c r="Q16" s="149">
        <v>7500000</v>
      </c>
      <c r="R16" s="150"/>
      <c r="S16" s="147">
        <f t="shared" si="5"/>
        <v>11373005</v>
      </c>
      <c r="T16" s="151">
        <v>3873005</v>
      </c>
      <c r="U16" s="143"/>
      <c r="V16" s="147">
        <v>7500000</v>
      </c>
      <c r="W16" s="143"/>
      <c r="X16" s="143"/>
      <c r="Y16" s="152">
        <f t="shared" ref="Y16:AB16" si="11">AD16-T16</f>
        <v>0</v>
      </c>
      <c r="Z16" s="151">
        <f t="shared" si="11"/>
        <v>0</v>
      </c>
      <c r="AA16" s="151">
        <f t="shared" si="11"/>
        <v>0</v>
      </c>
      <c r="AB16" s="152">
        <f t="shared" si="11"/>
        <v>0</v>
      </c>
      <c r="AC16" s="143"/>
      <c r="AD16" s="155">
        <v>3873005</v>
      </c>
      <c r="AE16" s="150"/>
      <c r="AF16" s="148">
        <v>7500000</v>
      </c>
      <c r="AG16" s="155"/>
      <c r="AH16" s="143">
        <f t="shared" si="7"/>
        <v>0</v>
      </c>
      <c r="AI16" s="151"/>
      <c r="AJ16" s="151">
        <f t="shared" ref="AJ16:AL16" si="12">P16-AE16</f>
        <v>0</v>
      </c>
      <c r="AK16" s="151">
        <f t="shared" si="12"/>
        <v>0</v>
      </c>
      <c r="AL16" s="151">
        <f t="shared" si="12"/>
        <v>0</v>
      </c>
      <c r="AM16" s="145"/>
      <c r="AN16" s="139"/>
      <c r="AO16" s="139"/>
      <c r="AP16" s="139"/>
      <c r="AQ16" s="145"/>
      <c r="AR16" s="145"/>
    </row>
    <row r="17" spans="1:44" s="156" customFormat="1" ht="47.25" x14ac:dyDescent="0.25">
      <c r="A17" s="143" t="s">
        <v>60</v>
      </c>
      <c r="B17" s="144">
        <v>4</v>
      </c>
      <c r="C17" s="143" t="s">
        <v>61</v>
      </c>
      <c r="D17" s="143" t="s">
        <v>61</v>
      </c>
      <c r="E17" s="145" t="s">
        <v>100</v>
      </c>
      <c r="F17" s="146"/>
      <c r="G17" s="143" t="s">
        <v>101</v>
      </c>
      <c r="H17" s="143" t="s">
        <v>102</v>
      </c>
      <c r="I17" s="143"/>
      <c r="J17" s="143"/>
      <c r="K17" s="143"/>
      <c r="L17" s="143" t="s">
        <v>103</v>
      </c>
      <c r="M17" s="143" t="s">
        <v>43</v>
      </c>
      <c r="N17" s="143" t="s">
        <v>104</v>
      </c>
      <c r="O17" s="147">
        <v>49303660</v>
      </c>
      <c r="P17" s="148">
        <v>14041440</v>
      </c>
      <c r="Q17" s="149">
        <v>7500000</v>
      </c>
      <c r="R17" s="150"/>
      <c r="S17" s="147">
        <f t="shared" si="5"/>
        <v>70845100</v>
      </c>
      <c r="T17" s="151">
        <v>49303660</v>
      </c>
      <c r="U17" s="158">
        <v>14041440</v>
      </c>
      <c r="V17" s="147">
        <v>7500000</v>
      </c>
      <c r="W17" s="143"/>
      <c r="X17" s="143"/>
      <c r="Y17" s="152">
        <f t="shared" ref="Y17:AB17" si="13">AD17-T17</f>
        <v>0</v>
      </c>
      <c r="Z17" s="151">
        <f t="shared" si="13"/>
        <v>0</v>
      </c>
      <c r="AA17" s="151">
        <f t="shared" si="13"/>
        <v>0</v>
      </c>
      <c r="AB17" s="152">
        <f t="shared" si="13"/>
        <v>0</v>
      </c>
      <c r="AC17" s="143"/>
      <c r="AD17" s="155">
        <v>49303660</v>
      </c>
      <c r="AE17" s="148">
        <v>14041440</v>
      </c>
      <c r="AF17" s="148">
        <v>7500000</v>
      </c>
      <c r="AG17" s="155"/>
      <c r="AH17" s="143">
        <f t="shared" si="7"/>
        <v>0</v>
      </c>
      <c r="AI17" s="151"/>
      <c r="AJ17" s="151">
        <f t="shared" ref="AJ17:AL17" si="14">P17-AE17</f>
        <v>0</v>
      </c>
      <c r="AK17" s="151">
        <f t="shared" si="14"/>
        <v>0</v>
      </c>
      <c r="AL17" s="151">
        <f t="shared" si="14"/>
        <v>0</v>
      </c>
      <c r="AM17" s="145"/>
      <c r="AN17" s="139"/>
      <c r="AO17" s="139"/>
      <c r="AP17" s="139"/>
      <c r="AQ17" s="145"/>
      <c r="AR17" s="145"/>
    </row>
    <row r="18" spans="1:44" s="156" customFormat="1" ht="47.25" x14ac:dyDescent="0.25">
      <c r="A18" s="143" t="s">
        <v>83</v>
      </c>
      <c r="B18" s="144">
        <v>5</v>
      </c>
      <c r="C18" s="143" t="s">
        <v>61</v>
      </c>
      <c r="D18" s="143" t="s">
        <v>61</v>
      </c>
      <c r="E18" s="145"/>
      <c r="F18" s="146"/>
      <c r="G18" s="143" t="s">
        <v>112</v>
      </c>
      <c r="H18" s="143"/>
      <c r="I18" s="143" t="s">
        <v>113</v>
      </c>
      <c r="J18" s="143"/>
      <c r="K18" s="143"/>
      <c r="L18" s="143" t="s">
        <v>114</v>
      </c>
      <c r="M18" s="143" t="s">
        <v>43</v>
      </c>
      <c r="N18" s="143" t="s">
        <v>115</v>
      </c>
      <c r="O18" s="147"/>
      <c r="P18" s="150"/>
      <c r="Q18" s="155"/>
      <c r="R18" s="150"/>
      <c r="S18" s="147">
        <f t="shared" si="5"/>
        <v>0</v>
      </c>
      <c r="T18" s="144">
        <v>0</v>
      </c>
      <c r="U18" s="143"/>
      <c r="V18" s="157"/>
      <c r="W18" s="143"/>
      <c r="X18" s="143"/>
      <c r="Y18" s="151">
        <f t="shared" ref="Y18:AB18" si="15">AD18-T18</f>
        <v>0</v>
      </c>
      <c r="Z18" s="151">
        <f t="shared" si="15"/>
        <v>0</v>
      </c>
      <c r="AA18" s="151">
        <f t="shared" si="15"/>
        <v>0</v>
      </c>
      <c r="AB18" s="152">
        <f t="shared" si="15"/>
        <v>0</v>
      </c>
      <c r="AC18" s="143"/>
      <c r="AD18" s="148">
        <v>0</v>
      </c>
      <c r="AE18" s="150"/>
      <c r="AF18" s="150"/>
      <c r="AG18" s="155"/>
      <c r="AH18" s="143">
        <f t="shared" si="7"/>
        <v>0</v>
      </c>
      <c r="AI18" s="151"/>
      <c r="AJ18" s="151">
        <f t="shared" ref="AJ18:AL18" si="16">P18-AE18</f>
        <v>0</v>
      </c>
      <c r="AK18" s="151">
        <f t="shared" si="16"/>
        <v>0</v>
      </c>
      <c r="AL18" s="151">
        <f t="shared" si="16"/>
        <v>0</v>
      </c>
      <c r="AM18" s="145"/>
      <c r="AN18" s="139"/>
      <c r="AO18" s="139"/>
      <c r="AP18" s="139"/>
      <c r="AQ18" s="145"/>
      <c r="AR18" s="145"/>
    </row>
    <row r="19" spans="1:44" s="156" customFormat="1" ht="31.5" x14ac:dyDescent="0.25">
      <c r="A19" s="143" t="s">
        <v>60</v>
      </c>
      <c r="B19" s="144">
        <v>6</v>
      </c>
      <c r="C19" s="143" t="s">
        <v>61</v>
      </c>
      <c r="D19" s="143" t="s">
        <v>61</v>
      </c>
      <c r="E19" s="145"/>
      <c r="F19" s="146"/>
      <c r="G19" s="143" t="s">
        <v>121</v>
      </c>
      <c r="H19" s="143"/>
      <c r="I19" s="143"/>
      <c r="J19" s="143"/>
      <c r="K19" s="143"/>
      <c r="L19" s="143" t="s">
        <v>122</v>
      </c>
      <c r="M19" s="143" t="s">
        <v>43</v>
      </c>
      <c r="N19" s="143" t="s">
        <v>123</v>
      </c>
      <c r="O19" s="147"/>
      <c r="P19" s="150"/>
      <c r="Q19" s="149">
        <v>7500000</v>
      </c>
      <c r="R19" s="150"/>
      <c r="S19" s="147">
        <f t="shared" si="5"/>
        <v>7500000</v>
      </c>
      <c r="T19" s="144">
        <v>0</v>
      </c>
      <c r="U19" s="143"/>
      <c r="V19" s="147">
        <v>7500000</v>
      </c>
      <c r="W19" s="143"/>
      <c r="X19" s="143"/>
      <c r="Y19" s="151">
        <f t="shared" ref="Y19:AB19" si="17">AD19-T19</f>
        <v>0</v>
      </c>
      <c r="Z19" s="151">
        <f t="shared" si="17"/>
        <v>0</v>
      </c>
      <c r="AA19" s="151">
        <f t="shared" si="17"/>
        <v>0</v>
      </c>
      <c r="AB19" s="152">
        <f t="shared" si="17"/>
        <v>0</v>
      </c>
      <c r="AC19" s="143"/>
      <c r="AD19" s="148">
        <v>0</v>
      </c>
      <c r="AE19" s="150"/>
      <c r="AF19" s="148">
        <v>7500000</v>
      </c>
      <c r="AG19" s="155"/>
      <c r="AH19" s="143">
        <f t="shared" si="7"/>
        <v>0</v>
      </c>
      <c r="AI19" s="151"/>
      <c r="AJ19" s="151">
        <f t="shared" ref="AJ19:AL19" si="18">P19-AE19</f>
        <v>0</v>
      </c>
      <c r="AK19" s="151">
        <f t="shared" si="18"/>
        <v>0</v>
      </c>
      <c r="AL19" s="151">
        <f t="shared" si="18"/>
        <v>0</v>
      </c>
      <c r="AM19" s="145"/>
      <c r="AN19" s="139"/>
      <c r="AO19" s="139"/>
      <c r="AP19" s="139"/>
      <c r="AQ19" s="145"/>
      <c r="AR19" s="145"/>
    </row>
    <row r="20" spans="1:44" s="156" customFormat="1" ht="31.5" x14ac:dyDescent="0.25">
      <c r="A20" s="143" t="s">
        <v>35</v>
      </c>
      <c r="B20" s="144">
        <v>7</v>
      </c>
      <c r="C20" s="143" t="s">
        <v>61</v>
      </c>
      <c r="D20" s="143" t="s">
        <v>61</v>
      </c>
      <c r="E20" s="145"/>
      <c r="F20" s="146"/>
      <c r="G20" s="143" t="s">
        <v>130</v>
      </c>
      <c r="H20" s="143"/>
      <c r="I20" s="143"/>
      <c r="J20" s="143"/>
      <c r="K20" s="143"/>
      <c r="L20" s="143" t="s">
        <v>131</v>
      </c>
      <c r="M20" s="143" t="s">
        <v>43</v>
      </c>
      <c r="N20" s="143" t="s">
        <v>132</v>
      </c>
      <c r="O20" s="147">
        <v>129028662</v>
      </c>
      <c r="P20" s="150"/>
      <c r="Q20" s="149">
        <v>7500000</v>
      </c>
      <c r="R20" s="150"/>
      <c r="S20" s="147">
        <f t="shared" si="5"/>
        <v>136528662</v>
      </c>
      <c r="T20" s="151">
        <v>129028662</v>
      </c>
      <c r="U20" s="143"/>
      <c r="V20" s="147">
        <v>7500000</v>
      </c>
      <c r="W20" s="143"/>
      <c r="X20" s="143"/>
      <c r="Y20" s="152">
        <f t="shared" ref="Y20:AB20" si="19">AD20-T20</f>
        <v>0</v>
      </c>
      <c r="Z20" s="151">
        <f t="shared" si="19"/>
        <v>0</v>
      </c>
      <c r="AA20" s="151">
        <f t="shared" si="19"/>
        <v>0</v>
      </c>
      <c r="AB20" s="152">
        <f t="shared" si="19"/>
        <v>0</v>
      </c>
      <c r="AC20" s="143"/>
      <c r="AD20" s="155">
        <v>129028662</v>
      </c>
      <c r="AE20" s="150"/>
      <c r="AF20" s="148">
        <v>7500000</v>
      </c>
      <c r="AG20" s="155"/>
      <c r="AH20" s="143">
        <f t="shared" si="7"/>
        <v>0</v>
      </c>
      <c r="AI20" s="151"/>
      <c r="AJ20" s="151">
        <f t="shared" ref="AJ20:AL20" si="20">P20-AE20</f>
        <v>0</v>
      </c>
      <c r="AK20" s="151">
        <f t="shared" si="20"/>
        <v>0</v>
      </c>
      <c r="AL20" s="151">
        <f t="shared" si="20"/>
        <v>0</v>
      </c>
      <c r="AM20" s="145"/>
      <c r="AN20" s="139"/>
      <c r="AO20" s="139"/>
      <c r="AP20" s="139"/>
      <c r="AQ20" s="145"/>
      <c r="AR20" s="145"/>
    </row>
    <row r="21" spans="1:44" s="156" customFormat="1" ht="31.5" x14ac:dyDescent="0.25">
      <c r="A21" s="143" t="s">
        <v>83</v>
      </c>
      <c r="B21" s="144">
        <v>8</v>
      </c>
      <c r="C21" s="143" t="s">
        <v>61</v>
      </c>
      <c r="D21" s="143" t="s">
        <v>61</v>
      </c>
      <c r="E21" s="145"/>
      <c r="F21" s="146"/>
      <c r="G21" s="143" t="s">
        <v>138</v>
      </c>
      <c r="H21" s="143"/>
      <c r="I21" s="143" t="s">
        <v>113</v>
      </c>
      <c r="J21" s="143"/>
      <c r="K21" s="143"/>
      <c r="L21" s="143" t="s">
        <v>139</v>
      </c>
      <c r="M21" s="143" t="s">
        <v>43</v>
      </c>
      <c r="N21" s="143" t="s">
        <v>140</v>
      </c>
      <c r="O21" s="147"/>
      <c r="P21" s="150"/>
      <c r="Q21" s="155"/>
      <c r="R21" s="150"/>
      <c r="S21" s="147">
        <f t="shared" si="5"/>
        <v>0</v>
      </c>
      <c r="T21" s="144">
        <v>0</v>
      </c>
      <c r="U21" s="143"/>
      <c r="V21" s="157"/>
      <c r="W21" s="143"/>
      <c r="X21" s="143"/>
      <c r="Y21" s="151">
        <f t="shared" ref="Y21:AB21" si="21">AD21-T21</f>
        <v>0</v>
      </c>
      <c r="Z21" s="151">
        <f t="shared" si="21"/>
        <v>0</v>
      </c>
      <c r="AA21" s="151">
        <f t="shared" si="21"/>
        <v>0</v>
      </c>
      <c r="AB21" s="152">
        <f t="shared" si="21"/>
        <v>0</v>
      </c>
      <c r="AC21" s="143"/>
      <c r="AD21" s="148">
        <v>0</v>
      </c>
      <c r="AE21" s="150"/>
      <c r="AF21" s="150"/>
      <c r="AG21" s="155"/>
      <c r="AH21" s="143">
        <f t="shared" si="7"/>
        <v>0</v>
      </c>
      <c r="AI21" s="151"/>
      <c r="AJ21" s="151">
        <f t="shared" ref="AJ21:AL21" si="22">P21-AE21</f>
        <v>0</v>
      </c>
      <c r="AK21" s="151">
        <f t="shared" si="22"/>
        <v>0</v>
      </c>
      <c r="AL21" s="151">
        <f t="shared" si="22"/>
        <v>0</v>
      </c>
      <c r="AM21" s="145"/>
      <c r="AN21" s="139"/>
      <c r="AO21" s="139"/>
      <c r="AP21" s="139"/>
      <c r="AQ21" s="145"/>
      <c r="AR21" s="145"/>
    </row>
    <row r="22" spans="1:44" s="156" customFormat="1" ht="31.5" x14ac:dyDescent="0.25">
      <c r="A22" s="143" t="s">
        <v>46</v>
      </c>
      <c r="B22" s="144">
        <v>9</v>
      </c>
      <c r="C22" s="143" t="s">
        <v>141</v>
      </c>
      <c r="D22" s="143" t="s">
        <v>141</v>
      </c>
      <c r="E22" s="145"/>
      <c r="F22" s="146"/>
      <c r="G22" s="143" t="s">
        <v>143</v>
      </c>
      <c r="H22" s="143"/>
      <c r="I22" s="143" t="s">
        <v>145</v>
      </c>
      <c r="J22" s="143"/>
      <c r="K22" s="143"/>
      <c r="L22" s="143" t="s">
        <v>147</v>
      </c>
      <c r="M22" s="143" t="s">
        <v>43</v>
      </c>
      <c r="N22" s="143" t="s">
        <v>149</v>
      </c>
      <c r="O22" s="147">
        <v>5275298400</v>
      </c>
      <c r="P22" s="150"/>
      <c r="Q22" s="148">
        <v>15000000</v>
      </c>
      <c r="R22" s="150"/>
      <c r="S22" s="147">
        <f t="shared" si="5"/>
        <v>5290298400</v>
      </c>
      <c r="T22" s="151">
        <v>5275298400</v>
      </c>
      <c r="U22" s="143"/>
      <c r="V22" s="147">
        <v>15000000</v>
      </c>
      <c r="W22" s="143"/>
      <c r="X22" s="143"/>
      <c r="Y22" s="152">
        <f t="shared" ref="Y22:AB22" si="23">AD22-T22</f>
        <v>0</v>
      </c>
      <c r="Z22" s="151">
        <f t="shared" si="23"/>
        <v>0</v>
      </c>
      <c r="AA22" s="151">
        <f t="shared" si="23"/>
        <v>0</v>
      </c>
      <c r="AB22" s="152">
        <f t="shared" si="23"/>
        <v>0</v>
      </c>
      <c r="AC22" s="143"/>
      <c r="AD22" s="155">
        <v>5275298400</v>
      </c>
      <c r="AE22" s="150"/>
      <c r="AF22" s="148">
        <v>15000000</v>
      </c>
      <c r="AG22" s="155"/>
      <c r="AH22" s="143">
        <f t="shared" si="7"/>
        <v>0</v>
      </c>
      <c r="AI22" s="151"/>
      <c r="AJ22" s="151">
        <f t="shared" ref="AJ22:AL22" si="24">P22-AE22</f>
        <v>0</v>
      </c>
      <c r="AK22" s="151">
        <f t="shared" si="24"/>
        <v>0</v>
      </c>
      <c r="AL22" s="151">
        <f t="shared" si="24"/>
        <v>0</v>
      </c>
      <c r="AM22" s="145"/>
      <c r="AN22" s="139"/>
      <c r="AO22" s="139"/>
      <c r="AP22" s="139"/>
      <c r="AQ22" s="145"/>
      <c r="AR22" s="145"/>
    </row>
    <row r="23" spans="1:44" s="156" customFormat="1" ht="31.5" x14ac:dyDescent="0.25">
      <c r="A23" s="143" t="s">
        <v>83</v>
      </c>
      <c r="B23" s="144">
        <v>10</v>
      </c>
      <c r="C23" s="143" t="s">
        <v>141</v>
      </c>
      <c r="D23" s="143" t="s">
        <v>141</v>
      </c>
      <c r="E23" s="145"/>
      <c r="F23" s="146"/>
      <c r="G23" s="143" t="s">
        <v>151</v>
      </c>
      <c r="H23" s="143"/>
      <c r="I23" s="143" t="s">
        <v>113</v>
      </c>
      <c r="J23" s="143"/>
      <c r="K23" s="143"/>
      <c r="L23" s="143" t="s">
        <v>152</v>
      </c>
      <c r="M23" s="143" t="s">
        <v>43</v>
      </c>
      <c r="N23" s="143" t="s">
        <v>153</v>
      </c>
      <c r="O23" s="147"/>
      <c r="P23" s="150"/>
      <c r="Q23" s="155"/>
      <c r="R23" s="150"/>
      <c r="S23" s="147">
        <f t="shared" si="5"/>
        <v>0</v>
      </c>
      <c r="T23" s="144">
        <v>0</v>
      </c>
      <c r="U23" s="143"/>
      <c r="V23" s="157"/>
      <c r="W23" s="143"/>
      <c r="X23" s="143"/>
      <c r="Y23" s="151">
        <f t="shared" ref="Y23:AB23" si="25">AD23-T23</f>
        <v>0</v>
      </c>
      <c r="Z23" s="151">
        <f t="shared" si="25"/>
        <v>0</v>
      </c>
      <c r="AA23" s="151">
        <f t="shared" si="25"/>
        <v>0</v>
      </c>
      <c r="AB23" s="152">
        <f t="shared" si="25"/>
        <v>0</v>
      </c>
      <c r="AC23" s="143"/>
      <c r="AD23" s="148">
        <v>0</v>
      </c>
      <c r="AE23" s="150"/>
      <c r="AF23" s="150"/>
      <c r="AG23" s="155"/>
      <c r="AH23" s="143">
        <f t="shared" si="7"/>
        <v>0</v>
      </c>
      <c r="AI23" s="151"/>
      <c r="AJ23" s="151">
        <f t="shared" ref="AJ23:AL23" si="26">P23-AE23</f>
        <v>0</v>
      </c>
      <c r="AK23" s="151">
        <f t="shared" si="26"/>
        <v>0</v>
      </c>
      <c r="AL23" s="151">
        <f t="shared" si="26"/>
        <v>0</v>
      </c>
      <c r="AM23" s="145"/>
      <c r="AN23" s="139"/>
      <c r="AO23" s="139"/>
      <c r="AP23" s="139"/>
      <c r="AQ23" s="145"/>
      <c r="AR23" s="145"/>
    </row>
    <row r="24" spans="1:44" s="156" customFormat="1" ht="31.5" x14ac:dyDescent="0.25">
      <c r="A24" s="143" t="s">
        <v>52</v>
      </c>
      <c r="B24" s="144">
        <v>11</v>
      </c>
      <c r="C24" s="143" t="s">
        <v>141</v>
      </c>
      <c r="D24" s="143" t="s">
        <v>141</v>
      </c>
      <c r="E24" s="145"/>
      <c r="F24" s="146"/>
      <c r="G24" s="143" t="s">
        <v>160</v>
      </c>
      <c r="H24" s="143"/>
      <c r="I24" s="143"/>
      <c r="J24" s="143"/>
      <c r="K24" s="143"/>
      <c r="L24" s="143" t="s">
        <v>161</v>
      </c>
      <c r="M24" s="143" t="s">
        <v>43</v>
      </c>
      <c r="N24" s="143" t="s">
        <v>162</v>
      </c>
      <c r="O24" s="147">
        <v>2559814110</v>
      </c>
      <c r="P24" s="150"/>
      <c r="Q24" s="148">
        <v>7500000</v>
      </c>
      <c r="R24" s="150"/>
      <c r="S24" s="147">
        <f t="shared" si="5"/>
        <v>2567314110</v>
      </c>
      <c r="T24" s="143"/>
      <c r="U24" s="143"/>
      <c r="V24" s="157"/>
      <c r="W24" s="143"/>
      <c r="X24" s="143"/>
      <c r="Y24" s="152">
        <f t="shared" ref="Y24:AB24" si="27">AD24-T24</f>
        <v>0</v>
      </c>
      <c r="Z24" s="151">
        <f t="shared" si="27"/>
        <v>0</v>
      </c>
      <c r="AA24" s="151">
        <f t="shared" si="27"/>
        <v>0</v>
      </c>
      <c r="AB24" s="151">
        <f t="shared" si="27"/>
        <v>0</v>
      </c>
      <c r="AC24" s="143"/>
      <c r="AD24" s="155"/>
      <c r="AE24" s="150"/>
      <c r="AF24" s="150"/>
      <c r="AG24" s="150"/>
      <c r="AH24" s="143">
        <f t="shared" si="7"/>
        <v>0</v>
      </c>
      <c r="AI24" s="151">
        <v>2559814110</v>
      </c>
      <c r="AJ24" s="151">
        <f t="shared" ref="AJ24:AL24" si="28">P24-AE24</f>
        <v>0</v>
      </c>
      <c r="AK24" s="151">
        <f t="shared" si="28"/>
        <v>7500000</v>
      </c>
      <c r="AL24" s="151">
        <f t="shared" si="28"/>
        <v>0</v>
      </c>
      <c r="AM24" s="148">
        <v>2559814110</v>
      </c>
      <c r="AN24" s="159" t="s">
        <v>336</v>
      </c>
      <c r="AO24" s="160"/>
      <c r="AP24" s="161" t="s">
        <v>336</v>
      </c>
      <c r="AQ24" s="219"/>
      <c r="AR24" s="218"/>
    </row>
    <row r="25" spans="1:44" s="156" customFormat="1" ht="31.5" x14ac:dyDescent="0.25">
      <c r="A25" s="143" t="s">
        <v>52</v>
      </c>
      <c r="B25" s="144">
        <v>12</v>
      </c>
      <c r="C25" s="143" t="s">
        <v>141</v>
      </c>
      <c r="D25" s="143" t="s">
        <v>141</v>
      </c>
      <c r="E25" s="145"/>
      <c r="F25" s="146"/>
      <c r="G25" s="143" t="s">
        <v>169</v>
      </c>
      <c r="H25" s="143"/>
      <c r="I25" s="143"/>
      <c r="J25" s="143"/>
      <c r="K25" s="143"/>
      <c r="L25" s="143" t="s">
        <v>170</v>
      </c>
      <c r="M25" s="143" t="s">
        <v>43</v>
      </c>
      <c r="N25" s="143" t="s">
        <v>171</v>
      </c>
      <c r="O25" s="147">
        <v>60717258</v>
      </c>
      <c r="P25" s="150"/>
      <c r="Q25" s="148">
        <v>7500000</v>
      </c>
      <c r="R25" s="150"/>
      <c r="S25" s="147">
        <f t="shared" si="5"/>
        <v>68217258</v>
      </c>
      <c r="T25" s="158">
        <v>60717258</v>
      </c>
      <c r="U25" s="143"/>
      <c r="V25" s="147">
        <v>7500000</v>
      </c>
      <c r="W25" s="143"/>
      <c r="X25" s="143"/>
      <c r="Y25" s="152">
        <f t="shared" ref="Y25:AB25" si="29">AD25-T25</f>
        <v>0</v>
      </c>
      <c r="Z25" s="151">
        <f t="shared" si="29"/>
        <v>0</v>
      </c>
      <c r="AA25" s="151">
        <f t="shared" si="29"/>
        <v>0</v>
      </c>
      <c r="AB25" s="152">
        <f t="shared" si="29"/>
        <v>0</v>
      </c>
      <c r="AC25" s="143"/>
      <c r="AD25" s="149">
        <v>60717258</v>
      </c>
      <c r="AE25" s="150"/>
      <c r="AF25" s="148">
        <v>7500000</v>
      </c>
      <c r="AG25" s="155"/>
      <c r="AH25" s="143">
        <f t="shared" si="7"/>
        <v>0</v>
      </c>
      <c r="AI25" s="151"/>
      <c r="AJ25" s="151">
        <f t="shared" ref="AJ25:AL25" si="30">P25-AE25</f>
        <v>0</v>
      </c>
      <c r="AK25" s="151">
        <f t="shared" si="30"/>
        <v>0</v>
      </c>
      <c r="AL25" s="151">
        <f t="shared" si="30"/>
        <v>0</v>
      </c>
      <c r="AM25" s="145"/>
      <c r="AN25" s="139"/>
      <c r="AO25" s="139"/>
      <c r="AP25" s="139"/>
      <c r="AQ25" s="145"/>
      <c r="AR25" s="145"/>
    </row>
    <row r="26" spans="1:44" s="156" customFormat="1" ht="31.5" x14ac:dyDescent="0.25">
      <c r="A26" s="143" t="s">
        <v>52</v>
      </c>
      <c r="B26" s="144">
        <v>13</v>
      </c>
      <c r="C26" s="143" t="s">
        <v>176</v>
      </c>
      <c r="D26" s="143" t="s">
        <v>176</v>
      </c>
      <c r="E26" s="145"/>
      <c r="F26" s="146"/>
      <c r="G26" s="143" t="s">
        <v>177</v>
      </c>
      <c r="H26" s="143"/>
      <c r="I26" s="143"/>
      <c r="J26" s="143"/>
      <c r="K26" s="143"/>
      <c r="L26" s="143" t="s">
        <v>178</v>
      </c>
      <c r="M26" s="143" t="s">
        <v>43</v>
      </c>
      <c r="N26" s="143" t="s">
        <v>179</v>
      </c>
      <c r="O26" s="147">
        <v>1532066300</v>
      </c>
      <c r="P26" s="150"/>
      <c r="Q26" s="149">
        <v>7500000</v>
      </c>
      <c r="R26" s="150"/>
      <c r="S26" s="147">
        <f t="shared" si="5"/>
        <v>1539566300</v>
      </c>
      <c r="T26" s="151">
        <v>1532066300</v>
      </c>
      <c r="U26" s="143"/>
      <c r="V26" s="147">
        <v>7500000</v>
      </c>
      <c r="W26" s="143"/>
      <c r="X26" s="143"/>
      <c r="Y26" s="152">
        <f t="shared" ref="Y26:AB26" si="31">AD26-T26</f>
        <v>0</v>
      </c>
      <c r="Z26" s="151">
        <f t="shared" si="31"/>
        <v>0</v>
      </c>
      <c r="AA26" s="151">
        <f t="shared" si="31"/>
        <v>0</v>
      </c>
      <c r="AB26" s="152">
        <f t="shared" si="31"/>
        <v>0</v>
      </c>
      <c r="AC26" s="143"/>
      <c r="AD26" s="155">
        <v>1532066300</v>
      </c>
      <c r="AE26" s="150"/>
      <c r="AF26" s="148">
        <v>7500000</v>
      </c>
      <c r="AG26" s="155"/>
      <c r="AH26" s="143">
        <f t="shared" si="7"/>
        <v>0</v>
      </c>
      <c r="AI26" s="151"/>
      <c r="AJ26" s="151">
        <f t="shared" ref="AJ26:AL26" si="32">P26-AE26</f>
        <v>0</v>
      </c>
      <c r="AK26" s="151">
        <f t="shared" si="32"/>
        <v>0</v>
      </c>
      <c r="AL26" s="151">
        <f t="shared" si="32"/>
        <v>0</v>
      </c>
      <c r="AM26" s="145"/>
      <c r="AN26" s="139"/>
      <c r="AO26" s="139"/>
      <c r="AP26" s="139"/>
      <c r="AQ26" s="145"/>
      <c r="AR26" s="145"/>
    </row>
    <row r="27" spans="1:44" s="156" customFormat="1" ht="31.5" x14ac:dyDescent="0.25">
      <c r="A27" s="143" t="s">
        <v>52</v>
      </c>
      <c r="B27" s="144">
        <v>14</v>
      </c>
      <c r="C27" s="143" t="s">
        <v>176</v>
      </c>
      <c r="D27" s="143" t="s">
        <v>176</v>
      </c>
      <c r="E27" s="145"/>
      <c r="F27" s="146"/>
      <c r="G27" s="143" t="s">
        <v>180</v>
      </c>
      <c r="H27" s="143"/>
      <c r="I27" s="143"/>
      <c r="J27" s="143"/>
      <c r="K27" s="143"/>
      <c r="L27" s="143" t="s">
        <v>183</v>
      </c>
      <c r="M27" s="143" t="s">
        <v>43</v>
      </c>
      <c r="N27" s="143" t="s">
        <v>185</v>
      </c>
      <c r="O27" s="147">
        <v>1836348912</v>
      </c>
      <c r="P27" s="150"/>
      <c r="Q27" s="149">
        <v>7500000</v>
      </c>
      <c r="R27" s="150"/>
      <c r="S27" s="147">
        <f t="shared" si="5"/>
        <v>1843848912</v>
      </c>
      <c r="T27" s="151">
        <v>1836348912</v>
      </c>
      <c r="U27" s="143"/>
      <c r="V27" s="157"/>
      <c r="W27" s="143"/>
      <c r="X27" s="143"/>
      <c r="Y27" s="152">
        <f t="shared" ref="Y27:AB27" si="33">AD27-T27</f>
        <v>0</v>
      </c>
      <c r="Z27" s="151">
        <f t="shared" si="33"/>
        <v>0</v>
      </c>
      <c r="AA27" s="151">
        <f t="shared" si="33"/>
        <v>0</v>
      </c>
      <c r="AB27" s="152">
        <f t="shared" si="33"/>
        <v>0</v>
      </c>
      <c r="AC27" s="143"/>
      <c r="AD27" s="155">
        <v>1836348912</v>
      </c>
      <c r="AE27" s="150"/>
      <c r="AF27" s="150"/>
      <c r="AG27" s="155"/>
      <c r="AH27" s="143">
        <f t="shared" si="7"/>
        <v>0</v>
      </c>
      <c r="AI27" s="151"/>
      <c r="AJ27" s="151">
        <f t="shared" ref="AJ27:AL27" si="34">P27-AE27</f>
        <v>0</v>
      </c>
      <c r="AK27" s="151">
        <f t="shared" si="34"/>
        <v>7500000</v>
      </c>
      <c r="AL27" s="151">
        <f t="shared" si="34"/>
        <v>0</v>
      </c>
      <c r="AM27" s="145"/>
      <c r="AN27" s="139"/>
      <c r="AO27" s="139"/>
      <c r="AP27" s="162" t="s">
        <v>394</v>
      </c>
      <c r="AQ27" s="145"/>
      <c r="AR27" s="145"/>
    </row>
    <row r="28" spans="1:44" s="156" customFormat="1" ht="31.5" x14ac:dyDescent="0.25">
      <c r="A28" s="143" t="s">
        <v>52</v>
      </c>
      <c r="B28" s="144">
        <v>15</v>
      </c>
      <c r="C28" s="143" t="s">
        <v>176</v>
      </c>
      <c r="D28" s="143" t="s">
        <v>176</v>
      </c>
      <c r="E28" s="145"/>
      <c r="F28" s="146"/>
      <c r="G28" s="143" t="s">
        <v>187</v>
      </c>
      <c r="H28" s="143"/>
      <c r="I28" s="143"/>
      <c r="J28" s="143"/>
      <c r="K28" s="143"/>
      <c r="L28" s="143" t="s">
        <v>188</v>
      </c>
      <c r="M28" s="143" t="s">
        <v>43</v>
      </c>
      <c r="N28" s="143" t="s">
        <v>189</v>
      </c>
      <c r="O28" s="147">
        <v>662595692</v>
      </c>
      <c r="P28" s="150"/>
      <c r="Q28" s="149">
        <v>7500000</v>
      </c>
      <c r="R28" s="150"/>
      <c r="S28" s="147">
        <f t="shared" si="5"/>
        <v>670095692</v>
      </c>
      <c r="T28" s="151">
        <v>662595692</v>
      </c>
      <c r="U28" s="143"/>
      <c r="V28" s="147">
        <v>7500000</v>
      </c>
      <c r="W28" s="143"/>
      <c r="X28" s="158">
        <v>-195505082</v>
      </c>
      <c r="Y28" s="152">
        <f t="shared" ref="Y28:AB28" si="35">AD28-T28</f>
        <v>0</v>
      </c>
      <c r="Z28" s="151">
        <f t="shared" si="35"/>
        <v>0</v>
      </c>
      <c r="AA28" s="151">
        <f t="shared" si="35"/>
        <v>0</v>
      </c>
      <c r="AB28" s="152">
        <f t="shared" si="35"/>
        <v>0</v>
      </c>
      <c r="AC28" s="158"/>
      <c r="AD28" s="155">
        <v>662595692</v>
      </c>
      <c r="AE28" s="150"/>
      <c r="AF28" s="148">
        <v>7500000</v>
      </c>
      <c r="AG28" s="155"/>
      <c r="AH28" s="151">
        <f t="shared" si="7"/>
        <v>-195505082</v>
      </c>
      <c r="AI28" s="151"/>
      <c r="AJ28" s="151">
        <f t="shared" ref="AJ28:AL28" si="36">P28-AE28</f>
        <v>0</v>
      </c>
      <c r="AK28" s="151">
        <f t="shared" si="36"/>
        <v>0</v>
      </c>
      <c r="AL28" s="151">
        <f t="shared" si="36"/>
        <v>0</v>
      </c>
      <c r="AM28" s="145"/>
      <c r="AN28" s="139"/>
      <c r="AO28" s="139"/>
      <c r="AP28" s="139"/>
      <c r="AQ28" s="145"/>
      <c r="AR28" s="145"/>
    </row>
    <row r="29" spans="1:44" s="156" customFormat="1" ht="31.5" x14ac:dyDescent="0.25">
      <c r="A29" s="143" t="s">
        <v>35</v>
      </c>
      <c r="B29" s="144">
        <v>16</v>
      </c>
      <c r="C29" s="143" t="s">
        <v>196</v>
      </c>
      <c r="D29" s="143" t="s">
        <v>196</v>
      </c>
      <c r="E29" s="145"/>
      <c r="F29" s="146"/>
      <c r="G29" s="143" t="s">
        <v>197</v>
      </c>
      <c r="H29" s="143"/>
      <c r="I29" s="143"/>
      <c r="J29" s="143"/>
      <c r="K29" s="143"/>
      <c r="L29" s="143" t="s">
        <v>198</v>
      </c>
      <c r="M29" s="143" t="s">
        <v>43</v>
      </c>
      <c r="N29" s="143" t="s">
        <v>199</v>
      </c>
      <c r="O29" s="147">
        <v>13658317884</v>
      </c>
      <c r="P29" s="150"/>
      <c r="Q29" s="149">
        <v>7500000</v>
      </c>
      <c r="R29" s="150"/>
      <c r="S29" s="147">
        <f t="shared" si="5"/>
        <v>13665817884</v>
      </c>
      <c r="T29" s="151">
        <v>13658317884</v>
      </c>
      <c r="U29" s="143"/>
      <c r="V29" s="147">
        <v>7500000</v>
      </c>
      <c r="W29" s="143"/>
      <c r="X29" s="143"/>
      <c r="Y29" s="152">
        <f t="shared" ref="Y29:AB29" si="37">AD29-T29</f>
        <v>0</v>
      </c>
      <c r="Z29" s="151">
        <f t="shared" si="37"/>
        <v>0</v>
      </c>
      <c r="AA29" s="151">
        <f t="shared" si="37"/>
        <v>0</v>
      </c>
      <c r="AB29" s="152">
        <f t="shared" si="37"/>
        <v>0</v>
      </c>
      <c r="AC29" s="143"/>
      <c r="AD29" s="155">
        <v>13658317884</v>
      </c>
      <c r="AE29" s="150"/>
      <c r="AF29" s="148">
        <v>7500000</v>
      </c>
      <c r="AG29" s="155"/>
      <c r="AH29" s="143">
        <f t="shared" si="7"/>
        <v>0</v>
      </c>
      <c r="AI29" s="151"/>
      <c r="AJ29" s="151">
        <f t="shared" ref="AJ29:AL29" si="38">P29-AE29</f>
        <v>0</v>
      </c>
      <c r="AK29" s="151">
        <f t="shared" si="38"/>
        <v>0</v>
      </c>
      <c r="AL29" s="151">
        <f t="shared" si="38"/>
        <v>0</v>
      </c>
      <c r="AM29" s="145"/>
      <c r="AN29" s="139"/>
      <c r="AO29" s="139"/>
      <c r="AP29" s="139"/>
      <c r="AQ29" s="145"/>
      <c r="AR29" s="145"/>
    </row>
    <row r="30" spans="1:44" s="156" customFormat="1" ht="31.5" x14ac:dyDescent="0.25">
      <c r="A30" s="143" t="s">
        <v>60</v>
      </c>
      <c r="B30" s="144">
        <v>17</v>
      </c>
      <c r="C30" s="143" t="s">
        <v>196</v>
      </c>
      <c r="D30" s="143" t="s">
        <v>196</v>
      </c>
      <c r="E30" s="145"/>
      <c r="F30" s="146"/>
      <c r="G30" s="143" t="s">
        <v>204</v>
      </c>
      <c r="H30" s="143"/>
      <c r="I30" s="143"/>
      <c r="J30" s="143"/>
      <c r="K30" s="143"/>
      <c r="L30" s="143" t="s">
        <v>206</v>
      </c>
      <c r="M30" s="143" t="s">
        <v>43</v>
      </c>
      <c r="N30" s="143" t="s">
        <v>207</v>
      </c>
      <c r="O30" s="147">
        <v>1592587200</v>
      </c>
      <c r="P30" s="150"/>
      <c r="Q30" s="149">
        <v>7500000</v>
      </c>
      <c r="R30" s="150"/>
      <c r="S30" s="147">
        <f t="shared" si="5"/>
        <v>1600087200</v>
      </c>
      <c r="T30" s="151">
        <v>1592587200</v>
      </c>
      <c r="U30" s="143"/>
      <c r="V30" s="157"/>
      <c r="W30" s="143"/>
      <c r="X30" s="143"/>
      <c r="Y30" s="152">
        <f t="shared" ref="Y30:AB30" si="39">AD30-T30</f>
        <v>0</v>
      </c>
      <c r="Z30" s="151">
        <f t="shared" si="39"/>
        <v>0</v>
      </c>
      <c r="AA30" s="151">
        <f t="shared" si="39"/>
        <v>0</v>
      </c>
      <c r="AB30" s="152">
        <f t="shared" si="39"/>
        <v>0</v>
      </c>
      <c r="AC30" s="143"/>
      <c r="AD30" s="155">
        <v>1592587200</v>
      </c>
      <c r="AE30" s="150"/>
      <c r="AF30" s="150"/>
      <c r="AG30" s="155"/>
      <c r="AH30" s="143">
        <f t="shared" si="7"/>
        <v>0</v>
      </c>
      <c r="AI30" s="151"/>
      <c r="AJ30" s="151">
        <f t="shared" ref="AJ30:AL30" si="40">P30-AE30</f>
        <v>0</v>
      </c>
      <c r="AK30" s="151">
        <f t="shared" si="40"/>
        <v>7500000</v>
      </c>
      <c r="AL30" s="151">
        <f t="shared" si="40"/>
        <v>0</v>
      </c>
      <c r="AM30" s="145"/>
      <c r="AN30" s="139"/>
      <c r="AO30" s="139"/>
      <c r="AP30" s="163" t="s">
        <v>429</v>
      </c>
      <c r="AQ30" s="145"/>
      <c r="AR30" s="145"/>
    </row>
    <row r="31" spans="1:44" s="156" customFormat="1" ht="31.5" x14ac:dyDescent="0.25">
      <c r="A31" s="143" t="s">
        <v>83</v>
      </c>
      <c r="B31" s="144">
        <v>18</v>
      </c>
      <c r="C31" s="143" t="s">
        <v>196</v>
      </c>
      <c r="D31" s="143" t="s">
        <v>196</v>
      </c>
      <c r="E31" s="145"/>
      <c r="F31" s="146"/>
      <c r="G31" s="143" t="s">
        <v>213</v>
      </c>
      <c r="H31" s="143"/>
      <c r="I31" s="143" t="s">
        <v>85</v>
      </c>
      <c r="J31" s="143"/>
      <c r="K31" s="143"/>
      <c r="L31" s="143" t="s">
        <v>214</v>
      </c>
      <c r="M31" s="143" t="s">
        <v>43</v>
      </c>
      <c r="N31" s="143" t="s">
        <v>215</v>
      </c>
      <c r="O31" s="147"/>
      <c r="P31" s="150"/>
      <c r="Q31" s="155"/>
      <c r="R31" s="150"/>
      <c r="S31" s="147">
        <f t="shared" si="5"/>
        <v>0</v>
      </c>
      <c r="T31" s="144">
        <v>0</v>
      </c>
      <c r="U31" s="143"/>
      <c r="V31" s="157"/>
      <c r="W31" s="143"/>
      <c r="X31" s="143"/>
      <c r="Y31" s="151">
        <f t="shared" ref="Y31:AB31" si="41">AD31-T31</f>
        <v>0</v>
      </c>
      <c r="Z31" s="151">
        <f t="shared" si="41"/>
        <v>0</v>
      </c>
      <c r="AA31" s="151">
        <f t="shared" si="41"/>
        <v>0</v>
      </c>
      <c r="AB31" s="152">
        <f t="shared" si="41"/>
        <v>0</v>
      </c>
      <c r="AC31" s="143"/>
      <c r="AD31" s="148">
        <v>0</v>
      </c>
      <c r="AE31" s="150"/>
      <c r="AF31" s="150"/>
      <c r="AG31" s="155"/>
      <c r="AH31" s="143">
        <f t="shared" si="7"/>
        <v>0</v>
      </c>
      <c r="AI31" s="151"/>
      <c r="AJ31" s="151">
        <f t="shared" ref="AJ31:AL31" si="42">P31-AE31</f>
        <v>0</v>
      </c>
      <c r="AK31" s="151">
        <f t="shared" si="42"/>
        <v>0</v>
      </c>
      <c r="AL31" s="151">
        <f t="shared" si="42"/>
        <v>0</v>
      </c>
      <c r="AM31" s="145"/>
      <c r="AN31" s="139"/>
      <c r="AO31" s="139"/>
      <c r="AP31" s="139"/>
      <c r="AQ31" s="145"/>
      <c r="AR31" s="145"/>
    </row>
    <row r="32" spans="1:44" s="156" customFormat="1" ht="31.5" x14ac:dyDescent="0.25">
      <c r="A32" s="143" t="s">
        <v>35</v>
      </c>
      <c r="B32" s="144">
        <v>19</v>
      </c>
      <c r="C32" s="143" t="s">
        <v>196</v>
      </c>
      <c r="D32" s="143" t="s">
        <v>196</v>
      </c>
      <c r="E32" s="145"/>
      <c r="F32" s="146"/>
      <c r="G32" s="143" t="s">
        <v>217</v>
      </c>
      <c r="H32" s="143"/>
      <c r="I32" s="143"/>
      <c r="J32" s="143"/>
      <c r="K32" s="143"/>
      <c r="L32" s="143" t="s">
        <v>220</v>
      </c>
      <c r="M32" s="143" t="s">
        <v>43</v>
      </c>
      <c r="N32" s="143" t="s">
        <v>222</v>
      </c>
      <c r="O32" s="147">
        <v>4546438698</v>
      </c>
      <c r="P32" s="150"/>
      <c r="Q32" s="149">
        <v>15000000</v>
      </c>
      <c r="R32" s="150"/>
      <c r="S32" s="147">
        <f t="shared" si="5"/>
        <v>4561438698</v>
      </c>
      <c r="T32" s="151">
        <v>4546438698</v>
      </c>
      <c r="U32" s="143"/>
      <c r="V32" s="147">
        <v>15000000</v>
      </c>
      <c r="W32" s="143"/>
      <c r="X32" s="143"/>
      <c r="Y32" s="152">
        <f t="shared" ref="Y32:AB32" si="43">AD32-T32</f>
        <v>0</v>
      </c>
      <c r="Z32" s="151">
        <f t="shared" si="43"/>
        <v>0</v>
      </c>
      <c r="AA32" s="151">
        <f t="shared" si="43"/>
        <v>0</v>
      </c>
      <c r="AB32" s="152">
        <f t="shared" si="43"/>
        <v>0</v>
      </c>
      <c r="AC32" s="143"/>
      <c r="AD32" s="155">
        <v>4546438698</v>
      </c>
      <c r="AE32" s="150"/>
      <c r="AF32" s="148">
        <v>15000000</v>
      </c>
      <c r="AG32" s="155"/>
      <c r="AH32" s="143">
        <f t="shared" si="7"/>
        <v>0</v>
      </c>
      <c r="AI32" s="151"/>
      <c r="AJ32" s="151">
        <f t="shared" ref="AJ32:AL32" si="44">P32-AE32</f>
        <v>0</v>
      </c>
      <c r="AK32" s="151">
        <f t="shared" si="44"/>
        <v>0</v>
      </c>
      <c r="AL32" s="151">
        <f t="shared" si="44"/>
        <v>0</v>
      </c>
      <c r="AM32" s="145"/>
      <c r="AN32" s="139"/>
      <c r="AO32" s="139"/>
      <c r="AP32" s="139"/>
      <c r="AQ32" s="145"/>
      <c r="AR32" s="145"/>
    </row>
    <row r="33" spans="1:44" s="156" customFormat="1" ht="47.25" x14ac:dyDescent="0.25">
      <c r="A33" s="143" t="s">
        <v>83</v>
      </c>
      <c r="B33" s="144">
        <v>20</v>
      </c>
      <c r="C33" s="143" t="s">
        <v>196</v>
      </c>
      <c r="D33" s="143" t="s">
        <v>196</v>
      </c>
      <c r="E33" s="145"/>
      <c r="F33" s="146"/>
      <c r="G33" s="143" t="s">
        <v>224</v>
      </c>
      <c r="H33" s="143"/>
      <c r="I33" s="143" t="s">
        <v>113</v>
      </c>
      <c r="J33" s="143"/>
      <c r="K33" s="143"/>
      <c r="L33" s="143" t="s">
        <v>226</v>
      </c>
      <c r="M33" s="143" t="s">
        <v>43</v>
      </c>
      <c r="N33" s="143" t="s">
        <v>229</v>
      </c>
      <c r="O33" s="147"/>
      <c r="P33" s="150"/>
      <c r="Q33" s="155"/>
      <c r="R33" s="150"/>
      <c r="S33" s="147">
        <f t="shared" si="5"/>
        <v>0</v>
      </c>
      <c r="T33" s="144">
        <v>0</v>
      </c>
      <c r="U33" s="143"/>
      <c r="V33" s="157"/>
      <c r="W33" s="143"/>
      <c r="X33" s="143"/>
      <c r="Y33" s="151">
        <f t="shared" ref="Y33:AB33" si="45">AD33-T33</f>
        <v>0</v>
      </c>
      <c r="Z33" s="151">
        <f t="shared" si="45"/>
        <v>0</v>
      </c>
      <c r="AA33" s="151">
        <f t="shared" si="45"/>
        <v>0</v>
      </c>
      <c r="AB33" s="152">
        <f t="shared" si="45"/>
        <v>0</v>
      </c>
      <c r="AC33" s="143"/>
      <c r="AD33" s="148">
        <v>0</v>
      </c>
      <c r="AE33" s="150"/>
      <c r="AF33" s="150"/>
      <c r="AG33" s="155"/>
      <c r="AH33" s="143">
        <f t="shared" si="7"/>
        <v>0</v>
      </c>
      <c r="AI33" s="151"/>
      <c r="AJ33" s="151">
        <f t="shared" ref="AJ33:AL33" si="46">P33-AE33</f>
        <v>0</v>
      </c>
      <c r="AK33" s="151">
        <f t="shared" si="46"/>
        <v>0</v>
      </c>
      <c r="AL33" s="151">
        <f t="shared" si="46"/>
        <v>0</v>
      </c>
      <c r="AM33" s="145"/>
      <c r="AN33" s="139"/>
      <c r="AO33" s="139"/>
      <c r="AP33" s="139"/>
      <c r="AQ33" s="145"/>
      <c r="AR33" s="145"/>
    </row>
    <row r="34" spans="1:44" s="156" customFormat="1" ht="31.5" x14ac:dyDescent="0.25">
      <c r="A34" s="143" t="s">
        <v>60</v>
      </c>
      <c r="B34" s="144">
        <v>21</v>
      </c>
      <c r="C34" s="143" t="s">
        <v>196</v>
      </c>
      <c r="D34" s="143" t="s">
        <v>196</v>
      </c>
      <c r="E34" s="145"/>
      <c r="F34" s="146"/>
      <c r="G34" s="143" t="s">
        <v>234</v>
      </c>
      <c r="H34" s="143"/>
      <c r="I34" s="143"/>
      <c r="J34" s="143"/>
      <c r="K34" s="143"/>
      <c r="L34" s="143" t="s">
        <v>235</v>
      </c>
      <c r="M34" s="143" t="s">
        <v>43</v>
      </c>
      <c r="N34" s="143" t="s">
        <v>237</v>
      </c>
      <c r="O34" s="147">
        <v>402447024</v>
      </c>
      <c r="P34" s="150"/>
      <c r="Q34" s="149">
        <v>7500000</v>
      </c>
      <c r="R34" s="150"/>
      <c r="S34" s="147">
        <f t="shared" si="5"/>
        <v>409947024</v>
      </c>
      <c r="T34" s="151">
        <v>402447024</v>
      </c>
      <c r="U34" s="143"/>
      <c r="V34" s="147">
        <v>7500000</v>
      </c>
      <c r="W34" s="143"/>
      <c r="X34" s="143"/>
      <c r="Y34" s="152">
        <f t="shared" ref="Y34:AB34" si="47">AD34-T34</f>
        <v>0</v>
      </c>
      <c r="Z34" s="151">
        <f t="shared" si="47"/>
        <v>0</v>
      </c>
      <c r="AA34" s="151">
        <f t="shared" si="47"/>
        <v>0</v>
      </c>
      <c r="AB34" s="152">
        <f t="shared" si="47"/>
        <v>0</v>
      </c>
      <c r="AC34" s="143"/>
      <c r="AD34" s="155">
        <v>402447024</v>
      </c>
      <c r="AE34" s="150"/>
      <c r="AF34" s="148">
        <v>7500000</v>
      </c>
      <c r="AG34" s="155"/>
      <c r="AH34" s="143">
        <f t="shared" si="7"/>
        <v>0</v>
      </c>
      <c r="AI34" s="151"/>
      <c r="AJ34" s="151">
        <f t="shared" ref="AJ34:AL34" si="48">P34-AE34</f>
        <v>0</v>
      </c>
      <c r="AK34" s="151">
        <f t="shared" si="48"/>
        <v>0</v>
      </c>
      <c r="AL34" s="151">
        <f t="shared" si="48"/>
        <v>0</v>
      </c>
      <c r="AM34" s="145"/>
      <c r="AN34" s="139"/>
      <c r="AO34" s="139"/>
      <c r="AP34" s="139"/>
      <c r="AQ34" s="145"/>
      <c r="AR34" s="145"/>
    </row>
    <row r="35" spans="1:44" s="156" customFormat="1" ht="31.5" x14ac:dyDescent="0.25">
      <c r="A35" s="143" t="s">
        <v>83</v>
      </c>
      <c r="B35" s="144">
        <v>22</v>
      </c>
      <c r="C35" s="143" t="s">
        <v>196</v>
      </c>
      <c r="D35" s="143" t="s">
        <v>196</v>
      </c>
      <c r="E35" s="145"/>
      <c r="F35" s="146"/>
      <c r="G35" s="143" t="s">
        <v>247</v>
      </c>
      <c r="H35" s="143"/>
      <c r="I35" s="143" t="s">
        <v>85</v>
      </c>
      <c r="J35" s="143"/>
      <c r="K35" s="143"/>
      <c r="L35" s="143" t="s">
        <v>248</v>
      </c>
      <c r="M35" s="143" t="s">
        <v>43</v>
      </c>
      <c r="N35" s="143" t="s">
        <v>249</v>
      </c>
      <c r="O35" s="147"/>
      <c r="P35" s="150"/>
      <c r="Q35" s="155"/>
      <c r="R35" s="150"/>
      <c r="S35" s="147">
        <f t="shared" si="5"/>
        <v>0</v>
      </c>
      <c r="T35" s="144">
        <v>0</v>
      </c>
      <c r="U35" s="143"/>
      <c r="V35" s="157"/>
      <c r="W35" s="143"/>
      <c r="X35" s="143"/>
      <c r="Y35" s="151">
        <f t="shared" ref="Y35:AB35" si="49">AD35-T35</f>
        <v>0</v>
      </c>
      <c r="Z35" s="151">
        <f t="shared" si="49"/>
        <v>0</v>
      </c>
      <c r="AA35" s="151">
        <f t="shared" si="49"/>
        <v>0</v>
      </c>
      <c r="AB35" s="152">
        <f t="shared" si="49"/>
        <v>0</v>
      </c>
      <c r="AC35" s="143"/>
      <c r="AD35" s="148">
        <v>0</v>
      </c>
      <c r="AE35" s="150"/>
      <c r="AF35" s="150"/>
      <c r="AG35" s="155"/>
      <c r="AH35" s="143">
        <f t="shared" si="7"/>
        <v>0</v>
      </c>
      <c r="AI35" s="151"/>
      <c r="AJ35" s="151">
        <f t="shared" ref="AJ35:AL35" si="50">P35-AE35</f>
        <v>0</v>
      </c>
      <c r="AK35" s="151">
        <f t="shared" si="50"/>
        <v>0</v>
      </c>
      <c r="AL35" s="151">
        <f t="shared" si="50"/>
        <v>0</v>
      </c>
      <c r="AM35" s="145"/>
      <c r="AN35" s="139"/>
      <c r="AO35" s="139"/>
      <c r="AP35" s="139"/>
      <c r="AQ35" s="145"/>
      <c r="AR35" s="145"/>
    </row>
    <row r="36" spans="1:44" s="156" customFormat="1" ht="31.5" x14ac:dyDescent="0.25">
      <c r="A36" s="143" t="s">
        <v>52</v>
      </c>
      <c r="B36" s="144">
        <v>23</v>
      </c>
      <c r="C36" s="143" t="s">
        <v>196</v>
      </c>
      <c r="D36" s="143" t="s">
        <v>196</v>
      </c>
      <c r="E36" s="145"/>
      <c r="F36" s="146"/>
      <c r="G36" s="143" t="s">
        <v>255</v>
      </c>
      <c r="H36" s="143"/>
      <c r="I36" s="143"/>
      <c r="J36" s="143"/>
      <c r="K36" s="143"/>
      <c r="L36" s="143" t="s">
        <v>256</v>
      </c>
      <c r="M36" s="143" t="s">
        <v>43</v>
      </c>
      <c r="N36" s="143" t="s">
        <v>257</v>
      </c>
      <c r="O36" s="147">
        <v>655613400</v>
      </c>
      <c r="P36" s="150"/>
      <c r="Q36" s="149">
        <v>7500000</v>
      </c>
      <c r="R36" s="150"/>
      <c r="S36" s="147">
        <f t="shared" si="5"/>
        <v>663113400</v>
      </c>
      <c r="T36" s="151">
        <v>655613400</v>
      </c>
      <c r="U36" s="143"/>
      <c r="V36" s="147">
        <v>7500000</v>
      </c>
      <c r="W36" s="143"/>
      <c r="X36" s="143"/>
      <c r="Y36" s="152">
        <f t="shared" ref="Y36:AB36" si="51">AD36-T36</f>
        <v>0</v>
      </c>
      <c r="Z36" s="151">
        <f t="shared" si="51"/>
        <v>0</v>
      </c>
      <c r="AA36" s="151">
        <f t="shared" si="51"/>
        <v>0</v>
      </c>
      <c r="AB36" s="152">
        <f t="shared" si="51"/>
        <v>0</v>
      </c>
      <c r="AC36" s="143"/>
      <c r="AD36" s="155">
        <v>655613400</v>
      </c>
      <c r="AE36" s="150"/>
      <c r="AF36" s="148">
        <v>7500000</v>
      </c>
      <c r="AG36" s="155"/>
      <c r="AH36" s="143">
        <f t="shared" si="7"/>
        <v>0</v>
      </c>
      <c r="AI36" s="151"/>
      <c r="AJ36" s="151">
        <f t="shared" ref="AJ36:AL36" si="52">P36-AE36</f>
        <v>0</v>
      </c>
      <c r="AK36" s="151">
        <f t="shared" si="52"/>
        <v>0</v>
      </c>
      <c r="AL36" s="151">
        <f t="shared" si="52"/>
        <v>0</v>
      </c>
      <c r="AM36" s="145"/>
      <c r="AN36" s="139"/>
      <c r="AO36" s="139"/>
      <c r="AP36" s="139"/>
      <c r="AQ36" s="145"/>
      <c r="AR36" s="145"/>
    </row>
    <row r="37" spans="1:44" s="156" customFormat="1" ht="47.25" x14ac:dyDescent="0.25">
      <c r="A37" s="143" t="s">
        <v>83</v>
      </c>
      <c r="B37" s="144">
        <v>24</v>
      </c>
      <c r="C37" s="143" t="s">
        <v>196</v>
      </c>
      <c r="D37" s="143" t="s">
        <v>196</v>
      </c>
      <c r="E37" s="145"/>
      <c r="F37" s="146"/>
      <c r="G37" s="143" t="s">
        <v>264</v>
      </c>
      <c r="H37" s="143"/>
      <c r="I37" s="143" t="s">
        <v>113</v>
      </c>
      <c r="J37" s="143"/>
      <c r="K37" s="143"/>
      <c r="L37" s="143" t="s">
        <v>265</v>
      </c>
      <c r="M37" s="143" t="s">
        <v>43</v>
      </c>
      <c r="N37" s="143" t="s">
        <v>266</v>
      </c>
      <c r="O37" s="147"/>
      <c r="P37" s="150"/>
      <c r="Q37" s="155"/>
      <c r="R37" s="150"/>
      <c r="S37" s="147">
        <f t="shared" si="5"/>
        <v>0</v>
      </c>
      <c r="T37" s="144">
        <v>0</v>
      </c>
      <c r="U37" s="143"/>
      <c r="V37" s="157"/>
      <c r="W37" s="143"/>
      <c r="X37" s="143"/>
      <c r="Y37" s="151">
        <f t="shared" ref="Y37:AB37" si="53">AD37-T37</f>
        <v>0</v>
      </c>
      <c r="Z37" s="151">
        <f t="shared" si="53"/>
        <v>0</v>
      </c>
      <c r="AA37" s="151">
        <f t="shared" si="53"/>
        <v>0</v>
      </c>
      <c r="AB37" s="152">
        <f t="shared" si="53"/>
        <v>0</v>
      </c>
      <c r="AC37" s="143"/>
      <c r="AD37" s="148">
        <v>0</v>
      </c>
      <c r="AE37" s="150"/>
      <c r="AF37" s="150"/>
      <c r="AG37" s="155"/>
      <c r="AH37" s="143">
        <f t="shared" si="7"/>
        <v>0</v>
      </c>
      <c r="AI37" s="151"/>
      <c r="AJ37" s="151">
        <f t="shared" ref="AJ37:AL37" si="54">P37-AE37</f>
        <v>0</v>
      </c>
      <c r="AK37" s="151">
        <f t="shared" si="54"/>
        <v>0</v>
      </c>
      <c r="AL37" s="151">
        <f t="shared" si="54"/>
        <v>0</v>
      </c>
      <c r="AM37" s="145"/>
      <c r="AN37" s="139"/>
      <c r="AO37" s="139"/>
      <c r="AP37" s="139"/>
      <c r="AQ37" s="145"/>
      <c r="AR37" s="145"/>
    </row>
    <row r="38" spans="1:44" s="156" customFormat="1" ht="31.5" x14ac:dyDescent="0.25">
      <c r="A38" s="143" t="s">
        <v>60</v>
      </c>
      <c r="B38" s="144">
        <v>25</v>
      </c>
      <c r="C38" s="143" t="s">
        <v>196</v>
      </c>
      <c r="D38" s="143" t="s">
        <v>196</v>
      </c>
      <c r="E38" s="145"/>
      <c r="F38" s="146"/>
      <c r="G38" s="143" t="s">
        <v>272</v>
      </c>
      <c r="H38" s="143"/>
      <c r="I38" s="143"/>
      <c r="J38" s="143"/>
      <c r="K38" s="143"/>
      <c r="L38" s="143" t="s">
        <v>273</v>
      </c>
      <c r="M38" s="143" t="s">
        <v>43</v>
      </c>
      <c r="N38" s="143" t="s">
        <v>274</v>
      </c>
      <c r="O38" s="147">
        <v>1685363872</v>
      </c>
      <c r="P38" s="150"/>
      <c r="Q38" s="149">
        <v>15000000</v>
      </c>
      <c r="R38" s="150"/>
      <c r="S38" s="147">
        <f t="shared" si="5"/>
        <v>1700363872</v>
      </c>
      <c r="T38" s="151">
        <v>1685363872</v>
      </c>
      <c r="U38" s="143"/>
      <c r="V38" s="147">
        <v>15000000</v>
      </c>
      <c r="W38" s="143"/>
      <c r="X38" s="143"/>
      <c r="Y38" s="152">
        <f t="shared" ref="Y38:AB38" si="55">AD38-T38</f>
        <v>0</v>
      </c>
      <c r="Z38" s="151">
        <f t="shared" si="55"/>
        <v>0</v>
      </c>
      <c r="AA38" s="151">
        <f t="shared" si="55"/>
        <v>0</v>
      </c>
      <c r="AB38" s="152">
        <f t="shared" si="55"/>
        <v>0</v>
      </c>
      <c r="AC38" s="143"/>
      <c r="AD38" s="155">
        <v>1685363872</v>
      </c>
      <c r="AE38" s="150"/>
      <c r="AF38" s="148">
        <v>15000000</v>
      </c>
      <c r="AG38" s="155"/>
      <c r="AH38" s="143">
        <f t="shared" si="7"/>
        <v>0</v>
      </c>
      <c r="AI38" s="151"/>
      <c r="AJ38" s="151">
        <f t="shared" ref="AJ38:AL38" si="56">P38-AE38</f>
        <v>0</v>
      </c>
      <c r="AK38" s="151">
        <f t="shared" si="56"/>
        <v>0</v>
      </c>
      <c r="AL38" s="151">
        <f t="shared" si="56"/>
        <v>0</v>
      </c>
      <c r="AM38" s="145"/>
      <c r="AN38" s="139"/>
      <c r="AO38" s="139"/>
      <c r="AP38" s="139"/>
      <c r="AQ38" s="145"/>
      <c r="AR38" s="145"/>
    </row>
    <row r="39" spans="1:44" s="156" customFormat="1" ht="31.5" x14ac:dyDescent="0.25">
      <c r="A39" s="143" t="s">
        <v>83</v>
      </c>
      <c r="B39" s="144">
        <v>26</v>
      </c>
      <c r="C39" s="143" t="s">
        <v>196</v>
      </c>
      <c r="D39" s="143" t="s">
        <v>196</v>
      </c>
      <c r="E39" s="145"/>
      <c r="F39" s="146"/>
      <c r="G39" s="143" t="s">
        <v>277</v>
      </c>
      <c r="H39" s="143"/>
      <c r="I39" s="143" t="s">
        <v>85</v>
      </c>
      <c r="J39" s="143"/>
      <c r="K39" s="143"/>
      <c r="L39" s="143" t="s">
        <v>281</v>
      </c>
      <c r="M39" s="143" t="s">
        <v>43</v>
      </c>
      <c r="N39" s="143" t="s">
        <v>283</v>
      </c>
      <c r="O39" s="147"/>
      <c r="P39" s="150"/>
      <c r="Q39" s="155"/>
      <c r="R39" s="150"/>
      <c r="S39" s="147">
        <f t="shared" si="5"/>
        <v>0</v>
      </c>
      <c r="T39" s="144">
        <v>0</v>
      </c>
      <c r="U39" s="143"/>
      <c r="V39" s="157"/>
      <c r="W39" s="143"/>
      <c r="X39" s="143"/>
      <c r="Y39" s="151">
        <f t="shared" ref="Y39:AB39" si="57">AD39-T39</f>
        <v>0</v>
      </c>
      <c r="Z39" s="151">
        <f t="shared" si="57"/>
        <v>0</v>
      </c>
      <c r="AA39" s="151">
        <f t="shared" si="57"/>
        <v>0</v>
      </c>
      <c r="AB39" s="152">
        <f t="shared" si="57"/>
        <v>0</v>
      </c>
      <c r="AC39" s="143"/>
      <c r="AD39" s="148">
        <v>0</v>
      </c>
      <c r="AE39" s="150"/>
      <c r="AF39" s="150"/>
      <c r="AG39" s="155"/>
      <c r="AH39" s="143">
        <f t="shared" si="7"/>
        <v>0</v>
      </c>
      <c r="AI39" s="151"/>
      <c r="AJ39" s="151">
        <f t="shared" ref="AJ39:AL39" si="58">P39-AE39</f>
        <v>0</v>
      </c>
      <c r="AK39" s="151">
        <f t="shared" si="58"/>
        <v>0</v>
      </c>
      <c r="AL39" s="151">
        <f t="shared" si="58"/>
        <v>0</v>
      </c>
      <c r="AM39" s="145"/>
      <c r="AN39" s="139"/>
      <c r="AO39" s="139"/>
      <c r="AP39" s="139"/>
      <c r="AQ39" s="145"/>
      <c r="AR39" s="145"/>
    </row>
    <row r="40" spans="1:44" s="156" customFormat="1" ht="31.5" x14ac:dyDescent="0.25">
      <c r="A40" s="143" t="s">
        <v>83</v>
      </c>
      <c r="B40" s="144">
        <v>27</v>
      </c>
      <c r="C40" s="143" t="s">
        <v>286</v>
      </c>
      <c r="D40" s="143" t="s">
        <v>286</v>
      </c>
      <c r="E40" s="145"/>
      <c r="F40" s="146"/>
      <c r="G40" s="143" t="s">
        <v>287</v>
      </c>
      <c r="H40" s="143"/>
      <c r="I40" s="143" t="s">
        <v>113</v>
      </c>
      <c r="J40" s="143"/>
      <c r="K40" s="143"/>
      <c r="L40" s="143" t="s">
        <v>281</v>
      </c>
      <c r="M40" s="143" t="s">
        <v>43</v>
      </c>
      <c r="N40" s="143" t="s">
        <v>288</v>
      </c>
      <c r="O40" s="147"/>
      <c r="P40" s="150"/>
      <c r="Q40" s="155"/>
      <c r="R40" s="150"/>
      <c r="S40" s="147">
        <f t="shared" si="5"/>
        <v>0</v>
      </c>
      <c r="T40" s="144">
        <v>0</v>
      </c>
      <c r="U40" s="143"/>
      <c r="V40" s="157"/>
      <c r="W40" s="143"/>
      <c r="X40" s="143"/>
      <c r="Y40" s="151">
        <f t="shared" ref="Y40:AB40" si="59">AD40-T40</f>
        <v>0</v>
      </c>
      <c r="Z40" s="151">
        <f t="shared" si="59"/>
        <v>0</v>
      </c>
      <c r="AA40" s="151">
        <f t="shared" si="59"/>
        <v>0</v>
      </c>
      <c r="AB40" s="152">
        <f t="shared" si="59"/>
        <v>0</v>
      </c>
      <c r="AC40" s="143"/>
      <c r="AD40" s="148">
        <v>0</v>
      </c>
      <c r="AE40" s="150"/>
      <c r="AF40" s="150"/>
      <c r="AG40" s="155"/>
      <c r="AH40" s="143">
        <f t="shared" si="7"/>
        <v>0</v>
      </c>
      <c r="AI40" s="151"/>
      <c r="AJ40" s="151">
        <f t="shared" ref="AJ40:AL40" si="60">P40-AE40</f>
        <v>0</v>
      </c>
      <c r="AK40" s="151">
        <f t="shared" si="60"/>
        <v>0</v>
      </c>
      <c r="AL40" s="151">
        <f t="shared" si="60"/>
        <v>0</v>
      </c>
      <c r="AM40" s="145"/>
      <c r="AN40" s="139"/>
      <c r="AO40" s="139"/>
      <c r="AP40" s="139"/>
      <c r="AQ40" s="145"/>
      <c r="AR40" s="145"/>
    </row>
    <row r="41" spans="1:44" s="156" customFormat="1" ht="31.5" x14ac:dyDescent="0.25">
      <c r="A41" s="143" t="s">
        <v>35</v>
      </c>
      <c r="B41" s="144">
        <v>28</v>
      </c>
      <c r="C41" s="143" t="s">
        <v>286</v>
      </c>
      <c r="D41" s="143" t="s">
        <v>286</v>
      </c>
      <c r="E41" s="145"/>
      <c r="F41" s="146"/>
      <c r="G41" s="143" t="s">
        <v>294</v>
      </c>
      <c r="H41" s="143"/>
      <c r="I41" s="143"/>
      <c r="J41" s="143"/>
      <c r="K41" s="143"/>
      <c r="L41" s="143" t="s">
        <v>295</v>
      </c>
      <c r="M41" s="143" t="s">
        <v>43</v>
      </c>
      <c r="N41" s="143" t="s">
        <v>296</v>
      </c>
      <c r="O41" s="147">
        <v>5297512200</v>
      </c>
      <c r="P41" s="150"/>
      <c r="Q41" s="148">
        <v>7500000</v>
      </c>
      <c r="R41" s="150"/>
      <c r="S41" s="147">
        <f t="shared" si="5"/>
        <v>5305012200</v>
      </c>
      <c r="T41" s="158">
        <v>5297512200</v>
      </c>
      <c r="U41" s="143"/>
      <c r="V41" s="147">
        <v>7500000</v>
      </c>
      <c r="W41" s="143"/>
      <c r="X41" s="143"/>
      <c r="Y41" s="152">
        <f t="shared" ref="Y41:AB41" si="61">AD41-T41</f>
        <v>0</v>
      </c>
      <c r="Z41" s="151">
        <f t="shared" si="61"/>
        <v>0</v>
      </c>
      <c r="AA41" s="151">
        <f t="shared" si="61"/>
        <v>0</v>
      </c>
      <c r="AB41" s="152">
        <f t="shared" si="61"/>
        <v>0</v>
      </c>
      <c r="AC41" s="143"/>
      <c r="AD41" s="149">
        <v>5297512200</v>
      </c>
      <c r="AE41" s="150"/>
      <c r="AF41" s="148">
        <v>7500000</v>
      </c>
      <c r="AG41" s="155"/>
      <c r="AH41" s="143">
        <f t="shared" si="7"/>
        <v>0</v>
      </c>
      <c r="AI41" s="151"/>
      <c r="AJ41" s="151">
        <f t="shared" ref="AJ41:AL41" si="62">P41-AE41</f>
        <v>0</v>
      </c>
      <c r="AK41" s="151">
        <f t="shared" si="62"/>
        <v>0</v>
      </c>
      <c r="AL41" s="151">
        <f t="shared" si="62"/>
        <v>0</v>
      </c>
      <c r="AM41" s="145"/>
      <c r="AN41" s="139"/>
      <c r="AO41" s="139"/>
      <c r="AP41" s="139"/>
      <c r="AQ41" s="145"/>
      <c r="AR41" s="145"/>
    </row>
    <row r="42" spans="1:44" s="156" customFormat="1" ht="31.5" x14ac:dyDescent="0.25">
      <c r="A42" s="143" t="s">
        <v>46</v>
      </c>
      <c r="B42" s="144">
        <v>29</v>
      </c>
      <c r="C42" s="143" t="s">
        <v>286</v>
      </c>
      <c r="D42" s="143" t="s">
        <v>286</v>
      </c>
      <c r="E42" s="145"/>
      <c r="F42" s="146"/>
      <c r="G42" s="143" t="s">
        <v>299</v>
      </c>
      <c r="H42" s="143"/>
      <c r="I42" s="143"/>
      <c r="J42" s="143"/>
      <c r="K42" s="143"/>
      <c r="L42" s="143" t="s">
        <v>302</v>
      </c>
      <c r="M42" s="143" t="s">
        <v>43</v>
      </c>
      <c r="N42" s="143" t="s">
        <v>303</v>
      </c>
      <c r="O42" s="147">
        <v>3215919560</v>
      </c>
      <c r="P42" s="150"/>
      <c r="Q42" s="148">
        <v>7500000</v>
      </c>
      <c r="R42" s="150"/>
      <c r="S42" s="147">
        <f t="shared" si="5"/>
        <v>3223419560</v>
      </c>
      <c r="T42" s="151">
        <v>3215919560</v>
      </c>
      <c r="U42" s="143"/>
      <c r="V42" s="147">
        <v>7500000</v>
      </c>
      <c r="W42" s="143"/>
      <c r="X42" s="143"/>
      <c r="Y42" s="152">
        <f t="shared" ref="Y42:AB42" si="63">AD42-T42</f>
        <v>0</v>
      </c>
      <c r="Z42" s="151">
        <f t="shared" si="63"/>
        <v>0</v>
      </c>
      <c r="AA42" s="151">
        <f t="shared" si="63"/>
        <v>0</v>
      </c>
      <c r="AB42" s="151">
        <f t="shared" si="63"/>
        <v>0</v>
      </c>
      <c r="AC42" s="143"/>
      <c r="AD42" s="155">
        <v>3215919560</v>
      </c>
      <c r="AE42" s="150"/>
      <c r="AF42" s="148">
        <v>7500000</v>
      </c>
      <c r="AG42" s="150"/>
      <c r="AH42" s="143">
        <f t="shared" si="7"/>
        <v>0</v>
      </c>
      <c r="AI42" s="151"/>
      <c r="AJ42" s="151">
        <f t="shared" ref="AJ42:AL42" si="64">P42-AE42</f>
        <v>0</v>
      </c>
      <c r="AK42" s="151">
        <f t="shared" si="64"/>
        <v>0</v>
      </c>
      <c r="AL42" s="151">
        <f t="shared" si="64"/>
        <v>0</v>
      </c>
      <c r="AM42" s="145"/>
      <c r="AN42" s="139"/>
      <c r="AO42" s="139"/>
      <c r="AP42" s="139"/>
      <c r="AQ42" s="145"/>
      <c r="AR42" s="145"/>
    </row>
    <row r="43" spans="1:44" s="156" customFormat="1" ht="31.5" x14ac:dyDescent="0.25">
      <c r="A43" s="143" t="s">
        <v>35</v>
      </c>
      <c r="B43" s="144">
        <v>30</v>
      </c>
      <c r="C43" s="143" t="s">
        <v>286</v>
      </c>
      <c r="D43" s="143" t="s">
        <v>286</v>
      </c>
      <c r="E43" s="145"/>
      <c r="F43" s="146"/>
      <c r="G43" s="143" t="s">
        <v>306</v>
      </c>
      <c r="H43" s="143"/>
      <c r="I43" s="143"/>
      <c r="J43" s="143"/>
      <c r="K43" s="143"/>
      <c r="L43" s="143" t="s">
        <v>307</v>
      </c>
      <c r="M43" s="143" t="s">
        <v>43</v>
      </c>
      <c r="N43" s="143" t="s">
        <v>308</v>
      </c>
      <c r="O43" s="147">
        <v>4662504</v>
      </c>
      <c r="P43" s="150"/>
      <c r="Q43" s="148">
        <v>7500000</v>
      </c>
      <c r="R43" s="150"/>
      <c r="S43" s="147">
        <f t="shared" si="5"/>
        <v>12162504</v>
      </c>
      <c r="T43" s="158">
        <v>4662504</v>
      </c>
      <c r="U43" s="143"/>
      <c r="V43" s="147">
        <v>7500000</v>
      </c>
      <c r="W43" s="143"/>
      <c r="X43" s="143"/>
      <c r="Y43" s="152">
        <f t="shared" ref="Y43:AB43" si="65">AD43-T43</f>
        <v>0</v>
      </c>
      <c r="Z43" s="151">
        <f t="shared" si="65"/>
        <v>0</v>
      </c>
      <c r="AA43" s="151">
        <f t="shared" si="65"/>
        <v>0</v>
      </c>
      <c r="AB43" s="152">
        <f t="shared" si="65"/>
        <v>0</v>
      </c>
      <c r="AC43" s="143"/>
      <c r="AD43" s="149">
        <v>4662504</v>
      </c>
      <c r="AE43" s="150"/>
      <c r="AF43" s="148">
        <v>7500000</v>
      </c>
      <c r="AG43" s="155"/>
      <c r="AH43" s="143">
        <f t="shared" si="7"/>
        <v>0</v>
      </c>
      <c r="AI43" s="151"/>
      <c r="AJ43" s="151">
        <f t="shared" ref="AJ43:AL43" si="66">P43-AE43</f>
        <v>0</v>
      </c>
      <c r="AK43" s="151">
        <f t="shared" si="66"/>
        <v>0</v>
      </c>
      <c r="AL43" s="151">
        <f t="shared" si="66"/>
        <v>0</v>
      </c>
      <c r="AM43" s="145"/>
      <c r="AN43" s="139"/>
      <c r="AO43" s="139"/>
      <c r="AP43" s="139"/>
      <c r="AQ43" s="145"/>
      <c r="AR43" s="145"/>
    </row>
    <row r="44" spans="1:44" s="156" customFormat="1" ht="31.5" x14ac:dyDescent="0.25">
      <c r="A44" s="143" t="s">
        <v>46</v>
      </c>
      <c r="B44" s="144">
        <v>31</v>
      </c>
      <c r="C44" s="143" t="s">
        <v>286</v>
      </c>
      <c r="D44" s="143" t="s">
        <v>286</v>
      </c>
      <c r="E44" s="145"/>
      <c r="F44" s="146"/>
      <c r="G44" s="143" t="s">
        <v>314</v>
      </c>
      <c r="H44" s="143"/>
      <c r="I44" s="143"/>
      <c r="J44" s="143"/>
      <c r="K44" s="143"/>
      <c r="L44" s="143" t="s">
        <v>315</v>
      </c>
      <c r="M44" s="143" t="s">
        <v>43</v>
      </c>
      <c r="N44" s="143" t="s">
        <v>316</v>
      </c>
      <c r="O44" s="147">
        <v>1731644540</v>
      </c>
      <c r="P44" s="150"/>
      <c r="Q44" s="148">
        <v>15000000</v>
      </c>
      <c r="R44" s="150"/>
      <c r="S44" s="147">
        <f t="shared" si="5"/>
        <v>1746644540</v>
      </c>
      <c r="T44" s="158">
        <v>1731644540</v>
      </c>
      <c r="U44" s="143"/>
      <c r="V44" s="147">
        <v>15000000</v>
      </c>
      <c r="W44" s="143"/>
      <c r="X44" s="143"/>
      <c r="Y44" s="152">
        <f t="shared" ref="Y44:AB44" si="67">AD44-T44</f>
        <v>0</v>
      </c>
      <c r="Z44" s="151">
        <f t="shared" si="67"/>
        <v>0</v>
      </c>
      <c r="AA44" s="151">
        <f t="shared" si="67"/>
        <v>0</v>
      </c>
      <c r="AB44" s="151">
        <f t="shared" si="67"/>
        <v>0</v>
      </c>
      <c r="AC44" s="143"/>
      <c r="AD44" s="149">
        <v>1731644540</v>
      </c>
      <c r="AE44" s="150"/>
      <c r="AF44" s="148">
        <v>15000000</v>
      </c>
      <c r="AG44" s="150"/>
      <c r="AH44" s="143">
        <f t="shared" si="7"/>
        <v>0</v>
      </c>
      <c r="AI44" s="151"/>
      <c r="AJ44" s="151">
        <f t="shared" ref="AJ44:AL44" si="68">P44-AE44</f>
        <v>0</v>
      </c>
      <c r="AK44" s="151">
        <f t="shared" si="68"/>
        <v>0</v>
      </c>
      <c r="AL44" s="151">
        <f t="shared" si="68"/>
        <v>0</v>
      </c>
      <c r="AM44" s="145"/>
      <c r="AN44" s="139"/>
      <c r="AO44" s="139"/>
      <c r="AP44" s="139"/>
      <c r="AQ44" s="145"/>
      <c r="AR44" s="145"/>
    </row>
    <row r="45" spans="1:44" s="156" customFormat="1" ht="63" x14ac:dyDescent="0.25">
      <c r="A45" s="143" t="s">
        <v>35</v>
      </c>
      <c r="B45" s="144">
        <v>32</v>
      </c>
      <c r="C45" s="143" t="s">
        <v>286</v>
      </c>
      <c r="D45" s="143" t="s">
        <v>286</v>
      </c>
      <c r="E45" s="145"/>
      <c r="F45" s="146"/>
      <c r="G45" s="143" t="s">
        <v>324</v>
      </c>
      <c r="H45" s="143"/>
      <c r="I45" s="143"/>
      <c r="J45" s="143"/>
      <c r="K45" s="143"/>
      <c r="L45" s="143" t="s">
        <v>325</v>
      </c>
      <c r="M45" s="143" t="s">
        <v>43</v>
      </c>
      <c r="N45" s="143" t="s">
        <v>326</v>
      </c>
      <c r="O45" s="147"/>
      <c r="P45" s="150"/>
      <c r="Q45" s="148">
        <v>7500000</v>
      </c>
      <c r="R45" s="150"/>
      <c r="S45" s="147">
        <f t="shared" si="5"/>
        <v>7500000</v>
      </c>
      <c r="T45" s="144">
        <v>0</v>
      </c>
      <c r="U45" s="143"/>
      <c r="V45" s="157"/>
      <c r="W45" s="143"/>
      <c r="X45" s="143"/>
      <c r="Y45" s="151">
        <f t="shared" ref="Y45:AB45" si="69">AD45-T45</f>
        <v>0</v>
      </c>
      <c r="Z45" s="151">
        <f t="shared" si="69"/>
        <v>0</v>
      </c>
      <c r="AA45" s="151">
        <f t="shared" si="69"/>
        <v>0</v>
      </c>
      <c r="AB45" s="152">
        <f t="shared" si="69"/>
        <v>0</v>
      </c>
      <c r="AC45" s="143"/>
      <c r="AD45" s="148">
        <v>0</v>
      </c>
      <c r="AE45" s="150"/>
      <c r="AF45" s="150"/>
      <c r="AG45" s="155"/>
      <c r="AH45" s="143">
        <f t="shared" si="7"/>
        <v>0</v>
      </c>
      <c r="AI45" s="151"/>
      <c r="AJ45" s="151">
        <f t="shared" ref="AJ45:AL45" si="70">P45-AE45</f>
        <v>0</v>
      </c>
      <c r="AK45" s="151">
        <f t="shared" si="70"/>
        <v>7500000</v>
      </c>
      <c r="AL45" s="151">
        <f t="shared" si="70"/>
        <v>0</v>
      </c>
      <c r="AM45" s="145"/>
      <c r="AN45" s="139"/>
      <c r="AO45" s="139"/>
      <c r="AP45" s="162" t="s">
        <v>623</v>
      </c>
      <c r="AQ45" s="145"/>
      <c r="AR45" s="145"/>
    </row>
    <row r="46" spans="1:44" s="156" customFormat="1" ht="31.5" x14ac:dyDescent="0.25">
      <c r="A46" s="143" t="s">
        <v>83</v>
      </c>
      <c r="B46" s="144">
        <v>33</v>
      </c>
      <c r="C46" s="143" t="s">
        <v>286</v>
      </c>
      <c r="D46" s="143" t="s">
        <v>286</v>
      </c>
      <c r="E46" s="145"/>
      <c r="F46" s="146"/>
      <c r="G46" s="143" t="s">
        <v>333</v>
      </c>
      <c r="H46" s="143"/>
      <c r="I46" s="143"/>
      <c r="J46" s="143"/>
      <c r="K46" s="143"/>
      <c r="L46" s="143" t="s">
        <v>334</v>
      </c>
      <c r="M46" s="143" t="s">
        <v>43</v>
      </c>
      <c r="N46" s="143" t="s">
        <v>335</v>
      </c>
      <c r="O46" s="147"/>
      <c r="P46" s="150"/>
      <c r="Q46" s="148">
        <v>7500000</v>
      </c>
      <c r="R46" s="150"/>
      <c r="S46" s="147">
        <f t="shared" si="5"/>
        <v>7500000</v>
      </c>
      <c r="T46" s="144">
        <v>0</v>
      </c>
      <c r="U46" s="143"/>
      <c r="V46" s="147">
        <v>7500000</v>
      </c>
      <c r="W46" s="143"/>
      <c r="X46" s="143"/>
      <c r="Y46" s="151">
        <f t="shared" ref="Y46:AB46" si="71">AD46-T46</f>
        <v>0</v>
      </c>
      <c r="Z46" s="151">
        <f t="shared" si="71"/>
        <v>0</v>
      </c>
      <c r="AA46" s="151">
        <f t="shared" si="71"/>
        <v>0</v>
      </c>
      <c r="AB46" s="152">
        <f t="shared" si="71"/>
        <v>0</v>
      </c>
      <c r="AC46" s="143"/>
      <c r="AD46" s="148">
        <v>0</v>
      </c>
      <c r="AE46" s="150"/>
      <c r="AF46" s="148">
        <v>7500000</v>
      </c>
      <c r="AG46" s="155"/>
      <c r="AH46" s="143">
        <f t="shared" si="7"/>
        <v>0</v>
      </c>
      <c r="AI46" s="151"/>
      <c r="AJ46" s="151">
        <f t="shared" ref="AJ46:AL46" si="72">P46-AE46</f>
        <v>0</v>
      </c>
      <c r="AK46" s="151">
        <f t="shared" si="72"/>
        <v>0</v>
      </c>
      <c r="AL46" s="151">
        <f t="shared" si="72"/>
        <v>0</v>
      </c>
      <c r="AM46" s="145"/>
      <c r="AN46" s="139"/>
      <c r="AO46" s="139"/>
      <c r="AP46" s="139"/>
      <c r="AQ46" s="145"/>
      <c r="AR46" s="145"/>
    </row>
    <row r="47" spans="1:44" s="156" customFormat="1" ht="31.5" x14ac:dyDescent="0.25">
      <c r="A47" s="143" t="s">
        <v>52</v>
      </c>
      <c r="B47" s="144">
        <v>34</v>
      </c>
      <c r="C47" s="143" t="s">
        <v>286</v>
      </c>
      <c r="D47" s="143" t="s">
        <v>286</v>
      </c>
      <c r="E47" s="145"/>
      <c r="F47" s="146"/>
      <c r="G47" s="143" t="s">
        <v>337</v>
      </c>
      <c r="H47" s="143"/>
      <c r="I47" s="143"/>
      <c r="J47" s="143"/>
      <c r="K47" s="143"/>
      <c r="L47" s="143" t="s">
        <v>338</v>
      </c>
      <c r="M47" s="143" t="s">
        <v>43</v>
      </c>
      <c r="N47" s="143" t="s">
        <v>339</v>
      </c>
      <c r="O47" s="147">
        <v>772775010</v>
      </c>
      <c r="P47" s="150"/>
      <c r="Q47" s="148">
        <v>7500000</v>
      </c>
      <c r="R47" s="150"/>
      <c r="S47" s="147">
        <f t="shared" si="5"/>
        <v>780275010</v>
      </c>
      <c r="T47" s="158">
        <v>772775010</v>
      </c>
      <c r="U47" s="143"/>
      <c r="V47" s="147">
        <v>7500000</v>
      </c>
      <c r="W47" s="143"/>
      <c r="X47" s="143"/>
      <c r="Y47" s="152">
        <f t="shared" ref="Y47:AB47" si="73">AD47-T47</f>
        <v>0</v>
      </c>
      <c r="Z47" s="151">
        <f t="shared" si="73"/>
        <v>0</v>
      </c>
      <c r="AA47" s="151">
        <f t="shared" si="73"/>
        <v>0</v>
      </c>
      <c r="AB47" s="152">
        <f t="shared" si="73"/>
        <v>0</v>
      </c>
      <c r="AC47" s="143"/>
      <c r="AD47" s="149">
        <v>772775010</v>
      </c>
      <c r="AE47" s="150"/>
      <c r="AF47" s="148">
        <v>7500000</v>
      </c>
      <c r="AG47" s="155"/>
      <c r="AH47" s="143">
        <f t="shared" si="7"/>
        <v>0</v>
      </c>
      <c r="AI47" s="151"/>
      <c r="AJ47" s="151">
        <f t="shared" ref="AJ47:AL47" si="74">P47-AE47</f>
        <v>0</v>
      </c>
      <c r="AK47" s="151">
        <f t="shared" si="74"/>
        <v>0</v>
      </c>
      <c r="AL47" s="151">
        <f t="shared" si="74"/>
        <v>0</v>
      </c>
      <c r="AM47" s="145"/>
      <c r="AN47" s="139"/>
      <c r="AO47" s="139"/>
      <c r="AP47" s="139"/>
      <c r="AQ47" s="145"/>
      <c r="AR47" s="145"/>
    </row>
    <row r="48" spans="1:44" s="156" customFormat="1" ht="31.5" x14ac:dyDescent="0.25">
      <c r="A48" s="143" t="s">
        <v>52</v>
      </c>
      <c r="B48" s="144">
        <v>35</v>
      </c>
      <c r="C48" s="143" t="s">
        <v>286</v>
      </c>
      <c r="D48" s="143" t="s">
        <v>286</v>
      </c>
      <c r="E48" s="145"/>
      <c r="F48" s="146"/>
      <c r="G48" s="143" t="s">
        <v>345</v>
      </c>
      <c r="H48" s="143"/>
      <c r="I48" s="143" t="s">
        <v>346</v>
      </c>
      <c r="J48" s="143"/>
      <c r="K48" s="143"/>
      <c r="L48" s="143" t="s">
        <v>352</v>
      </c>
      <c r="M48" s="143" t="s">
        <v>43</v>
      </c>
      <c r="N48" s="143" t="s">
        <v>353</v>
      </c>
      <c r="O48" s="147">
        <v>5472774600</v>
      </c>
      <c r="P48" s="150"/>
      <c r="Q48" s="148">
        <v>15000000</v>
      </c>
      <c r="R48" s="150"/>
      <c r="S48" s="147">
        <f t="shared" si="5"/>
        <v>5487774600</v>
      </c>
      <c r="T48" s="158">
        <v>5472774600</v>
      </c>
      <c r="U48" s="143"/>
      <c r="V48" s="147">
        <v>15000000</v>
      </c>
      <c r="W48" s="143"/>
      <c r="X48" s="143"/>
      <c r="Y48" s="152">
        <f t="shared" ref="Y48:AB48" si="75">AD48-T48</f>
        <v>0</v>
      </c>
      <c r="Z48" s="151">
        <f t="shared" si="75"/>
        <v>0</v>
      </c>
      <c r="AA48" s="151">
        <f t="shared" si="75"/>
        <v>0</v>
      </c>
      <c r="AB48" s="151">
        <f t="shared" si="75"/>
        <v>0</v>
      </c>
      <c r="AC48" s="143"/>
      <c r="AD48" s="149">
        <v>5472774600</v>
      </c>
      <c r="AE48" s="150"/>
      <c r="AF48" s="148">
        <v>15000000</v>
      </c>
      <c r="AG48" s="150"/>
      <c r="AH48" s="143">
        <f t="shared" si="7"/>
        <v>0</v>
      </c>
      <c r="AI48" s="151"/>
      <c r="AJ48" s="151">
        <f t="shared" ref="AJ48:AL48" si="76">P48-AE48</f>
        <v>0</v>
      </c>
      <c r="AK48" s="151">
        <f t="shared" si="76"/>
        <v>0</v>
      </c>
      <c r="AL48" s="151">
        <f t="shared" si="76"/>
        <v>0</v>
      </c>
      <c r="AM48" s="145"/>
      <c r="AN48" s="139"/>
      <c r="AO48" s="139"/>
      <c r="AP48" s="139"/>
      <c r="AQ48" s="145"/>
      <c r="AR48" s="145"/>
    </row>
    <row r="49" spans="1:44" s="156" customFormat="1" ht="31.5" x14ac:dyDescent="0.25">
      <c r="A49" s="143" t="s">
        <v>52</v>
      </c>
      <c r="B49" s="144">
        <v>36</v>
      </c>
      <c r="C49" s="143" t="s">
        <v>286</v>
      </c>
      <c r="D49" s="143" t="s">
        <v>286</v>
      </c>
      <c r="E49" s="145"/>
      <c r="F49" s="146"/>
      <c r="G49" s="143" t="s">
        <v>354</v>
      </c>
      <c r="H49" s="143"/>
      <c r="I49" s="143"/>
      <c r="J49" s="143"/>
      <c r="K49" s="143"/>
      <c r="L49" s="143" t="s">
        <v>355</v>
      </c>
      <c r="M49" s="143" t="s">
        <v>43</v>
      </c>
      <c r="N49" s="143" t="s">
        <v>357</v>
      </c>
      <c r="O49" s="147">
        <v>792875600</v>
      </c>
      <c r="P49" s="150"/>
      <c r="Q49" s="148">
        <v>7500000</v>
      </c>
      <c r="R49" s="150"/>
      <c r="S49" s="147">
        <f t="shared" si="5"/>
        <v>800375600</v>
      </c>
      <c r="T49" s="158">
        <v>792875600</v>
      </c>
      <c r="U49" s="143"/>
      <c r="V49" s="147">
        <v>7500000</v>
      </c>
      <c r="W49" s="143"/>
      <c r="X49" s="143"/>
      <c r="Y49" s="152">
        <f t="shared" ref="Y49:AB49" si="77">AD49-T49</f>
        <v>0</v>
      </c>
      <c r="Z49" s="151">
        <f t="shared" si="77"/>
        <v>0</v>
      </c>
      <c r="AA49" s="151">
        <f t="shared" si="77"/>
        <v>0</v>
      </c>
      <c r="AB49" s="152">
        <f t="shared" si="77"/>
        <v>0</v>
      </c>
      <c r="AC49" s="143"/>
      <c r="AD49" s="149">
        <v>792875600</v>
      </c>
      <c r="AE49" s="150"/>
      <c r="AF49" s="148">
        <v>7500000</v>
      </c>
      <c r="AG49" s="155"/>
      <c r="AH49" s="143">
        <f t="shared" si="7"/>
        <v>0</v>
      </c>
      <c r="AI49" s="151"/>
      <c r="AJ49" s="151">
        <f t="shared" ref="AJ49:AL49" si="78">P49-AE49</f>
        <v>0</v>
      </c>
      <c r="AK49" s="151">
        <f t="shared" si="78"/>
        <v>0</v>
      </c>
      <c r="AL49" s="151">
        <f t="shared" si="78"/>
        <v>0</v>
      </c>
      <c r="AM49" s="145"/>
      <c r="AN49" s="139"/>
      <c r="AO49" s="139"/>
      <c r="AP49" s="139"/>
      <c r="AQ49" s="145"/>
      <c r="AR49" s="145"/>
    </row>
    <row r="50" spans="1:44" s="156" customFormat="1" ht="31.5" x14ac:dyDescent="0.25">
      <c r="A50" s="143" t="s">
        <v>35</v>
      </c>
      <c r="B50" s="144">
        <v>37</v>
      </c>
      <c r="C50" s="143" t="s">
        <v>363</v>
      </c>
      <c r="D50" s="143" t="s">
        <v>363</v>
      </c>
      <c r="E50" s="145"/>
      <c r="F50" s="146"/>
      <c r="G50" s="143" t="s">
        <v>364</v>
      </c>
      <c r="H50" s="143"/>
      <c r="I50" s="143"/>
      <c r="J50" s="143"/>
      <c r="K50" s="143"/>
      <c r="L50" s="143" t="s">
        <v>365</v>
      </c>
      <c r="M50" s="143" t="s">
        <v>43</v>
      </c>
      <c r="N50" s="143" t="s">
        <v>366</v>
      </c>
      <c r="O50" s="147">
        <v>423059200</v>
      </c>
      <c r="P50" s="150"/>
      <c r="Q50" s="148">
        <v>7500000</v>
      </c>
      <c r="R50" s="150"/>
      <c r="S50" s="147">
        <f t="shared" si="5"/>
        <v>430559200</v>
      </c>
      <c r="T50" s="151">
        <v>423059200</v>
      </c>
      <c r="U50" s="143"/>
      <c r="V50" s="147">
        <v>7500000</v>
      </c>
      <c r="W50" s="143"/>
      <c r="X50" s="143"/>
      <c r="Y50" s="152">
        <f t="shared" ref="Y50:AB50" si="79">AD50-T50</f>
        <v>0</v>
      </c>
      <c r="Z50" s="151">
        <f t="shared" si="79"/>
        <v>0</v>
      </c>
      <c r="AA50" s="151">
        <f t="shared" si="79"/>
        <v>0</v>
      </c>
      <c r="AB50" s="152">
        <f t="shared" si="79"/>
        <v>0</v>
      </c>
      <c r="AC50" s="143"/>
      <c r="AD50" s="155">
        <v>423059200</v>
      </c>
      <c r="AE50" s="150"/>
      <c r="AF50" s="148">
        <v>7500000</v>
      </c>
      <c r="AG50" s="155"/>
      <c r="AH50" s="143">
        <f t="shared" si="7"/>
        <v>0</v>
      </c>
      <c r="AI50" s="151"/>
      <c r="AJ50" s="151">
        <f t="shared" ref="AJ50:AL50" si="80">P50-AE50</f>
        <v>0</v>
      </c>
      <c r="AK50" s="151">
        <f t="shared" si="80"/>
        <v>0</v>
      </c>
      <c r="AL50" s="151">
        <f t="shared" si="80"/>
        <v>0</v>
      </c>
      <c r="AM50" s="145"/>
      <c r="AN50" s="139"/>
      <c r="AO50" s="139"/>
      <c r="AP50" s="139"/>
      <c r="AQ50" s="145"/>
      <c r="AR50" s="145"/>
    </row>
    <row r="51" spans="1:44" s="156" customFormat="1" ht="31.5" x14ac:dyDescent="0.25">
      <c r="A51" s="143" t="s">
        <v>60</v>
      </c>
      <c r="B51" s="144">
        <v>38</v>
      </c>
      <c r="C51" s="143" t="s">
        <v>363</v>
      </c>
      <c r="D51" s="143" t="s">
        <v>363</v>
      </c>
      <c r="E51" s="145"/>
      <c r="F51" s="146"/>
      <c r="G51" s="143" t="s">
        <v>373</v>
      </c>
      <c r="H51" s="143"/>
      <c r="I51" s="143"/>
      <c r="J51" s="143"/>
      <c r="K51" s="143"/>
      <c r="L51" s="143" t="s">
        <v>374</v>
      </c>
      <c r="M51" s="143" t="s">
        <v>43</v>
      </c>
      <c r="N51" s="143" t="s">
        <v>375</v>
      </c>
      <c r="O51" s="147">
        <v>2853192406</v>
      </c>
      <c r="P51" s="150"/>
      <c r="Q51" s="148">
        <v>7500000</v>
      </c>
      <c r="R51" s="150"/>
      <c r="S51" s="147">
        <f t="shared" si="5"/>
        <v>2860692406</v>
      </c>
      <c r="T51" s="151">
        <v>2853192406</v>
      </c>
      <c r="U51" s="143"/>
      <c r="V51" s="147">
        <v>7500000</v>
      </c>
      <c r="W51" s="143"/>
      <c r="X51" s="143"/>
      <c r="Y51" s="152">
        <f t="shared" ref="Y51:AB51" si="81">AD51-T51</f>
        <v>0</v>
      </c>
      <c r="Z51" s="151">
        <f t="shared" si="81"/>
        <v>0</v>
      </c>
      <c r="AA51" s="151">
        <f t="shared" si="81"/>
        <v>0</v>
      </c>
      <c r="AB51" s="152">
        <f t="shared" si="81"/>
        <v>0</v>
      </c>
      <c r="AC51" s="143"/>
      <c r="AD51" s="155">
        <v>2853192406</v>
      </c>
      <c r="AE51" s="150"/>
      <c r="AF51" s="148">
        <v>7500000</v>
      </c>
      <c r="AG51" s="155"/>
      <c r="AH51" s="143">
        <f t="shared" si="7"/>
        <v>0</v>
      </c>
      <c r="AI51" s="151"/>
      <c r="AJ51" s="151">
        <f t="shared" ref="AJ51:AL51" si="82">P51-AE51</f>
        <v>0</v>
      </c>
      <c r="AK51" s="151">
        <f t="shared" si="82"/>
        <v>0</v>
      </c>
      <c r="AL51" s="151">
        <f t="shared" si="82"/>
        <v>0</v>
      </c>
      <c r="AM51" s="145"/>
      <c r="AN51" s="139"/>
      <c r="AO51" s="139"/>
      <c r="AP51" s="139"/>
      <c r="AQ51" s="145"/>
      <c r="AR51" s="145"/>
    </row>
    <row r="52" spans="1:44" s="156" customFormat="1" ht="31.5" x14ac:dyDescent="0.25">
      <c r="A52" s="143" t="s">
        <v>35</v>
      </c>
      <c r="B52" s="144">
        <v>39</v>
      </c>
      <c r="C52" s="143" t="s">
        <v>363</v>
      </c>
      <c r="D52" s="143" t="s">
        <v>363</v>
      </c>
      <c r="E52" s="145"/>
      <c r="F52" s="146"/>
      <c r="G52" s="143" t="s">
        <v>382</v>
      </c>
      <c r="H52" s="143"/>
      <c r="I52" s="143"/>
      <c r="J52" s="143"/>
      <c r="K52" s="143"/>
      <c r="L52" s="143" t="s">
        <v>384</v>
      </c>
      <c r="M52" s="143" t="s">
        <v>43</v>
      </c>
      <c r="N52" s="143" t="s">
        <v>385</v>
      </c>
      <c r="O52" s="147">
        <v>4069311354</v>
      </c>
      <c r="P52" s="150"/>
      <c r="Q52" s="148">
        <v>15000000</v>
      </c>
      <c r="R52" s="150"/>
      <c r="S52" s="147">
        <f t="shared" si="5"/>
        <v>4084311354</v>
      </c>
      <c r="T52" s="151">
        <v>4069311354</v>
      </c>
      <c r="U52" s="143"/>
      <c r="V52" s="147">
        <v>15000000</v>
      </c>
      <c r="W52" s="143"/>
      <c r="X52" s="143"/>
      <c r="Y52" s="152">
        <f t="shared" ref="Y52:AB52" si="83">AD52-T52</f>
        <v>0</v>
      </c>
      <c r="Z52" s="151">
        <f t="shared" si="83"/>
        <v>0</v>
      </c>
      <c r="AA52" s="151">
        <f t="shared" si="83"/>
        <v>0</v>
      </c>
      <c r="AB52" s="152">
        <f t="shared" si="83"/>
        <v>0</v>
      </c>
      <c r="AC52" s="143"/>
      <c r="AD52" s="155">
        <v>4069311354</v>
      </c>
      <c r="AE52" s="150"/>
      <c r="AF52" s="148">
        <v>15000000</v>
      </c>
      <c r="AG52" s="155"/>
      <c r="AH52" s="143">
        <f t="shared" si="7"/>
        <v>0</v>
      </c>
      <c r="AI52" s="151"/>
      <c r="AJ52" s="151">
        <f t="shared" ref="AJ52:AL52" si="84">P52-AE52</f>
        <v>0</v>
      </c>
      <c r="AK52" s="151">
        <f t="shared" si="84"/>
        <v>0</v>
      </c>
      <c r="AL52" s="151">
        <f t="shared" si="84"/>
        <v>0</v>
      </c>
      <c r="AM52" s="145"/>
      <c r="AN52" s="139"/>
      <c r="AO52" s="139"/>
      <c r="AP52" s="139"/>
      <c r="AQ52" s="145"/>
      <c r="AR52" s="145"/>
    </row>
    <row r="53" spans="1:44" s="156" customFormat="1" ht="78.75" x14ac:dyDescent="0.25">
      <c r="A53" s="143" t="s">
        <v>60</v>
      </c>
      <c r="B53" s="144">
        <v>40</v>
      </c>
      <c r="C53" s="143" t="s">
        <v>363</v>
      </c>
      <c r="D53" s="143" t="s">
        <v>363</v>
      </c>
      <c r="E53" s="145"/>
      <c r="F53" s="145" t="s">
        <v>710</v>
      </c>
      <c r="G53" s="143" t="s">
        <v>393</v>
      </c>
      <c r="H53" s="143"/>
      <c r="I53" s="143"/>
      <c r="J53" s="143"/>
      <c r="K53" s="164"/>
      <c r="L53" s="143" t="s">
        <v>395</v>
      </c>
      <c r="M53" s="143" t="s">
        <v>43</v>
      </c>
      <c r="N53" s="143" t="s">
        <v>396</v>
      </c>
      <c r="O53" s="147">
        <v>10000000</v>
      </c>
      <c r="P53" s="150"/>
      <c r="Q53" s="148">
        <v>15000000</v>
      </c>
      <c r="R53" s="148">
        <f>48000000+48000000</f>
        <v>96000000</v>
      </c>
      <c r="S53" s="147">
        <f t="shared" si="5"/>
        <v>121000000</v>
      </c>
      <c r="T53" s="151">
        <v>10000000</v>
      </c>
      <c r="U53" s="143"/>
      <c r="V53" s="147">
        <v>15000000</v>
      </c>
      <c r="W53" s="158">
        <v>96000000</v>
      </c>
      <c r="X53" s="143"/>
      <c r="Y53" s="152">
        <f t="shared" ref="Y53:AB53" si="85">AD53-T53</f>
        <v>0</v>
      </c>
      <c r="Z53" s="151">
        <f t="shared" si="85"/>
        <v>0</v>
      </c>
      <c r="AA53" s="151">
        <f t="shared" si="85"/>
        <v>0</v>
      </c>
      <c r="AB53" s="152">
        <f t="shared" si="85"/>
        <v>0</v>
      </c>
      <c r="AC53" s="143"/>
      <c r="AD53" s="155">
        <v>10000000</v>
      </c>
      <c r="AE53" s="150"/>
      <c r="AF53" s="148">
        <v>15000000</v>
      </c>
      <c r="AG53" s="149">
        <f>48000000+48000000</f>
        <v>96000000</v>
      </c>
      <c r="AH53" s="143">
        <f t="shared" si="7"/>
        <v>0</v>
      </c>
      <c r="AI53" s="151"/>
      <c r="AJ53" s="151">
        <f t="shared" ref="AJ53:AL53" si="86">P53-AE53</f>
        <v>0</v>
      </c>
      <c r="AK53" s="151">
        <f t="shared" si="86"/>
        <v>0</v>
      </c>
      <c r="AL53" s="151">
        <f t="shared" si="86"/>
        <v>0</v>
      </c>
      <c r="AM53" s="145"/>
      <c r="AN53" s="139"/>
      <c r="AO53" s="139"/>
      <c r="AP53" s="139"/>
      <c r="AQ53" s="145"/>
      <c r="AR53" s="145"/>
    </row>
    <row r="54" spans="1:44" s="156" customFormat="1" ht="94.5" x14ac:dyDescent="0.25">
      <c r="A54" s="143" t="s">
        <v>60</v>
      </c>
      <c r="B54" s="144">
        <v>41</v>
      </c>
      <c r="C54" s="143" t="s">
        <v>363</v>
      </c>
      <c r="D54" s="143" t="s">
        <v>363</v>
      </c>
      <c r="E54" s="145" t="s">
        <v>409</v>
      </c>
      <c r="F54" s="146"/>
      <c r="G54" s="143" t="s">
        <v>410</v>
      </c>
      <c r="H54" s="143" t="s">
        <v>411</v>
      </c>
      <c r="I54" s="143"/>
      <c r="J54" s="143"/>
      <c r="K54" s="143"/>
      <c r="L54" s="143" t="s">
        <v>412</v>
      </c>
      <c r="M54" s="143" t="s">
        <v>43</v>
      </c>
      <c r="N54" s="143" t="s">
        <v>413</v>
      </c>
      <c r="O54" s="147">
        <v>273809190</v>
      </c>
      <c r="P54" s="148">
        <v>25360128</v>
      </c>
      <c r="Q54" s="148">
        <v>7500000</v>
      </c>
      <c r="R54" s="150"/>
      <c r="S54" s="147">
        <f t="shared" si="5"/>
        <v>306669318</v>
      </c>
      <c r="T54" s="151">
        <v>273809190</v>
      </c>
      <c r="U54" s="143"/>
      <c r="V54" s="157"/>
      <c r="W54" s="143"/>
      <c r="X54" s="143"/>
      <c r="Y54" s="152">
        <f t="shared" ref="Y54:AB54" si="87">AD54-T54</f>
        <v>0</v>
      </c>
      <c r="Z54" s="151">
        <f t="shared" si="87"/>
        <v>0</v>
      </c>
      <c r="AA54" s="151">
        <f t="shared" si="87"/>
        <v>0</v>
      </c>
      <c r="AB54" s="152">
        <f t="shared" si="87"/>
        <v>0</v>
      </c>
      <c r="AC54" s="143"/>
      <c r="AD54" s="155">
        <v>273809190</v>
      </c>
      <c r="AE54" s="150"/>
      <c r="AF54" s="150"/>
      <c r="AG54" s="155"/>
      <c r="AH54" s="143">
        <f t="shared" si="7"/>
        <v>0</v>
      </c>
      <c r="AI54" s="151"/>
      <c r="AJ54" s="151">
        <f t="shared" ref="AJ54:AL54" si="88">P54-AE54</f>
        <v>25360128</v>
      </c>
      <c r="AK54" s="151">
        <f t="shared" si="88"/>
        <v>7500000</v>
      </c>
      <c r="AL54" s="151">
        <f t="shared" si="88"/>
        <v>0</v>
      </c>
      <c r="AM54" s="145"/>
      <c r="AN54" s="139"/>
      <c r="AO54" s="162" t="s">
        <v>763</v>
      </c>
      <c r="AP54" s="162" t="s">
        <v>764</v>
      </c>
      <c r="AQ54" s="145"/>
      <c r="AR54" s="145"/>
    </row>
    <row r="55" spans="1:44" s="156" customFormat="1" ht="31.5" x14ac:dyDescent="0.25">
      <c r="A55" s="143" t="s">
        <v>52</v>
      </c>
      <c r="B55" s="144">
        <v>42</v>
      </c>
      <c r="C55" s="143" t="s">
        <v>363</v>
      </c>
      <c r="D55" s="143" t="s">
        <v>363</v>
      </c>
      <c r="E55" s="145"/>
      <c r="F55" s="146"/>
      <c r="G55" s="143" t="s">
        <v>420</v>
      </c>
      <c r="H55" s="143"/>
      <c r="I55" s="143"/>
      <c r="J55" s="143"/>
      <c r="K55" s="143"/>
      <c r="L55" s="143" t="s">
        <v>421</v>
      </c>
      <c r="M55" s="143" t="s">
        <v>43</v>
      </c>
      <c r="N55" s="143" t="s">
        <v>422</v>
      </c>
      <c r="O55" s="147"/>
      <c r="P55" s="150"/>
      <c r="Q55" s="148">
        <v>7500000</v>
      </c>
      <c r="R55" s="150"/>
      <c r="S55" s="147">
        <f t="shared" si="5"/>
        <v>7500000</v>
      </c>
      <c r="T55" s="144">
        <v>0</v>
      </c>
      <c r="U55" s="143"/>
      <c r="V55" s="147">
        <v>7500000</v>
      </c>
      <c r="W55" s="143"/>
      <c r="X55" s="143"/>
      <c r="Y55" s="151">
        <f t="shared" ref="Y55:AB55" si="89">AD55-T55</f>
        <v>0</v>
      </c>
      <c r="Z55" s="151">
        <f t="shared" si="89"/>
        <v>0</v>
      </c>
      <c r="AA55" s="151">
        <f t="shared" si="89"/>
        <v>0</v>
      </c>
      <c r="AB55" s="152">
        <f t="shared" si="89"/>
        <v>0</v>
      </c>
      <c r="AC55" s="143"/>
      <c r="AD55" s="148">
        <v>0</v>
      </c>
      <c r="AE55" s="150"/>
      <c r="AF55" s="148">
        <v>7500000</v>
      </c>
      <c r="AG55" s="155"/>
      <c r="AH55" s="143">
        <f t="shared" si="7"/>
        <v>0</v>
      </c>
      <c r="AI55" s="151"/>
      <c r="AJ55" s="151">
        <f t="shared" ref="AJ55:AL55" si="90">P55-AE55</f>
        <v>0</v>
      </c>
      <c r="AK55" s="151">
        <f t="shared" si="90"/>
        <v>0</v>
      </c>
      <c r="AL55" s="151">
        <f t="shared" si="90"/>
        <v>0</v>
      </c>
      <c r="AM55" s="145"/>
      <c r="AN55" s="139"/>
      <c r="AO55" s="139"/>
      <c r="AP55" s="139"/>
      <c r="AQ55" s="145"/>
      <c r="AR55" s="145"/>
    </row>
    <row r="56" spans="1:44" s="156" customFormat="1" ht="47.25" x14ac:dyDescent="0.25">
      <c r="A56" s="143" t="s">
        <v>46</v>
      </c>
      <c r="B56" s="144">
        <v>43</v>
      </c>
      <c r="C56" s="143" t="s">
        <v>363</v>
      </c>
      <c r="D56" s="143" t="s">
        <v>363</v>
      </c>
      <c r="E56" s="145" t="s">
        <v>409</v>
      </c>
      <c r="F56" s="146"/>
      <c r="G56" s="143" t="s">
        <v>430</v>
      </c>
      <c r="H56" s="143" t="s">
        <v>431</v>
      </c>
      <c r="I56" s="143"/>
      <c r="J56" s="143"/>
      <c r="K56" s="143"/>
      <c r="L56" s="143" t="s">
        <v>432</v>
      </c>
      <c r="M56" s="143" t="s">
        <v>43</v>
      </c>
      <c r="N56" s="143" t="s">
        <v>433</v>
      </c>
      <c r="O56" s="147">
        <v>1937908151</v>
      </c>
      <c r="P56" s="148">
        <v>423068659</v>
      </c>
      <c r="Q56" s="148">
        <v>7500000</v>
      </c>
      <c r="R56" s="150"/>
      <c r="S56" s="147">
        <f t="shared" si="5"/>
        <v>2368476810</v>
      </c>
      <c r="T56" s="151">
        <v>1937908151</v>
      </c>
      <c r="U56" s="158">
        <v>423068659</v>
      </c>
      <c r="V56" s="147">
        <v>7500000</v>
      </c>
      <c r="W56" s="143"/>
      <c r="X56" s="143"/>
      <c r="Y56" s="152">
        <f t="shared" ref="Y56:AB56" si="91">AD56-T56</f>
        <v>0</v>
      </c>
      <c r="Z56" s="151">
        <f t="shared" si="91"/>
        <v>0</v>
      </c>
      <c r="AA56" s="151">
        <f t="shared" si="91"/>
        <v>0</v>
      </c>
      <c r="AB56" s="152">
        <f t="shared" si="91"/>
        <v>0</v>
      </c>
      <c r="AC56" s="143"/>
      <c r="AD56" s="155">
        <v>1937908151</v>
      </c>
      <c r="AE56" s="148">
        <v>423068659</v>
      </c>
      <c r="AF56" s="148">
        <v>7500000</v>
      </c>
      <c r="AG56" s="155"/>
      <c r="AH56" s="143">
        <f t="shared" si="7"/>
        <v>0</v>
      </c>
      <c r="AI56" s="151"/>
      <c r="AJ56" s="151">
        <f t="shared" ref="AJ56:AL56" si="92">P56-AE56</f>
        <v>0</v>
      </c>
      <c r="AK56" s="151">
        <f t="shared" si="92"/>
        <v>0</v>
      </c>
      <c r="AL56" s="151">
        <f t="shared" si="92"/>
        <v>0</v>
      </c>
      <c r="AM56" s="145"/>
      <c r="AN56" s="139"/>
      <c r="AO56" s="139"/>
      <c r="AP56" s="139"/>
      <c r="AQ56" s="145"/>
      <c r="AR56" s="145"/>
    </row>
    <row r="57" spans="1:44" s="156" customFormat="1" ht="78.75" x14ac:dyDescent="0.25">
      <c r="A57" s="143" t="s">
        <v>35</v>
      </c>
      <c r="B57" s="144">
        <v>44</v>
      </c>
      <c r="C57" s="143" t="s">
        <v>363</v>
      </c>
      <c r="D57" s="143" t="s">
        <v>438</v>
      </c>
      <c r="E57" s="145"/>
      <c r="F57" s="146"/>
      <c r="G57" s="143" t="s">
        <v>439</v>
      </c>
      <c r="H57" s="143"/>
      <c r="I57" s="143" t="s">
        <v>85</v>
      </c>
      <c r="J57" s="143"/>
      <c r="K57" s="143"/>
      <c r="L57" s="143" t="s">
        <v>440</v>
      </c>
      <c r="M57" s="143" t="s">
        <v>43</v>
      </c>
      <c r="N57" s="143" t="s">
        <v>441</v>
      </c>
      <c r="O57" s="147">
        <v>2962663956</v>
      </c>
      <c r="P57" s="150"/>
      <c r="Q57" s="148">
        <v>7500000</v>
      </c>
      <c r="R57" s="150"/>
      <c r="S57" s="147">
        <f t="shared" si="5"/>
        <v>2970163956</v>
      </c>
      <c r="T57" s="151">
        <v>2962663956</v>
      </c>
      <c r="U57" s="143"/>
      <c r="V57" s="147">
        <v>7500000</v>
      </c>
      <c r="W57" s="143"/>
      <c r="X57" s="143"/>
      <c r="Y57" s="152">
        <f t="shared" ref="Y57:AB57" si="93">AD57-T57</f>
        <v>0</v>
      </c>
      <c r="Z57" s="151">
        <f t="shared" si="93"/>
        <v>0</v>
      </c>
      <c r="AA57" s="151">
        <f t="shared" si="93"/>
        <v>0</v>
      </c>
      <c r="AB57" s="152">
        <f t="shared" si="93"/>
        <v>0</v>
      </c>
      <c r="AC57" s="143"/>
      <c r="AD57" s="155">
        <v>2962663956</v>
      </c>
      <c r="AE57" s="150"/>
      <c r="AF57" s="148">
        <v>7500000</v>
      </c>
      <c r="AG57" s="155"/>
      <c r="AH57" s="143">
        <f t="shared" si="7"/>
        <v>0</v>
      </c>
      <c r="AI57" s="151"/>
      <c r="AJ57" s="151">
        <f t="shared" ref="AJ57:AL57" si="94">P57-AE57</f>
        <v>0</v>
      </c>
      <c r="AK57" s="151">
        <f t="shared" si="94"/>
        <v>0</v>
      </c>
      <c r="AL57" s="151">
        <f t="shared" si="94"/>
        <v>0</v>
      </c>
      <c r="AM57" s="145"/>
      <c r="AN57" s="139"/>
      <c r="AO57" s="139"/>
      <c r="AP57" s="139"/>
      <c r="AQ57" s="145"/>
      <c r="AR57" s="145"/>
    </row>
    <row r="58" spans="1:44" s="156" customFormat="1" ht="31.5" x14ac:dyDescent="0.25">
      <c r="A58" s="143" t="s">
        <v>52</v>
      </c>
      <c r="B58" s="144">
        <v>45</v>
      </c>
      <c r="C58" s="143" t="s">
        <v>363</v>
      </c>
      <c r="D58" s="143" t="s">
        <v>363</v>
      </c>
      <c r="E58" s="145"/>
      <c r="F58" s="146"/>
      <c r="G58" s="143" t="s">
        <v>442</v>
      </c>
      <c r="H58" s="143"/>
      <c r="I58" s="143"/>
      <c r="J58" s="143"/>
      <c r="K58" s="143"/>
      <c r="L58" s="143" t="s">
        <v>443</v>
      </c>
      <c r="M58" s="143" t="s">
        <v>43</v>
      </c>
      <c r="N58" s="143" t="s">
        <v>445</v>
      </c>
      <c r="O58" s="147">
        <v>2457405327</v>
      </c>
      <c r="P58" s="150"/>
      <c r="Q58" s="148">
        <v>15000000</v>
      </c>
      <c r="R58" s="150"/>
      <c r="S58" s="147">
        <f t="shared" si="5"/>
        <v>2472405327</v>
      </c>
      <c r="T58" s="151">
        <v>2457405327</v>
      </c>
      <c r="U58" s="143"/>
      <c r="V58" s="147">
        <v>15000000</v>
      </c>
      <c r="W58" s="143"/>
      <c r="X58" s="143"/>
      <c r="Y58" s="152">
        <f t="shared" ref="Y58:AB58" si="95">AD58-T58</f>
        <v>0</v>
      </c>
      <c r="Z58" s="151">
        <f t="shared" si="95"/>
        <v>0</v>
      </c>
      <c r="AA58" s="151">
        <f t="shared" si="95"/>
        <v>0</v>
      </c>
      <c r="AB58" s="152">
        <f t="shared" si="95"/>
        <v>0</v>
      </c>
      <c r="AC58" s="143"/>
      <c r="AD58" s="155">
        <v>2457405327</v>
      </c>
      <c r="AE58" s="150"/>
      <c r="AF58" s="148">
        <v>15000000</v>
      </c>
      <c r="AG58" s="155"/>
      <c r="AH58" s="143">
        <f t="shared" si="7"/>
        <v>0</v>
      </c>
      <c r="AI58" s="151"/>
      <c r="AJ58" s="151">
        <f t="shared" ref="AJ58:AL58" si="96">P58-AE58</f>
        <v>0</v>
      </c>
      <c r="AK58" s="151">
        <f t="shared" si="96"/>
        <v>0</v>
      </c>
      <c r="AL58" s="151">
        <f t="shared" si="96"/>
        <v>0</v>
      </c>
      <c r="AM58" s="145"/>
      <c r="AN58" s="139"/>
      <c r="AO58" s="139"/>
      <c r="AP58" s="139"/>
      <c r="AQ58" s="145"/>
      <c r="AR58" s="145"/>
    </row>
    <row r="59" spans="1:44" s="156" customFormat="1" ht="47.25" x14ac:dyDescent="0.25">
      <c r="A59" s="143" t="s">
        <v>35</v>
      </c>
      <c r="B59" s="144">
        <v>46</v>
      </c>
      <c r="C59" s="143" t="s">
        <v>363</v>
      </c>
      <c r="D59" s="143" t="s">
        <v>363</v>
      </c>
      <c r="E59" s="145" t="s">
        <v>450</v>
      </c>
      <c r="F59" s="146"/>
      <c r="G59" s="143" t="s">
        <v>451</v>
      </c>
      <c r="H59" s="143" t="s">
        <v>452</v>
      </c>
      <c r="I59" s="143"/>
      <c r="J59" s="143"/>
      <c r="K59" s="143"/>
      <c r="L59" s="143" t="s">
        <v>453</v>
      </c>
      <c r="M59" s="143" t="s">
        <v>43</v>
      </c>
      <c r="N59" s="143" t="s">
        <v>454</v>
      </c>
      <c r="O59" s="147">
        <v>2149999856</v>
      </c>
      <c r="P59" s="148">
        <v>166472064</v>
      </c>
      <c r="Q59" s="148">
        <v>7500000</v>
      </c>
      <c r="R59" s="150"/>
      <c r="S59" s="147">
        <f t="shared" si="5"/>
        <v>2323971920</v>
      </c>
      <c r="T59" s="151">
        <v>2149999856</v>
      </c>
      <c r="U59" s="158">
        <v>166472064</v>
      </c>
      <c r="V59" s="147">
        <v>7500000</v>
      </c>
      <c r="W59" s="143"/>
      <c r="X59" s="143"/>
      <c r="Y59" s="152">
        <f t="shared" ref="Y59:AB59" si="97">AD59-T59</f>
        <v>0</v>
      </c>
      <c r="Z59" s="151">
        <f t="shared" si="97"/>
        <v>0</v>
      </c>
      <c r="AA59" s="151">
        <f t="shared" si="97"/>
        <v>0</v>
      </c>
      <c r="AB59" s="152">
        <f t="shared" si="97"/>
        <v>0</v>
      </c>
      <c r="AC59" s="143"/>
      <c r="AD59" s="155">
        <v>2149999856</v>
      </c>
      <c r="AE59" s="148">
        <v>166472064</v>
      </c>
      <c r="AF59" s="148">
        <v>7500000</v>
      </c>
      <c r="AG59" s="155"/>
      <c r="AH59" s="143">
        <f t="shared" si="7"/>
        <v>0</v>
      </c>
      <c r="AI59" s="151"/>
      <c r="AJ59" s="151">
        <f t="shared" ref="AJ59:AL59" si="98">P59-AE59</f>
        <v>0</v>
      </c>
      <c r="AK59" s="151">
        <f t="shared" si="98"/>
        <v>0</v>
      </c>
      <c r="AL59" s="151">
        <f t="shared" si="98"/>
        <v>0</v>
      </c>
      <c r="AM59" s="145"/>
      <c r="AN59" s="139"/>
      <c r="AO59" s="139"/>
      <c r="AP59" s="139"/>
      <c r="AQ59" s="145"/>
      <c r="AR59" s="145"/>
    </row>
    <row r="60" spans="1:44" s="156" customFormat="1" ht="31.5" x14ac:dyDescent="0.25">
      <c r="A60" s="143" t="s">
        <v>35</v>
      </c>
      <c r="B60" s="175">
        <v>47</v>
      </c>
      <c r="C60" s="145" t="s">
        <v>363</v>
      </c>
      <c r="D60" s="143" t="s">
        <v>363</v>
      </c>
      <c r="E60" s="145"/>
      <c r="F60" s="145" t="s">
        <v>464</v>
      </c>
      <c r="G60" s="145" t="s">
        <v>460</v>
      </c>
      <c r="H60" s="145"/>
      <c r="I60" s="145" t="s">
        <v>461</v>
      </c>
      <c r="J60" s="145"/>
      <c r="K60" s="146"/>
      <c r="L60" s="145" t="s">
        <v>462</v>
      </c>
      <c r="M60" s="145" t="s">
        <v>43</v>
      </c>
      <c r="N60" s="145" t="s">
        <v>463</v>
      </c>
      <c r="O60" s="147">
        <v>11046885900</v>
      </c>
      <c r="P60" s="150"/>
      <c r="Q60" s="148">
        <v>15000000</v>
      </c>
      <c r="R60" s="148">
        <v>84000000</v>
      </c>
      <c r="S60" s="147">
        <f t="shared" si="5"/>
        <v>11145885900</v>
      </c>
      <c r="T60" s="151">
        <v>11046885900</v>
      </c>
      <c r="U60" s="143"/>
      <c r="V60" s="147">
        <v>15000000</v>
      </c>
      <c r="W60" s="143"/>
      <c r="X60" s="143"/>
      <c r="Y60" s="152">
        <f t="shared" ref="Y60:AB60" si="99">AD60-T60</f>
        <v>0</v>
      </c>
      <c r="Z60" s="151">
        <f t="shared" si="99"/>
        <v>0</v>
      </c>
      <c r="AA60" s="151">
        <f t="shared" si="99"/>
        <v>0</v>
      </c>
      <c r="AB60" s="152">
        <f t="shared" si="99"/>
        <v>0</v>
      </c>
      <c r="AC60" s="165"/>
      <c r="AD60" s="155">
        <v>11046885900</v>
      </c>
      <c r="AE60" s="150"/>
      <c r="AF60" s="148">
        <v>15000000</v>
      </c>
      <c r="AG60" s="155"/>
      <c r="AH60" s="166">
        <f t="shared" si="7"/>
        <v>0</v>
      </c>
      <c r="AI60" s="151"/>
      <c r="AJ60" s="151">
        <f t="shared" ref="AJ60:AL60" si="100">P60-AE60</f>
        <v>0</v>
      </c>
      <c r="AK60" s="151">
        <f t="shared" si="100"/>
        <v>0</v>
      </c>
      <c r="AL60" s="150">
        <f t="shared" si="100"/>
        <v>84000000</v>
      </c>
      <c r="AM60" s="145"/>
      <c r="AN60" s="139"/>
      <c r="AO60" s="139"/>
      <c r="AP60" s="139"/>
      <c r="AQ60" s="145" t="s">
        <v>848</v>
      </c>
      <c r="AR60" s="145"/>
    </row>
    <row r="61" spans="1:44" s="156" customFormat="1" ht="47.25" x14ac:dyDescent="0.25">
      <c r="A61" s="143" t="s">
        <v>35</v>
      </c>
      <c r="B61" s="144">
        <v>48</v>
      </c>
      <c r="C61" s="143" t="s">
        <v>363</v>
      </c>
      <c r="D61" s="143" t="s">
        <v>363</v>
      </c>
      <c r="E61" s="145" t="s">
        <v>469</v>
      </c>
      <c r="F61" s="146"/>
      <c r="G61" s="143" t="s">
        <v>470</v>
      </c>
      <c r="H61" s="143" t="s">
        <v>471</v>
      </c>
      <c r="I61" s="143" t="s">
        <v>472</v>
      </c>
      <c r="J61" s="143"/>
      <c r="K61" s="143"/>
      <c r="L61" s="143" t="s">
        <v>473</v>
      </c>
      <c r="M61" s="143" t="s">
        <v>43</v>
      </c>
      <c r="N61" s="143" t="s">
        <v>474</v>
      </c>
      <c r="O61" s="147">
        <v>1487841100</v>
      </c>
      <c r="P61" s="148">
        <v>327633600</v>
      </c>
      <c r="Q61" s="148">
        <v>15000000</v>
      </c>
      <c r="R61" s="150"/>
      <c r="S61" s="147">
        <f t="shared" si="5"/>
        <v>1830474700</v>
      </c>
      <c r="T61" s="151">
        <v>1487841100</v>
      </c>
      <c r="U61" s="151">
        <v>327633600</v>
      </c>
      <c r="V61" s="147">
        <v>15000000</v>
      </c>
      <c r="W61" s="143"/>
      <c r="X61" s="143"/>
      <c r="Y61" s="152">
        <f t="shared" ref="Y61:AB61" si="101">AD61-T61</f>
        <v>0</v>
      </c>
      <c r="Z61" s="151">
        <f t="shared" si="101"/>
        <v>0</v>
      </c>
      <c r="AA61" s="151">
        <f t="shared" si="101"/>
        <v>0</v>
      </c>
      <c r="AB61" s="152">
        <f t="shared" si="101"/>
        <v>0</v>
      </c>
      <c r="AC61" s="143"/>
      <c r="AD61" s="155">
        <v>1487841100</v>
      </c>
      <c r="AE61" s="148">
        <v>327633600</v>
      </c>
      <c r="AF61" s="148">
        <v>15000000</v>
      </c>
      <c r="AG61" s="155"/>
      <c r="AH61" s="143">
        <f t="shared" si="7"/>
        <v>0</v>
      </c>
      <c r="AI61" s="151"/>
      <c r="AJ61" s="151">
        <f t="shared" ref="AJ61:AL61" si="102">P61-AE61</f>
        <v>0</v>
      </c>
      <c r="AK61" s="151">
        <f t="shared" si="102"/>
        <v>0</v>
      </c>
      <c r="AL61" s="151">
        <f t="shared" si="102"/>
        <v>0</v>
      </c>
      <c r="AM61" s="145"/>
      <c r="AN61" s="139"/>
      <c r="AO61" s="139"/>
      <c r="AP61" s="139"/>
      <c r="AQ61" s="145"/>
      <c r="AR61" s="145"/>
    </row>
    <row r="62" spans="1:44" s="156" customFormat="1" ht="31.5" x14ac:dyDescent="0.25">
      <c r="A62" s="143" t="s">
        <v>60</v>
      </c>
      <c r="B62" s="144">
        <v>49</v>
      </c>
      <c r="C62" s="143" t="s">
        <v>363</v>
      </c>
      <c r="D62" s="143" t="s">
        <v>363</v>
      </c>
      <c r="E62" s="145"/>
      <c r="F62" s="146"/>
      <c r="G62" s="143" t="s">
        <v>475</v>
      </c>
      <c r="H62" s="143"/>
      <c r="I62" s="143"/>
      <c r="J62" s="143"/>
      <c r="K62" s="143"/>
      <c r="L62" s="143" t="s">
        <v>476</v>
      </c>
      <c r="M62" s="143" t="s">
        <v>43</v>
      </c>
      <c r="N62" s="143" t="s">
        <v>477</v>
      </c>
      <c r="O62" s="147">
        <v>555745056</v>
      </c>
      <c r="P62" s="150"/>
      <c r="Q62" s="148">
        <v>7500000</v>
      </c>
      <c r="R62" s="150"/>
      <c r="S62" s="147">
        <f t="shared" si="5"/>
        <v>563245056</v>
      </c>
      <c r="T62" s="151">
        <v>555745056</v>
      </c>
      <c r="U62" s="143"/>
      <c r="V62" s="147">
        <v>7500000</v>
      </c>
      <c r="W62" s="143"/>
      <c r="X62" s="143"/>
      <c r="Y62" s="152">
        <f t="shared" ref="Y62:AB62" si="103">AD62-T62</f>
        <v>0</v>
      </c>
      <c r="Z62" s="151">
        <f t="shared" si="103"/>
        <v>0</v>
      </c>
      <c r="AA62" s="151">
        <f t="shared" si="103"/>
        <v>0</v>
      </c>
      <c r="AB62" s="152">
        <f t="shared" si="103"/>
        <v>0</v>
      </c>
      <c r="AC62" s="143"/>
      <c r="AD62" s="155">
        <v>555745056</v>
      </c>
      <c r="AE62" s="150"/>
      <c r="AF62" s="148">
        <v>7500000</v>
      </c>
      <c r="AG62" s="155"/>
      <c r="AH62" s="143">
        <f t="shared" si="7"/>
        <v>0</v>
      </c>
      <c r="AI62" s="151"/>
      <c r="AJ62" s="151">
        <f t="shared" ref="AJ62:AL62" si="104">P62-AE62</f>
        <v>0</v>
      </c>
      <c r="AK62" s="151">
        <f t="shared" si="104"/>
        <v>0</v>
      </c>
      <c r="AL62" s="151">
        <f t="shared" si="104"/>
        <v>0</v>
      </c>
      <c r="AM62" s="145"/>
      <c r="AN62" s="139"/>
      <c r="AO62" s="139"/>
      <c r="AP62" s="139"/>
      <c r="AQ62" s="145"/>
      <c r="AR62" s="145"/>
    </row>
    <row r="63" spans="1:44" s="156" customFormat="1" ht="31.5" x14ac:dyDescent="0.25">
      <c r="A63" s="143" t="s">
        <v>46</v>
      </c>
      <c r="B63" s="144">
        <v>50</v>
      </c>
      <c r="C63" s="143" t="s">
        <v>363</v>
      </c>
      <c r="D63" s="143" t="s">
        <v>363</v>
      </c>
      <c r="E63" s="145"/>
      <c r="F63" s="146"/>
      <c r="G63" s="143" t="s">
        <v>478</v>
      </c>
      <c r="H63" s="143"/>
      <c r="I63" s="143"/>
      <c r="J63" s="143"/>
      <c r="K63" s="143"/>
      <c r="L63" s="143" t="s">
        <v>479</v>
      </c>
      <c r="M63" s="143" t="s">
        <v>43</v>
      </c>
      <c r="N63" s="143" t="s">
        <v>274</v>
      </c>
      <c r="O63" s="147">
        <v>10000000</v>
      </c>
      <c r="P63" s="150"/>
      <c r="Q63" s="148">
        <v>15000000</v>
      </c>
      <c r="R63" s="150"/>
      <c r="S63" s="147">
        <f t="shared" si="5"/>
        <v>25000000</v>
      </c>
      <c r="T63" s="151">
        <v>10000000</v>
      </c>
      <c r="U63" s="143"/>
      <c r="V63" s="147">
        <v>15000000</v>
      </c>
      <c r="W63" s="143"/>
      <c r="X63" s="143"/>
      <c r="Y63" s="152">
        <f t="shared" ref="Y63:AB63" si="105">AD63-T63</f>
        <v>0</v>
      </c>
      <c r="Z63" s="151">
        <f t="shared" si="105"/>
        <v>0</v>
      </c>
      <c r="AA63" s="151">
        <f t="shared" si="105"/>
        <v>0</v>
      </c>
      <c r="AB63" s="152">
        <f t="shared" si="105"/>
        <v>0</v>
      </c>
      <c r="AC63" s="143"/>
      <c r="AD63" s="155">
        <v>10000000</v>
      </c>
      <c r="AE63" s="150"/>
      <c r="AF63" s="148">
        <v>15000000</v>
      </c>
      <c r="AG63" s="155"/>
      <c r="AH63" s="143">
        <f t="shared" si="7"/>
        <v>0</v>
      </c>
      <c r="AI63" s="151"/>
      <c r="AJ63" s="151">
        <f t="shared" ref="AJ63:AL63" si="106">P63-AE63</f>
        <v>0</v>
      </c>
      <c r="AK63" s="151">
        <f t="shared" si="106"/>
        <v>0</v>
      </c>
      <c r="AL63" s="151">
        <f t="shared" si="106"/>
        <v>0</v>
      </c>
      <c r="AM63" s="145"/>
      <c r="AN63" s="139"/>
      <c r="AO63" s="139"/>
      <c r="AP63" s="139"/>
      <c r="AQ63" s="145"/>
      <c r="AR63" s="145"/>
    </row>
    <row r="64" spans="1:44" s="156" customFormat="1" ht="31.5" x14ac:dyDescent="0.25">
      <c r="A64" s="143" t="s">
        <v>46</v>
      </c>
      <c r="B64" s="144">
        <v>51</v>
      </c>
      <c r="C64" s="143" t="s">
        <v>363</v>
      </c>
      <c r="D64" s="143" t="s">
        <v>363</v>
      </c>
      <c r="E64" s="145"/>
      <c r="F64" s="146"/>
      <c r="G64" s="143" t="s">
        <v>486</v>
      </c>
      <c r="H64" s="143"/>
      <c r="I64" s="143" t="s">
        <v>487</v>
      </c>
      <c r="J64" s="143"/>
      <c r="K64" s="143"/>
      <c r="L64" s="143" t="s">
        <v>488</v>
      </c>
      <c r="M64" s="143" t="s">
        <v>43</v>
      </c>
      <c r="N64" s="143" t="s">
        <v>489</v>
      </c>
      <c r="O64" s="147">
        <v>3606786776</v>
      </c>
      <c r="P64" s="150"/>
      <c r="Q64" s="148">
        <v>15000000</v>
      </c>
      <c r="R64" s="150"/>
      <c r="S64" s="147">
        <f t="shared" si="5"/>
        <v>3621786776</v>
      </c>
      <c r="T64" s="151">
        <v>3606786776</v>
      </c>
      <c r="U64" s="143"/>
      <c r="V64" s="147">
        <v>15000000</v>
      </c>
      <c r="W64" s="143"/>
      <c r="X64" s="143"/>
      <c r="Y64" s="152">
        <f t="shared" ref="Y64:AB64" si="107">AD64-T64</f>
        <v>0</v>
      </c>
      <c r="Z64" s="151">
        <f t="shared" si="107"/>
        <v>0</v>
      </c>
      <c r="AA64" s="151">
        <f t="shared" si="107"/>
        <v>0</v>
      </c>
      <c r="AB64" s="152">
        <f t="shared" si="107"/>
        <v>0</v>
      </c>
      <c r="AC64" s="143"/>
      <c r="AD64" s="155">
        <v>3606786776</v>
      </c>
      <c r="AE64" s="150"/>
      <c r="AF64" s="148">
        <v>15000000</v>
      </c>
      <c r="AG64" s="155"/>
      <c r="AH64" s="143">
        <f t="shared" si="7"/>
        <v>0</v>
      </c>
      <c r="AI64" s="151"/>
      <c r="AJ64" s="151">
        <f t="shared" ref="AJ64:AL64" si="108">P64-AE64</f>
        <v>0</v>
      </c>
      <c r="AK64" s="151">
        <f t="shared" si="108"/>
        <v>0</v>
      </c>
      <c r="AL64" s="151">
        <f t="shared" si="108"/>
        <v>0</v>
      </c>
      <c r="AM64" s="145"/>
      <c r="AN64" s="139"/>
      <c r="AO64" s="139"/>
      <c r="AP64" s="139"/>
      <c r="AQ64" s="145"/>
      <c r="AR64" s="145"/>
    </row>
    <row r="65" spans="1:44" s="156" customFormat="1" ht="47.25" x14ac:dyDescent="0.25">
      <c r="A65" s="143" t="s">
        <v>46</v>
      </c>
      <c r="B65" s="144">
        <v>52</v>
      </c>
      <c r="C65" s="143" t="s">
        <v>363</v>
      </c>
      <c r="D65" s="143" t="s">
        <v>363</v>
      </c>
      <c r="E65" s="145" t="s">
        <v>889</v>
      </c>
      <c r="F65" s="146"/>
      <c r="G65" s="143" t="s">
        <v>490</v>
      </c>
      <c r="H65" s="143" t="s">
        <v>890</v>
      </c>
      <c r="I65" s="143"/>
      <c r="J65" s="143"/>
      <c r="K65" s="143"/>
      <c r="L65" s="143" t="s">
        <v>492</v>
      </c>
      <c r="M65" s="143" t="s">
        <v>43</v>
      </c>
      <c r="N65" s="143" t="s">
        <v>493</v>
      </c>
      <c r="O65" s="147">
        <v>355657340</v>
      </c>
      <c r="P65" s="148">
        <v>80851500</v>
      </c>
      <c r="Q65" s="148">
        <v>7500000</v>
      </c>
      <c r="R65" s="150"/>
      <c r="S65" s="147">
        <f t="shared" si="5"/>
        <v>444008840</v>
      </c>
      <c r="T65" s="151">
        <v>355657340</v>
      </c>
      <c r="U65" s="143"/>
      <c r="V65" s="147">
        <v>7500000</v>
      </c>
      <c r="W65" s="143"/>
      <c r="X65" s="143"/>
      <c r="Y65" s="152">
        <f t="shared" ref="Y65:AB65" si="109">AD65-T65</f>
        <v>0</v>
      </c>
      <c r="Z65" s="151">
        <f t="shared" si="109"/>
        <v>0</v>
      </c>
      <c r="AA65" s="151">
        <f t="shared" si="109"/>
        <v>0</v>
      </c>
      <c r="AB65" s="152">
        <f t="shared" si="109"/>
        <v>0</v>
      </c>
      <c r="AC65" s="143"/>
      <c r="AD65" s="155">
        <v>355657340</v>
      </c>
      <c r="AE65" s="150"/>
      <c r="AF65" s="148">
        <v>7500000</v>
      </c>
      <c r="AG65" s="155"/>
      <c r="AH65" s="143">
        <f t="shared" si="7"/>
        <v>0</v>
      </c>
      <c r="AI65" s="151"/>
      <c r="AJ65" s="151">
        <f t="shared" ref="AJ65:AL65" si="110">P65-AE65</f>
        <v>80851500</v>
      </c>
      <c r="AK65" s="151">
        <f t="shared" si="110"/>
        <v>0</v>
      </c>
      <c r="AL65" s="151">
        <f t="shared" si="110"/>
        <v>0</v>
      </c>
      <c r="AM65" s="145"/>
      <c r="AN65" s="139"/>
      <c r="AO65" s="162" t="s">
        <v>900</v>
      </c>
      <c r="AP65" s="139"/>
      <c r="AQ65" s="145"/>
      <c r="AR65" s="145"/>
    </row>
    <row r="66" spans="1:44" s="156" customFormat="1" ht="31.5" x14ac:dyDescent="0.25">
      <c r="A66" s="143" t="s">
        <v>52</v>
      </c>
      <c r="B66" s="144">
        <v>53</v>
      </c>
      <c r="C66" s="143" t="s">
        <v>142</v>
      </c>
      <c r="D66" s="143" t="s">
        <v>142</v>
      </c>
      <c r="E66" s="145"/>
      <c r="F66" s="146"/>
      <c r="G66" s="143" t="s">
        <v>495</v>
      </c>
      <c r="H66" s="143"/>
      <c r="I66" s="143"/>
      <c r="J66" s="143"/>
      <c r="K66" s="143"/>
      <c r="L66" s="143" t="s">
        <v>496</v>
      </c>
      <c r="M66" s="143" t="s">
        <v>43</v>
      </c>
      <c r="N66" s="143" t="s">
        <v>497</v>
      </c>
      <c r="O66" s="147">
        <v>7557570900</v>
      </c>
      <c r="P66" s="150"/>
      <c r="Q66" s="148">
        <v>7500000</v>
      </c>
      <c r="R66" s="150"/>
      <c r="S66" s="147">
        <f t="shared" si="5"/>
        <v>7565070900</v>
      </c>
      <c r="T66" s="151">
        <v>7557570900</v>
      </c>
      <c r="U66" s="143"/>
      <c r="V66" s="147">
        <v>7500000</v>
      </c>
      <c r="W66" s="143"/>
      <c r="X66" s="143"/>
      <c r="Y66" s="152">
        <f t="shared" ref="Y66:AB66" si="111">AD66-T66</f>
        <v>0</v>
      </c>
      <c r="Z66" s="151">
        <f t="shared" si="111"/>
        <v>0</v>
      </c>
      <c r="AA66" s="151">
        <f t="shared" si="111"/>
        <v>0</v>
      </c>
      <c r="AB66" s="152">
        <f t="shared" si="111"/>
        <v>0</v>
      </c>
      <c r="AC66" s="143"/>
      <c r="AD66" s="155">
        <v>7557570900</v>
      </c>
      <c r="AE66" s="150"/>
      <c r="AF66" s="148">
        <v>7500000</v>
      </c>
      <c r="AG66" s="155"/>
      <c r="AH66" s="143">
        <f t="shared" si="7"/>
        <v>0</v>
      </c>
      <c r="AI66" s="151"/>
      <c r="AJ66" s="151">
        <f t="shared" ref="AJ66:AL66" si="112">P66-AE66</f>
        <v>0</v>
      </c>
      <c r="AK66" s="151">
        <f t="shared" si="112"/>
        <v>0</v>
      </c>
      <c r="AL66" s="151">
        <f t="shared" si="112"/>
        <v>0</v>
      </c>
      <c r="AM66" s="145"/>
      <c r="AN66" s="139"/>
      <c r="AO66" s="139"/>
      <c r="AP66" s="139"/>
      <c r="AQ66" s="145"/>
      <c r="AR66" s="145"/>
    </row>
    <row r="67" spans="1:44" s="156" customFormat="1" ht="31.5" x14ac:dyDescent="0.25">
      <c r="A67" s="143" t="s">
        <v>35</v>
      </c>
      <c r="B67" s="144">
        <v>54</v>
      </c>
      <c r="C67" s="143" t="s">
        <v>142</v>
      </c>
      <c r="D67" s="143" t="s">
        <v>142</v>
      </c>
      <c r="E67" s="145"/>
      <c r="F67" s="146"/>
      <c r="G67" s="143" t="s">
        <v>503</v>
      </c>
      <c r="H67" s="143"/>
      <c r="I67" s="143"/>
      <c r="J67" s="143"/>
      <c r="K67" s="143"/>
      <c r="L67" s="143" t="s">
        <v>505</v>
      </c>
      <c r="M67" s="143" t="s">
        <v>43</v>
      </c>
      <c r="N67" s="143" t="s">
        <v>506</v>
      </c>
      <c r="O67" s="147"/>
      <c r="P67" s="150"/>
      <c r="Q67" s="148">
        <v>7500000</v>
      </c>
      <c r="R67" s="150"/>
      <c r="S67" s="147">
        <f t="shared" si="5"/>
        <v>7500000</v>
      </c>
      <c r="T67" s="144">
        <v>0</v>
      </c>
      <c r="U67" s="143"/>
      <c r="V67" s="147">
        <v>7500000</v>
      </c>
      <c r="W67" s="143"/>
      <c r="X67" s="143"/>
      <c r="Y67" s="151">
        <f t="shared" ref="Y67:AB67" si="113">AD67-T67</f>
        <v>0</v>
      </c>
      <c r="Z67" s="151">
        <f t="shared" si="113"/>
        <v>0</v>
      </c>
      <c r="AA67" s="151">
        <f t="shared" si="113"/>
        <v>0</v>
      </c>
      <c r="AB67" s="152">
        <f t="shared" si="113"/>
        <v>0</v>
      </c>
      <c r="AC67" s="143"/>
      <c r="AD67" s="148">
        <v>0</v>
      </c>
      <c r="AE67" s="150"/>
      <c r="AF67" s="148">
        <v>7500000</v>
      </c>
      <c r="AG67" s="155"/>
      <c r="AH67" s="143">
        <f t="shared" si="7"/>
        <v>0</v>
      </c>
      <c r="AI67" s="151"/>
      <c r="AJ67" s="151">
        <f t="shared" ref="AJ67:AL67" si="114">P67-AE67</f>
        <v>0</v>
      </c>
      <c r="AK67" s="151">
        <f t="shared" si="114"/>
        <v>0</v>
      </c>
      <c r="AL67" s="151">
        <f t="shared" si="114"/>
        <v>0</v>
      </c>
      <c r="AM67" s="145"/>
      <c r="AN67" s="139"/>
      <c r="AO67" s="139"/>
      <c r="AP67" s="139"/>
      <c r="AQ67" s="145"/>
      <c r="AR67" s="145"/>
    </row>
    <row r="68" spans="1:44" s="156" customFormat="1" ht="47.25" x14ac:dyDescent="0.25">
      <c r="A68" s="143" t="s">
        <v>35</v>
      </c>
      <c r="B68" s="144">
        <v>55</v>
      </c>
      <c r="C68" s="143" t="s">
        <v>142</v>
      </c>
      <c r="D68" s="143" t="s">
        <v>142</v>
      </c>
      <c r="E68" s="145" t="s">
        <v>508</v>
      </c>
      <c r="F68" s="146"/>
      <c r="G68" s="143" t="s">
        <v>509</v>
      </c>
      <c r="H68" s="143" t="s">
        <v>510</v>
      </c>
      <c r="I68" s="143"/>
      <c r="J68" s="143"/>
      <c r="K68" s="143"/>
      <c r="L68" s="143" t="s">
        <v>511</v>
      </c>
      <c r="M68" s="143" t="s">
        <v>43</v>
      </c>
      <c r="N68" s="143" t="s">
        <v>512</v>
      </c>
      <c r="O68" s="147">
        <v>9203203092</v>
      </c>
      <c r="P68" s="148">
        <v>177091834</v>
      </c>
      <c r="Q68" s="148">
        <v>15000000</v>
      </c>
      <c r="R68" s="150"/>
      <c r="S68" s="147">
        <f t="shared" si="5"/>
        <v>9395294926</v>
      </c>
      <c r="T68" s="151">
        <v>9203203092</v>
      </c>
      <c r="U68" s="158">
        <v>177091834</v>
      </c>
      <c r="V68" s="147">
        <v>15000000</v>
      </c>
      <c r="W68" s="143"/>
      <c r="X68" s="143"/>
      <c r="Y68" s="152">
        <f t="shared" ref="Y68:AB68" si="115">AD68-T68</f>
        <v>0</v>
      </c>
      <c r="Z68" s="151">
        <f t="shared" si="115"/>
        <v>0</v>
      </c>
      <c r="AA68" s="151">
        <f t="shared" si="115"/>
        <v>0</v>
      </c>
      <c r="AB68" s="152">
        <f t="shared" si="115"/>
        <v>0</v>
      </c>
      <c r="AC68" s="143"/>
      <c r="AD68" s="155">
        <v>9203203092</v>
      </c>
      <c r="AE68" s="148">
        <v>177091834</v>
      </c>
      <c r="AF68" s="148">
        <v>15000000</v>
      </c>
      <c r="AG68" s="155"/>
      <c r="AH68" s="143">
        <f t="shared" si="7"/>
        <v>0</v>
      </c>
      <c r="AI68" s="151"/>
      <c r="AJ68" s="151">
        <f t="shared" ref="AJ68:AL68" si="116">P68-AE68</f>
        <v>0</v>
      </c>
      <c r="AK68" s="151">
        <f t="shared" si="116"/>
        <v>0</v>
      </c>
      <c r="AL68" s="151">
        <f t="shared" si="116"/>
        <v>0</v>
      </c>
      <c r="AM68" s="145"/>
      <c r="AN68" s="139"/>
      <c r="AO68" s="139"/>
      <c r="AP68" s="139"/>
      <c r="AQ68" s="145"/>
      <c r="AR68" s="145"/>
    </row>
    <row r="69" spans="1:44" s="156" customFormat="1" ht="78.75" x14ac:dyDescent="0.25">
      <c r="A69" s="143" t="s">
        <v>52</v>
      </c>
      <c r="B69" s="144">
        <v>56</v>
      </c>
      <c r="C69" s="143" t="s">
        <v>142</v>
      </c>
      <c r="D69" s="143" t="s">
        <v>142</v>
      </c>
      <c r="E69" s="145"/>
      <c r="F69" s="146"/>
      <c r="G69" s="143" t="s">
        <v>520</v>
      </c>
      <c r="H69" s="143"/>
      <c r="I69" s="143"/>
      <c r="J69" s="143"/>
      <c r="K69" s="143"/>
      <c r="L69" s="143" t="s">
        <v>521</v>
      </c>
      <c r="M69" s="143" t="s">
        <v>43</v>
      </c>
      <c r="N69" s="143" t="s">
        <v>522</v>
      </c>
      <c r="O69" s="147">
        <v>436279800</v>
      </c>
      <c r="P69" s="150"/>
      <c r="Q69" s="148">
        <v>7500000</v>
      </c>
      <c r="R69" s="150"/>
      <c r="S69" s="147">
        <f t="shared" si="5"/>
        <v>443779800</v>
      </c>
      <c r="T69" s="151">
        <v>436279800</v>
      </c>
      <c r="U69" s="143"/>
      <c r="V69" s="157"/>
      <c r="W69" s="143"/>
      <c r="X69" s="143"/>
      <c r="Y69" s="152">
        <f t="shared" ref="Y69:AB69" si="117">AD69-T69</f>
        <v>0</v>
      </c>
      <c r="Z69" s="151">
        <f t="shared" si="117"/>
        <v>0</v>
      </c>
      <c r="AA69" s="151">
        <f t="shared" si="117"/>
        <v>0</v>
      </c>
      <c r="AB69" s="152">
        <f t="shared" si="117"/>
        <v>0</v>
      </c>
      <c r="AC69" s="143"/>
      <c r="AD69" s="155">
        <v>436279800</v>
      </c>
      <c r="AE69" s="150"/>
      <c r="AF69" s="150"/>
      <c r="AG69" s="155"/>
      <c r="AH69" s="143">
        <f t="shared" si="7"/>
        <v>0</v>
      </c>
      <c r="AI69" s="151"/>
      <c r="AJ69" s="151">
        <f t="shared" ref="AJ69:AL69" si="118">P69-AE69</f>
        <v>0</v>
      </c>
      <c r="AK69" s="151">
        <f t="shared" si="118"/>
        <v>7500000</v>
      </c>
      <c r="AL69" s="151">
        <f t="shared" si="118"/>
        <v>0</v>
      </c>
      <c r="AM69" s="145"/>
      <c r="AN69" s="139"/>
      <c r="AO69" s="139"/>
      <c r="AP69" s="162" t="s">
        <v>947</v>
      </c>
      <c r="AQ69" s="145"/>
      <c r="AR69" s="145"/>
    </row>
    <row r="70" spans="1:44" s="156" customFormat="1" ht="31.5" x14ac:dyDescent="0.25">
      <c r="A70" s="143" t="s">
        <v>60</v>
      </c>
      <c r="B70" s="144">
        <v>57</v>
      </c>
      <c r="C70" s="143" t="s">
        <v>142</v>
      </c>
      <c r="D70" s="143" t="s">
        <v>142</v>
      </c>
      <c r="E70" s="145"/>
      <c r="F70" s="146"/>
      <c r="G70" s="143" t="s">
        <v>523</v>
      </c>
      <c r="H70" s="143"/>
      <c r="I70" s="143"/>
      <c r="J70" s="143"/>
      <c r="K70" s="143"/>
      <c r="L70" s="143" t="s">
        <v>524</v>
      </c>
      <c r="M70" s="143" t="s">
        <v>43</v>
      </c>
      <c r="N70" s="143" t="s">
        <v>525</v>
      </c>
      <c r="O70" s="147">
        <v>343735600</v>
      </c>
      <c r="P70" s="150"/>
      <c r="Q70" s="148">
        <v>7500000</v>
      </c>
      <c r="R70" s="150"/>
      <c r="S70" s="147">
        <f t="shared" si="5"/>
        <v>351235600</v>
      </c>
      <c r="T70" s="151">
        <v>343735600</v>
      </c>
      <c r="U70" s="143"/>
      <c r="V70" s="147">
        <v>7500000</v>
      </c>
      <c r="W70" s="143"/>
      <c r="X70" s="143"/>
      <c r="Y70" s="152">
        <f t="shared" ref="Y70:AB70" si="119">AD70-T70</f>
        <v>0</v>
      </c>
      <c r="Z70" s="151">
        <f t="shared" si="119"/>
        <v>0</v>
      </c>
      <c r="AA70" s="151">
        <f t="shared" si="119"/>
        <v>0</v>
      </c>
      <c r="AB70" s="152">
        <f t="shared" si="119"/>
        <v>0</v>
      </c>
      <c r="AC70" s="143"/>
      <c r="AD70" s="155">
        <v>343735600</v>
      </c>
      <c r="AE70" s="150"/>
      <c r="AF70" s="148">
        <v>7500000</v>
      </c>
      <c r="AG70" s="155"/>
      <c r="AH70" s="143">
        <f t="shared" si="7"/>
        <v>0</v>
      </c>
      <c r="AI70" s="151"/>
      <c r="AJ70" s="151">
        <f t="shared" ref="AJ70:AL70" si="120">P70-AE70</f>
        <v>0</v>
      </c>
      <c r="AK70" s="151">
        <f t="shared" si="120"/>
        <v>0</v>
      </c>
      <c r="AL70" s="151">
        <f t="shared" si="120"/>
        <v>0</v>
      </c>
      <c r="AM70" s="145"/>
      <c r="AN70" s="139"/>
      <c r="AO70" s="139"/>
      <c r="AP70" s="139"/>
      <c r="AQ70" s="145"/>
      <c r="AR70" s="145"/>
    </row>
    <row r="71" spans="1:44" s="156" customFormat="1" ht="31.5" x14ac:dyDescent="0.25">
      <c r="A71" s="143" t="s">
        <v>46</v>
      </c>
      <c r="B71" s="144">
        <v>58</v>
      </c>
      <c r="C71" s="143" t="s">
        <v>142</v>
      </c>
      <c r="D71" s="143" t="s">
        <v>142</v>
      </c>
      <c r="E71" s="145"/>
      <c r="F71" s="146"/>
      <c r="G71" s="143" t="s">
        <v>533</v>
      </c>
      <c r="H71" s="143"/>
      <c r="I71" s="143"/>
      <c r="J71" s="143"/>
      <c r="K71" s="143"/>
      <c r="L71" s="143" t="s">
        <v>534</v>
      </c>
      <c r="M71" s="143" t="s">
        <v>43</v>
      </c>
      <c r="N71" s="143" t="s">
        <v>535</v>
      </c>
      <c r="O71" s="147">
        <v>102008431</v>
      </c>
      <c r="P71" s="150"/>
      <c r="Q71" s="148">
        <v>7500000</v>
      </c>
      <c r="R71" s="150"/>
      <c r="S71" s="147">
        <f t="shared" si="5"/>
        <v>109508431</v>
      </c>
      <c r="T71" s="151">
        <v>102008431</v>
      </c>
      <c r="U71" s="143"/>
      <c r="V71" s="147">
        <v>7500000</v>
      </c>
      <c r="W71" s="143"/>
      <c r="X71" s="143"/>
      <c r="Y71" s="152">
        <f t="shared" ref="Y71:AB71" si="121">AD71-T71</f>
        <v>0</v>
      </c>
      <c r="Z71" s="151">
        <f t="shared" si="121"/>
        <v>0</v>
      </c>
      <c r="AA71" s="151">
        <f t="shared" si="121"/>
        <v>0</v>
      </c>
      <c r="AB71" s="152">
        <f t="shared" si="121"/>
        <v>0</v>
      </c>
      <c r="AC71" s="143"/>
      <c r="AD71" s="155">
        <v>102008431</v>
      </c>
      <c r="AE71" s="150"/>
      <c r="AF71" s="148">
        <v>7500000</v>
      </c>
      <c r="AG71" s="155"/>
      <c r="AH71" s="143">
        <f t="shared" si="7"/>
        <v>0</v>
      </c>
      <c r="AI71" s="151"/>
      <c r="AJ71" s="151">
        <f t="shared" ref="AJ71:AL71" si="122">P71-AE71</f>
        <v>0</v>
      </c>
      <c r="AK71" s="151">
        <f t="shared" si="122"/>
        <v>0</v>
      </c>
      <c r="AL71" s="151">
        <f t="shared" si="122"/>
        <v>0</v>
      </c>
      <c r="AM71" s="145"/>
      <c r="AN71" s="139"/>
      <c r="AO71" s="139"/>
      <c r="AP71" s="139"/>
      <c r="AQ71" s="145"/>
      <c r="AR71" s="145"/>
    </row>
    <row r="72" spans="1:44" s="156" customFormat="1" ht="31.5" x14ac:dyDescent="0.25">
      <c r="A72" s="143" t="s">
        <v>46</v>
      </c>
      <c r="B72" s="144">
        <v>59</v>
      </c>
      <c r="C72" s="143" t="s">
        <v>142</v>
      </c>
      <c r="D72" s="143" t="s">
        <v>142</v>
      </c>
      <c r="E72" s="145"/>
      <c r="F72" s="146"/>
      <c r="G72" s="143" t="s">
        <v>536</v>
      </c>
      <c r="H72" s="143"/>
      <c r="I72" s="143"/>
      <c r="J72" s="143"/>
      <c r="K72" s="143"/>
      <c r="L72" s="143" t="s">
        <v>537</v>
      </c>
      <c r="M72" s="143" t="s">
        <v>43</v>
      </c>
      <c r="N72" s="143" t="s">
        <v>538</v>
      </c>
      <c r="O72" s="147">
        <v>357575520</v>
      </c>
      <c r="P72" s="150"/>
      <c r="Q72" s="148">
        <v>7500000</v>
      </c>
      <c r="R72" s="150"/>
      <c r="S72" s="147">
        <f t="shared" si="5"/>
        <v>365075520</v>
      </c>
      <c r="T72" s="151">
        <v>357575520</v>
      </c>
      <c r="U72" s="143"/>
      <c r="V72" s="147">
        <v>7500000</v>
      </c>
      <c r="W72" s="143"/>
      <c r="X72" s="143"/>
      <c r="Y72" s="152">
        <f t="shared" ref="Y72:AB72" si="123">AD72-T72</f>
        <v>0</v>
      </c>
      <c r="Z72" s="151">
        <f t="shared" si="123"/>
        <v>0</v>
      </c>
      <c r="AA72" s="151">
        <f t="shared" si="123"/>
        <v>0</v>
      </c>
      <c r="AB72" s="152">
        <f t="shared" si="123"/>
        <v>0</v>
      </c>
      <c r="AC72" s="143"/>
      <c r="AD72" s="155">
        <v>357575520</v>
      </c>
      <c r="AE72" s="150"/>
      <c r="AF72" s="148">
        <v>7500000</v>
      </c>
      <c r="AG72" s="155"/>
      <c r="AH72" s="143">
        <f t="shared" si="7"/>
        <v>0</v>
      </c>
      <c r="AI72" s="151"/>
      <c r="AJ72" s="151">
        <f t="shared" ref="AJ72:AL72" si="124">P72-AE72</f>
        <v>0</v>
      </c>
      <c r="AK72" s="151">
        <f t="shared" si="124"/>
        <v>0</v>
      </c>
      <c r="AL72" s="151">
        <f t="shared" si="124"/>
        <v>0</v>
      </c>
      <c r="AM72" s="145"/>
      <c r="AN72" s="139"/>
      <c r="AO72" s="139"/>
      <c r="AP72" s="139"/>
      <c r="AQ72" s="145"/>
      <c r="AR72" s="145"/>
    </row>
    <row r="73" spans="1:44" s="156" customFormat="1" ht="47.25" x14ac:dyDescent="0.25">
      <c r="A73" s="143" t="s">
        <v>46</v>
      </c>
      <c r="B73" s="144">
        <v>60</v>
      </c>
      <c r="C73" s="143" t="s">
        <v>142</v>
      </c>
      <c r="D73" s="143" t="s">
        <v>142</v>
      </c>
      <c r="E73" s="145" t="s">
        <v>450</v>
      </c>
      <c r="F73" s="146"/>
      <c r="G73" s="143" t="s">
        <v>545</v>
      </c>
      <c r="H73" s="143" t="s">
        <v>546</v>
      </c>
      <c r="I73" s="143"/>
      <c r="J73" s="143"/>
      <c r="K73" s="143"/>
      <c r="L73" s="143" t="s">
        <v>547</v>
      </c>
      <c r="M73" s="143" t="s">
        <v>43</v>
      </c>
      <c r="N73" s="143" t="s">
        <v>548</v>
      </c>
      <c r="O73" s="147">
        <v>2000913996</v>
      </c>
      <c r="P73" s="148">
        <v>13394304</v>
      </c>
      <c r="Q73" s="148">
        <v>7500000</v>
      </c>
      <c r="R73" s="150"/>
      <c r="S73" s="147">
        <f t="shared" si="5"/>
        <v>2021808300</v>
      </c>
      <c r="T73" s="151">
        <v>2000913996</v>
      </c>
      <c r="U73" s="158">
        <v>13394304</v>
      </c>
      <c r="V73" s="147">
        <v>7500000</v>
      </c>
      <c r="W73" s="143"/>
      <c r="X73" s="143"/>
      <c r="Y73" s="152">
        <f t="shared" ref="Y73:AB73" si="125">AD73-T73</f>
        <v>0</v>
      </c>
      <c r="Z73" s="151">
        <f t="shared" si="125"/>
        <v>0</v>
      </c>
      <c r="AA73" s="151">
        <f t="shared" si="125"/>
        <v>0</v>
      </c>
      <c r="AB73" s="152">
        <f t="shared" si="125"/>
        <v>0</v>
      </c>
      <c r="AC73" s="143"/>
      <c r="AD73" s="155">
        <v>2000913996</v>
      </c>
      <c r="AE73" s="148">
        <v>13394304</v>
      </c>
      <c r="AF73" s="148">
        <v>7500000</v>
      </c>
      <c r="AG73" s="155"/>
      <c r="AH73" s="143">
        <f t="shared" si="7"/>
        <v>0</v>
      </c>
      <c r="AI73" s="151"/>
      <c r="AJ73" s="151">
        <f t="shared" ref="AJ73:AL73" si="126">P73-AE73</f>
        <v>0</v>
      </c>
      <c r="AK73" s="151">
        <f t="shared" si="126"/>
        <v>0</v>
      </c>
      <c r="AL73" s="151">
        <f t="shared" si="126"/>
        <v>0</v>
      </c>
      <c r="AM73" s="145"/>
      <c r="AN73" s="139"/>
      <c r="AO73" s="139"/>
      <c r="AP73" s="139"/>
      <c r="AQ73" s="145"/>
      <c r="AR73" s="145"/>
    </row>
    <row r="74" spans="1:44" s="156" customFormat="1" ht="31.5" x14ac:dyDescent="0.25">
      <c r="A74" s="143" t="s">
        <v>52</v>
      </c>
      <c r="B74" s="144">
        <v>61</v>
      </c>
      <c r="C74" s="143" t="s">
        <v>142</v>
      </c>
      <c r="D74" s="143" t="s">
        <v>142</v>
      </c>
      <c r="E74" s="145"/>
      <c r="F74" s="146"/>
      <c r="G74" s="143" t="s">
        <v>554</v>
      </c>
      <c r="H74" s="143"/>
      <c r="I74" s="143"/>
      <c r="J74" s="143"/>
      <c r="K74" s="143"/>
      <c r="L74" s="143" t="s">
        <v>555</v>
      </c>
      <c r="M74" s="143" t="s">
        <v>43</v>
      </c>
      <c r="N74" s="143" t="s">
        <v>556</v>
      </c>
      <c r="O74" s="147">
        <v>11400194400</v>
      </c>
      <c r="P74" s="150"/>
      <c r="Q74" s="148">
        <v>7500000</v>
      </c>
      <c r="R74" s="150"/>
      <c r="S74" s="147">
        <f t="shared" si="5"/>
        <v>11407694400</v>
      </c>
      <c r="T74" s="151">
        <v>11400194400</v>
      </c>
      <c r="U74" s="143"/>
      <c r="V74" s="147">
        <v>7500000</v>
      </c>
      <c r="W74" s="143"/>
      <c r="X74" s="143"/>
      <c r="Y74" s="152">
        <f t="shared" ref="Y74:AB74" si="127">AD74-T74</f>
        <v>0</v>
      </c>
      <c r="Z74" s="151">
        <f t="shared" si="127"/>
        <v>0</v>
      </c>
      <c r="AA74" s="151">
        <f t="shared" si="127"/>
        <v>0</v>
      </c>
      <c r="AB74" s="152">
        <f t="shared" si="127"/>
        <v>0</v>
      </c>
      <c r="AC74" s="143"/>
      <c r="AD74" s="155">
        <v>11400194400</v>
      </c>
      <c r="AE74" s="150"/>
      <c r="AF74" s="148">
        <v>7500000</v>
      </c>
      <c r="AG74" s="155"/>
      <c r="AH74" s="143">
        <f t="shared" si="7"/>
        <v>0</v>
      </c>
      <c r="AI74" s="151"/>
      <c r="AJ74" s="151">
        <f t="shared" ref="AJ74:AL74" si="128">P74-AE74</f>
        <v>0</v>
      </c>
      <c r="AK74" s="151">
        <f t="shared" si="128"/>
        <v>0</v>
      </c>
      <c r="AL74" s="151">
        <f t="shared" si="128"/>
        <v>0</v>
      </c>
      <c r="AM74" s="145"/>
      <c r="AN74" s="139"/>
      <c r="AO74" s="139"/>
      <c r="AP74" s="139"/>
      <c r="AQ74" s="145"/>
      <c r="AR74" s="145"/>
    </row>
    <row r="75" spans="1:44" s="156" customFormat="1" ht="31.5" x14ac:dyDescent="0.25">
      <c r="A75" s="143" t="s">
        <v>60</v>
      </c>
      <c r="B75" s="144">
        <v>62</v>
      </c>
      <c r="C75" s="143" t="s">
        <v>142</v>
      </c>
      <c r="D75" s="143" t="s">
        <v>142</v>
      </c>
      <c r="E75" s="145"/>
      <c r="F75" s="146"/>
      <c r="G75" s="143" t="s">
        <v>563</v>
      </c>
      <c r="H75" s="143"/>
      <c r="I75" s="143"/>
      <c r="J75" s="143"/>
      <c r="K75" s="143"/>
      <c r="L75" s="143" t="s">
        <v>564</v>
      </c>
      <c r="M75" s="143" t="s">
        <v>43</v>
      </c>
      <c r="N75" s="143" t="s">
        <v>565</v>
      </c>
      <c r="O75" s="147">
        <v>859537200</v>
      </c>
      <c r="P75" s="150"/>
      <c r="Q75" s="148">
        <v>7500000</v>
      </c>
      <c r="R75" s="150"/>
      <c r="S75" s="147">
        <f t="shared" si="5"/>
        <v>867037200</v>
      </c>
      <c r="T75" s="151">
        <v>859537200</v>
      </c>
      <c r="U75" s="143"/>
      <c r="V75" s="147">
        <v>7500000</v>
      </c>
      <c r="W75" s="143"/>
      <c r="X75" s="143"/>
      <c r="Y75" s="152">
        <f t="shared" ref="Y75:AB75" si="129">AD75-T75</f>
        <v>0</v>
      </c>
      <c r="Z75" s="151">
        <f t="shared" si="129"/>
        <v>0</v>
      </c>
      <c r="AA75" s="151">
        <f t="shared" si="129"/>
        <v>0</v>
      </c>
      <c r="AB75" s="152">
        <f t="shared" si="129"/>
        <v>0</v>
      </c>
      <c r="AC75" s="143"/>
      <c r="AD75" s="155">
        <v>859537200</v>
      </c>
      <c r="AE75" s="150"/>
      <c r="AF75" s="148">
        <v>7500000</v>
      </c>
      <c r="AG75" s="155"/>
      <c r="AH75" s="143">
        <f t="shared" si="7"/>
        <v>0</v>
      </c>
      <c r="AI75" s="151"/>
      <c r="AJ75" s="151">
        <f t="shared" ref="AJ75:AL75" si="130">P75-AE75</f>
        <v>0</v>
      </c>
      <c r="AK75" s="151">
        <f t="shared" si="130"/>
        <v>0</v>
      </c>
      <c r="AL75" s="151">
        <f t="shared" si="130"/>
        <v>0</v>
      </c>
      <c r="AM75" s="145"/>
      <c r="AN75" s="139"/>
      <c r="AO75" s="139"/>
      <c r="AP75" s="139"/>
      <c r="AQ75" s="145"/>
      <c r="AR75" s="145"/>
    </row>
    <row r="76" spans="1:44" s="156" customFormat="1" ht="47.25" x14ac:dyDescent="0.25">
      <c r="A76" s="143" t="s">
        <v>35</v>
      </c>
      <c r="B76" s="144">
        <v>63</v>
      </c>
      <c r="C76" s="143" t="s">
        <v>142</v>
      </c>
      <c r="D76" s="143" t="s">
        <v>142</v>
      </c>
      <c r="E76" s="145"/>
      <c r="F76" s="146"/>
      <c r="G76" s="143" t="s">
        <v>572</v>
      </c>
      <c r="H76" s="143"/>
      <c r="I76" s="143"/>
      <c r="J76" s="143"/>
      <c r="K76" s="143"/>
      <c r="L76" s="143" t="s">
        <v>573</v>
      </c>
      <c r="M76" s="143" t="s">
        <v>43</v>
      </c>
      <c r="N76" s="143" t="s">
        <v>574</v>
      </c>
      <c r="O76" s="147"/>
      <c r="P76" s="150"/>
      <c r="Q76" s="148">
        <v>7500000</v>
      </c>
      <c r="R76" s="150"/>
      <c r="S76" s="147">
        <f t="shared" si="5"/>
        <v>7500000</v>
      </c>
      <c r="T76" s="144">
        <v>0</v>
      </c>
      <c r="U76" s="143"/>
      <c r="V76" s="157"/>
      <c r="W76" s="143"/>
      <c r="X76" s="143"/>
      <c r="Y76" s="151">
        <f t="shared" ref="Y76:AB76" si="131">AD76-T76</f>
        <v>0</v>
      </c>
      <c r="Z76" s="151">
        <f t="shared" si="131"/>
        <v>0</v>
      </c>
      <c r="AA76" s="151">
        <f t="shared" si="131"/>
        <v>0</v>
      </c>
      <c r="AB76" s="152">
        <f t="shared" si="131"/>
        <v>0</v>
      </c>
      <c r="AC76" s="143"/>
      <c r="AD76" s="148">
        <v>0</v>
      </c>
      <c r="AE76" s="150"/>
      <c r="AF76" s="150"/>
      <c r="AG76" s="155"/>
      <c r="AH76" s="143">
        <f t="shared" si="7"/>
        <v>0</v>
      </c>
      <c r="AI76" s="151"/>
      <c r="AJ76" s="151">
        <f t="shared" ref="AJ76:AL76" si="132">P76-AE76</f>
        <v>0</v>
      </c>
      <c r="AK76" s="151">
        <f t="shared" si="132"/>
        <v>7500000</v>
      </c>
      <c r="AL76" s="151">
        <f t="shared" si="132"/>
        <v>0</v>
      </c>
      <c r="AM76" s="145"/>
      <c r="AN76" s="139"/>
      <c r="AO76" s="139"/>
      <c r="AP76" s="162" t="s">
        <v>1026</v>
      </c>
      <c r="AQ76" s="145"/>
      <c r="AR76" s="145"/>
    </row>
    <row r="77" spans="1:44" s="156" customFormat="1" ht="31.5" x14ac:dyDescent="0.25">
      <c r="A77" s="143" t="s">
        <v>35</v>
      </c>
      <c r="B77" s="144">
        <v>64</v>
      </c>
      <c r="C77" s="143" t="s">
        <v>142</v>
      </c>
      <c r="D77" s="143" t="s">
        <v>142</v>
      </c>
      <c r="E77" s="145"/>
      <c r="F77" s="146"/>
      <c r="G77" s="143" t="s">
        <v>575</v>
      </c>
      <c r="H77" s="143"/>
      <c r="I77" s="143"/>
      <c r="J77" s="143"/>
      <c r="K77" s="143"/>
      <c r="L77" s="143" t="s">
        <v>576</v>
      </c>
      <c r="M77" s="143" t="s">
        <v>43</v>
      </c>
      <c r="N77" s="143" t="s">
        <v>577</v>
      </c>
      <c r="O77" s="147">
        <v>47859600</v>
      </c>
      <c r="P77" s="150"/>
      <c r="Q77" s="148">
        <v>7500000</v>
      </c>
      <c r="R77" s="150"/>
      <c r="S77" s="147">
        <f t="shared" si="5"/>
        <v>55359600</v>
      </c>
      <c r="T77" s="151">
        <v>47859600</v>
      </c>
      <c r="U77" s="143"/>
      <c r="V77" s="147">
        <v>7500000</v>
      </c>
      <c r="W77" s="143"/>
      <c r="X77" s="143"/>
      <c r="Y77" s="152">
        <f t="shared" ref="Y77:AB77" si="133">AD77-T77</f>
        <v>0</v>
      </c>
      <c r="Z77" s="151">
        <f t="shared" si="133"/>
        <v>0</v>
      </c>
      <c r="AA77" s="151">
        <f t="shared" si="133"/>
        <v>0</v>
      </c>
      <c r="AB77" s="152">
        <f t="shared" si="133"/>
        <v>0</v>
      </c>
      <c r="AC77" s="143"/>
      <c r="AD77" s="155">
        <v>47859600</v>
      </c>
      <c r="AE77" s="150"/>
      <c r="AF77" s="148">
        <v>7500000</v>
      </c>
      <c r="AG77" s="155"/>
      <c r="AH77" s="143">
        <f t="shared" si="7"/>
        <v>0</v>
      </c>
      <c r="AI77" s="151"/>
      <c r="AJ77" s="151">
        <f t="shared" ref="AJ77:AL77" si="134">P77-AE77</f>
        <v>0</v>
      </c>
      <c r="AK77" s="151">
        <f t="shared" si="134"/>
        <v>0</v>
      </c>
      <c r="AL77" s="151">
        <f t="shared" si="134"/>
        <v>0</v>
      </c>
      <c r="AM77" s="145"/>
      <c r="AN77" s="139"/>
      <c r="AO77" s="139"/>
      <c r="AP77" s="139"/>
      <c r="AQ77" s="145"/>
      <c r="AR77" s="145"/>
    </row>
    <row r="78" spans="1:44" s="156" customFormat="1" ht="31.5" x14ac:dyDescent="0.25">
      <c r="A78" s="143" t="s">
        <v>83</v>
      </c>
      <c r="B78" s="144">
        <v>65</v>
      </c>
      <c r="C78" s="143" t="s">
        <v>142</v>
      </c>
      <c r="D78" s="143" t="s">
        <v>142</v>
      </c>
      <c r="E78" s="145"/>
      <c r="F78" s="146"/>
      <c r="G78" s="143" t="s">
        <v>578</v>
      </c>
      <c r="H78" s="143"/>
      <c r="I78" s="143" t="s">
        <v>85</v>
      </c>
      <c r="J78" s="143"/>
      <c r="K78" s="143"/>
      <c r="L78" s="143" t="s">
        <v>579</v>
      </c>
      <c r="M78" s="143" t="s">
        <v>43</v>
      </c>
      <c r="N78" s="143" t="s">
        <v>580</v>
      </c>
      <c r="O78" s="147"/>
      <c r="P78" s="150"/>
      <c r="Q78" s="167"/>
      <c r="R78" s="150"/>
      <c r="S78" s="147">
        <f t="shared" si="5"/>
        <v>0</v>
      </c>
      <c r="T78" s="144">
        <v>0</v>
      </c>
      <c r="U78" s="143"/>
      <c r="V78" s="157"/>
      <c r="W78" s="143"/>
      <c r="X78" s="143"/>
      <c r="Y78" s="151">
        <f t="shared" ref="Y78:AB78" si="135">AD78-T78</f>
        <v>0</v>
      </c>
      <c r="Z78" s="151">
        <f t="shared" si="135"/>
        <v>0</v>
      </c>
      <c r="AA78" s="151">
        <f t="shared" si="135"/>
        <v>0</v>
      </c>
      <c r="AB78" s="152">
        <f t="shared" si="135"/>
        <v>0</v>
      </c>
      <c r="AC78" s="143"/>
      <c r="AD78" s="148">
        <v>0</v>
      </c>
      <c r="AE78" s="150"/>
      <c r="AF78" s="150"/>
      <c r="AG78" s="155"/>
      <c r="AH78" s="143">
        <f t="shared" si="7"/>
        <v>0</v>
      </c>
      <c r="AI78" s="151"/>
      <c r="AJ78" s="151">
        <f t="shared" ref="AJ78:AL78" si="136">P78-AE78</f>
        <v>0</v>
      </c>
      <c r="AK78" s="151">
        <f t="shared" si="136"/>
        <v>0</v>
      </c>
      <c r="AL78" s="151">
        <f t="shared" si="136"/>
        <v>0</v>
      </c>
      <c r="AM78" s="145"/>
      <c r="AN78" s="139"/>
      <c r="AO78" s="139"/>
      <c r="AP78" s="139"/>
      <c r="AQ78" s="145"/>
      <c r="AR78" s="145"/>
    </row>
    <row r="79" spans="1:44" s="156" customFormat="1" ht="31.5" x14ac:dyDescent="0.25">
      <c r="A79" s="143" t="s">
        <v>60</v>
      </c>
      <c r="B79" s="144">
        <v>66</v>
      </c>
      <c r="C79" s="143" t="s">
        <v>142</v>
      </c>
      <c r="D79" s="143" t="s">
        <v>142</v>
      </c>
      <c r="E79" s="145"/>
      <c r="F79" s="146"/>
      <c r="G79" s="143" t="s">
        <v>589</v>
      </c>
      <c r="H79" s="143"/>
      <c r="I79" s="143"/>
      <c r="J79" s="143"/>
      <c r="K79" s="143"/>
      <c r="L79" s="143" t="s">
        <v>590</v>
      </c>
      <c r="M79" s="143" t="s">
        <v>43</v>
      </c>
      <c r="N79" s="143" t="s">
        <v>591</v>
      </c>
      <c r="O79" s="147">
        <v>440907010</v>
      </c>
      <c r="P79" s="150"/>
      <c r="Q79" s="148">
        <v>7500000</v>
      </c>
      <c r="R79" s="150"/>
      <c r="S79" s="147">
        <f t="shared" si="5"/>
        <v>448407010</v>
      </c>
      <c r="T79" s="151">
        <v>440907010</v>
      </c>
      <c r="U79" s="143"/>
      <c r="V79" s="147">
        <v>7500000</v>
      </c>
      <c r="W79" s="143"/>
      <c r="X79" s="143"/>
      <c r="Y79" s="152">
        <f t="shared" ref="Y79:AB79" si="137">AD79-T79</f>
        <v>0</v>
      </c>
      <c r="Z79" s="151">
        <f t="shared" si="137"/>
        <v>0</v>
      </c>
      <c r="AA79" s="151">
        <f t="shared" si="137"/>
        <v>0</v>
      </c>
      <c r="AB79" s="152">
        <f t="shared" si="137"/>
        <v>0</v>
      </c>
      <c r="AC79" s="143"/>
      <c r="AD79" s="155">
        <v>440907010</v>
      </c>
      <c r="AE79" s="150"/>
      <c r="AF79" s="148">
        <v>7500000</v>
      </c>
      <c r="AG79" s="155"/>
      <c r="AH79" s="143">
        <f t="shared" si="7"/>
        <v>0</v>
      </c>
      <c r="AI79" s="151"/>
      <c r="AJ79" s="151">
        <f t="shared" ref="AJ79:AL79" si="138">P79-AE79</f>
        <v>0</v>
      </c>
      <c r="AK79" s="151">
        <f t="shared" si="138"/>
        <v>0</v>
      </c>
      <c r="AL79" s="151">
        <f t="shared" si="138"/>
        <v>0</v>
      </c>
      <c r="AM79" s="145"/>
      <c r="AN79" s="139"/>
      <c r="AO79" s="139"/>
      <c r="AP79" s="139"/>
      <c r="AQ79" s="145"/>
      <c r="AR79" s="145"/>
    </row>
    <row r="80" spans="1:44" s="156" customFormat="1" ht="47.25" x14ac:dyDescent="0.25">
      <c r="A80" s="143" t="s">
        <v>52</v>
      </c>
      <c r="B80" s="144">
        <v>67</v>
      </c>
      <c r="C80" s="143" t="s">
        <v>142</v>
      </c>
      <c r="D80" s="143" t="s">
        <v>142</v>
      </c>
      <c r="E80" s="145" t="s">
        <v>409</v>
      </c>
      <c r="F80" s="146"/>
      <c r="G80" s="143" t="s">
        <v>592</v>
      </c>
      <c r="H80" s="143" t="s">
        <v>593</v>
      </c>
      <c r="I80" s="143"/>
      <c r="J80" s="143"/>
      <c r="K80" s="143"/>
      <c r="L80" s="143" t="s">
        <v>594</v>
      </c>
      <c r="M80" s="143" t="s">
        <v>43</v>
      </c>
      <c r="N80" s="143" t="s">
        <v>595</v>
      </c>
      <c r="O80" s="147">
        <v>880761416</v>
      </c>
      <c r="P80" s="148">
        <f>118848888-7500000</f>
        <v>111348888</v>
      </c>
      <c r="Q80" s="148">
        <f>7500000+7500000</f>
        <v>15000000</v>
      </c>
      <c r="R80" s="150"/>
      <c r="S80" s="147">
        <f t="shared" si="5"/>
        <v>1007110304</v>
      </c>
      <c r="T80" s="151">
        <v>880761416</v>
      </c>
      <c r="U80" s="158">
        <v>111348888</v>
      </c>
      <c r="V80" s="147">
        <v>15000000</v>
      </c>
      <c r="W80" s="143"/>
      <c r="X80" s="143"/>
      <c r="Y80" s="152">
        <f t="shared" ref="Y80:AB80" si="139">AD80-T80</f>
        <v>0</v>
      </c>
      <c r="Z80" s="151">
        <f t="shared" si="139"/>
        <v>0</v>
      </c>
      <c r="AA80" s="151">
        <f t="shared" si="139"/>
        <v>0</v>
      </c>
      <c r="AB80" s="152">
        <f t="shared" si="139"/>
        <v>0</v>
      </c>
      <c r="AC80" s="143"/>
      <c r="AD80" s="155">
        <v>880761416</v>
      </c>
      <c r="AE80" s="148">
        <v>111348888</v>
      </c>
      <c r="AF80" s="148">
        <v>15000000</v>
      </c>
      <c r="AG80" s="155"/>
      <c r="AH80" s="143">
        <f t="shared" si="7"/>
        <v>0</v>
      </c>
      <c r="AI80" s="151"/>
      <c r="AJ80" s="151">
        <f t="shared" ref="AJ80:AL80" si="140">P80-AE80</f>
        <v>0</v>
      </c>
      <c r="AK80" s="151">
        <f t="shared" si="140"/>
        <v>0</v>
      </c>
      <c r="AL80" s="151">
        <f t="shared" si="140"/>
        <v>0</v>
      </c>
      <c r="AM80" s="145"/>
      <c r="AN80" s="139"/>
      <c r="AO80" s="139"/>
      <c r="AP80" s="139"/>
      <c r="AQ80" s="145"/>
      <c r="AR80" s="145"/>
    </row>
    <row r="81" spans="1:47" s="156" customFormat="1" ht="31.5" x14ac:dyDescent="0.25">
      <c r="A81" s="143" t="s">
        <v>46</v>
      </c>
      <c r="B81" s="144">
        <v>68</v>
      </c>
      <c r="C81" s="143" t="s">
        <v>142</v>
      </c>
      <c r="D81" s="143" t="s">
        <v>142</v>
      </c>
      <c r="E81" s="145"/>
      <c r="F81" s="146"/>
      <c r="G81" s="143" t="s">
        <v>599</v>
      </c>
      <c r="H81" s="143"/>
      <c r="I81" s="143" t="s">
        <v>601</v>
      </c>
      <c r="J81" s="143"/>
      <c r="K81" s="143"/>
      <c r="L81" s="143" t="s">
        <v>602</v>
      </c>
      <c r="M81" s="143" t="s">
        <v>43</v>
      </c>
      <c r="N81" s="143" t="s">
        <v>603</v>
      </c>
      <c r="O81" s="147">
        <v>3692631136</v>
      </c>
      <c r="P81" s="150"/>
      <c r="Q81" s="148">
        <v>15000000</v>
      </c>
      <c r="R81" s="150"/>
      <c r="S81" s="147">
        <f t="shared" si="5"/>
        <v>3707631136</v>
      </c>
      <c r="T81" s="151">
        <v>3692631136</v>
      </c>
      <c r="U81" s="143"/>
      <c r="V81" s="147">
        <v>15000000</v>
      </c>
      <c r="W81" s="143"/>
      <c r="X81" s="143"/>
      <c r="Y81" s="152">
        <f t="shared" ref="Y81:AB81" si="141">AD81-T81</f>
        <v>0</v>
      </c>
      <c r="Z81" s="151">
        <f t="shared" si="141"/>
        <v>0</v>
      </c>
      <c r="AA81" s="151">
        <f t="shared" si="141"/>
        <v>0</v>
      </c>
      <c r="AB81" s="152">
        <f t="shared" si="141"/>
        <v>0</v>
      </c>
      <c r="AC81" s="143"/>
      <c r="AD81" s="155">
        <v>3692631136</v>
      </c>
      <c r="AE81" s="150"/>
      <c r="AF81" s="148">
        <v>15000000</v>
      </c>
      <c r="AG81" s="155"/>
      <c r="AH81" s="143">
        <f t="shared" si="7"/>
        <v>0</v>
      </c>
      <c r="AI81" s="151"/>
      <c r="AJ81" s="151">
        <f t="shared" ref="AJ81:AL81" si="142">P81-AE81</f>
        <v>0</v>
      </c>
      <c r="AK81" s="151">
        <f t="shared" si="142"/>
        <v>0</v>
      </c>
      <c r="AL81" s="151">
        <f t="shared" si="142"/>
        <v>0</v>
      </c>
      <c r="AM81" s="145"/>
      <c r="AN81" s="139"/>
      <c r="AO81" s="139"/>
      <c r="AP81" s="139"/>
      <c r="AQ81" s="145"/>
      <c r="AR81" s="145"/>
    </row>
    <row r="82" spans="1:47" s="156" customFormat="1" ht="110.25" x14ac:dyDescent="0.25">
      <c r="A82" s="143" t="s">
        <v>46</v>
      </c>
      <c r="B82" s="144">
        <v>69</v>
      </c>
      <c r="C82" s="143" t="s">
        <v>142</v>
      </c>
      <c r="D82" s="143" t="s">
        <v>142</v>
      </c>
      <c r="E82" s="145" t="s">
        <v>604</v>
      </c>
      <c r="F82" s="146"/>
      <c r="G82" s="143" t="s">
        <v>606</v>
      </c>
      <c r="H82" s="143" t="s">
        <v>608</v>
      </c>
      <c r="I82" s="143"/>
      <c r="J82" s="143"/>
      <c r="K82" s="143"/>
      <c r="L82" s="143" t="s">
        <v>612</v>
      </c>
      <c r="M82" s="143" t="s">
        <v>43</v>
      </c>
      <c r="N82" s="143" t="s">
        <v>614</v>
      </c>
      <c r="O82" s="147">
        <v>10741645000</v>
      </c>
      <c r="P82" s="148">
        <f>2472792800</f>
        <v>2472792800</v>
      </c>
      <c r="Q82" s="148">
        <v>15000000</v>
      </c>
      <c r="R82" s="150"/>
      <c r="S82" s="147">
        <f t="shared" si="5"/>
        <v>13229437800</v>
      </c>
      <c r="T82" s="151">
        <v>10741645000</v>
      </c>
      <c r="U82" s="158">
        <v>2472792800</v>
      </c>
      <c r="V82" s="147">
        <v>15000000</v>
      </c>
      <c r="W82" s="143"/>
      <c r="X82" s="143"/>
      <c r="Y82" s="152">
        <f t="shared" ref="Y82:AB82" si="143">AD82-T82</f>
        <v>0</v>
      </c>
      <c r="Z82" s="151">
        <f t="shared" si="143"/>
        <v>0</v>
      </c>
      <c r="AA82" s="151">
        <f t="shared" si="143"/>
        <v>0</v>
      </c>
      <c r="AB82" s="152">
        <f t="shared" si="143"/>
        <v>0</v>
      </c>
      <c r="AC82" s="143"/>
      <c r="AD82" s="155">
        <v>10741645000</v>
      </c>
      <c r="AE82" s="148">
        <v>2472792800</v>
      </c>
      <c r="AF82" s="148">
        <v>15000000</v>
      </c>
      <c r="AG82" s="155"/>
      <c r="AH82" s="143">
        <f t="shared" si="7"/>
        <v>0</v>
      </c>
      <c r="AI82" s="151"/>
      <c r="AJ82" s="151">
        <f t="shared" ref="AJ82:AL82" si="144">P82-AE82</f>
        <v>0</v>
      </c>
      <c r="AK82" s="151">
        <f t="shared" si="144"/>
        <v>0</v>
      </c>
      <c r="AL82" s="151">
        <f t="shared" si="144"/>
        <v>0</v>
      </c>
      <c r="AM82" s="145"/>
      <c r="AN82" s="139"/>
      <c r="AO82" s="139"/>
      <c r="AP82" s="139"/>
      <c r="AQ82" s="145"/>
      <c r="AR82" s="145"/>
    </row>
    <row r="83" spans="1:47" s="156" customFormat="1" ht="47.25" x14ac:dyDescent="0.25">
      <c r="A83" s="143" t="s">
        <v>52</v>
      </c>
      <c r="B83" s="144">
        <v>70</v>
      </c>
      <c r="C83" s="143" t="s">
        <v>142</v>
      </c>
      <c r="D83" s="143" t="s">
        <v>142</v>
      </c>
      <c r="E83" s="145"/>
      <c r="F83" s="145" t="s">
        <v>144</v>
      </c>
      <c r="G83" s="143" t="s">
        <v>146</v>
      </c>
      <c r="H83" s="143"/>
      <c r="I83" s="143"/>
      <c r="J83" s="143"/>
      <c r="K83" s="164"/>
      <c r="L83" s="143" t="s">
        <v>148</v>
      </c>
      <c r="M83" s="143" t="s">
        <v>43</v>
      </c>
      <c r="N83" s="143" t="s">
        <v>150</v>
      </c>
      <c r="O83" s="147">
        <v>3419539969</v>
      </c>
      <c r="P83" s="150"/>
      <c r="Q83" s="148">
        <v>15000000</v>
      </c>
      <c r="R83" s="148">
        <v>96000000</v>
      </c>
      <c r="S83" s="147">
        <f t="shared" si="5"/>
        <v>3530539969</v>
      </c>
      <c r="T83" s="151">
        <v>3419539969</v>
      </c>
      <c r="U83" s="143"/>
      <c r="V83" s="147">
        <v>15000000</v>
      </c>
      <c r="W83" s="158">
        <v>96000000</v>
      </c>
      <c r="X83" s="143"/>
      <c r="Y83" s="152">
        <f t="shared" ref="Y83:AB83" si="145">AD83-T83</f>
        <v>0</v>
      </c>
      <c r="Z83" s="151">
        <f t="shared" si="145"/>
        <v>0</v>
      </c>
      <c r="AA83" s="151">
        <f t="shared" si="145"/>
        <v>0</v>
      </c>
      <c r="AB83" s="151">
        <f t="shared" si="145"/>
        <v>0</v>
      </c>
      <c r="AC83" s="143"/>
      <c r="AD83" s="155">
        <v>3419539969</v>
      </c>
      <c r="AE83" s="150"/>
      <c r="AF83" s="148">
        <v>15000000</v>
      </c>
      <c r="AG83" s="148">
        <v>96000000</v>
      </c>
      <c r="AH83" s="143">
        <f t="shared" si="7"/>
        <v>0</v>
      </c>
      <c r="AI83" s="151"/>
      <c r="AJ83" s="151">
        <f t="shared" ref="AJ83:AL83" si="146">P83-AE83</f>
        <v>0</v>
      </c>
      <c r="AK83" s="151">
        <f t="shared" si="146"/>
        <v>0</v>
      </c>
      <c r="AL83" s="151">
        <f t="shared" si="146"/>
        <v>0</v>
      </c>
      <c r="AM83" s="145"/>
      <c r="AN83" s="139"/>
      <c r="AO83" s="139"/>
      <c r="AP83" s="139"/>
      <c r="AQ83" s="145"/>
      <c r="AR83" s="145"/>
    </row>
    <row r="84" spans="1:47" s="156" customFormat="1" ht="31.5" x14ac:dyDescent="0.25">
      <c r="A84" s="143" t="s">
        <v>46</v>
      </c>
      <c r="B84" s="144">
        <v>71</v>
      </c>
      <c r="C84" s="143" t="s">
        <v>630</v>
      </c>
      <c r="D84" s="143" t="s">
        <v>630</v>
      </c>
      <c r="E84" s="145"/>
      <c r="F84" s="146"/>
      <c r="G84" s="143" t="s">
        <v>631</v>
      </c>
      <c r="H84" s="143"/>
      <c r="I84" s="143"/>
      <c r="J84" s="143"/>
      <c r="K84" s="143"/>
      <c r="L84" s="143" t="s">
        <v>632</v>
      </c>
      <c r="M84" s="143" t="s">
        <v>43</v>
      </c>
      <c r="N84" s="143" t="s">
        <v>633</v>
      </c>
      <c r="O84" s="147">
        <v>4963312906</v>
      </c>
      <c r="P84" s="150"/>
      <c r="Q84" s="148">
        <v>7500000</v>
      </c>
      <c r="R84" s="150"/>
      <c r="S84" s="147">
        <f t="shared" si="5"/>
        <v>4970812906</v>
      </c>
      <c r="T84" s="158">
        <v>4963312906</v>
      </c>
      <c r="U84" s="143"/>
      <c r="V84" s="147">
        <v>7500000</v>
      </c>
      <c r="W84" s="143"/>
      <c r="X84" s="143"/>
      <c r="Y84" s="152">
        <f t="shared" ref="Y84:AB84" si="147">AD84-T84</f>
        <v>0</v>
      </c>
      <c r="Z84" s="151">
        <f t="shared" si="147"/>
        <v>0</v>
      </c>
      <c r="AA84" s="151">
        <f t="shared" si="147"/>
        <v>0</v>
      </c>
      <c r="AB84" s="152">
        <f t="shared" si="147"/>
        <v>0</v>
      </c>
      <c r="AC84" s="143"/>
      <c r="AD84" s="149">
        <v>4963312906</v>
      </c>
      <c r="AE84" s="150"/>
      <c r="AF84" s="148">
        <v>7500000</v>
      </c>
      <c r="AG84" s="155"/>
      <c r="AH84" s="143">
        <f t="shared" si="7"/>
        <v>0</v>
      </c>
      <c r="AI84" s="151"/>
      <c r="AJ84" s="151">
        <f t="shared" ref="AJ84:AL84" si="148">P84-AE84</f>
        <v>0</v>
      </c>
      <c r="AK84" s="151">
        <f t="shared" si="148"/>
        <v>0</v>
      </c>
      <c r="AL84" s="151">
        <f t="shared" si="148"/>
        <v>0</v>
      </c>
      <c r="AM84" s="145"/>
      <c r="AN84" s="139"/>
      <c r="AO84" s="139"/>
      <c r="AP84" s="139"/>
      <c r="AQ84" s="145"/>
      <c r="AR84" s="145"/>
    </row>
    <row r="85" spans="1:47" s="156" customFormat="1" ht="31.5" x14ac:dyDescent="0.25">
      <c r="A85" s="143" t="s">
        <v>46</v>
      </c>
      <c r="B85" s="144">
        <v>72</v>
      </c>
      <c r="C85" s="143" t="s">
        <v>630</v>
      </c>
      <c r="D85" s="143" t="s">
        <v>630</v>
      </c>
      <c r="E85" s="145"/>
      <c r="F85" s="146"/>
      <c r="G85" s="143" t="s">
        <v>639</v>
      </c>
      <c r="H85" s="143"/>
      <c r="I85" s="143"/>
      <c r="J85" s="143"/>
      <c r="K85" s="143"/>
      <c r="L85" s="143" t="s">
        <v>640</v>
      </c>
      <c r="M85" s="143" t="s">
        <v>43</v>
      </c>
      <c r="N85" s="143" t="s">
        <v>641</v>
      </c>
      <c r="O85" s="147">
        <v>456501640</v>
      </c>
      <c r="P85" s="150"/>
      <c r="Q85" s="148">
        <v>7500000</v>
      </c>
      <c r="R85" s="150"/>
      <c r="S85" s="147">
        <f t="shared" si="5"/>
        <v>464001640</v>
      </c>
      <c r="T85" s="158">
        <v>456501640</v>
      </c>
      <c r="U85" s="143"/>
      <c r="V85" s="147">
        <v>7500000</v>
      </c>
      <c r="W85" s="143"/>
      <c r="X85" s="143"/>
      <c r="Y85" s="152">
        <f t="shared" ref="Y85:AB85" si="149">AD85-T85</f>
        <v>0</v>
      </c>
      <c r="Z85" s="151">
        <f t="shared" si="149"/>
        <v>0</v>
      </c>
      <c r="AA85" s="151">
        <f t="shared" si="149"/>
        <v>0</v>
      </c>
      <c r="AB85" s="152">
        <f t="shared" si="149"/>
        <v>0</v>
      </c>
      <c r="AC85" s="143"/>
      <c r="AD85" s="149">
        <v>456501640</v>
      </c>
      <c r="AE85" s="150"/>
      <c r="AF85" s="148">
        <v>7500000</v>
      </c>
      <c r="AG85" s="155"/>
      <c r="AH85" s="143">
        <f t="shared" si="7"/>
        <v>0</v>
      </c>
      <c r="AI85" s="151"/>
      <c r="AJ85" s="151">
        <f t="shared" ref="AJ85:AL85" si="150">P85-AE85</f>
        <v>0</v>
      </c>
      <c r="AK85" s="151">
        <f t="shared" si="150"/>
        <v>0</v>
      </c>
      <c r="AL85" s="151">
        <f t="shared" si="150"/>
        <v>0</v>
      </c>
      <c r="AM85" s="145"/>
      <c r="AN85" s="139"/>
      <c r="AO85" s="139"/>
      <c r="AP85" s="139"/>
      <c r="AQ85" s="145"/>
      <c r="AR85" s="145"/>
    </row>
    <row r="86" spans="1:47" s="156" customFormat="1" ht="31.5" x14ac:dyDescent="0.25">
      <c r="A86" s="143" t="s">
        <v>60</v>
      </c>
      <c r="B86" s="144">
        <v>73</v>
      </c>
      <c r="C86" s="143" t="s">
        <v>630</v>
      </c>
      <c r="D86" s="143" t="s">
        <v>630</v>
      </c>
      <c r="E86" s="145"/>
      <c r="F86" s="146"/>
      <c r="G86" s="143" t="s">
        <v>648</v>
      </c>
      <c r="H86" s="143"/>
      <c r="I86" s="143"/>
      <c r="J86" s="143"/>
      <c r="K86" s="143"/>
      <c r="L86" s="143" t="s">
        <v>650</v>
      </c>
      <c r="M86" s="143" t="s">
        <v>43</v>
      </c>
      <c r="N86" s="143" t="s">
        <v>651</v>
      </c>
      <c r="O86" s="147">
        <v>1758077820</v>
      </c>
      <c r="P86" s="150"/>
      <c r="Q86" s="148">
        <v>7500000</v>
      </c>
      <c r="R86" s="150"/>
      <c r="S86" s="147">
        <f t="shared" si="5"/>
        <v>1765577820</v>
      </c>
      <c r="T86" s="151">
        <v>1758077820</v>
      </c>
      <c r="U86" s="143"/>
      <c r="V86" s="147">
        <v>7500000</v>
      </c>
      <c r="W86" s="143"/>
      <c r="X86" s="143"/>
      <c r="Y86" s="152">
        <f t="shared" ref="Y86:AB86" si="151">AD86-T86</f>
        <v>0</v>
      </c>
      <c r="Z86" s="151">
        <f t="shared" si="151"/>
        <v>0</v>
      </c>
      <c r="AA86" s="151">
        <f t="shared" si="151"/>
        <v>0</v>
      </c>
      <c r="AB86" s="152">
        <f t="shared" si="151"/>
        <v>0</v>
      </c>
      <c r="AC86" s="143"/>
      <c r="AD86" s="155">
        <v>1758077820</v>
      </c>
      <c r="AE86" s="150"/>
      <c r="AF86" s="148">
        <v>7500000</v>
      </c>
      <c r="AG86" s="155"/>
      <c r="AH86" s="143">
        <f t="shared" si="7"/>
        <v>0</v>
      </c>
      <c r="AI86" s="151"/>
      <c r="AJ86" s="151">
        <f t="shared" ref="AJ86:AL86" si="152">P86-AE86</f>
        <v>0</v>
      </c>
      <c r="AK86" s="151">
        <f t="shared" si="152"/>
        <v>0</v>
      </c>
      <c r="AL86" s="151">
        <f t="shared" si="152"/>
        <v>0</v>
      </c>
      <c r="AM86" s="145"/>
      <c r="AN86" s="139"/>
      <c r="AO86" s="139"/>
      <c r="AP86" s="139"/>
      <c r="AQ86" s="145"/>
      <c r="AR86" s="145"/>
    </row>
    <row r="87" spans="1:47" s="156" customFormat="1" ht="31.5" x14ac:dyDescent="0.25">
      <c r="A87" s="143" t="s">
        <v>60</v>
      </c>
      <c r="B87" s="144">
        <v>74</v>
      </c>
      <c r="C87" s="143" t="s">
        <v>630</v>
      </c>
      <c r="D87" s="143" t="s">
        <v>630</v>
      </c>
      <c r="E87" s="145"/>
      <c r="F87" s="146"/>
      <c r="G87" s="143" t="s">
        <v>652</v>
      </c>
      <c r="H87" s="143"/>
      <c r="I87" s="143"/>
      <c r="J87" s="143"/>
      <c r="K87" s="143"/>
      <c r="L87" s="143" t="s">
        <v>653</v>
      </c>
      <c r="M87" s="143" t="s">
        <v>43</v>
      </c>
      <c r="N87" s="143" t="s">
        <v>654</v>
      </c>
      <c r="O87" s="147">
        <v>383790570</v>
      </c>
      <c r="P87" s="150"/>
      <c r="Q87" s="148">
        <v>7500000</v>
      </c>
      <c r="R87" s="150"/>
      <c r="S87" s="147">
        <f t="shared" si="5"/>
        <v>391290570</v>
      </c>
      <c r="T87" s="151">
        <v>383790570</v>
      </c>
      <c r="U87" s="143"/>
      <c r="V87" s="147">
        <v>7500000</v>
      </c>
      <c r="W87" s="143"/>
      <c r="X87" s="143"/>
      <c r="Y87" s="152">
        <f t="shared" ref="Y87:AB87" si="153">AD87-T87</f>
        <v>0</v>
      </c>
      <c r="Z87" s="151">
        <f t="shared" si="153"/>
        <v>0</v>
      </c>
      <c r="AA87" s="151">
        <f t="shared" si="153"/>
        <v>0</v>
      </c>
      <c r="AB87" s="152">
        <f t="shared" si="153"/>
        <v>0</v>
      </c>
      <c r="AC87" s="143"/>
      <c r="AD87" s="155">
        <v>383790570</v>
      </c>
      <c r="AE87" s="150"/>
      <c r="AF87" s="148">
        <v>7500000</v>
      </c>
      <c r="AG87" s="155"/>
      <c r="AH87" s="143">
        <f t="shared" si="7"/>
        <v>0</v>
      </c>
      <c r="AI87" s="151"/>
      <c r="AJ87" s="151">
        <f t="shared" ref="AJ87:AL87" si="154">P87-AE87</f>
        <v>0</v>
      </c>
      <c r="AK87" s="151">
        <f t="shared" si="154"/>
        <v>0</v>
      </c>
      <c r="AL87" s="151">
        <f t="shared" si="154"/>
        <v>0</v>
      </c>
      <c r="AM87" s="145"/>
      <c r="AN87" s="139"/>
      <c r="AO87" s="139"/>
      <c r="AP87" s="139"/>
      <c r="AQ87" s="145"/>
      <c r="AR87" s="145"/>
    </row>
    <row r="88" spans="1:47" s="156" customFormat="1" ht="31.5" x14ac:dyDescent="0.25">
      <c r="A88" s="143" t="s">
        <v>46</v>
      </c>
      <c r="B88" s="144">
        <v>75</v>
      </c>
      <c r="C88" s="143" t="s">
        <v>630</v>
      </c>
      <c r="D88" s="143" t="s">
        <v>630</v>
      </c>
      <c r="E88" s="145"/>
      <c r="F88" s="146"/>
      <c r="G88" s="143" t="s">
        <v>660</v>
      </c>
      <c r="H88" s="143"/>
      <c r="I88" s="143"/>
      <c r="J88" s="143"/>
      <c r="K88" s="143"/>
      <c r="L88" s="143" t="s">
        <v>662</v>
      </c>
      <c r="M88" s="143" t="s">
        <v>43</v>
      </c>
      <c r="N88" s="143" t="s">
        <v>664</v>
      </c>
      <c r="O88" s="147">
        <v>284423790</v>
      </c>
      <c r="P88" s="150"/>
      <c r="Q88" s="148">
        <v>7500000</v>
      </c>
      <c r="R88" s="150"/>
      <c r="S88" s="147">
        <f t="shared" si="5"/>
        <v>291923790</v>
      </c>
      <c r="T88" s="158">
        <v>284423790</v>
      </c>
      <c r="U88" s="143"/>
      <c r="V88" s="147">
        <v>7500000</v>
      </c>
      <c r="W88" s="143"/>
      <c r="X88" s="143"/>
      <c r="Y88" s="152">
        <f t="shared" ref="Y88:AB88" si="155">AD88-T88</f>
        <v>0</v>
      </c>
      <c r="Z88" s="151">
        <f t="shared" si="155"/>
        <v>0</v>
      </c>
      <c r="AA88" s="151">
        <f t="shared" si="155"/>
        <v>0</v>
      </c>
      <c r="AB88" s="151">
        <f t="shared" si="155"/>
        <v>0</v>
      </c>
      <c r="AC88" s="143"/>
      <c r="AD88" s="149">
        <v>284423790</v>
      </c>
      <c r="AE88" s="150"/>
      <c r="AF88" s="148">
        <v>7500000</v>
      </c>
      <c r="AG88" s="150"/>
      <c r="AH88" s="143">
        <f t="shared" si="7"/>
        <v>0</v>
      </c>
      <c r="AI88" s="151"/>
      <c r="AJ88" s="151">
        <f t="shared" ref="AJ88:AL88" si="156">P88-AE88</f>
        <v>0</v>
      </c>
      <c r="AK88" s="151">
        <f t="shared" si="156"/>
        <v>0</v>
      </c>
      <c r="AL88" s="151">
        <f t="shared" si="156"/>
        <v>0</v>
      </c>
      <c r="AM88" s="145"/>
      <c r="AN88" s="139"/>
      <c r="AO88" s="139"/>
      <c r="AP88" s="139"/>
      <c r="AQ88" s="145"/>
      <c r="AR88" s="145"/>
    </row>
    <row r="89" spans="1:47" s="156" customFormat="1" ht="31.5" x14ac:dyDescent="0.25">
      <c r="A89" s="143" t="s">
        <v>46</v>
      </c>
      <c r="B89" s="144">
        <v>76</v>
      </c>
      <c r="C89" s="143" t="s">
        <v>630</v>
      </c>
      <c r="D89" s="143" t="s">
        <v>630</v>
      </c>
      <c r="E89" s="145"/>
      <c r="F89" s="146"/>
      <c r="G89" s="143" t="s">
        <v>665</v>
      </c>
      <c r="H89" s="143"/>
      <c r="I89" s="143"/>
      <c r="J89" s="143"/>
      <c r="K89" s="143"/>
      <c r="L89" s="143" t="s">
        <v>666</v>
      </c>
      <c r="M89" s="143" t="s">
        <v>43</v>
      </c>
      <c r="N89" s="143" t="s">
        <v>667</v>
      </c>
      <c r="O89" s="147">
        <v>169129920</v>
      </c>
      <c r="P89" s="150"/>
      <c r="Q89" s="148">
        <v>7500000</v>
      </c>
      <c r="R89" s="150"/>
      <c r="S89" s="147">
        <f t="shared" si="5"/>
        <v>176629920</v>
      </c>
      <c r="T89" s="158">
        <v>169129920</v>
      </c>
      <c r="U89" s="143"/>
      <c r="V89" s="147">
        <v>7500000</v>
      </c>
      <c r="W89" s="143"/>
      <c r="X89" s="143"/>
      <c r="Y89" s="152">
        <f t="shared" ref="Y89:AB89" si="157">AD89-T89</f>
        <v>0</v>
      </c>
      <c r="Z89" s="151">
        <f t="shared" si="157"/>
        <v>0</v>
      </c>
      <c r="AA89" s="151">
        <f t="shared" si="157"/>
        <v>0</v>
      </c>
      <c r="AB89" s="152">
        <f t="shared" si="157"/>
        <v>0</v>
      </c>
      <c r="AC89" s="143"/>
      <c r="AD89" s="149">
        <f>169120920+9000</f>
        <v>169129920</v>
      </c>
      <c r="AE89" s="150"/>
      <c r="AF89" s="148">
        <v>7500000</v>
      </c>
      <c r="AG89" s="155"/>
      <c r="AH89" s="143">
        <f t="shared" si="7"/>
        <v>0</v>
      </c>
      <c r="AI89" s="151"/>
      <c r="AJ89" s="151">
        <f t="shared" ref="AJ89:AL89" si="158">P89-AE89</f>
        <v>0</v>
      </c>
      <c r="AK89" s="151">
        <f t="shared" si="158"/>
        <v>0</v>
      </c>
      <c r="AL89" s="151">
        <f t="shared" si="158"/>
        <v>0</v>
      </c>
      <c r="AM89" s="145"/>
      <c r="AN89" s="139"/>
      <c r="AO89" s="139"/>
      <c r="AP89" s="139"/>
      <c r="AQ89" s="145"/>
      <c r="AR89" s="145"/>
    </row>
    <row r="90" spans="1:47" s="156" customFormat="1" ht="31.5" x14ac:dyDescent="0.25">
      <c r="A90" s="143" t="s">
        <v>52</v>
      </c>
      <c r="B90" s="144">
        <v>77</v>
      </c>
      <c r="C90" s="143" t="s">
        <v>630</v>
      </c>
      <c r="D90" s="143" t="s">
        <v>630</v>
      </c>
      <c r="E90" s="145"/>
      <c r="F90" s="146"/>
      <c r="G90" s="143" t="s">
        <v>668</v>
      </c>
      <c r="H90" s="143"/>
      <c r="I90" s="143"/>
      <c r="J90" s="143"/>
      <c r="K90" s="143"/>
      <c r="L90" s="143" t="s">
        <v>669</v>
      </c>
      <c r="M90" s="143" t="s">
        <v>43</v>
      </c>
      <c r="N90" s="143" t="s">
        <v>670</v>
      </c>
      <c r="O90" s="147">
        <v>256763700</v>
      </c>
      <c r="P90" s="150"/>
      <c r="Q90" s="148">
        <v>7500000</v>
      </c>
      <c r="R90" s="150"/>
      <c r="S90" s="147">
        <f t="shared" si="5"/>
        <v>264263700</v>
      </c>
      <c r="T90" s="158">
        <v>256763700</v>
      </c>
      <c r="U90" s="143"/>
      <c r="V90" s="147">
        <v>7500000</v>
      </c>
      <c r="W90" s="143"/>
      <c r="X90" s="143"/>
      <c r="Y90" s="152">
        <f t="shared" ref="Y90:AB90" si="159">AD90-T90</f>
        <v>0</v>
      </c>
      <c r="Z90" s="151">
        <f t="shared" si="159"/>
        <v>0</v>
      </c>
      <c r="AA90" s="151">
        <f t="shared" si="159"/>
        <v>0</v>
      </c>
      <c r="AB90" s="152">
        <f t="shared" si="159"/>
        <v>0</v>
      </c>
      <c r="AC90" s="143"/>
      <c r="AD90" s="149">
        <v>256763700</v>
      </c>
      <c r="AE90" s="150"/>
      <c r="AF90" s="148">
        <v>7500000</v>
      </c>
      <c r="AG90" s="155"/>
      <c r="AH90" s="143">
        <f t="shared" si="7"/>
        <v>0</v>
      </c>
      <c r="AI90" s="151"/>
      <c r="AJ90" s="151">
        <f t="shared" ref="AJ90:AL90" si="160">P90-AE90</f>
        <v>0</v>
      </c>
      <c r="AK90" s="151">
        <f t="shared" si="160"/>
        <v>0</v>
      </c>
      <c r="AL90" s="151">
        <f t="shared" si="160"/>
        <v>0</v>
      </c>
      <c r="AM90" s="145"/>
      <c r="AN90" s="139"/>
      <c r="AO90" s="139"/>
      <c r="AP90" s="139"/>
      <c r="AQ90" s="145"/>
      <c r="AR90" s="145"/>
    </row>
    <row r="91" spans="1:47" s="156" customFormat="1" ht="31.5" x14ac:dyDescent="0.25">
      <c r="A91" s="143" t="s">
        <v>52</v>
      </c>
      <c r="B91" s="144">
        <v>78</v>
      </c>
      <c r="C91" s="143" t="s">
        <v>630</v>
      </c>
      <c r="D91" s="143" t="s">
        <v>630</v>
      </c>
      <c r="E91" s="145"/>
      <c r="F91" s="146"/>
      <c r="G91" s="143" t="s">
        <v>676</v>
      </c>
      <c r="H91" s="143"/>
      <c r="I91" s="143"/>
      <c r="J91" s="143"/>
      <c r="K91" s="143"/>
      <c r="L91" s="143" t="s">
        <v>677</v>
      </c>
      <c r="M91" s="143" t="s">
        <v>43</v>
      </c>
      <c r="N91" s="143" t="s">
        <v>678</v>
      </c>
      <c r="O91" s="147">
        <v>422510140</v>
      </c>
      <c r="P91" s="150"/>
      <c r="Q91" s="148">
        <v>7500000</v>
      </c>
      <c r="R91" s="150"/>
      <c r="S91" s="147">
        <f t="shared" si="5"/>
        <v>430010140</v>
      </c>
      <c r="T91" s="158">
        <v>422510140</v>
      </c>
      <c r="U91" s="143"/>
      <c r="V91" s="147">
        <v>7500000</v>
      </c>
      <c r="W91" s="143"/>
      <c r="X91" s="143"/>
      <c r="Y91" s="152">
        <f t="shared" ref="Y91:AB91" si="161">AD91-T91</f>
        <v>0</v>
      </c>
      <c r="Z91" s="151">
        <f t="shared" si="161"/>
        <v>0</v>
      </c>
      <c r="AA91" s="151">
        <f t="shared" si="161"/>
        <v>0</v>
      </c>
      <c r="AB91" s="152">
        <f t="shared" si="161"/>
        <v>0</v>
      </c>
      <c r="AC91" s="143"/>
      <c r="AD91" s="149">
        <v>422510140</v>
      </c>
      <c r="AE91" s="150"/>
      <c r="AF91" s="148">
        <v>7500000</v>
      </c>
      <c r="AG91" s="155"/>
      <c r="AH91" s="143">
        <f t="shared" si="7"/>
        <v>0</v>
      </c>
      <c r="AI91" s="151"/>
      <c r="AJ91" s="151">
        <f t="shared" ref="AJ91:AL91" si="162">P91-AE91</f>
        <v>0</v>
      </c>
      <c r="AK91" s="151">
        <f t="shared" si="162"/>
        <v>0</v>
      </c>
      <c r="AL91" s="151">
        <f t="shared" si="162"/>
        <v>0</v>
      </c>
      <c r="AM91" s="145"/>
      <c r="AN91" s="139"/>
      <c r="AO91" s="139"/>
      <c r="AP91" s="139"/>
      <c r="AQ91" s="145"/>
      <c r="AR91" s="145"/>
    </row>
    <row r="92" spans="1:47" s="156" customFormat="1" ht="31.5" x14ac:dyDescent="0.25">
      <c r="A92" s="143" t="s">
        <v>46</v>
      </c>
      <c r="B92" s="144">
        <v>79</v>
      </c>
      <c r="C92" s="143" t="s">
        <v>630</v>
      </c>
      <c r="D92" s="143" t="s">
        <v>630</v>
      </c>
      <c r="E92" s="145"/>
      <c r="F92" s="146"/>
      <c r="G92" s="143" t="s">
        <v>683</v>
      </c>
      <c r="H92" s="143" t="s">
        <v>684</v>
      </c>
      <c r="I92" s="143"/>
      <c r="J92" s="143"/>
      <c r="K92" s="143"/>
      <c r="L92" s="143" t="s">
        <v>685</v>
      </c>
      <c r="M92" s="143" t="s">
        <v>43</v>
      </c>
      <c r="N92" s="143" t="s">
        <v>686</v>
      </c>
      <c r="O92" s="147">
        <v>3622960192</v>
      </c>
      <c r="P92" s="150"/>
      <c r="Q92" s="148">
        <v>15000000</v>
      </c>
      <c r="R92" s="150"/>
      <c r="S92" s="147">
        <f t="shared" si="5"/>
        <v>3637960192</v>
      </c>
      <c r="T92" s="158">
        <v>3622960192</v>
      </c>
      <c r="U92" s="143"/>
      <c r="V92" s="147">
        <v>15000000</v>
      </c>
      <c r="W92" s="143"/>
      <c r="X92" s="143"/>
      <c r="Y92" s="152">
        <f t="shared" ref="Y92:AB92" si="163">AD92-T92</f>
        <v>0</v>
      </c>
      <c r="Z92" s="151">
        <f t="shared" si="163"/>
        <v>0</v>
      </c>
      <c r="AA92" s="151">
        <f t="shared" si="163"/>
        <v>0</v>
      </c>
      <c r="AB92" s="152">
        <f t="shared" si="163"/>
        <v>0</v>
      </c>
      <c r="AC92" s="143"/>
      <c r="AD92" s="149">
        <v>3622960192</v>
      </c>
      <c r="AE92" s="150"/>
      <c r="AF92" s="148">
        <v>15000000</v>
      </c>
      <c r="AG92" s="155"/>
      <c r="AH92" s="143">
        <f t="shared" si="7"/>
        <v>0</v>
      </c>
      <c r="AI92" s="151"/>
      <c r="AJ92" s="151">
        <f t="shared" ref="AJ92:AL92" si="164">P92-AE92</f>
        <v>0</v>
      </c>
      <c r="AK92" s="151">
        <f t="shared" si="164"/>
        <v>0</v>
      </c>
      <c r="AL92" s="151">
        <f t="shared" si="164"/>
        <v>0</v>
      </c>
      <c r="AM92" s="145"/>
      <c r="AN92" s="139"/>
      <c r="AO92" s="139"/>
      <c r="AP92" s="139"/>
      <c r="AQ92" s="145"/>
      <c r="AR92" s="145"/>
    </row>
    <row r="93" spans="1:47" s="156" customFormat="1" ht="31.5" x14ac:dyDescent="0.25">
      <c r="A93" s="143" t="s">
        <v>60</v>
      </c>
      <c r="B93" s="144">
        <v>80</v>
      </c>
      <c r="C93" s="143" t="s">
        <v>655</v>
      </c>
      <c r="D93" s="143" t="s">
        <v>655</v>
      </c>
      <c r="E93" s="145"/>
      <c r="F93" s="146"/>
      <c r="G93" s="143" t="s">
        <v>692</v>
      </c>
      <c r="H93" s="143"/>
      <c r="I93" s="143"/>
      <c r="J93" s="143"/>
      <c r="K93" s="143"/>
      <c r="L93" s="143" t="s">
        <v>693</v>
      </c>
      <c r="M93" s="143" t="s">
        <v>43</v>
      </c>
      <c r="N93" s="143" t="s">
        <v>694</v>
      </c>
      <c r="O93" s="147">
        <v>416448900</v>
      </c>
      <c r="P93" s="150"/>
      <c r="Q93" s="148">
        <v>7500000</v>
      </c>
      <c r="R93" s="150"/>
      <c r="S93" s="147">
        <f t="shared" si="5"/>
        <v>423948900</v>
      </c>
      <c r="T93" s="158">
        <v>416448900</v>
      </c>
      <c r="U93" s="143"/>
      <c r="V93" s="147">
        <v>7500000</v>
      </c>
      <c r="W93" s="143"/>
      <c r="X93" s="143"/>
      <c r="Y93" s="152">
        <f t="shared" ref="Y93:AB93" si="165">AD93-T93</f>
        <v>0</v>
      </c>
      <c r="Z93" s="151">
        <f t="shared" si="165"/>
        <v>0</v>
      </c>
      <c r="AA93" s="151">
        <f t="shared" si="165"/>
        <v>0</v>
      </c>
      <c r="AB93" s="152">
        <f t="shared" si="165"/>
        <v>0</v>
      </c>
      <c r="AC93" s="143"/>
      <c r="AD93" s="149">
        <v>416448900</v>
      </c>
      <c r="AE93" s="150"/>
      <c r="AF93" s="148">
        <v>7500000</v>
      </c>
      <c r="AG93" s="155"/>
      <c r="AH93" s="143">
        <f t="shared" si="7"/>
        <v>0</v>
      </c>
      <c r="AI93" s="151"/>
      <c r="AJ93" s="151">
        <f t="shared" ref="AJ93:AL93" si="166">P93-AE93</f>
        <v>0</v>
      </c>
      <c r="AK93" s="151">
        <f t="shared" si="166"/>
        <v>0</v>
      </c>
      <c r="AL93" s="151">
        <f t="shared" si="166"/>
        <v>0</v>
      </c>
      <c r="AM93" s="145"/>
      <c r="AN93" s="139"/>
      <c r="AO93" s="139"/>
      <c r="AP93" s="139"/>
      <c r="AQ93" s="145"/>
      <c r="AR93" s="145"/>
    </row>
    <row r="94" spans="1:47" s="156" customFormat="1" ht="31.5" x14ac:dyDescent="0.25">
      <c r="A94" s="143" t="s">
        <v>60</v>
      </c>
      <c r="B94" s="144">
        <v>81</v>
      </c>
      <c r="C94" s="143" t="s">
        <v>655</v>
      </c>
      <c r="D94" s="143" t="s">
        <v>655</v>
      </c>
      <c r="E94" s="145"/>
      <c r="F94" s="146"/>
      <c r="G94" s="143" t="s">
        <v>699</v>
      </c>
      <c r="H94" s="143"/>
      <c r="I94" s="143"/>
      <c r="J94" s="143"/>
      <c r="K94" s="143"/>
      <c r="L94" s="143" t="s">
        <v>700</v>
      </c>
      <c r="M94" s="143" t="s">
        <v>43</v>
      </c>
      <c r="N94" s="143" t="s">
        <v>701</v>
      </c>
      <c r="O94" s="147">
        <v>31993200</v>
      </c>
      <c r="P94" s="150"/>
      <c r="Q94" s="148">
        <v>7500000</v>
      </c>
      <c r="R94" s="150"/>
      <c r="S94" s="147">
        <f t="shared" si="5"/>
        <v>39493200</v>
      </c>
      <c r="T94" s="158">
        <v>31993200</v>
      </c>
      <c r="U94" s="143"/>
      <c r="V94" s="147">
        <v>7500000</v>
      </c>
      <c r="W94" s="143"/>
      <c r="X94" s="143"/>
      <c r="Y94" s="152">
        <f t="shared" ref="Y94:AB94" si="167">AD94-T94</f>
        <v>0</v>
      </c>
      <c r="Z94" s="151">
        <f t="shared" si="167"/>
        <v>0</v>
      </c>
      <c r="AA94" s="151">
        <f t="shared" si="167"/>
        <v>0</v>
      </c>
      <c r="AB94" s="152">
        <f t="shared" si="167"/>
        <v>0</v>
      </c>
      <c r="AC94" s="143"/>
      <c r="AD94" s="149">
        <v>31993200</v>
      </c>
      <c r="AE94" s="150"/>
      <c r="AF94" s="148">
        <v>7500000</v>
      </c>
      <c r="AG94" s="155"/>
      <c r="AH94" s="143">
        <f t="shared" si="7"/>
        <v>0</v>
      </c>
      <c r="AI94" s="151"/>
      <c r="AJ94" s="151">
        <f t="shared" ref="AJ94:AL94" si="168">P94-AE94</f>
        <v>0</v>
      </c>
      <c r="AK94" s="151">
        <f t="shared" si="168"/>
        <v>0</v>
      </c>
      <c r="AL94" s="151">
        <f t="shared" si="168"/>
        <v>0</v>
      </c>
      <c r="AM94" s="145"/>
      <c r="AN94" s="139"/>
      <c r="AO94" s="139"/>
      <c r="AP94" s="139"/>
      <c r="AQ94" s="145"/>
      <c r="AR94" s="145"/>
    </row>
    <row r="95" spans="1:47" s="156" customFormat="1" ht="47.25" x14ac:dyDescent="0.25">
      <c r="A95" s="143" t="s">
        <v>46</v>
      </c>
      <c r="B95" s="144">
        <v>82</v>
      </c>
      <c r="C95" s="143" t="s">
        <v>655</v>
      </c>
      <c r="D95" s="143" t="s">
        <v>655</v>
      </c>
      <c r="E95" s="145" t="s">
        <v>450</v>
      </c>
      <c r="F95" s="146"/>
      <c r="G95" s="143" t="s">
        <v>702</v>
      </c>
      <c r="H95" s="143" t="s">
        <v>703</v>
      </c>
      <c r="I95" s="143"/>
      <c r="J95" s="143"/>
      <c r="K95" s="143"/>
      <c r="L95" s="143" t="s">
        <v>704</v>
      </c>
      <c r="M95" s="143" t="s">
        <v>43</v>
      </c>
      <c r="N95" s="143" t="s">
        <v>705</v>
      </c>
      <c r="O95" s="147">
        <v>202213000</v>
      </c>
      <c r="P95" s="148">
        <v>38269440</v>
      </c>
      <c r="Q95" s="148">
        <v>7500000</v>
      </c>
      <c r="R95" s="150"/>
      <c r="S95" s="147">
        <f t="shared" si="5"/>
        <v>247982440</v>
      </c>
      <c r="T95" s="158">
        <v>202213000</v>
      </c>
      <c r="U95" s="158">
        <v>38269440</v>
      </c>
      <c r="V95" s="147">
        <v>7500000</v>
      </c>
      <c r="W95" s="143"/>
      <c r="X95" s="143"/>
      <c r="Y95" s="152">
        <f t="shared" ref="Y95:AB95" si="169">AD95-T95</f>
        <v>0</v>
      </c>
      <c r="Z95" s="151">
        <f t="shared" si="169"/>
        <v>0</v>
      </c>
      <c r="AA95" s="151">
        <f t="shared" si="169"/>
        <v>0</v>
      </c>
      <c r="AB95" s="151">
        <f t="shared" si="169"/>
        <v>0</v>
      </c>
      <c r="AC95" s="143"/>
      <c r="AD95" s="149">
        <v>202213000</v>
      </c>
      <c r="AE95" s="148">
        <v>38269440</v>
      </c>
      <c r="AF95" s="148">
        <v>7500000</v>
      </c>
      <c r="AG95" s="150"/>
      <c r="AH95" s="143">
        <f t="shared" si="7"/>
        <v>0</v>
      </c>
      <c r="AI95" s="151"/>
      <c r="AJ95" s="151">
        <f t="shared" ref="AJ95:AL95" si="170">P95-AE95</f>
        <v>0</v>
      </c>
      <c r="AK95" s="151">
        <f t="shared" si="170"/>
        <v>0</v>
      </c>
      <c r="AL95" s="151">
        <f t="shared" si="170"/>
        <v>0</v>
      </c>
      <c r="AM95" s="145"/>
      <c r="AN95" s="139"/>
      <c r="AO95" s="139"/>
      <c r="AP95" s="139"/>
      <c r="AQ95" s="145"/>
      <c r="AR95" s="145"/>
    </row>
    <row r="96" spans="1:47" s="156" customFormat="1" ht="94.5" x14ac:dyDescent="0.25">
      <c r="A96" s="143" t="s">
        <v>35</v>
      </c>
      <c r="B96" s="144">
        <v>83</v>
      </c>
      <c r="C96" s="143" t="s">
        <v>655</v>
      </c>
      <c r="D96" s="143" t="s">
        <v>655</v>
      </c>
      <c r="E96" s="145" t="s">
        <v>656</v>
      </c>
      <c r="F96" s="145" t="s">
        <v>657</v>
      </c>
      <c r="G96" s="143" t="s">
        <v>658</v>
      </c>
      <c r="H96" s="143" t="s">
        <v>659</v>
      </c>
      <c r="I96" s="143"/>
      <c r="J96" s="143"/>
      <c r="K96" s="164"/>
      <c r="L96" s="143" t="s">
        <v>661</v>
      </c>
      <c r="M96" s="143" t="s">
        <v>43</v>
      </c>
      <c r="N96" s="143" t="s">
        <v>663</v>
      </c>
      <c r="O96" s="147">
        <v>2870247816</v>
      </c>
      <c r="P96" s="148">
        <f>99500544+23763073</f>
        <v>123263617</v>
      </c>
      <c r="Q96" s="148">
        <v>15000000</v>
      </c>
      <c r="R96" s="148">
        <v>94200000</v>
      </c>
      <c r="S96" s="147">
        <f t="shared" si="5"/>
        <v>3102711433</v>
      </c>
      <c r="T96" s="158">
        <v>2870247816</v>
      </c>
      <c r="U96" s="158">
        <v>123263617</v>
      </c>
      <c r="V96" s="147">
        <v>15000000</v>
      </c>
      <c r="W96" s="151">
        <v>94200000</v>
      </c>
      <c r="X96" s="143"/>
      <c r="Y96" s="152">
        <f t="shared" ref="Y96:AB96" si="171">AD96-T96</f>
        <v>0</v>
      </c>
      <c r="Z96" s="151">
        <f t="shared" si="171"/>
        <v>0</v>
      </c>
      <c r="AA96" s="151">
        <f t="shared" si="171"/>
        <v>0</v>
      </c>
      <c r="AB96" s="151">
        <f t="shared" si="171"/>
        <v>0</v>
      </c>
      <c r="AC96" s="143"/>
      <c r="AD96" s="149">
        <v>2870247816</v>
      </c>
      <c r="AE96" s="148">
        <f>99500544+23763073</f>
        <v>123263617</v>
      </c>
      <c r="AF96" s="148">
        <v>15000000</v>
      </c>
      <c r="AG96" s="148">
        <v>94200000</v>
      </c>
      <c r="AH96" s="143">
        <f t="shared" si="7"/>
        <v>0</v>
      </c>
      <c r="AI96" s="151"/>
      <c r="AJ96" s="151">
        <f t="shared" ref="AJ96:AL96" si="172">P96-AE96</f>
        <v>0</v>
      </c>
      <c r="AK96" s="151">
        <f t="shared" si="172"/>
        <v>0</v>
      </c>
      <c r="AL96" s="151">
        <f t="shared" si="172"/>
        <v>0</v>
      </c>
      <c r="AM96" s="145"/>
      <c r="AN96" s="139"/>
      <c r="AO96" s="139"/>
      <c r="AP96" s="139"/>
      <c r="AQ96" s="145"/>
      <c r="AR96" s="145"/>
      <c r="AU96" s="156" t="s">
        <v>671</v>
      </c>
    </row>
    <row r="97" spans="1:44" s="156" customFormat="1" ht="63" x14ac:dyDescent="0.25">
      <c r="A97" s="143" t="s">
        <v>46</v>
      </c>
      <c r="B97" s="144">
        <v>84</v>
      </c>
      <c r="C97" s="143" t="s">
        <v>655</v>
      </c>
      <c r="D97" s="143" t="s">
        <v>655</v>
      </c>
      <c r="E97" s="145"/>
      <c r="F97" s="146"/>
      <c r="G97" s="143" t="s">
        <v>727</v>
      </c>
      <c r="H97" s="143"/>
      <c r="I97" s="143"/>
      <c r="J97" s="143"/>
      <c r="K97" s="143"/>
      <c r="L97" s="143" t="s">
        <v>728</v>
      </c>
      <c r="M97" s="143" t="s">
        <v>43</v>
      </c>
      <c r="N97" s="143" t="s">
        <v>729</v>
      </c>
      <c r="O97" s="147">
        <v>5438544033</v>
      </c>
      <c r="P97" s="150"/>
      <c r="Q97" s="148">
        <v>15000000</v>
      </c>
      <c r="R97" s="150"/>
      <c r="S97" s="147">
        <f t="shared" si="5"/>
        <v>5453544033</v>
      </c>
      <c r="T97" s="158">
        <v>5438544033</v>
      </c>
      <c r="U97" s="143"/>
      <c r="V97" s="157"/>
      <c r="W97" s="143"/>
      <c r="X97" s="143"/>
      <c r="Y97" s="152">
        <f t="shared" ref="Y97:AB97" si="173">AD97-T97</f>
        <v>0</v>
      </c>
      <c r="Z97" s="151">
        <f t="shared" si="173"/>
        <v>0</v>
      </c>
      <c r="AA97" s="151">
        <f t="shared" si="173"/>
        <v>0</v>
      </c>
      <c r="AB97" s="152">
        <f t="shared" si="173"/>
        <v>0</v>
      </c>
      <c r="AC97" s="143"/>
      <c r="AD97" s="149">
        <v>5438544033</v>
      </c>
      <c r="AE97" s="150"/>
      <c r="AF97" s="150"/>
      <c r="AG97" s="155"/>
      <c r="AH97" s="143">
        <f t="shared" si="7"/>
        <v>0</v>
      </c>
      <c r="AI97" s="151"/>
      <c r="AJ97" s="151">
        <f t="shared" ref="AJ97:AL97" si="174">P97-AE97</f>
        <v>0</v>
      </c>
      <c r="AK97" s="151">
        <f t="shared" si="174"/>
        <v>15000000</v>
      </c>
      <c r="AL97" s="151">
        <f t="shared" si="174"/>
        <v>0</v>
      </c>
      <c r="AM97" s="145"/>
      <c r="AN97" s="139"/>
      <c r="AO97" s="139"/>
      <c r="AP97" s="162" t="s">
        <v>1269</v>
      </c>
      <c r="AQ97" s="145"/>
      <c r="AR97" s="145" t="s">
        <v>1270</v>
      </c>
    </row>
    <row r="98" spans="1:44" s="156" customFormat="1" ht="31.5" x14ac:dyDescent="0.25">
      <c r="A98" s="143" t="s">
        <v>52</v>
      </c>
      <c r="B98" s="144">
        <v>85</v>
      </c>
      <c r="C98" s="143" t="s">
        <v>655</v>
      </c>
      <c r="D98" s="143" t="s">
        <v>655</v>
      </c>
      <c r="E98" s="145"/>
      <c r="F98" s="146"/>
      <c r="G98" s="143" t="s">
        <v>736</v>
      </c>
      <c r="H98" s="143"/>
      <c r="I98" s="143"/>
      <c r="J98" s="143"/>
      <c r="K98" s="143"/>
      <c r="L98" s="143" t="s">
        <v>737</v>
      </c>
      <c r="M98" s="143" t="s">
        <v>43</v>
      </c>
      <c r="N98" s="143" t="s">
        <v>738</v>
      </c>
      <c r="O98" s="147">
        <v>3102018212</v>
      </c>
      <c r="P98" s="150"/>
      <c r="Q98" s="148">
        <v>7500000</v>
      </c>
      <c r="R98" s="150"/>
      <c r="S98" s="147">
        <f t="shared" si="5"/>
        <v>3109518212</v>
      </c>
      <c r="T98" s="158">
        <v>3102018212</v>
      </c>
      <c r="U98" s="143"/>
      <c r="V98" s="147">
        <v>7500000</v>
      </c>
      <c r="W98" s="143"/>
      <c r="X98" s="143"/>
      <c r="Y98" s="152">
        <f t="shared" ref="Y98:AB98" si="175">AD98-T98</f>
        <v>0</v>
      </c>
      <c r="Z98" s="151">
        <f t="shared" si="175"/>
        <v>0</v>
      </c>
      <c r="AA98" s="151">
        <f t="shared" si="175"/>
        <v>0</v>
      </c>
      <c r="AB98" s="152">
        <f t="shared" si="175"/>
        <v>0</v>
      </c>
      <c r="AC98" s="143"/>
      <c r="AD98" s="149">
        <v>3102018212</v>
      </c>
      <c r="AE98" s="150"/>
      <c r="AF98" s="148">
        <v>7500000</v>
      </c>
      <c r="AG98" s="155"/>
      <c r="AH98" s="143">
        <f t="shared" si="7"/>
        <v>0</v>
      </c>
      <c r="AI98" s="151"/>
      <c r="AJ98" s="151">
        <f t="shared" ref="AJ98:AL98" si="176">P98-AE98</f>
        <v>0</v>
      </c>
      <c r="AK98" s="151">
        <f t="shared" si="176"/>
        <v>0</v>
      </c>
      <c r="AL98" s="151">
        <f t="shared" si="176"/>
        <v>0</v>
      </c>
      <c r="AM98" s="145"/>
      <c r="AN98" s="139"/>
      <c r="AO98" s="139"/>
      <c r="AP98" s="139"/>
      <c r="AQ98" s="145"/>
      <c r="AR98" s="145"/>
    </row>
    <row r="99" spans="1:44" s="156" customFormat="1" ht="31.5" x14ac:dyDescent="0.25">
      <c r="A99" s="143" t="s">
        <v>46</v>
      </c>
      <c r="B99" s="144">
        <v>86</v>
      </c>
      <c r="C99" s="143" t="s">
        <v>655</v>
      </c>
      <c r="D99" s="143" t="s">
        <v>655</v>
      </c>
      <c r="E99" s="145"/>
      <c r="F99" s="146"/>
      <c r="G99" s="143" t="s">
        <v>746</v>
      </c>
      <c r="H99" s="143"/>
      <c r="I99" s="143"/>
      <c r="J99" s="143"/>
      <c r="K99" s="143"/>
      <c r="L99" s="143" t="s">
        <v>747</v>
      </c>
      <c r="M99" s="143" t="s">
        <v>43</v>
      </c>
      <c r="N99" s="143" t="s">
        <v>748</v>
      </c>
      <c r="O99" s="147">
        <v>3208417628</v>
      </c>
      <c r="P99" s="150"/>
      <c r="Q99" s="148">
        <v>15000000</v>
      </c>
      <c r="R99" s="150"/>
      <c r="S99" s="147">
        <f t="shared" si="5"/>
        <v>3223417628</v>
      </c>
      <c r="T99" s="151">
        <v>3208417628</v>
      </c>
      <c r="U99" s="143"/>
      <c r="V99" s="147">
        <v>15000000</v>
      </c>
      <c r="W99" s="143"/>
      <c r="X99" s="143"/>
      <c r="Y99" s="152">
        <f t="shared" ref="Y99:AB99" si="177">AD99-T99</f>
        <v>0</v>
      </c>
      <c r="Z99" s="151">
        <f t="shared" si="177"/>
        <v>0</v>
      </c>
      <c r="AA99" s="151">
        <f t="shared" si="177"/>
        <v>0</v>
      </c>
      <c r="AB99" s="152">
        <f t="shared" si="177"/>
        <v>0</v>
      </c>
      <c r="AC99" s="143"/>
      <c r="AD99" s="155">
        <v>3208417628</v>
      </c>
      <c r="AE99" s="150"/>
      <c r="AF99" s="148">
        <v>15000000</v>
      </c>
      <c r="AG99" s="155"/>
      <c r="AH99" s="143">
        <f t="shared" si="7"/>
        <v>0</v>
      </c>
      <c r="AI99" s="151"/>
      <c r="AJ99" s="151">
        <f t="shared" ref="AJ99:AL99" si="178">P99-AE99</f>
        <v>0</v>
      </c>
      <c r="AK99" s="151">
        <f t="shared" si="178"/>
        <v>0</v>
      </c>
      <c r="AL99" s="151">
        <f t="shared" si="178"/>
        <v>0</v>
      </c>
      <c r="AM99" s="145"/>
      <c r="AN99" s="139"/>
      <c r="AO99" s="139"/>
      <c r="AP99" s="139"/>
      <c r="AQ99" s="145"/>
      <c r="AR99" s="145"/>
    </row>
    <row r="100" spans="1:44" s="156" customFormat="1" ht="31.5" x14ac:dyDescent="0.25">
      <c r="A100" s="143" t="s">
        <v>52</v>
      </c>
      <c r="B100" s="144">
        <v>87</v>
      </c>
      <c r="C100" s="143" t="s">
        <v>655</v>
      </c>
      <c r="D100" s="143" t="s">
        <v>655</v>
      </c>
      <c r="E100" s="145"/>
      <c r="F100" s="146"/>
      <c r="G100" s="143" t="s">
        <v>753</v>
      </c>
      <c r="H100" s="143"/>
      <c r="I100" s="143"/>
      <c r="J100" s="143"/>
      <c r="K100" s="143"/>
      <c r="L100" s="143" t="s">
        <v>755</v>
      </c>
      <c r="M100" s="143" t="s">
        <v>43</v>
      </c>
      <c r="N100" s="143" t="s">
        <v>758</v>
      </c>
      <c r="O100" s="147">
        <v>127625600</v>
      </c>
      <c r="P100" s="150"/>
      <c r="Q100" s="148">
        <v>7500000</v>
      </c>
      <c r="R100" s="150"/>
      <c r="S100" s="147">
        <f t="shared" si="5"/>
        <v>135125600</v>
      </c>
      <c r="T100" s="158">
        <v>127625600</v>
      </c>
      <c r="U100" s="143"/>
      <c r="V100" s="147">
        <v>7500000</v>
      </c>
      <c r="W100" s="143"/>
      <c r="X100" s="143"/>
      <c r="Y100" s="152">
        <f t="shared" ref="Y100:AB100" si="179">AD100-T100</f>
        <v>0</v>
      </c>
      <c r="Z100" s="151">
        <f t="shared" si="179"/>
        <v>0</v>
      </c>
      <c r="AA100" s="151">
        <f t="shared" si="179"/>
        <v>0</v>
      </c>
      <c r="AB100" s="152">
        <f t="shared" si="179"/>
        <v>0</v>
      </c>
      <c r="AC100" s="143"/>
      <c r="AD100" s="149">
        <v>127625600</v>
      </c>
      <c r="AE100" s="150"/>
      <c r="AF100" s="148">
        <v>7500000</v>
      </c>
      <c r="AG100" s="155"/>
      <c r="AH100" s="143">
        <f t="shared" si="7"/>
        <v>0</v>
      </c>
      <c r="AI100" s="151"/>
      <c r="AJ100" s="151">
        <f t="shared" ref="AJ100:AL100" si="180">P100-AE100</f>
        <v>0</v>
      </c>
      <c r="AK100" s="151">
        <f t="shared" si="180"/>
        <v>0</v>
      </c>
      <c r="AL100" s="151">
        <f t="shared" si="180"/>
        <v>0</v>
      </c>
      <c r="AM100" s="145"/>
      <c r="AN100" s="139"/>
      <c r="AO100" s="139"/>
      <c r="AP100" s="139"/>
      <c r="AQ100" s="145"/>
      <c r="AR100" s="145"/>
    </row>
    <row r="101" spans="1:44" s="156" customFormat="1" ht="31.5" x14ac:dyDescent="0.25">
      <c r="A101" s="143" t="s">
        <v>52</v>
      </c>
      <c r="B101" s="144">
        <v>88</v>
      </c>
      <c r="C101" s="143" t="s">
        <v>655</v>
      </c>
      <c r="D101" s="143" t="s">
        <v>655</v>
      </c>
      <c r="E101" s="145"/>
      <c r="F101" s="146"/>
      <c r="G101" s="143" t="s">
        <v>765</v>
      </c>
      <c r="H101" s="143"/>
      <c r="I101" s="143"/>
      <c r="J101" s="143"/>
      <c r="K101" s="143"/>
      <c r="L101" s="143" t="s">
        <v>766</v>
      </c>
      <c r="M101" s="143" t="s">
        <v>43</v>
      </c>
      <c r="N101" s="143" t="s">
        <v>767</v>
      </c>
      <c r="O101" s="147">
        <v>6198579980</v>
      </c>
      <c r="P101" s="150"/>
      <c r="Q101" s="148">
        <v>7500000</v>
      </c>
      <c r="R101" s="150"/>
      <c r="S101" s="147">
        <f t="shared" si="5"/>
        <v>6206079980</v>
      </c>
      <c r="T101" s="158">
        <v>6198579980</v>
      </c>
      <c r="U101" s="143"/>
      <c r="V101" s="147">
        <v>7500000</v>
      </c>
      <c r="W101" s="143"/>
      <c r="X101" s="143"/>
      <c r="Y101" s="152">
        <f t="shared" ref="Y101:AB101" si="181">AD101-T101</f>
        <v>0</v>
      </c>
      <c r="Z101" s="151">
        <f t="shared" si="181"/>
        <v>0</v>
      </c>
      <c r="AA101" s="151">
        <f t="shared" si="181"/>
        <v>0</v>
      </c>
      <c r="AB101" s="152">
        <f t="shared" si="181"/>
        <v>0</v>
      </c>
      <c r="AC101" s="143"/>
      <c r="AD101" s="149">
        <v>6198579980</v>
      </c>
      <c r="AE101" s="150"/>
      <c r="AF101" s="148">
        <v>7500000</v>
      </c>
      <c r="AG101" s="155"/>
      <c r="AH101" s="143">
        <f t="shared" si="7"/>
        <v>0</v>
      </c>
      <c r="AI101" s="151"/>
      <c r="AJ101" s="151">
        <f t="shared" ref="AJ101:AL101" si="182">P101-AE101</f>
        <v>0</v>
      </c>
      <c r="AK101" s="151">
        <f t="shared" si="182"/>
        <v>0</v>
      </c>
      <c r="AL101" s="151">
        <f t="shared" si="182"/>
        <v>0</v>
      </c>
      <c r="AM101" s="145"/>
      <c r="AN101" s="139"/>
      <c r="AO101" s="139"/>
      <c r="AP101" s="139"/>
      <c r="AQ101" s="145"/>
      <c r="AR101" s="145"/>
    </row>
    <row r="102" spans="1:44" s="156" customFormat="1" ht="31.5" x14ac:dyDescent="0.25">
      <c r="A102" s="143" t="s">
        <v>46</v>
      </c>
      <c r="B102" s="144">
        <v>89</v>
      </c>
      <c r="C102" s="143" t="s">
        <v>655</v>
      </c>
      <c r="D102" s="143" t="s">
        <v>655</v>
      </c>
      <c r="E102" s="145"/>
      <c r="F102" s="146"/>
      <c r="G102" s="143" t="s">
        <v>768</v>
      </c>
      <c r="H102" s="143"/>
      <c r="I102" s="143"/>
      <c r="J102" s="143"/>
      <c r="K102" s="143"/>
      <c r="L102" s="143" t="s">
        <v>769</v>
      </c>
      <c r="M102" s="143" t="s">
        <v>43</v>
      </c>
      <c r="N102" s="143" t="s">
        <v>770</v>
      </c>
      <c r="O102" s="147">
        <v>775743160</v>
      </c>
      <c r="P102" s="150"/>
      <c r="Q102" s="148">
        <v>7500000</v>
      </c>
      <c r="R102" s="150"/>
      <c r="S102" s="147">
        <f t="shared" si="5"/>
        <v>783243160</v>
      </c>
      <c r="T102" s="151">
        <v>775743160</v>
      </c>
      <c r="U102" s="143"/>
      <c r="V102" s="147">
        <v>7500000</v>
      </c>
      <c r="W102" s="143"/>
      <c r="X102" s="143"/>
      <c r="Y102" s="152">
        <f t="shared" ref="Y102:AB102" si="183">AD102-T102</f>
        <v>0</v>
      </c>
      <c r="Z102" s="151">
        <f t="shared" si="183"/>
        <v>0</v>
      </c>
      <c r="AA102" s="151">
        <f t="shared" si="183"/>
        <v>0</v>
      </c>
      <c r="AB102" s="152">
        <f t="shared" si="183"/>
        <v>0</v>
      </c>
      <c r="AC102" s="143"/>
      <c r="AD102" s="155">
        <v>775743160</v>
      </c>
      <c r="AE102" s="150"/>
      <c r="AF102" s="148">
        <v>7500000</v>
      </c>
      <c r="AG102" s="155"/>
      <c r="AH102" s="143">
        <f t="shared" si="7"/>
        <v>0</v>
      </c>
      <c r="AI102" s="151"/>
      <c r="AJ102" s="151">
        <f t="shared" ref="AJ102:AL102" si="184">P102-AE102</f>
        <v>0</v>
      </c>
      <c r="AK102" s="151">
        <f t="shared" si="184"/>
        <v>0</v>
      </c>
      <c r="AL102" s="151">
        <f t="shared" si="184"/>
        <v>0</v>
      </c>
      <c r="AM102" s="145"/>
      <c r="AN102" s="139"/>
      <c r="AO102" s="139"/>
      <c r="AP102" s="139"/>
      <c r="AQ102" s="145"/>
      <c r="AR102" s="145"/>
    </row>
    <row r="103" spans="1:44" s="156" customFormat="1" ht="31.5" x14ac:dyDescent="0.25">
      <c r="A103" s="143" t="s">
        <v>35</v>
      </c>
      <c r="B103" s="144">
        <v>90</v>
      </c>
      <c r="C103" s="143" t="s">
        <v>777</v>
      </c>
      <c r="D103" s="143" t="s">
        <v>777</v>
      </c>
      <c r="E103" s="145"/>
      <c r="F103" s="146"/>
      <c r="G103" s="143" t="s">
        <v>778</v>
      </c>
      <c r="H103" s="143"/>
      <c r="I103" s="143"/>
      <c r="J103" s="143"/>
      <c r="K103" s="143"/>
      <c r="L103" s="143" t="s">
        <v>779</v>
      </c>
      <c r="M103" s="143" t="s">
        <v>43</v>
      </c>
      <c r="N103" s="143" t="s">
        <v>780</v>
      </c>
      <c r="O103" s="147">
        <v>260376114</v>
      </c>
      <c r="P103" s="150"/>
      <c r="Q103" s="148">
        <v>7500000</v>
      </c>
      <c r="R103" s="150"/>
      <c r="S103" s="147">
        <f t="shared" si="5"/>
        <v>267876114</v>
      </c>
      <c r="T103" s="151">
        <v>260376114</v>
      </c>
      <c r="U103" s="143"/>
      <c r="V103" s="147">
        <v>7500000</v>
      </c>
      <c r="W103" s="143"/>
      <c r="X103" s="143"/>
      <c r="Y103" s="152">
        <f t="shared" ref="Y103:AB103" si="185">AD103-T103</f>
        <v>0</v>
      </c>
      <c r="Z103" s="151">
        <f t="shared" si="185"/>
        <v>0</v>
      </c>
      <c r="AA103" s="151">
        <f t="shared" si="185"/>
        <v>0</v>
      </c>
      <c r="AB103" s="152">
        <f t="shared" si="185"/>
        <v>0</v>
      </c>
      <c r="AC103" s="143"/>
      <c r="AD103" s="155">
        <v>260376114</v>
      </c>
      <c r="AE103" s="150"/>
      <c r="AF103" s="148">
        <v>7500000</v>
      </c>
      <c r="AG103" s="155"/>
      <c r="AH103" s="143">
        <f t="shared" si="7"/>
        <v>0</v>
      </c>
      <c r="AI103" s="151"/>
      <c r="AJ103" s="151">
        <f t="shared" ref="AJ103:AL103" si="186">P103-AE103</f>
        <v>0</v>
      </c>
      <c r="AK103" s="151">
        <f t="shared" si="186"/>
        <v>0</v>
      </c>
      <c r="AL103" s="151">
        <f t="shared" si="186"/>
        <v>0</v>
      </c>
      <c r="AM103" s="145"/>
      <c r="AN103" s="139"/>
      <c r="AO103" s="139"/>
      <c r="AP103" s="139"/>
      <c r="AQ103" s="145"/>
      <c r="AR103" s="145"/>
    </row>
    <row r="104" spans="1:44" s="156" customFormat="1" ht="78.75" x14ac:dyDescent="0.25">
      <c r="A104" s="143" t="s">
        <v>46</v>
      </c>
      <c r="B104" s="144">
        <v>91</v>
      </c>
      <c r="C104" s="143" t="s">
        <v>777</v>
      </c>
      <c r="D104" s="143" t="s">
        <v>777</v>
      </c>
      <c r="E104" s="145"/>
      <c r="F104" s="146"/>
      <c r="G104" s="143" t="s">
        <v>781</v>
      </c>
      <c r="H104" s="143"/>
      <c r="I104" s="143"/>
      <c r="J104" s="143"/>
      <c r="K104" s="143"/>
      <c r="L104" s="143" t="s">
        <v>782</v>
      </c>
      <c r="M104" s="143" t="s">
        <v>43</v>
      </c>
      <c r="N104" s="143" t="s">
        <v>787</v>
      </c>
      <c r="O104" s="147">
        <v>6896806936</v>
      </c>
      <c r="P104" s="150"/>
      <c r="Q104" s="148">
        <v>15000000</v>
      </c>
      <c r="R104" s="150"/>
      <c r="S104" s="147">
        <f t="shared" si="5"/>
        <v>6911806936</v>
      </c>
      <c r="T104" s="158">
        <v>6896806936</v>
      </c>
      <c r="U104" s="143"/>
      <c r="V104" s="147">
        <v>15000000</v>
      </c>
      <c r="W104" s="143"/>
      <c r="X104" s="143"/>
      <c r="Y104" s="152">
        <f t="shared" ref="Y104:AB104" si="187">AD104-T104</f>
        <v>0</v>
      </c>
      <c r="Z104" s="151">
        <f t="shared" si="187"/>
        <v>0</v>
      </c>
      <c r="AA104" s="151">
        <f t="shared" si="187"/>
        <v>0</v>
      </c>
      <c r="AB104" s="152">
        <f t="shared" si="187"/>
        <v>0</v>
      </c>
      <c r="AC104" s="143"/>
      <c r="AD104" s="149">
        <v>6896806936</v>
      </c>
      <c r="AE104" s="150"/>
      <c r="AF104" s="148">
        <v>15000000</v>
      </c>
      <c r="AG104" s="155"/>
      <c r="AH104" s="143">
        <f t="shared" si="7"/>
        <v>0</v>
      </c>
      <c r="AI104" s="151"/>
      <c r="AJ104" s="151">
        <f t="shared" ref="AJ104:AL104" si="188">P104-AE104</f>
        <v>0</v>
      </c>
      <c r="AK104" s="151">
        <f t="shared" si="188"/>
        <v>0</v>
      </c>
      <c r="AL104" s="151">
        <f t="shared" si="188"/>
        <v>0</v>
      </c>
      <c r="AM104" s="145"/>
      <c r="AN104" s="139"/>
      <c r="AO104" s="139"/>
      <c r="AP104" s="139"/>
      <c r="AQ104" s="145"/>
      <c r="AR104" s="145"/>
    </row>
    <row r="105" spans="1:44" s="156" customFormat="1" ht="47.25" x14ac:dyDescent="0.25">
      <c r="A105" s="143" t="s">
        <v>60</v>
      </c>
      <c r="B105" s="144">
        <v>92</v>
      </c>
      <c r="C105" s="143" t="s">
        <v>777</v>
      </c>
      <c r="D105" s="143" t="s">
        <v>777</v>
      </c>
      <c r="E105" s="145"/>
      <c r="F105" s="146"/>
      <c r="G105" s="143" t="s">
        <v>790</v>
      </c>
      <c r="H105" s="143"/>
      <c r="I105" s="143"/>
      <c r="J105" s="143"/>
      <c r="K105" s="143"/>
      <c r="L105" s="143" t="s">
        <v>791</v>
      </c>
      <c r="M105" s="143" t="s">
        <v>43</v>
      </c>
      <c r="N105" s="143" t="s">
        <v>792</v>
      </c>
      <c r="O105" s="147">
        <v>12013126452</v>
      </c>
      <c r="P105" s="150"/>
      <c r="Q105" s="148">
        <v>15000000</v>
      </c>
      <c r="R105" s="150"/>
      <c r="S105" s="147">
        <f t="shared" si="5"/>
        <v>12028126452</v>
      </c>
      <c r="T105" s="158">
        <v>12013126452</v>
      </c>
      <c r="U105" s="143"/>
      <c r="V105" s="147">
        <v>15000000</v>
      </c>
      <c r="W105" s="143"/>
      <c r="X105" s="143"/>
      <c r="Y105" s="152">
        <f t="shared" ref="Y105:AB105" si="189">AD105-T105</f>
        <v>0</v>
      </c>
      <c r="Z105" s="151">
        <f t="shared" si="189"/>
        <v>0</v>
      </c>
      <c r="AA105" s="151">
        <f t="shared" si="189"/>
        <v>0</v>
      </c>
      <c r="AB105" s="152">
        <f t="shared" si="189"/>
        <v>0</v>
      </c>
      <c r="AC105" s="143"/>
      <c r="AD105" s="149">
        <v>12013126452</v>
      </c>
      <c r="AE105" s="150"/>
      <c r="AF105" s="148">
        <v>15000000</v>
      </c>
      <c r="AG105" s="155"/>
      <c r="AH105" s="143">
        <f t="shared" si="7"/>
        <v>0</v>
      </c>
      <c r="AI105" s="151"/>
      <c r="AJ105" s="151">
        <f t="shared" ref="AJ105:AL105" si="190">P105-AE105</f>
        <v>0</v>
      </c>
      <c r="AK105" s="151">
        <f t="shared" si="190"/>
        <v>0</v>
      </c>
      <c r="AL105" s="151">
        <f t="shared" si="190"/>
        <v>0</v>
      </c>
      <c r="AM105" s="145"/>
      <c r="AN105" s="139"/>
      <c r="AO105" s="139"/>
      <c r="AP105" s="139"/>
      <c r="AQ105" s="145"/>
      <c r="AR105" s="145"/>
    </row>
    <row r="106" spans="1:44" s="156" customFormat="1" ht="31.5" x14ac:dyDescent="0.25">
      <c r="A106" s="143" t="s">
        <v>46</v>
      </c>
      <c r="B106" s="144">
        <v>93</v>
      </c>
      <c r="C106" s="143" t="s">
        <v>777</v>
      </c>
      <c r="D106" s="143" t="s">
        <v>777</v>
      </c>
      <c r="E106" s="145"/>
      <c r="F106" s="146"/>
      <c r="G106" s="143" t="s">
        <v>799</v>
      </c>
      <c r="H106" s="143"/>
      <c r="I106" s="143"/>
      <c r="J106" s="143"/>
      <c r="K106" s="143"/>
      <c r="L106" s="143" t="s">
        <v>800</v>
      </c>
      <c r="M106" s="143" t="s">
        <v>43</v>
      </c>
      <c r="N106" s="143" t="s">
        <v>801</v>
      </c>
      <c r="O106" s="147">
        <v>36040032</v>
      </c>
      <c r="P106" s="150"/>
      <c r="Q106" s="148">
        <v>7500000</v>
      </c>
      <c r="R106" s="150"/>
      <c r="S106" s="147">
        <f t="shared" si="5"/>
        <v>43540032</v>
      </c>
      <c r="T106" s="143"/>
      <c r="U106" s="143"/>
      <c r="V106" s="157"/>
      <c r="W106" s="143"/>
      <c r="X106" s="143"/>
      <c r="Y106" s="152">
        <f t="shared" ref="Y106:AB106" si="191">AD106-T106</f>
        <v>0</v>
      </c>
      <c r="Z106" s="151">
        <f t="shared" si="191"/>
        <v>0</v>
      </c>
      <c r="AA106" s="151">
        <f t="shared" si="191"/>
        <v>0</v>
      </c>
      <c r="AB106" s="152">
        <f t="shared" si="191"/>
        <v>0</v>
      </c>
      <c r="AC106" s="143"/>
      <c r="AD106" s="155"/>
      <c r="AE106" s="150"/>
      <c r="AF106" s="150"/>
      <c r="AG106" s="155"/>
      <c r="AH106" s="143">
        <f t="shared" si="7"/>
        <v>0</v>
      </c>
      <c r="AI106" s="151">
        <v>36040032</v>
      </c>
      <c r="AJ106" s="151">
        <f t="shared" ref="AJ106:AL106" si="192">P106-AE106</f>
        <v>0</v>
      </c>
      <c r="AK106" s="151">
        <f t="shared" si="192"/>
        <v>7500000</v>
      </c>
      <c r="AL106" s="151">
        <f t="shared" si="192"/>
        <v>0</v>
      </c>
      <c r="AM106" s="150">
        <v>36040032</v>
      </c>
      <c r="AN106" s="159" t="s">
        <v>336</v>
      </c>
      <c r="AO106" s="160"/>
      <c r="AP106" s="168" t="s">
        <v>336</v>
      </c>
      <c r="AQ106" s="219"/>
      <c r="AR106" s="218"/>
    </row>
    <row r="107" spans="1:44" s="156" customFormat="1" ht="31.5" x14ac:dyDescent="0.25">
      <c r="A107" s="143" t="s">
        <v>46</v>
      </c>
      <c r="B107" s="144">
        <v>94</v>
      </c>
      <c r="C107" s="143" t="s">
        <v>777</v>
      </c>
      <c r="D107" s="143" t="s">
        <v>777</v>
      </c>
      <c r="E107" s="145"/>
      <c r="F107" s="146"/>
      <c r="G107" s="143" t="s">
        <v>802</v>
      </c>
      <c r="H107" s="143"/>
      <c r="I107" s="143"/>
      <c r="J107" s="143"/>
      <c r="K107" s="143"/>
      <c r="L107" s="143" t="s">
        <v>803</v>
      </c>
      <c r="M107" s="143" t="s">
        <v>43</v>
      </c>
      <c r="N107" s="143" t="s">
        <v>804</v>
      </c>
      <c r="O107" s="147">
        <v>204521740</v>
      </c>
      <c r="P107" s="150"/>
      <c r="Q107" s="148">
        <v>7500000</v>
      </c>
      <c r="R107" s="150"/>
      <c r="S107" s="147">
        <f t="shared" si="5"/>
        <v>212021740</v>
      </c>
      <c r="T107" s="151">
        <v>204521740</v>
      </c>
      <c r="U107" s="143"/>
      <c r="V107" s="147">
        <v>7500000</v>
      </c>
      <c r="W107" s="143"/>
      <c r="X107" s="143"/>
      <c r="Y107" s="152">
        <f t="shared" ref="Y107:AB107" si="193">AD107-T107</f>
        <v>0</v>
      </c>
      <c r="Z107" s="151">
        <f t="shared" si="193"/>
        <v>0</v>
      </c>
      <c r="AA107" s="151">
        <f t="shared" si="193"/>
        <v>0</v>
      </c>
      <c r="AB107" s="152">
        <f t="shared" si="193"/>
        <v>0</v>
      </c>
      <c r="AC107" s="143"/>
      <c r="AD107" s="155">
        <v>204521740</v>
      </c>
      <c r="AE107" s="150"/>
      <c r="AF107" s="148">
        <v>7500000</v>
      </c>
      <c r="AG107" s="155"/>
      <c r="AH107" s="143">
        <f t="shared" si="7"/>
        <v>0</v>
      </c>
      <c r="AI107" s="151"/>
      <c r="AJ107" s="151">
        <f t="shared" ref="AJ107:AL107" si="194">P107-AE107</f>
        <v>0</v>
      </c>
      <c r="AK107" s="151">
        <f t="shared" si="194"/>
        <v>0</v>
      </c>
      <c r="AL107" s="151">
        <f t="shared" si="194"/>
        <v>0</v>
      </c>
      <c r="AM107" s="145"/>
      <c r="AN107" s="139"/>
      <c r="AO107" s="139"/>
      <c r="AP107" s="139"/>
      <c r="AQ107" s="145"/>
      <c r="AR107" s="145"/>
    </row>
    <row r="108" spans="1:44" s="156" customFormat="1" ht="31.5" x14ac:dyDescent="0.25">
      <c r="A108" s="143" t="s">
        <v>46</v>
      </c>
      <c r="B108" s="144">
        <v>95</v>
      </c>
      <c r="C108" s="143" t="s">
        <v>777</v>
      </c>
      <c r="D108" s="143" t="s">
        <v>777</v>
      </c>
      <c r="E108" s="145"/>
      <c r="F108" s="146"/>
      <c r="G108" s="143" t="s">
        <v>812</v>
      </c>
      <c r="H108" s="143"/>
      <c r="I108" s="143"/>
      <c r="J108" s="143"/>
      <c r="K108" s="143"/>
      <c r="L108" s="143" t="s">
        <v>813</v>
      </c>
      <c r="M108" s="143" t="s">
        <v>43</v>
      </c>
      <c r="N108" s="143" t="s">
        <v>814</v>
      </c>
      <c r="O108" s="147">
        <v>174193488</v>
      </c>
      <c r="P108" s="150"/>
      <c r="Q108" s="148">
        <v>7500000</v>
      </c>
      <c r="R108" s="150"/>
      <c r="S108" s="147">
        <f t="shared" si="5"/>
        <v>181693488</v>
      </c>
      <c r="T108" s="151">
        <v>174193488</v>
      </c>
      <c r="U108" s="143"/>
      <c r="V108" s="147">
        <v>7500000</v>
      </c>
      <c r="W108" s="143"/>
      <c r="X108" s="143"/>
      <c r="Y108" s="152">
        <f t="shared" ref="Y108:AB108" si="195">AD108-T108</f>
        <v>0</v>
      </c>
      <c r="Z108" s="151">
        <f t="shared" si="195"/>
        <v>0</v>
      </c>
      <c r="AA108" s="151">
        <f t="shared" si="195"/>
        <v>0</v>
      </c>
      <c r="AB108" s="152">
        <f t="shared" si="195"/>
        <v>0</v>
      </c>
      <c r="AC108" s="143"/>
      <c r="AD108" s="155">
        <v>174193488</v>
      </c>
      <c r="AE108" s="150"/>
      <c r="AF108" s="148">
        <v>7500000</v>
      </c>
      <c r="AG108" s="155"/>
      <c r="AH108" s="143">
        <f t="shared" si="7"/>
        <v>0</v>
      </c>
      <c r="AI108" s="151"/>
      <c r="AJ108" s="151">
        <f t="shared" ref="AJ108:AL108" si="196">P108-AE108</f>
        <v>0</v>
      </c>
      <c r="AK108" s="151">
        <f t="shared" si="196"/>
        <v>0</v>
      </c>
      <c r="AL108" s="151">
        <f t="shared" si="196"/>
        <v>0</v>
      </c>
      <c r="AM108" s="145"/>
      <c r="AN108" s="139"/>
      <c r="AO108" s="139"/>
      <c r="AP108" s="139"/>
      <c r="AQ108" s="145"/>
      <c r="AR108" s="145"/>
    </row>
    <row r="109" spans="1:44" s="156" customFormat="1" ht="31.5" x14ac:dyDescent="0.25">
      <c r="A109" s="143" t="s">
        <v>60</v>
      </c>
      <c r="B109" s="144">
        <v>96</v>
      </c>
      <c r="C109" s="143" t="s">
        <v>777</v>
      </c>
      <c r="D109" s="143" t="s">
        <v>777</v>
      </c>
      <c r="E109" s="145"/>
      <c r="F109" s="146"/>
      <c r="G109" s="143" t="s">
        <v>815</v>
      </c>
      <c r="H109" s="143"/>
      <c r="I109" s="143"/>
      <c r="J109" s="143"/>
      <c r="K109" s="143"/>
      <c r="L109" s="143" t="s">
        <v>816</v>
      </c>
      <c r="M109" s="143" t="s">
        <v>43</v>
      </c>
      <c r="N109" s="143" t="s">
        <v>817</v>
      </c>
      <c r="O109" s="147">
        <v>561134642</v>
      </c>
      <c r="P109" s="150"/>
      <c r="Q109" s="148">
        <v>7500000</v>
      </c>
      <c r="R109" s="150"/>
      <c r="S109" s="147">
        <f t="shared" si="5"/>
        <v>568634642</v>
      </c>
      <c r="T109" s="158">
        <v>561134642</v>
      </c>
      <c r="U109" s="143"/>
      <c r="V109" s="147">
        <v>7500000</v>
      </c>
      <c r="W109" s="143"/>
      <c r="X109" s="143"/>
      <c r="Y109" s="152">
        <f t="shared" ref="Y109:AB109" si="197">AD109-T109</f>
        <v>0</v>
      </c>
      <c r="Z109" s="151">
        <f t="shared" si="197"/>
        <v>0</v>
      </c>
      <c r="AA109" s="151">
        <f t="shared" si="197"/>
        <v>0</v>
      </c>
      <c r="AB109" s="151">
        <f t="shared" si="197"/>
        <v>0</v>
      </c>
      <c r="AC109" s="143"/>
      <c r="AD109" s="149">
        <v>561134642</v>
      </c>
      <c r="AE109" s="150"/>
      <c r="AF109" s="148">
        <v>7500000</v>
      </c>
      <c r="AG109" s="150"/>
      <c r="AH109" s="143">
        <f t="shared" si="7"/>
        <v>0</v>
      </c>
      <c r="AI109" s="151"/>
      <c r="AJ109" s="151">
        <f t="shared" ref="AJ109:AL109" si="198">P109-AE109</f>
        <v>0</v>
      </c>
      <c r="AK109" s="151">
        <f t="shared" si="198"/>
        <v>0</v>
      </c>
      <c r="AL109" s="151">
        <f t="shared" si="198"/>
        <v>0</v>
      </c>
      <c r="AM109" s="145"/>
      <c r="AN109" s="139"/>
      <c r="AO109" s="139"/>
      <c r="AP109" s="139"/>
      <c r="AQ109" s="145"/>
      <c r="AR109" s="145"/>
    </row>
    <row r="110" spans="1:44" s="156" customFormat="1" ht="31.5" x14ac:dyDescent="0.25">
      <c r="A110" s="143" t="s">
        <v>52</v>
      </c>
      <c r="B110" s="144">
        <v>97</v>
      </c>
      <c r="C110" s="143" t="s">
        <v>777</v>
      </c>
      <c r="D110" s="143" t="s">
        <v>777</v>
      </c>
      <c r="E110" s="145"/>
      <c r="F110" s="146"/>
      <c r="G110" s="143" t="s">
        <v>819</v>
      </c>
      <c r="H110" s="143"/>
      <c r="I110" s="143"/>
      <c r="J110" s="143"/>
      <c r="K110" s="143"/>
      <c r="L110" s="143" t="s">
        <v>820</v>
      </c>
      <c r="M110" s="143" t="s">
        <v>43</v>
      </c>
      <c r="N110" s="143" t="s">
        <v>822</v>
      </c>
      <c r="O110" s="147">
        <v>5030906224</v>
      </c>
      <c r="P110" s="150"/>
      <c r="Q110" s="148">
        <v>15000000</v>
      </c>
      <c r="R110" s="150"/>
      <c r="S110" s="147">
        <f t="shared" si="5"/>
        <v>5045906224</v>
      </c>
      <c r="T110" s="158">
        <v>5030906224</v>
      </c>
      <c r="U110" s="143"/>
      <c r="V110" s="147">
        <v>15000000</v>
      </c>
      <c r="W110" s="143"/>
      <c r="X110" s="143"/>
      <c r="Y110" s="152">
        <f t="shared" ref="Y110:AB110" si="199">AD110-T110</f>
        <v>0</v>
      </c>
      <c r="Z110" s="151">
        <f t="shared" si="199"/>
        <v>0</v>
      </c>
      <c r="AA110" s="151">
        <f t="shared" si="199"/>
        <v>0</v>
      </c>
      <c r="AB110" s="143">
        <f t="shared" si="199"/>
        <v>0</v>
      </c>
      <c r="AC110" s="143"/>
      <c r="AD110" s="149">
        <v>5030906224</v>
      </c>
      <c r="AE110" s="150"/>
      <c r="AF110" s="148">
        <v>15000000</v>
      </c>
      <c r="AG110" s="145"/>
      <c r="AH110" s="143">
        <f t="shared" si="7"/>
        <v>0</v>
      </c>
      <c r="AI110" s="151"/>
      <c r="AJ110" s="151">
        <f t="shared" ref="AJ110:AL110" si="200">P110-AE110</f>
        <v>0</v>
      </c>
      <c r="AK110" s="151">
        <f t="shared" si="200"/>
        <v>0</v>
      </c>
      <c r="AL110" s="151">
        <f t="shared" si="200"/>
        <v>0</v>
      </c>
      <c r="AM110" s="145"/>
      <c r="AN110" s="139"/>
      <c r="AO110" s="139"/>
      <c r="AP110" s="139"/>
      <c r="AQ110" s="145"/>
      <c r="AR110" s="145"/>
    </row>
    <row r="111" spans="1:44" s="156" customFormat="1" ht="31.5" x14ac:dyDescent="0.25">
      <c r="A111" s="143" t="s">
        <v>35</v>
      </c>
      <c r="B111" s="144">
        <v>98</v>
      </c>
      <c r="C111" s="143" t="s">
        <v>828</v>
      </c>
      <c r="D111" s="143" t="s">
        <v>828</v>
      </c>
      <c r="E111" s="145"/>
      <c r="F111" s="146"/>
      <c r="G111" s="143" t="s">
        <v>829</v>
      </c>
      <c r="H111" s="143"/>
      <c r="I111" s="143"/>
      <c r="J111" s="143"/>
      <c r="K111" s="143"/>
      <c r="L111" s="143" t="s">
        <v>830</v>
      </c>
      <c r="M111" s="143" t="s">
        <v>43</v>
      </c>
      <c r="N111" s="143" t="s">
        <v>831</v>
      </c>
      <c r="O111" s="147">
        <v>5668407622</v>
      </c>
      <c r="P111" s="150"/>
      <c r="Q111" s="148">
        <v>15000000</v>
      </c>
      <c r="R111" s="150"/>
      <c r="S111" s="147">
        <f t="shared" si="5"/>
        <v>5683407622</v>
      </c>
      <c r="T111" s="151">
        <v>5668407622</v>
      </c>
      <c r="U111" s="143"/>
      <c r="V111" s="147">
        <v>15000000</v>
      </c>
      <c r="W111" s="143"/>
      <c r="X111" s="143"/>
      <c r="Y111" s="152">
        <f t="shared" ref="Y111:AB111" si="201">AD111-T111</f>
        <v>0</v>
      </c>
      <c r="Z111" s="151">
        <f t="shared" si="201"/>
        <v>0</v>
      </c>
      <c r="AA111" s="151">
        <f t="shared" si="201"/>
        <v>0</v>
      </c>
      <c r="AB111" s="152">
        <f t="shared" si="201"/>
        <v>0</v>
      </c>
      <c r="AC111" s="143"/>
      <c r="AD111" s="155">
        <v>5668407622</v>
      </c>
      <c r="AE111" s="150"/>
      <c r="AF111" s="148">
        <v>15000000</v>
      </c>
      <c r="AG111" s="155"/>
      <c r="AH111" s="143">
        <f t="shared" si="7"/>
        <v>0</v>
      </c>
      <c r="AI111" s="151"/>
      <c r="AJ111" s="151">
        <f t="shared" ref="AJ111:AL111" si="202">P111-AE111</f>
        <v>0</v>
      </c>
      <c r="AK111" s="151">
        <f t="shared" si="202"/>
        <v>0</v>
      </c>
      <c r="AL111" s="151">
        <f t="shared" si="202"/>
        <v>0</v>
      </c>
      <c r="AM111" s="145"/>
      <c r="AN111" s="139"/>
      <c r="AO111" s="139"/>
      <c r="AP111" s="139"/>
      <c r="AQ111" s="145"/>
      <c r="AR111" s="145"/>
    </row>
    <row r="112" spans="1:44" s="156" customFormat="1" ht="31.5" x14ac:dyDescent="0.25">
      <c r="A112" s="143" t="s">
        <v>60</v>
      </c>
      <c r="B112" s="144">
        <v>99</v>
      </c>
      <c r="C112" s="143" t="s">
        <v>828</v>
      </c>
      <c r="D112" s="143" t="s">
        <v>828</v>
      </c>
      <c r="E112" s="145"/>
      <c r="F112" s="146"/>
      <c r="G112" s="143" t="s">
        <v>833</v>
      </c>
      <c r="H112" s="143"/>
      <c r="I112" s="143"/>
      <c r="J112" s="143"/>
      <c r="K112" s="143"/>
      <c r="L112" s="143" t="s">
        <v>835</v>
      </c>
      <c r="M112" s="143" t="s">
        <v>43</v>
      </c>
      <c r="N112" s="143" t="s">
        <v>837</v>
      </c>
      <c r="O112" s="147">
        <v>3310083600</v>
      </c>
      <c r="P112" s="150"/>
      <c r="Q112" s="148">
        <v>7500000</v>
      </c>
      <c r="R112" s="150"/>
      <c r="S112" s="147">
        <f t="shared" si="5"/>
        <v>3317583600</v>
      </c>
      <c r="T112" s="151">
        <v>3310083600</v>
      </c>
      <c r="U112" s="143"/>
      <c r="V112" s="157">
        <v>7500000</v>
      </c>
      <c r="W112" s="143"/>
      <c r="X112" s="143"/>
      <c r="Y112" s="152">
        <f t="shared" ref="Y112:AB112" si="203">AD112-T112</f>
        <v>0</v>
      </c>
      <c r="Z112" s="151">
        <f t="shared" si="203"/>
        <v>0</v>
      </c>
      <c r="AA112" s="151">
        <f t="shared" si="203"/>
        <v>0</v>
      </c>
      <c r="AB112" s="152">
        <f t="shared" si="203"/>
        <v>0</v>
      </c>
      <c r="AC112" s="143"/>
      <c r="AD112" s="155">
        <v>3310083600</v>
      </c>
      <c r="AE112" s="150"/>
      <c r="AF112" s="148">
        <v>7500000</v>
      </c>
      <c r="AG112" s="155"/>
      <c r="AH112" s="143">
        <f t="shared" si="7"/>
        <v>0</v>
      </c>
      <c r="AI112" s="151"/>
      <c r="AJ112" s="151">
        <f t="shared" ref="AJ112:AL112" si="204">P112-AE112</f>
        <v>0</v>
      </c>
      <c r="AK112" s="151">
        <f t="shared" si="204"/>
        <v>0</v>
      </c>
      <c r="AL112" s="151">
        <f t="shared" si="204"/>
        <v>0</v>
      </c>
      <c r="AM112" s="145"/>
      <c r="AN112" s="139"/>
      <c r="AO112" s="139"/>
      <c r="AP112" s="139"/>
      <c r="AQ112" s="145"/>
      <c r="AR112" s="145"/>
    </row>
    <row r="113" spans="1:44" s="156" customFormat="1" ht="31.5" x14ac:dyDescent="0.25">
      <c r="A113" s="143" t="s">
        <v>46</v>
      </c>
      <c r="B113" s="144">
        <v>100</v>
      </c>
      <c r="C113" s="143" t="s">
        <v>828</v>
      </c>
      <c r="D113" s="143" t="s">
        <v>828</v>
      </c>
      <c r="E113" s="145"/>
      <c r="F113" s="146"/>
      <c r="G113" s="143" t="s">
        <v>839</v>
      </c>
      <c r="H113" s="143"/>
      <c r="I113" s="143"/>
      <c r="J113" s="143"/>
      <c r="K113" s="143"/>
      <c r="L113" s="143" t="s">
        <v>840</v>
      </c>
      <c r="M113" s="143" t="s">
        <v>43</v>
      </c>
      <c r="N113" s="143" t="s">
        <v>841</v>
      </c>
      <c r="O113" s="147">
        <v>1175040216</v>
      </c>
      <c r="P113" s="150"/>
      <c r="Q113" s="148">
        <v>7500000</v>
      </c>
      <c r="R113" s="150"/>
      <c r="S113" s="147">
        <f t="shared" si="5"/>
        <v>1182540216</v>
      </c>
      <c r="T113" s="158">
        <v>1175040216</v>
      </c>
      <c r="U113" s="143"/>
      <c r="V113" s="147">
        <v>7500000</v>
      </c>
      <c r="W113" s="143"/>
      <c r="X113" s="143"/>
      <c r="Y113" s="152">
        <f t="shared" ref="Y113:AB113" si="205">AD113-T113</f>
        <v>0</v>
      </c>
      <c r="Z113" s="151">
        <f t="shared" si="205"/>
        <v>0</v>
      </c>
      <c r="AA113" s="151">
        <f t="shared" si="205"/>
        <v>0</v>
      </c>
      <c r="AB113" s="152">
        <f t="shared" si="205"/>
        <v>0</v>
      </c>
      <c r="AC113" s="143"/>
      <c r="AD113" s="149">
        <v>1175040216</v>
      </c>
      <c r="AE113" s="150"/>
      <c r="AF113" s="148">
        <v>7500000</v>
      </c>
      <c r="AG113" s="155"/>
      <c r="AH113" s="143">
        <f t="shared" si="7"/>
        <v>0</v>
      </c>
      <c r="AI113" s="151"/>
      <c r="AJ113" s="151">
        <f t="shared" ref="AJ113:AL113" si="206">P113-AE113</f>
        <v>0</v>
      </c>
      <c r="AK113" s="151">
        <f t="shared" si="206"/>
        <v>0</v>
      </c>
      <c r="AL113" s="151">
        <f t="shared" si="206"/>
        <v>0</v>
      </c>
      <c r="AM113" s="145"/>
      <c r="AN113" s="139"/>
      <c r="AO113" s="139"/>
      <c r="AP113" s="139"/>
      <c r="AQ113" s="145"/>
      <c r="AR113" s="145"/>
    </row>
    <row r="114" spans="1:44" s="156" customFormat="1" ht="47.25" x14ac:dyDescent="0.25">
      <c r="A114" s="143" t="s">
        <v>52</v>
      </c>
      <c r="B114" s="144">
        <v>101</v>
      </c>
      <c r="C114" s="143" t="s">
        <v>828</v>
      </c>
      <c r="D114" s="143" t="s">
        <v>828</v>
      </c>
      <c r="E114" s="145"/>
      <c r="F114" s="146"/>
      <c r="G114" s="143" t="s">
        <v>846</v>
      </c>
      <c r="H114" s="143"/>
      <c r="I114" s="143"/>
      <c r="J114" s="143"/>
      <c r="K114" s="143"/>
      <c r="L114" s="143" t="s">
        <v>847</v>
      </c>
      <c r="M114" s="143" t="s">
        <v>43</v>
      </c>
      <c r="N114" s="143" t="s">
        <v>675</v>
      </c>
      <c r="O114" s="147">
        <v>284424800</v>
      </c>
      <c r="P114" s="150"/>
      <c r="Q114" s="148">
        <v>7500000</v>
      </c>
      <c r="R114" s="150"/>
      <c r="S114" s="147">
        <f t="shared" si="5"/>
        <v>291924800</v>
      </c>
      <c r="T114" s="158">
        <v>284424800</v>
      </c>
      <c r="U114" s="143"/>
      <c r="V114" s="147">
        <v>7500000</v>
      </c>
      <c r="W114" s="143"/>
      <c r="X114" s="143"/>
      <c r="Y114" s="152">
        <f t="shared" ref="Y114:AB114" si="207">AD114-T114</f>
        <v>0</v>
      </c>
      <c r="Z114" s="151">
        <f t="shared" si="207"/>
        <v>0</v>
      </c>
      <c r="AA114" s="151">
        <f t="shared" si="207"/>
        <v>0</v>
      </c>
      <c r="AB114" s="152">
        <f t="shared" si="207"/>
        <v>0</v>
      </c>
      <c r="AC114" s="143"/>
      <c r="AD114" s="149">
        <v>284424800</v>
      </c>
      <c r="AE114" s="150"/>
      <c r="AF114" s="148">
        <v>7500000</v>
      </c>
      <c r="AG114" s="155"/>
      <c r="AH114" s="143">
        <f t="shared" si="7"/>
        <v>0</v>
      </c>
      <c r="AI114" s="151"/>
      <c r="AJ114" s="151">
        <f t="shared" ref="AJ114:AL114" si="208">P114-AE114</f>
        <v>0</v>
      </c>
      <c r="AK114" s="151">
        <f t="shared" si="208"/>
        <v>0</v>
      </c>
      <c r="AL114" s="151">
        <f t="shared" si="208"/>
        <v>0</v>
      </c>
      <c r="AM114" s="145"/>
      <c r="AN114" s="139"/>
      <c r="AO114" s="139"/>
      <c r="AP114" s="139"/>
      <c r="AQ114" s="145"/>
      <c r="AR114" s="145"/>
    </row>
    <row r="115" spans="1:44" s="156" customFormat="1" ht="31.5" x14ac:dyDescent="0.25">
      <c r="A115" s="143" t="s">
        <v>46</v>
      </c>
      <c r="B115" s="144">
        <v>102</v>
      </c>
      <c r="C115" s="143" t="s">
        <v>828</v>
      </c>
      <c r="D115" s="143" t="s">
        <v>828</v>
      </c>
      <c r="E115" s="145"/>
      <c r="F115" s="146"/>
      <c r="G115" s="143" t="s">
        <v>849</v>
      </c>
      <c r="H115" s="143"/>
      <c r="I115" s="143"/>
      <c r="J115" s="143"/>
      <c r="K115" s="143"/>
      <c r="L115" s="143" t="s">
        <v>850</v>
      </c>
      <c r="M115" s="143" t="s">
        <v>43</v>
      </c>
      <c r="N115" s="143" t="s">
        <v>851</v>
      </c>
      <c r="O115" s="147">
        <v>3150363430</v>
      </c>
      <c r="P115" s="150"/>
      <c r="Q115" s="148">
        <v>15000000</v>
      </c>
      <c r="R115" s="150"/>
      <c r="S115" s="147">
        <f t="shared" si="5"/>
        <v>3165363430</v>
      </c>
      <c r="T115" s="158">
        <v>3150363430</v>
      </c>
      <c r="U115" s="143"/>
      <c r="V115" s="147">
        <v>15000000</v>
      </c>
      <c r="W115" s="143"/>
      <c r="X115" s="143"/>
      <c r="Y115" s="152">
        <f t="shared" ref="Y115:AB115" si="209">AD115-T115</f>
        <v>0</v>
      </c>
      <c r="Z115" s="151">
        <f t="shared" si="209"/>
        <v>0</v>
      </c>
      <c r="AA115" s="151">
        <f t="shared" si="209"/>
        <v>0</v>
      </c>
      <c r="AB115" s="152">
        <f t="shared" si="209"/>
        <v>0</v>
      </c>
      <c r="AC115" s="143"/>
      <c r="AD115" s="149">
        <v>3150363430</v>
      </c>
      <c r="AE115" s="150"/>
      <c r="AF115" s="148">
        <v>15000000</v>
      </c>
      <c r="AG115" s="155"/>
      <c r="AH115" s="143">
        <f t="shared" si="7"/>
        <v>0</v>
      </c>
      <c r="AI115" s="151"/>
      <c r="AJ115" s="151">
        <f t="shared" ref="AJ115:AL115" si="210">P115-AE115</f>
        <v>0</v>
      </c>
      <c r="AK115" s="151">
        <f t="shared" si="210"/>
        <v>0</v>
      </c>
      <c r="AL115" s="151">
        <f t="shared" si="210"/>
        <v>0</v>
      </c>
      <c r="AM115" s="145"/>
      <c r="AN115" s="139"/>
      <c r="AO115" s="139"/>
      <c r="AP115" s="139"/>
      <c r="AQ115" s="145"/>
      <c r="AR115" s="145"/>
    </row>
    <row r="116" spans="1:44" s="156" customFormat="1" ht="47.25" x14ac:dyDescent="0.25">
      <c r="A116" s="143" t="s">
        <v>46</v>
      </c>
      <c r="B116" s="144">
        <v>103</v>
      </c>
      <c r="C116" s="143" t="s">
        <v>828</v>
      </c>
      <c r="D116" s="143" t="s">
        <v>828</v>
      </c>
      <c r="E116" s="145" t="s">
        <v>857</v>
      </c>
      <c r="F116" s="146"/>
      <c r="G116" s="143" t="s">
        <v>858</v>
      </c>
      <c r="H116" s="143" t="s">
        <v>859</v>
      </c>
      <c r="I116" s="143"/>
      <c r="J116" s="143"/>
      <c r="K116" s="143"/>
      <c r="L116" s="143" t="s">
        <v>860</v>
      </c>
      <c r="M116" s="143" t="s">
        <v>43</v>
      </c>
      <c r="N116" s="143" t="s">
        <v>861</v>
      </c>
      <c r="O116" s="147">
        <v>1346007746</v>
      </c>
      <c r="P116" s="148">
        <v>80365824</v>
      </c>
      <c r="Q116" s="148">
        <v>15000000</v>
      </c>
      <c r="R116" s="150"/>
      <c r="S116" s="147">
        <f t="shared" si="5"/>
        <v>1441373570</v>
      </c>
      <c r="T116" s="158">
        <v>1346007746</v>
      </c>
      <c r="U116" s="158">
        <v>80365824</v>
      </c>
      <c r="V116" s="147">
        <v>15000000</v>
      </c>
      <c r="W116" s="143"/>
      <c r="X116" s="143"/>
      <c r="Y116" s="152">
        <f t="shared" ref="Y116:AB116" si="211">AD116-T116</f>
        <v>0</v>
      </c>
      <c r="Z116" s="151">
        <f t="shared" si="211"/>
        <v>0</v>
      </c>
      <c r="AA116" s="151">
        <f t="shared" si="211"/>
        <v>0</v>
      </c>
      <c r="AB116" s="151">
        <f t="shared" si="211"/>
        <v>0</v>
      </c>
      <c r="AC116" s="143"/>
      <c r="AD116" s="149">
        <v>1346007746</v>
      </c>
      <c r="AE116" s="148">
        <v>80365824</v>
      </c>
      <c r="AF116" s="148">
        <v>15000000</v>
      </c>
      <c r="AG116" s="150"/>
      <c r="AH116" s="143">
        <f t="shared" si="7"/>
        <v>0</v>
      </c>
      <c r="AI116" s="151"/>
      <c r="AJ116" s="151">
        <f t="shared" ref="AJ116:AL116" si="212">P116-AE116</f>
        <v>0</v>
      </c>
      <c r="AK116" s="151">
        <f t="shared" si="212"/>
        <v>0</v>
      </c>
      <c r="AL116" s="151">
        <f t="shared" si="212"/>
        <v>0</v>
      </c>
      <c r="AM116" s="145"/>
      <c r="AN116" s="139"/>
      <c r="AO116" s="139"/>
      <c r="AP116" s="139"/>
      <c r="AQ116" s="145"/>
      <c r="AR116" s="145"/>
    </row>
    <row r="117" spans="1:44" s="156" customFormat="1" ht="31.5" x14ac:dyDescent="0.25">
      <c r="A117" s="143" t="s">
        <v>35</v>
      </c>
      <c r="B117" s="144">
        <v>104</v>
      </c>
      <c r="C117" s="143" t="s">
        <v>828</v>
      </c>
      <c r="D117" s="143" t="s">
        <v>828</v>
      </c>
      <c r="E117" s="145"/>
      <c r="F117" s="145" t="s">
        <v>872</v>
      </c>
      <c r="G117" s="143" t="s">
        <v>868</v>
      </c>
      <c r="H117" s="143"/>
      <c r="I117" s="143"/>
      <c r="J117" s="143"/>
      <c r="K117" s="164"/>
      <c r="L117" s="143" t="s">
        <v>870</v>
      </c>
      <c r="M117" s="143" t="s">
        <v>43</v>
      </c>
      <c r="N117" s="143" t="s">
        <v>871</v>
      </c>
      <c r="O117" s="147">
        <v>2113955500</v>
      </c>
      <c r="P117" s="150"/>
      <c r="Q117" s="148">
        <v>15000000</v>
      </c>
      <c r="R117" s="148">
        <v>40000000</v>
      </c>
      <c r="S117" s="147">
        <f t="shared" si="5"/>
        <v>2168955500</v>
      </c>
      <c r="T117" s="151">
        <v>2113955500</v>
      </c>
      <c r="U117" s="143"/>
      <c r="V117" s="147">
        <v>15000000</v>
      </c>
      <c r="W117" s="158">
        <v>40000000</v>
      </c>
      <c r="X117" s="143"/>
      <c r="Y117" s="152">
        <f t="shared" ref="Y117:AB117" si="213">AD117-T117</f>
        <v>0</v>
      </c>
      <c r="Z117" s="151">
        <f t="shared" si="213"/>
        <v>0</v>
      </c>
      <c r="AA117" s="151">
        <f t="shared" si="213"/>
        <v>0</v>
      </c>
      <c r="AB117" s="152">
        <f t="shared" si="213"/>
        <v>0</v>
      </c>
      <c r="AC117" s="143"/>
      <c r="AD117" s="155">
        <v>2113955500</v>
      </c>
      <c r="AE117" s="150"/>
      <c r="AF117" s="148">
        <v>15000000</v>
      </c>
      <c r="AG117" s="149">
        <v>40000000</v>
      </c>
      <c r="AH117" s="143">
        <f t="shared" si="7"/>
        <v>0</v>
      </c>
      <c r="AI117" s="151"/>
      <c r="AJ117" s="151">
        <f t="shared" ref="AJ117:AL117" si="214">P117-AE117</f>
        <v>0</v>
      </c>
      <c r="AK117" s="151">
        <f t="shared" si="214"/>
        <v>0</v>
      </c>
      <c r="AL117" s="151">
        <f t="shared" si="214"/>
        <v>0</v>
      </c>
      <c r="AM117" s="145"/>
      <c r="AN117" s="139"/>
      <c r="AO117" s="139"/>
      <c r="AP117" s="139"/>
      <c r="AQ117" s="145"/>
      <c r="AR117" s="145"/>
    </row>
    <row r="118" spans="1:44" s="156" customFormat="1" ht="47.25" x14ac:dyDescent="0.25">
      <c r="A118" s="143" t="s">
        <v>46</v>
      </c>
      <c r="B118" s="144">
        <v>105</v>
      </c>
      <c r="C118" s="143" t="s">
        <v>828</v>
      </c>
      <c r="D118" s="143" t="s">
        <v>828</v>
      </c>
      <c r="E118" s="145" t="s">
        <v>450</v>
      </c>
      <c r="F118" s="146"/>
      <c r="G118" s="143" t="s">
        <v>873</v>
      </c>
      <c r="H118" s="143" t="s">
        <v>874</v>
      </c>
      <c r="I118" s="143"/>
      <c r="J118" s="143"/>
      <c r="K118" s="143"/>
      <c r="L118" s="143" t="s">
        <v>876</v>
      </c>
      <c r="M118" s="143" t="s">
        <v>43</v>
      </c>
      <c r="N118" s="143" t="s">
        <v>878</v>
      </c>
      <c r="O118" s="147">
        <v>897636048</v>
      </c>
      <c r="P118" s="148">
        <v>250664832</v>
      </c>
      <c r="Q118" s="148">
        <v>7500000</v>
      </c>
      <c r="R118" s="150"/>
      <c r="S118" s="147">
        <f t="shared" si="5"/>
        <v>1155800880</v>
      </c>
      <c r="T118" s="158">
        <v>897636048</v>
      </c>
      <c r="U118" s="158">
        <v>250664832</v>
      </c>
      <c r="V118" s="147">
        <v>7500000</v>
      </c>
      <c r="W118" s="143"/>
      <c r="X118" s="143"/>
      <c r="Y118" s="152">
        <f t="shared" ref="Y118:AB118" si="215">AD118-T118</f>
        <v>0</v>
      </c>
      <c r="Z118" s="151">
        <f t="shared" si="215"/>
        <v>0</v>
      </c>
      <c r="AA118" s="151">
        <f t="shared" si="215"/>
        <v>0</v>
      </c>
      <c r="AB118" s="151">
        <f t="shared" si="215"/>
        <v>0</v>
      </c>
      <c r="AC118" s="143"/>
      <c r="AD118" s="149">
        <v>897636048</v>
      </c>
      <c r="AE118" s="148">
        <v>250664832</v>
      </c>
      <c r="AF118" s="148">
        <v>7500000</v>
      </c>
      <c r="AG118" s="150"/>
      <c r="AH118" s="143">
        <f t="shared" si="7"/>
        <v>0</v>
      </c>
      <c r="AI118" s="151"/>
      <c r="AJ118" s="151">
        <f t="shared" ref="AJ118:AL118" si="216">P118-AE118</f>
        <v>0</v>
      </c>
      <c r="AK118" s="151">
        <f t="shared" si="216"/>
        <v>0</v>
      </c>
      <c r="AL118" s="151">
        <f t="shared" si="216"/>
        <v>0</v>
      </c>
      <c r="AM118" s="145"/>
      <c r="AN118" s="139"/>
      <c r="AO118" s="139"/>
      <c r="AP118" s="139"/>
      <c r="AQ118" s="145"/>
      <c r="AR118" s="145"/>
    </row>
    <row r="119" spans="1:44" s="156" customFormat="1" ht="31.5" x14ac:dyDescent="0.25">
      <c r="A119" s="143" t="s">
        <v>52</v>
      </c>
      <c r="B119" s="144">
        <v>106</v>
      </c>
      <c r="C119" s="143" t="s">
        <v>828</v>
      </c>
      <c r="D119" s="143" t="s">
        <v>828</v>
      </c>
      <c r="E119" s="145"/>
      <c r="F119" s="146"/>
      <c r="G119" s="143" t="s">
        <v>891</v>
      </c>
      <c r="H119" s="143"/>
      <c r="I119" s="143"/>
      <c r="J119" s="143"/>
      <c r="K119" s="143"/>
      <c r="L119" s="143" t="s">
        <v>892</v>
      </c>
      <c r="M119" s="143" t="s">
        <v>43</v>
      </c>
      <c r="N119" s="143" t="s">
        <v>893</v>
      </c>
      <c r="O119" s="147">
        <v>4231623100</v>
      </c>
      <c r="P119" s="150"/>
      <c r="Q119" s="148">
        <v>7500000</v>
      </c>
      <c r="R119" s="150"/>
      <c r="S119" s="147">
        <f t="shared" si="5"/>
        <v>4239123100</v>
      </c>
      <c r="T119" s="158">
        <v>4231623100</v>
      </c>
      <c r="U119" s="143"/>
      <c r="V119" s="147">
        <v>7500000</v>
      </c>
      <c r="W119" s="143"/>
      <c r="X119" s="143"/>
      <c r="Y119" s="152">
        <f t="shared" ref="Y119:AB119" si="217">AD119-T119</f>
        <v>0</v>
      </c>
      <c r="Z119" s="151">
        <f t="shared" si="217"/>
        <v>0</v>
      </c>
      <c r="AA119" s="151">
        <f t="shared" si="217"/>
        <v>0</v>
      </c>
      <c r="AB119" s="152">
        <f t="shared" si="217"/>
        <v>0</v>
      </c>
      <c r="AC119" s="143"/>
      <c r="AD119" s="149">
        <v>4231623100</v>
      </c>
      <c r="AE119" s="150"/>
      <c r="AF119" s="148">
        <v>7500000</v>
      </c>
      <c r="AG119" s="155"/>
      <c r="AH119" s="143">
        <f t="shared" si="7"/>
        <v>0</v>
      </c>
      <c r="AI119" s="151"/>
      <c r="AJ119" s="151">
        <f t="shared" ref="AJ119:AL119" si="218">P119-AE119</f>
        <v>0</v>
      </c>
      <c r="AK119" s="151">
        <f t="shared" si="218"/>
        <v>0</v>
      </c>
      <c r="AL119" s="151">
        <f t="shared" si="218"/>
        <v>0</v>
      </c>
      <c r="AM119" s="145"/>
      <c r="AN119" s="139"/>
      <c r="AO119" s="139"/>
      <c r="AP119" s="139"/>
      <c r="AQ119" s="145"/>
      <c r="AR119" s="145"/>
    </row>
    <row r="120" spans="1:44" s="156" customFormat="1" ht="47.25" x14ac:dyDescent="0.25">
      <c r="A120" s="143" t="s">
        <v>60</v>
      </c>
      <c r="B120" s="144">
        <v>107</v>
      </c>
      <c r="C120" s="143" t="s">
        <v>828</v>
      </c>
      <c r="D120" s="143" t="s">
        <v>828</v>
      </c>
      <c r="E120" s="145" t="s">
        <v>156</v>
      </c>
      <c r="F120" s="146"/>
      <c r="G120" s="143" t="s">
        <v>901</v>
      </c>
      <c r="H120" s="143" t="s">
        <v>902</v>
      </c>
      <c r="I120" s="143"/>
      <c r="J120" s="143"/>
      <c r="K120" s="143"/>
      <c r="L120" s="143" t="s">
        <v>903</v>
      </c>
      <c r="M120" s="143" t="s">
        <v>43</v>
      </c>
      <c r="N120" s="143" t="s">
        <v>904</v>
      </c>
      <c r="O120" s="147">
        <v>10867091933</v>
      </c>
      <c r="P120" s="148">
        <v>156002688</v>
      </c>
      <c r="Q120" s="148">
        <v>15000000</v>
      </c>
      <c r="R120" s="150"/>
      <c r="S120" s="147">
        <f t="shared" si="5"/>
        <v>11038094621</v>
      </c>
      <c r="T120" s="158">
        <v>10867091933</v>
      </c>
      <c r="U120" s="158">
        <v>156002688</v>
      </c>
      <c r="V120" s="147">
        <v>15000000</v>
      </c>
      <c r="W120" s="143"/>
      <c r="X120" s="143"/>
      <c r="Y120" s="152">
        <f t="shared" ref="Y120:AB120" si="219">AD120-T120</f>
        <v>0</v>
      </c>
      <c r="Z120" s="151">
        <f t="shared" si="219"/>
        <v>0</v>
      </c>
      <c r="AA120" s="151">
        <f t="shared" si="219"/>
        <v>0</v>
      </c>
      <c r="AB120" s="152">
        <f t="shared" si="219"/>
        <v>0</v>
      </c>
      <c r="AC120" s="143"/>
      <c r="AD120" s="149">
        <v>10867091933</v>
      </c>
      <c r="AE120" s="148">
        <v>156002688</v>
      </c>
      <c r="AF120" s="148">
        <v>15000000</v>
      </c>
      <c r="AG120" s="155"/>
      <c r="AH120" s="143">
        <f t="shared" si="7"/>
        <v>0</v>
      </c>
      <c r="AI120" s="151"/>
      <c r="AJ120" s="151">
        <f t="shared" ref="AJ120:AL120" si="220">P120-AE120</f>
        <v>0</v>
      </c>
      <c r="AK120" s="151">
        <f t="shared" si="220"/>
        <v>0</v>
      </c>
      <c r="AL120" s="151">
        <f t="shared" si="220"/>
        <v>0</v>
      </c>
      <c r="AM120" s="145"/>
      <c r="AN120" s="139"/>
      <c r="AO120" s="139"/>
      <c r="AP120" s="139"/>
      <c r="AQ120" s="145"/>
      <c r="AR120" s="145"/>
    </row>
    <row r="121" spans="1:44" s="156" customFormat="1" ht="63" x14ac:dyDescent="0.25">
      <c r="A121" s="143" t="s">
        <v>46</v>
      </c>
      <c r="B121" s="144">
        <v>108</v>
      </c>
      <c r="C121" s="143" t="s">
        <v>828</v>
      </c>
      <c r="D121" s="143" t="s">
        <v>828</v>
      </c>
      <c r="E121" s="145"/>
      <c r="F121" s="146"/>
      <c r="G121" s="143" t="s">
        <v>912</v>
      </c>
      <c r="H121" s="143" t="s">
        <v>913</v>
      </c>
      <c r="I121" s="143"/>
      <c r="J121" s="143"/>
      <c r="K121" s="143"/>
      <c r="L121" s="143" t="s">
        <v>914</v>
      </c>
      <c r="M121" s="143" t="s">
        <v>43</v>
      </c>
      <c r="N121" s="143" t="s">
        <v>915</v>
      </c>
      <c r="O121" s="147">
        <v>724953680</v>
      </c>
      <c r="P121" s="150"/>
      <c r="Q121" s="148">
        <v>7500000</v>
      </c>
      <c r="R121" s="150"/>
      <c r="S121" s="147">
        <f t="shared" si="5"/>
        <v>732453680</v>
      </c>
      <c r="T121" s="158">
        <v>724953680</v>
      </c>
      <c r="U121" s="143"/>
      <c r="V121" s="147">
        <v>7500000</v>
      </c>
      <c r="W121" s="143"/>
      <c r="X121" s="143"/>
      <c r="Y121" s="152">
        <f t="shared" ref="Y121:AB121" si="221">AD121-T121</f>
        <v>0</v>
      </c>
      <c r="Z121" s="151">
        <f t="shared" si="221"/>
        <v>0</v>
      </c>
      <c r="AA121" s="151">
        <f t="shared" si="221"/>
        <v>0</v>
      </c>
      <c r="AB121" s="151">
        <f t="shared" si="221"/>
        <v>0</v>
      </c>
      <c r="AC121" s="143"/>
      <c r="AD121" s="149">
        <v>724953680</v>
      </c>
      <c r="AE121" s="150"/>
      <c r="AF121" s="148">
        <v>7500000</v>
      </c>
      <c r="AG121" s="150"/>
      <c r="AH121" s="143">
        <f t="shared" si="7"/>
        <v>0</v>
      </c>
      <c r="AI121" s="151"/>
      <c r="AJ121" s="151">
        <f t="shared" ref="AJ121:AL121" si="222">P121-AE121</f>
        <v>0</v>
      </c>
      <c r="AK121" s="151">
        <f t="shared" si="222"/>
        <v>0</v>
      </c>
      <c r="AL121" s="151">
        <f t="shared" si="222"/>
        <v>0</v>
      </c>
      <c r="AM121" s="145"/>
      <c r="AN121" s="139"/>
      <c r="AO121" s="139"/>
      <c r="AP121" s="139"/>
      <c r="AQ121" s="145"/>
      <c r="AR121" s="145"/>
    </row>
    <row r="122" spans="1:44" s="156" customFormat="1" ht="31.5" x14ac:dyDescent="0.25">
      <c r="A122" s="143" t="s">
        <v>60</v>
      </c>
      <c r="B122" s="144">
        <v>109</v>
      </c>
      <c r="C122" s="143" t="s">
        <v>916</v>
      </c>
      <c r="D122" s="143" t="s">
        <v>916</v>
      </c>
      <c r="E122" s="145"/>
      <c r="F122" s="146"/>
      <c r="G122" s="143" t="s">
        <v>920</v>
      </c>
      <c r="H122" s="143" t="s">
        <v>724</v>
      </c>
      <c r="I122" s="143"/>
      <c r="J122" s="143"/>
      <c r="K122" s="143"/>
      <c r="L122" s="143" t="s">
        <v>923</v>
      </c>
      <c r="M122" s="143" t="s">
        <v>43</v>
      </c>
      <c r="N122" s="143" t="s">
        <v>924</v>
      </c>
      <c r="O122" s="147">
        <v>181108800</v>
      </c>
      <c r="P122" s="150"/>
      <c r="Q122" s="148">
        <v>7500000</v>
      </c>
      <c r="R122" s="150"/>
      <c r="S122" s="147">
        <f t="shared" si="5"/>
        <v>188608800</v>
      </c>
      <c r="T122" s="158">
        <v>181108800</v>
      </c>
      <c r="U122" s="143"/>
      <c r="V122" s="147">
        <v>7500000</v>
      </c>
      <c r="W122" s="143"/>
      <c r="X122" s="143"/>
      <c r="Y122" s="152">
        <f t="shared" ref="Y122:AB122" si="223">AD122-T122</f>
        <v>0</v>
      </c>
      <c r="Z122" s="151">
        <f t="shared" si="223"/>
        <v>0</v>
      </c>
      <c r="AA122" s="151">
        <f t="shared" si="223"/>
        <v>0</v>
      </c>
      <c r="AB122" s="152">
        <f t="shared" si="223"/>
        <v>0</v>
      </c>
      <c r="AC122" s="143"/>
      <c r="AD122" s="149">
        <v>181108800</v>
      </c>
      <c r="AE122" s="150"/>
      <c r="AF122" s="148">
        <v>7500000</v>
      </c>
      <c r="AG122" s="155"/>
      <c r="AH122" s="143">
        <f t="shared" si="7"/>
        <v>0</v>
      </c>
      <c r="AI122" s="151"/>
      <c r="AJ122" s="151">
        <f t="shared" ref="AJ122:AL122" si="224">P122-AE122</f>
        <v>0</v>
      </c>
      <c r="AK122" s="151">
        <f t="shared" si="224"/>
        <v>0</v>
      </c>
      <c r="AL122" s="151">
        <f t="shared" si="224"/>
        <v>0</v>
      </c>
      <c r="AM122" s="145"/>
      <c r="AN122" s="139"/>
      <c r="AO122" s="139"/>
      <c r="AP122" s="139"/>
      <c r="AQ122" s="145"/>
      <c r="AR122" s="145"/>
    </row>
    <row r="123" spans="1:44" s="156" customFormat="1" ht="47.25" x14ac:dyDescent="0.25">
      <c r="A123" s="143" t="s">
        <v>52</v>
      </c>
      <c r="B123" s="144">
        <v>110</v>
      </c>
      <c r="C123" s="143" t="s">
        <v>916</v>
      </c>
      <c r="D123" s="143" t="s">
        <v>916</v>
      </c>
      <c r="E123" s="145" t="s">
        <v>409</v>
      </c>
      <c r="F123" s="146"/>
      <c r="G123" s="143" t="s">
        <v>930</v>
      </c>
      <c r="H123" s="143" t="s">
        <v>931</v>
      </c>
      <c r="I123" s="143"/>
      <c r="J123" s="143"/>
      <c r="K123" s="143"/>
      <c r="L123" s="143" t="s">
        <v>932</v>
      </c>
      <c r="M123" s="143" t="s">
        <v>43</v>
      </c>
      <c r="N123" s="143" t="s">
        <v>933</v>
      </c>
      <c r="O123" s="147">
        <v>175354039</v>
      </c>
      <c r="P123" s="148">
        <v>21563136</v>
      </c>
      <c r="Q123" s="148">
        <v>7500000</v>
      </c>
      <c r="R123" s="150"/>
      <c r="S123" s="147">
        <f t="shared" si="5"/>
        <v>204417175</v>
      </c>
      <c r="T123" s="158">
        <v>175354039</v>
      </c>
      <c r="U123" s="158">
        <v>21563136</v>
      </c>
      <c r="V123" s="147">
        <v>7500000</v>
      </c>
      <c r="W123" s="143"/>
      <c r="X123" s="143"/>
      <c r="Y123" s="152">
        <f t="shared" ref="Y123:AB123" si="225">AD123-T123</f>
        <v>0</v>
      </c>
      <c r="Z123" s="151">
        <f t="shared" si="225"/>
        <v>0</v>
      </c>
      <c r="AA123" s="151">
        <f t="shared" si="225"/>
        <v>0</v>
      </c>
      <c r="AB123" s="152">
        <f t="shared" si="225"/>
        <v>0</v>
      </c>
      <c r="AC123" s="143"/>
      <c r="AD123" s="149">
        <v>175354039</v>
      </c>
      <c r="AE123" s="148">
        <v>21563136</v>
      </c>
      <c r="AF123" s="148">
        <v>7500000</v>
      </c>
      <c r="AG123" s="155"/>
      <c r="AH123" s="143">
        <f t="shared" si="7"/>
        <v>0</v>
      </c>
      <c r="AI123" s="151"/>
      <c r="AJ123" s="151">
        <f t="shared" ref="AJ123:AL123" si="226">P123-AE123</f>
        <v>0</v>
      </c>
      <c r="AK123" s="151">
        <f t="shared" si="226"/>
        <v>0</v>
      </c>
      <c r="AL123" s="151">
        <f t="shared" si="226"/>
        <v>0</v>
      </c>
      <c r="AM123" s="145"/>
      <c r="AN123" s="139"/>
      <c r="AO123" s="139"/>
      <c r="AP123" s="139"/>
      <c r="AQ123" s="145"/>
      <c r="AR123" s="145"/>
    </row>
    <row r="124" spans="1:44" s="156" customFormat="1" ht="31.5" x14ac:dyDescent="0.25">
      <c r="A124" s="143" t="s">
        <v>46</v>
      </c>
      <c r="B124" s="144">
        <v>111</v>
      </c>
      <c r="C124" s="143" t="s">
        <v>916</v>
      </c>
      <c r="D124" s="143" t="s">
        <v>916</v>
      </c>
      <c r="E124" s="145"/>
      <c r="F124" s="146"/>
      <c r="G124" s="143" t="s">
        <v>940</v>
      </c>
      <c r="H124" s="143"/>
      <c r="I124" s="143"/>
      <c r="J124" s="143"/>
      <c r="K124" s="143"/>
      <c r="L124" s="143" t="s">
        <v>941</v>
      </c>
      <c r="M124" s="143" t="s">
        <v>43</v>
      </c>
      <c r="N124" s="143" t="s">
        <v>942</v>
      </c>
      <c r="O124" s="147">
        <v>4822077237</v>
      </c>
      <c r="P124" s="150"/>
      <c r="Q124" s="148">
        <v>7500000</v>
      </c>
      <c r="R124" s="150"/>
      <c r="S124" s="147">
        <f t="shared" si="5"/>
        <v>4829577237</v>
      </c>
      <c r="T124" s="158">
        <v>4822077237</v>
      </c>
      <c r="U124" s="143"/>
      <c r="V124" s="157"/>
      <c r="W124" s="143"/>
      <c r="X124" s="143"/>
      <c r="Y124" s="152">
        <f t="shared" ref="Y124:AB124" si="227">AD124-T124</f>
        <v>0</v>
      </c>
      <c r="Z124" s="151">
        <f t="shared" si="227"/>
        <v>0</v>
      </c>
      <c r="AA124" s="151">
        <f t="shared" si="227"/>
        <v>0</v>
      </c>
      <c r="AB124" s="152">
        <f t="shared" si="227"/>
        <v>0</v>
      </c>
      <c r="AC124" s="143"/>
      <c r="AD124" s="149">
        <v>4822077237</v>
      </c>
      <c r="AE124" s="150"/>
      <c r="AF124" s="150"/>
      <c r="AG124" s="155"/>
      <c r="AH124" s="143">
        <f t="shared" si="7"/>
        <v>0</v>
      </c>
      <c r="AI124" s="151"/>
      <c r="AJ124" s="151">
        <f t="shared" ref="AJ124:AL124" si="228">P124-AE124</f>
        <v>0</v>
      </c>
      <c r="AK124" s="151">
        <f t="shared" si="228"/>
        <v>7500000</v>
      </c>
      <c r="AL124" s="151">
        <f t="shared" si="228"/>
        <v>0</v>
      </c>
      <c r="AM124" s="145"/>
      <c r="AN124" s="139"/>
      <c r="AO124" s="139"/>
      <c r="AP124" s="168" t="s">
        <v>1579</v>
      </c>
      <c r="AQ124" s="145"/>
      <c r="AR124" s="145"/>
    </row>
    <row r="125" spans="1:44" s="156" customFormat="1" ht="78.75" x14ac:dyDescent="0.25">
      <c r="A125" s="143" t="s">
        <v>46</v>
      </c>
      <c r="B125" s="144">
        <v>112</v>
      </c>
      <c r="C125" s="143" t="s">
        <v>916</v>
      </c>
      <c r="D125" s="143" t="s">
        <v>916</v>
      </c>
      <c r="E125" s="145"/>
      <c r="F125" s="146"/>
      <c r="G125" s="143" t="s">
        <v>948</v>
      </c>
      <c r="H125" s="143"/>
      <c r="I125" s="143"/>
      <c r="J125" s="143"/>
      <c r="K125" s="143"/>
      <c r="L125" s="143" t="s">
        <v>949</v>
      </c>
      <c r="M125" s="143" t="s">
        <v>43</v>
      </c>
      <c r="N125" s="143" t="s">
        <v>950</v>
      </c>
      <c r="O125" s="147">
        <v>216787032</v>
      </c>
      <c r="P125" s="150"/>
      <c r="Q125" s="148">
        <v>7500000</v>
      </c>
      <c r="R125" s="150"/>
      <c r="S125" s="147">
        <f t="shared" si="5"/>
        <v>224287032</v>
      </c>
      <c r="T125" s="158">
        <v>216787032</v>
      </c>
      <c r="U125" s="143"/>
      <c r="V125" s="147">
        <v>7500000</v>
      </c>
      <c r="W125" s="143"/>
      <c r="X125" s="143"/>
      <c r="Y125" s="152">
        <f t="shared" ref="Y125:AB125" si="229">AD125-T125</f>
        <v>0</v>
      </c>
      <c r="Z125" s="151">
        <f t="shared" si="229"/>
        <v>0</v>
      </c>
      <c r="AA125" s="151">
        <f t="shared" si="229"/>
        <v>0</v>
      </c>
      <c r="AB125" s="152">
        <f t="shared" si="229"/>
        <v>0</v>
      </c>
      <c r="AC125" s="143"/>
      <c r="AD125" s="149">
        <v>216787032</v>
      </c>
      <c r="AE125" s="150"/>
      <c r="AF125" s="148">
        <v>7500000</v>
      </c>
      <c r="AG125" s="155"/>
      <c r="AH125" s="143">
        <f t="shared" si="7"/>
        <v>0</v>
      </c>
      <c r="AI125" s="151"/>
      <c r="AJ125" s="151">
        <f t="shared" ref="AJ125:AL125" si="230">P125-AE125</f>
        <v>0</v>
      </c>
      <c r="AK125" s="151">
        <f t="shared" si="230"/>
        <v>0</v>
      </c>
      <c r="AL125" s="151">
        <f t="shared" si="230"/>
        <v>0</v>
      </c>
      <c r="AM125" s="145"/>
      <c r="AN125" s="139"/>
      <c r="AO125" s="139"/>
      <c r="AP125" s="139"/>
      <c r="AQ125" s="145"/>
      <c r="AR125" s="145"/>
    </row>
    <row r="126" spans="1:44" s="156" customFormat="1" ht="31.5" x14ac:dyDescent="0.25">
      <c r="A126" s="143" t="s">
        <v>60</v>
      </c>
      <c r="B126" s="144">
        <v>113</v>
      </c>
      <c r="C126" s="143" t="s">
        <v>916</v>
      </c>
      <c r="D126" s="143" t="s">
        <v>916</v>
      </c>
      <c r="E126" s="145"/>
      <c r="F126" s="146"/>
      <c r="G126" s="143" t="s">
        <v>951</v>
      </c>
      <c r="H126" s="143"/>
      <c r="I126" s="143"/>
      <c r="J126" s="143"/>
      <c r="K126" s="143"/>
      <c r="L126" s="143" t="s">
        <v>952</v>
      </c>
      <c r="M126" s="143" t="s">
        <v>43</v>
      </c>
      <c r="N126" s="143" t="s">
        <v>953</v>
      </c>
      <c r="O126" s="147">
        <v>5253286196</v>
      </c>
      <c r="P126" s="150"/>
      <c r="Q126" s="148">
        <v>15000000</v>
      </c>
      <c r="R126" s="150"/>
      <c r="S126" s="147">
        <f t="shared" si="5"/>
        <v>5268286196</v>
      </c>
      <c r="T126" s="151">
        <v>5253286196</v>
      </c>
      <c r="U126" s="143"/>
      <c r="V126" s="147">
        <v>15000000</v>
      </c>
      <c r="W126" s="143"/>
      <c r="X126" s="143"/>
      <c r="Y126" s="152">
        <f t="shared" ref="Y126:AB126" si="231">AD126-T126</f>
        <v>0</v>
      </c>
      <c r="Z126" s="151">
        <f t="shared" si="231"/>
        <v>0</v>
      </c>
      <c r="AA126" s="151">
        <f t="shared" si="231"/>
        <v>0</v>
      </c>
      <c r="AB126" s="151">
        <f t="shared" si="231"/>
        <v>0</v>
      </c>
      <c r="AC126" s="143"/>
      <c r="AD126" s="155">
        <v>5253286196</v>
      </c>
      <c r="AE126" s="150"/>
      <c r="AF126" s="148">
        <v>15000000</v>
      </c>
      <c r="AG126" s="150"/>
      <c r="AH126" s="143">
        <f t="shared" si="7"/>
        <v>0</v>
      </c>
      <c r="AI126" s="151"/>
      <c r="AJ126" s="151">
        <f t="shared" ref="AJ126:AL126" si="232">P126-AE126</f>
        <v>0</v>
      </c>
      <c r="AK126" s="151">
        <f t="shared" si="232"/>
        <v>0</v>
      </c>
      <c r="AL126" s="151">
        <f t="shared" si="232"/>
        <v>0</v>
      </c>
      <c r="AM126" s="145"/>
      <c r="AN126" s="139"/>
      <c r="AO126" s="139"/>
      <c r="AP126" s="139"/>
      <c r="AQ126" s="145"/>
      <c r="AR126" s="145"/>
    </row>
    <row r="127" spans="1:44" s="156" customFormat="1" ht="47.25" x14ac:dyDescent="0.25">
      <c r="A127" s="143" t="s">
        <v>35</v>
      </c>
      <c r="B127" s="144">
        <v>114</v>
      </c>
      <c r="C127" s="143" t="s">
        <v>916</v>
      </c>
      <c r="D127" s="143" t="s">
        <v>916</v>
      </c>
      <c r="E127" s="145" t="s">
        <v>156</v>
      </c>
      <c r="F127" s="146"/>
      <c r="G127" s="143" t="s">
        <v>958</v>
      </c>
      <c r="H127" s="143" t="s">
        <v>960</v>
      </c>
      <c r="I127" s="143"/>
      <c r="J127" s="143"/>
      <c r="K127" s="143"/>
      <c r="L127" s="143" t="s">
        <v>962</v>
      </c>
      <c r="M127" s="143" t="s">
        <v>43</v>
      </c>
      <c r="N127" s="143" t="s">
        <v>965</v>
      </c>
      <c r="O127" s="147">
        <v>2790170557</v>
      </c>
      <c r="P127" s="169">
        <v>608177941</v>
      </c>
      <c r="Q127" s="148">
        <v>15000000</v>
      </c>
      <c r="R127" s="150"/>
      <c r="S127" s="147">
        <f t="shared" si="5"/>
        <v>3413348498</v>
      </c>
      <c r="T127" s="151">
        <v>2790170557</v>
      </c>
      <c r="U127" s="158">
        <v>608177941</v>
      </c>
      <c r="V127" s="147">
        <v>15000000</v>
      </c>
      <c r="W127" s="143"/>
      <c r="X127" s="143"/>
      <c r="Y127" s="152">
        <f t="shared" ref="Y127:AB127" si="233">AD127-T127</f>
        <v>0</v>
      </c>
      <c r="Z127" s="151">
        <f t="shared" si="233"/>
        <v>0</v>
      </c>
      <c r="AA127" s="151">
        <f t="shared" si="233"/>
        <v>0</v>
      </c>
      <c r="AB127" s="151">
        <f t="shared" si="233"/>
        <v>0</v>
      </c>
      <c r="AC127" s="143"/>
      <c r="AD127" s="155">
        <v>2790170557</v>
      </c>
      <c r="AE127" s="169">
        <v>608177941</v>
      </c>
      <c r="AF127" s="148">
        <v>15000000</v>
      </c>
      <c r="AG127" s="170"/>
      <c r="AH127" s="143">
        <f t="shared" si="7"/>
        <v>0</v>
      </c>
      <c r="AI127" s="151"/>
      <c r="AJ127" s="151">
        <f t="shared" ref="AJ127:AL127" si="234">P127-AE127</f>
        <v>0</v>
      </c>
      <c r="AK127" s="151">
        <f t="shared" si="234"/>
        <v>0</v>
      </c>
      <c r="AL127" s="151">
        <f t="shared" si="234"/>
        <v>0</v>
      </c>
      <c r="AM127" s="145"/>
      <c r="AN127" s="139"/>
      <c r="AO127" s="139"/>
      <c r="AP127" s="139"/>
      <c r="AQ127" s="145"/>
      <c r="AR127" s="145"/>
    </row>
    <row r="128" spans="1:44" s="156" customFormat="1" ht="31.5" x14ac:dyDescent="0.25">
      <c r="A128" s="143" t="s">
        <v>46</v>
      </c>
      <c r="B128" s="144">
        <v>115</v>
      </c>
      <c r="C128" s="143" t="s">
        <v>916</v>
      </c>
      <c r="D128" s="143" t="s">
        <v>916</v>
      </c>
      <c r="E128" s="145"/>
      <c r="F128" s="146"/>
      <c r="G128" s="143" t="s">
        <v>972</v>
      </c>
      <c r="H128" s="143" t="s">
        <v>973</v>
      </c>
      <c r="I128" s="143"/>
      <c r="J128" s="143"/>
      <c r="K128" s="143"/>
      <c r="L128" s="143" t="s">
        <v>974</v>
      </c>
      <c r="M128" s="143" t="s">
        <v>43</v>
      </c>
      <c r="N128" s="143" t="s">
        <v>975</v>
      </c>
      <c r="O128" s="147">
        <v>2695621120</v>
      </c>
      <c r="P128" s="150"/>
      <c r="Q128" s="148">
        <v>15000000</v>
      </c>
      <c r="R128" s="150"/>
      <c r="S128" s="147">
        <f t="shared" si="5"/>
        <v>2710621120</v>
      </c>
      <c r="T128" s="158">
        <v>2695621120</v>
      </c>
      <c r="U128" s="143"/>
      <c r="V128" s="147">
        <v>15000000</v>
      </c>
      <c r="W128" s="143"/>
      <c r="X128" s="143"/>
      <c r="Y128" s="152">
        <f t="shared" ref="Y128:AB128" si="235">AD128-T128</f>
        <v>0</v>
      </c>
      <c r="Z128" s="151">
        <f t="shared" si="235"/>
        <v>0</v>
      </c>
      <c r="AA128" s="151">
        <f t="shared" si="235"/>
        <v>0</v>
      </c>
      <c r="AB128" s="152">
        <f t="shared" si="235"/>
        <v>0</v>
      </c>
      <c r="AC128" s="143"/>
      <c r="AD128" s="149">
        <v>2695621120</v>
      </c>
      <c r="AE128" s="150"/>
      <c r="AF128" s="148">
        <v>15000000</v>
      </c>
      <c r="AG128" s="155"/>
      <c r="AH128" s="143">
        <f t="shared" si="7"/>
        <v>0</v>
      </c>
      <c r="AI128" s="151"/>
      <c r="AJ128" s="151">
        <f t="shared" ref="AJ128:AL128" si="236">P128-AE128</f>
        <v>0</v>
      </c>
      <c r="AK128" s="151">
        <f t="shared" si="236"/>
        <v>0</v>
      </c>
      <c r="AL128" s="151">
        <f t="shared" si="236"/>
        <v>0</v>
      </c>
      <c r="AM128" s="145"/>
      <c r="AN128" s="139"/>
      <c r="AO128" s="139"/>
      <c r="AP128" s="139"/>
      <c r="AQ128" s="145"/>
      <c r="AR128" s="145"/>
    </row>
    <row r="129" spans="1:44" s="156" customFormat="1" ht="31.5" x14ac:dyDescent="0.25">
      <c r="A129" s="143" t="s">
        <v>35</v>
      </c>
      <c r="B129" s="144">
        <v>116</v>
      </c>
      <c r="C129" s="143" t="s">
        <v>916</v>
      </c>
      <c r="D129" s="143" t="s">
        <v>916</v>
      </c>
      <c r="E129" s="145"/>
      <c r="F129" s="146"/>
      <c r="G129" s="143" t="s">
        <v>977</v>
      </c>
      <c r="H129" s="143"/>
      <c r="I129" s="143"/>
      <c r="J129" s="143"/>
      <c r="K129" s="143"/>
      <c r="L129" s="143" t="s">
        <v>980</v>
      </c>
      <c r="M129" s="143" t="s">
        <v>43</v>
      </c>
      <c r="N129" s="143" t="s">
        <v>982</v>
      </c>
      <c r="O129" s="147">
        <v>1190765838</v>
      </c>
      <c r="P129" s="150"/>
      <c r="Q129" s="148">
        <v>15000000</v>
      </c>
      <c r="R129" s="150"/>
      <c r="S129" s="147">
        <f t="shared" si="5"/>
        <v>1205765838</v>
      </c>
      <c r="T129" s="151">
        <v>1190765838</v>
      </c>
      <c r="U129" s="143"/>
      <c r="V129" s="147">
        <v>15000000</v>
      </c>
      <c r="W129" s="143"/>
      <c r="X129" s="143"/>
      <c r="Y129" s="152">
        <f t="shared" ref="Y129:AB129" si="237">AD129-T129</f>
        <v>0</v>
      </c>
      <c r="Z129" s="151">
        <f t="shared" si="237"/>
        <v>0</v>
      </c>
      <c r="AA129" s="151">
        <f t="shared" si="237"/>
        <v>0</v>
      </c>
      <c r="AB129" s="152">
        <f t="shared" si="237"/>
        <v>0</v>
      </c>
      <c r="AC129" s="143"/>
      <c r="AD129" s="155">
        <v>1190765838</v>
      </c>
      <c r="AE129" s="150"/>
      <c r="AF129" s="148">
        <v>15000000</v>
      </c>
      <c r="AG129" s="155"/>
      <c r="AH129" s="143">
        <f t="shared" si="7"/>
        <v>0</v>
      </c>
      <c r="AI129" s="151"/>
      <c r="AJ129" s="151">
        <f t="shared" ref="AJ129:AL129" si="238">P129-AE129</f>
        <v>0</v>
      </c>
      <c r="AK129" s="151">
        <f t="shared" si="238"/>
        <v>0</v>
      </c>
      <c r="AL129" s="151">
        <f t="shared" si="238"/>
        <v>0</v>
      </c>
      <c r="AM129" s="145"/>
      <c r="AN129" s="139"/>
      <c r="AO129" s="139"/>
      <c r="AP129" s="139"/>
      <c r="AQ129" s="145"/>
      <c r="AR129" s="145"/>
    </row>
    <row r="130" spans="1:44" s="156" customFormat="1" ht="63" x14ac:dyDescent="0.25">
      <c r="A130" s="143" t="s">
        <v>60</v>
      </c>
      <c r="B130" s="144">
        <v>117</v>
      </c>
      <c r="C130" s="143" t="s">
        <v>916</v>
      </c>
      <c r="D130" s="143" t="s">
        <v>916</v>
      </c>
      <c r="E130" s="145" t="s">
        <v>989</v>
      </c>
      <c r="F130" s="146"/>
      <c r="G130" s="143" t="s">
        <v>990</v>
      </c>
      <c r="H130" s="143"/>
      <c r="I130" s="143" t="s">
        <v>85</v>
      </c>
      <c r="J130" s="143"/>
      <c r="K130" s="143"/>
      <c r="L130" s="143" t="s">
        <v>991</v>
      </c>
      <c r="M130" s="143" t="s">
        <v>43</v>
      </c>
      <c r="N130" s="143" t="s">
        <v>992</v>
      </c>
      <c r="O130" s="147">
        <v>725498800</v>
      </c>
      <c r="P130" s="150"/>
      <c r="Q130" s="148">
        <v>7500000</v>
      </c>
      <c r="R130" s="150"/>
      <c r="S130" s="147">
        <f t="shared" si="5"/>
        <v>732998800</v>
      </c>
      <c r="T130" s="151">
        <v>725498800</v>
      </c>
      <c r="U130" s="143"/>
      <c r="V130" s="147">
        <v>7500000</v>
      </c>
      <c r="W130" s="143"/>
      <c r="X130" s="171">
        <v>-193390512</v>
      </c>
      <c r="Y130" s="152">
        <f t="shared" ref="Y130:AB130" si="239">AD130-T130</f>
        <v>0</v>
      </c>
      <c r="Z130" s="151">
        <f t="shared" si="239"/>
        <v>0</v>
      </c>
      <c r="AA130" s="151">
        <f t="shared" si="239"/>
        <v>0</v>
      </c>
      <c r="AB130" s="151">
        <f t="shared" si="239"/>
        <v>0</v>
      </c>
      <c r="AC130" s="171"/>
      <c r="AD130" s="155">
        <v>725498800</v>
      </c>
      <c r="AE130" s="150"/>
      <c r="AF130" s="148">
        <v>7500000</v>
      </c>
      <c r="AG130" s="150"/>
      <c r="AH130" s="151">
        <f t="shared" si="7"/>
        <v>-193390512</v>
      </c>
      <c r="AI130" s="151"/>
      <c r="AJ130" s="151">
        <f t="shared" ref="AJ130:AL130" si="240">P130-AE130</f>
        <v>0</v>
      </c>
      <c r="AK130" s="151">
        <f t="shared" si="240"/>
        <v>0</v>
      </c>
      <c r="AL130" s="151">
        <f t="shared" si="240"/>
        <v>0</v>
      </c>
      <c r="AM130" s="145"/>
      <c r="AN130" s="139"/>
      <c r="AO130" s="139"/>
      <c r="AP130" s="139"/>
      <c r="AQ130" s="145"/>
      <c r="AR130" s="145"/>
    </row>
    <row r="131" spans="1:44" s="156" customFormat="1" ht="78.75" x14ac:dyDescent="0.25">
      <c r="A131" s="143" t="s">
        <v>35</v>
      </c>
      <c r="B131" s="144">
        <v>118</v>
      </c>
      <c r="C131" s="143" t="s">
        <v>916</v>
      </c>
      <c r="D131" s="143" t="s">
        <v>916</v>
      </c>
      <c r="E131" s="145"/>
      <c r="F131" s="146"/>
      <c r="G131" s="143" t="s">
        <v>998</v>
      </c>
      <c r="H131" s="143"/>
      <c r="I131" s="143"/>
      <c r="J131" s="143"/>
      <c r="K131" s="143"/>
      <c r="L131" s="143" t="s">
        <v>999</v>
      </c>
      <c r="M131" s="143" t="s">
        <v>43</v>
      </c>
      <c r="N131" s="143" t="s">
        <v>1001</v>
      </c>
      <c r="O131" s="147"/>
      <c r="P131" s="150"/>
      <c r="Q131" s="148">
        <v>7500000</v>
      </c>
      <c r="R131" s="150"/>
      <c r="S131" s="147">
        <f t="shared" si="5"/>
        <v>7500000</v>
      </c>
      <c r="T131" s="144">
        <v>0</v>
      </c>
      <c r="U131" s="143"/>
      <c r="V131" s="147">
        <v>7500000</v>
      </c>
      <c r="W131" s="143"/>
      <c r="X131" s="143"/>
      <c r="Y131" s="151">
        <f t="shared" ref="Y131:AB131" si="241">AD131-T131</f>
        <v>0</v>
      </c>
      <c r="Z131" s="151">
        <f t="shared" si="241"/>
        <v>0</v>
      </c>
      <c r="AA131" s="151">
        <f t="shared" si="241"/>
        <v>0</v>
      </c>
      <c r="AB131" s="152">
        <f t="shared" si="241"/>
        <v>0</v>
      </c>
      <c r="AC131" s="143"/>
      <c r="AD131" s="148">
        <v>0</v>
      </c>
      <c r="AE131" s="150"/>
      <c r="AF131" s="148">
        <v>7500000</v>
      </c>
      <c r="AG131" s="155"/>
      <c r="AH131" s="143">
        <f t="shared" si="7"/>
        <v>0</v>
      </c>
      <c r="AI131" s="151"/>
      <c r="AJ131" s="151">
        <f t="shared" ref="AJ131:AL131" si="242">P131-AE131</f>
        <v>0</v>
      </c>
      <c r="AK131" s="151">
        <f t="shared" si="242"/>
        <v>0</v>
      </c>
      <c r="AL131" s="151">
        <f t="shared" si="242"/>
        <v>0</v>
      </c>
      <c r="AM131" s="145"/>
      <c r="AN131" s="139"/>
      <c r="AO131" s="139"/>
      <c r="AP131" s="139"/>
      <c r="AQ131" s="145"/>
      <c r="AR131" s="145"/>
    </row>
    <row r="132" spans="1:44" s="156" customFormat="1" ht="31.5" x14ac:dyDescent="0.25">
      <c r="A132" s="143" t="s">
        <v>52</v>
      </c>
      <c r="B132" s="144">
        <v>119</v>
      </c>
      <c r="C132" s="143" t="s">
        <v>916</v>
      </c>
      <c r="D132" s="143" t="s">
        <v>916</v>
      </c>
      <c r="E132" s="145"/>
      <c r="F132" s="146"/>
      <c r="G132" s="143" t="s">
        <v>1008</v>
      </c>
      <c r="H132" s="143"/>
      <c r="I132" s="143"/>
      <c r="J132" s="143"/>
      <c r="K132" s="143"/>
      <c r="L132" s="143" t="s">
        <v>1010</v>
      </c>
      <c r="M132" s="143" t="s">
        <v>43</v>
      </c>
      <c r="N132" s="143" t="s">
        <v>1013</v>
      </c>
      <c r="O132" s="147">
        <v>28234674360</v>
      </c>
      <c r="P132" s="150"/>
      <c r="Q132" s="148">
        <v>7500000</v>
      </c>
      <c r="R132" s="150"/>
      <c r="S132" s="147">
        <f t="shared" si="5"/>
        <v>28242174360</v>
      </c>
      <c r="T132" s="158">
        <v>28234674360</v>
      </c>
      <c r="U132" s="143"/>
      <c r="V132" s="147">
        <v>7500000</v>
      </c>
      <c r="W132" s="143"/>
      <c r="X132" s="143"/>
      <c r="Y132" s="152">
        <f t="shared" ref="Y132:AB132" si="243">AD132-T132</f>
        <v>0</v>
      </c>
      <c r="Z132" s="151">
        <f t="shared" si="243"/>
        <v>0</v>
      </c>
      <c r="AA132" s="151">
        <f t="shared" si="243"/>
        <v>0</v>
      </c>
      <c r="AB132" s="152">
        <f t="shared" si="243"/>
        <v>0</v>
      </c>
      <c r="AC132" s="143"/>
      <c r="AD132" s="149">
        <v>28234674360</v>
      </c>
      <c r="AE132" s="150"/>
      <c r="AF132" s="148">
        <v>7500000</v>
      </c>
      <c r="AG132" s="155"/>
      <c r="AH132" s="143">
        <f t="shared" si="7"/>
        <v>0</v>
      </c>
      <c r="AI132" s="151"/>
      <c r="AJ132" s="151">
        <f t="shared" ref="AJ132:AL132" si="244">P132-AE132</f>
        <v>0</v>
      </c>
      <c r="AK132" s="151">
        <f t="shared" si="244"/>
        <v>0</v>
      </c>
      <c r="AL132" s="151">
        <f t="shared" si="244"/>
        <v>0</v>
      </c>
      <c r="AM132" s="145"/>
      <c r="AN132" s="139"/>
      <c r="AO132" s="139"/>
      <c r="AP132" s="139"/>
      <c r="AQ132" s="145"/>
      <c r="AR132" s="145"/>
    </row>
    <row r="133" spans="1:44" s="156" customFormat="1" ht="31.5" x14ac:dyDescent="0.25">
      <c r="A133" s="143" t="s">
        <v>52</v>
      </c>
      <c r="B133" s="144">
        <v>120</v>
      </c>
      <c r="C133" s="143" t="s">
        <v>916</v>
      </c>
      <c r="D133" s="143" t="s">
        <v>916</v>
      </c>
      <c r="E133" s="145"/>
      <c r="F133" s="146"/>
      <c r="G133" s="143" t="s">
        <v>1023</v>
      </c>
      <c r="H133" s="143"/>
      <c r="I133" s="143"/>
      <c r="J133" s="143"/>
      <c r="K133" s="143"/>
      <c r="L133" s="143" t="s">
        <v>1024</v>
      </c>
      <c r="M133" s="143" t="s">
        <v>43</v>
      </c>
      <c r="N133" s="143" t="s">
        <v>1025</v>
      </c>
      <c r="O133" s="147">
        <v>1810252300</v>
      </c>
      <c r="P133" s="150"/>
      <c r="Q133" s="148">
        <v>15000000</v>
      </c>
      <c r="R133" s="150"/>
      <c r="S133" s="147">
        <f t="shared" si="5"/>
        <v>1825252300</v>
      </c>
      <c r="T133" s="158">
        <v>1810252300</v>
      </c>
      <c r="U133" s="143"/>
      <c r="V133" s="147">
        <v>15000000</v>
      </c>
      <c r="W133" s="143"/>
      <c r="X133" s="143"/>
      <c r="Y133" s="152">
        <f t="shared" ref="Y133:AB133" si="245">AD133-T133</f>
        <v>0</v>
      </c>
      <c r="Z133" s="151">
        <f t="shared" si="245"/>
        <v>0</v>
      </c>
      <c r="AA133" s="151">
        <f t="shared" si="245"/>
        <v>0</v>
      </c>
      <c r="AB133" s="143">
        <f t="shared" si="245"/>
        <v>0</v>
      </c>
      <c r="AC133" s="143"/>
      <c r="AD133" s="149">
        <v>1810252300</v>
      </c>
      <c r="AE133" s="150"/>
      <c r="AF133" s="148">
        <v>15000000</v>
      </c>
      <c r="AG133" s="145"/>
      <c r="AH133" s="143">
        <f t="shared" si="7"/>
        <v>0</v>
      </c>
      <c r="AI133" s="151"/>
      <c r="AJ133" s="151">
        <f t="shared" ref="AJ133:AL133" si="246">P133-AE133</f>
        <v>0</v>
      </c>
      <c r="AK133" s="151">
        <f t="shared" si="246"/>
        <v>0</v>
      </c>
      <c r="AL133" s="151">
        <f t="shared" si="246"/>
        <v>0</v>
      </c>
      <c r="AM133" s="145"/>
      <c r="AN133" s="139"/>
      <c r="AO133" s="139"/>
      <c r="AP133" s="139"/>
      <c r="AQ133" s="145"/>
      <c r="AR133" s="145"/>
    </row>
    <row r="134" spans="1:44" s="156" customFormat="1" ht="31.5" x14ac:dyDescent="0.25">
      <c r="A134" s="143" t="s">
        <v>52</v>
      </c>
      <c r="B134" s="144">
        <v>121</v>
      </c>
      <c r="C134" s="143" t="s">
        <v>916</v>
      </c>
      <c r="D134" s="143" t="s">
        <v>916</v>
      </c>
      <c r="E134" s="145"/>
      <c r="F134" s="146"/>
      <c r="G134" s="143" t="s">
        <v>1033</v>
      </c>
      <c r="H134" s="143"/>
      <c r="I134" s="143"/>
      <c r="J134" s="143"/>
      <c r="K134" s="143"/>
      <c r="L134" s="143" t="s">
        <v>1034</v>
      </c>
      <c r="M134" s="143" t="s">
        <v>43</v>
      </c>
      <c r="N134" s="143" t="s">
        <v>1035</v>
      </c>
      <c r="O134" s="147">
        <v>547702548</v>
      </c>
      <c r="P134" s="150"/>
      <c r="Q134" s="148">
        <v>7500000</v>
      </c>
      <c r="R134" s="150"/>
      <c r="S134" s="147">
        <f t="shared" si="5"/>
        <v>555202548</v>
      </c>
      <c r="T134" s="158">
        <v>547702548</v>
      </c>
      <c r="U134" s="143"/>
      <c r="V134" s="147">
        <v>7500000</v>
      </c>
      <c r="W134" s="143"/>
      <c r="X134" s="143"/>
      <c r="Y134" s="152">
        <f t="shared" ref="Y134:AB134" si="247">AD134-T134</f>
        <v>0</v>
      </c>
      <c r="Z134" s="151">
        <f t="shared" si="247"/>
        <v>0</v>
      </c>
      <c r="AA134" s="151">
        <f t="shared" si="247"/>
        <v>0</v>
      </c>
      <c r="AB134" s="152">
        <f t="shared" si="247"/>
        <v>0</v>
      </c>
      <c r="AC134" s="143"/>
      <c r="AD134" s="149">
        <v>547702548</v>
      </c>
      <c r="AE134" s="150"/>
      <c r="AF134" s="148">
        <v>7500000</v>
      </c>
      <c r="AG134" s="155"/>
      <c r="AH134" s="143">
        <f t="shared" si="7"/>
        <v>0</v>
      </c>
      <c r="AI134" s="151"/>
      <c r="AJ134" s="151">
        <f t="shared" ref="AJ134:AL134" si="248">P134-AE134</f>
        <v>0</v>
      </c>
      <c r="AK134" s="151">
        <f t="shared" si="248"/>
        <v>0</v>
      </c>
      <c r="AL134" s="151">
        <f t="shared" si="248"/>
        <v>0</v>
      </c>
      <c r="AM134" s="145"/>
      <c r="AN134" s="139"/>
      <c r="AO134" s="139"/>
      <c r="AP134" s="139"/>
      <c r="AQ134" s="145"/>
      <c r="AR134" s="145"/>
    </row>
    <row r="135" spans="1:44" s="156" customFormat="1" ht="31.5" x14ac:dyDescent="0.25">
      <c r="A135" s="143" t="s">
        <v>52</v>
      </c>
      <c r="B135" s="144">
        <v>122</v>
      </c>
      <c r="C135" s="143" t="s">
        <v>916</v>
      </c>
      <c r="D135" s="143" t="s">
        <v>916</v>
      </c>
      <c r="E135" s="145"/>
      <c r="F135" s="146"/>
      <c r="G135" s="143" t="s">
        <v>1040</v>
      </c>
      <c r="H135" s="143"/>
      <c r="I135" s="143"/>
      <c r="J135" s="143"/>
      <c r="K135" s="143"/>
      <c r="L135" s="143" t="s">
        <v>1034</v>
      </c>
      <c r="M135" s="143" t="s">
        <v>43</v>
      </c>
      <c r="N135" s="143" t="s">
        <v>1041</v>
      </c>
      <c r="O135" s="147">
        <v>2570795140</v>
      </c>
      <c r="P135" s="150"/>
      <c r="Q135" s="148">
        <v>7500000</v>
      </c>
      <c r="R135" s="150"/>
      <c r="S135" s="147">
        <f t="shared" si="5"/>
        <v>2578295140</v>
      </c>
      <c r="T135" s="158">
        <v>2570795140</v>
      </c>
      <c r="U135" s="143"/>
      <c r="V135" s="147">
        <v>7500000</v>
      </c>
      <c r="W135" s="143"/>
      <c r="X135" s="143"/>
      <c r="Y135" s="152">
        <f t="shared" ref="Y135:AB135" si="249">AD135-T135</f>
        <v>0</v>
      </c>
      <c r="Z135" s="151">
        <f t="shared" si="249"/>
        <v>0</v>
      </c>
      <c r="AA135" s="151">
        <f t="shared" si="249"/>
        <v>0</v>
      </c>
      <c r="AB135" s="152">
        <f t="shared" si="249"/>
        <v>0</v>
      </c>
      <c r="AC135" s="143"/>
      <c r="AD135" s="149">
        <v>2570795140</v>
      </c>
      <c r="AE135" s="150"/>
      <c r="AF135" s="148">
        <v>7500000</v>
      </c>
      <c r="AG135" s="155"/>
      <c r="AH135" s="143">
        <f t="shared" si="7"/>
        <v>0</v>
      </c>
      <c r="AI135" s="151"/>
      <c r="AJ135" s="151">
        <f t="shared" ref="AJ135:AL135" si="250">P135-AE135</f>
        <v>0</v>
      </c>
      <c r="AK135" s="151">
        <f t="shared" si="250"/>
        <v>0</v>
      </c>
      <c r="AL135" s="151">
        <f t="shared" si="250"/>
        <v>0</v>
      </c>
      <c r="AM135" s="145"/>
      <c r="AN135" s="139"/>
      <c r="AO135" s="139"/>
      <c r="AP135" s="139"/>
      <c r="AQ135" s="145"/>
      <c r="AR135" s="145"/>
    </row>
    <row r="136" spans="1:44" s="156" customFormat="1" ht="31.5" x14ac:dyDescent="0.25">
      <c r="A136" s="143" t="s">
        <v>35</v>
      </c>
      <c r="B136" s="144">
        <v>123</v>
      </c>
      <c r="C136" s="143" t="s">
        <v>916</v>
      </c>
      <c r="D136" s="143" t="s">
        <v>916</v>
      </c>
      <c r="E136" s="145"/>
      <c r="F136" s="146"/>
      <c r="G136" s="143" t="s">
        <v>1048</v>
      </c>
      <c r="H136" s="143"/>
      <c r="I136" s="143"/>
      <c r="J136" s="143"/>
      <c r="K136" s="143"/>
      <c r="L136" s="143" t="s">
        <v>1049</v>
      </c>
      <c r="M136" s="143" t="s">
        <v>43</v>
      </c>
      <c r="N136" s="143" t="s">
        <v>1050</v>
      </c>
      <c r="O136" s="147">
        <v>3746087590</v>
      </c>
      <c r="P136" s="150"/>
      <c r="Q136" s="148">
        <v>7500000</v>
      </c>
      <c r="R136" s="150"/>
      <c r="S136" s="147">
        <f t="shared" si="5"/>
        <v>3753587590</v>
      </c>
      <c r="T136" s="151">
        <v>3746087590</v>
      </c>
      <c r="U136" s="143"/>
      <c r="V136" s="147">
        <v>7500000</v>
      </c>
      <c r="W136" s="143"/>
      <c r="X136" s="143"/>
      <c r="Y136" s="152">
        <f t="shared" ref="Y136:AB136" si="251">AD136-T136</f>
        <v>0</v>
      </c>
      <c r="Z136" s="151">
        <f t="shared" si="251"/>
        <v>0</v>
      </c>
      <c r="AA136" s="151">
        <f t="shared" si="251"/>
        <v>0</v>
      </c>
      <c r="AB136" s="152">
        <f t="shared" si="251"/>
        <v>0</v>
      </c>
      <c r="AC136" s="143"/>
      <c r="AD136" s="155">
        <v>3746087590</v>
      </c>
      <c r="AE136" s="150"/>
      <c r="AF136" s="148">
        <v>7500000</v>
      </c>
      <c r="AG136" s="155"/>
      <c r="AH136" s="143">
        <f t="shared" si="7"/>
        <v>0</v>
      </c>
      <c r="AI136" s="151"/>
      <c r="AJ136" s="151">
        <f t="shared" ref="AJ136:AL136" si="252">P136-AE136</f>
        <v>0</v>
      </c>
      <c r="AK136" s="151">
        <f t="shared" si="252"/>
        <v>0</v>
      </c>
      <c r="AL136" s="151">
        <f t="shared" si="252"/>
        <v>0</v>
      </c>
      <c r="AM136" s="145"/>
      <c r="AN136" s="172"/>
      <c r="AO136" s="139"/>
      <c r="AP136" s="139"/>
      <c r="AQ136" s="145"/>
      <c r="AR136" s="145"/>
    </row>
    <row r="137" spans="1:44" s="156" customFormat="1" ht="31.5" x14ac:dyDescent="0.25">
      <c r="A137" s="143" t="s">
        <v>35</v>
      </c>
      <c r="B137" s="144">
        <v>124</v>
      </c>
      <c r="C137" s="143" t="s">
        <v>916</v>
      </c>
      <c r="D137" s="143" t="s">
        <v>916</v>
      </c>
      <c r="E137" s="145"/>
      <c r="F137" s="146"/>
      <c r="G137" s="143" t="s">
        <v>1055</v>
      </c>
      <c r="H137" s="143"/>
      <c r="I137" s="143"/>
      <c r="J137" s="143"/>
      <c r="K137" s="143"/>
      <c r="L137" s="143" t="s">
        <v>1056</v>
      </c>
      <c r="M137" s="143" t="s">
        <v>43</v>
      </c>
      <c r="N137" s="143" t="s">
        <v>1057</v>
      </c>
      <c r="O137" s="147">
        <v>6045384105</v>
      </c>
      <c r="P137" s="150"/>
      <c r="Q137" s="148">
        <v>15000000</v>
      </c>
      <c r="R137" s="150"/>
      <c r="S137" s="147">
        <f t="shared" si="5"/>
        <v>6060384105</v>
      </c>
      <c r="T137" s="151">
        <v>6045384105</v>
      </c>
      <c r="U137" s="143"/>
      <c r="V137" s="147">
        <v>15000000</v>
      </c>
      <c r="W137" s="143"/>
      <c r="X137" s="143"/>
      <c r="Y137" s="152">
        <f t="shared" ref="Y137:AB137" si="253">AD137-T137</f>
        <v>0</v>
      </c>
      <c r="Z137" s="151">
        <f t="shared" si="253"/>
        <v>0</v>
      </c>
      <c r="AA137" s="151">
        <f t="shared" si="253"/>
        <v>0</v>
      </c>
      <c r="AB137" s="152">
        <f t="shared" si="253"/>
        <v>0</v>
      </c>
      <c r="AC137" s="143"/>
      <c r="AD137" s="155">
        <v>6045384105</v>
      </c>
      <c r="AE137" s="150"/>
      <c r="AF137" s="148">
        <v>15000000</v>
      </c>
      <c r="AG137" s="155"/>
      <c r="AH137" s="143">
        <f t="shared" si="7"/>
        <v>0</v>
      </c>
      <c r="AI137" s="151"/>
      <c r="AJ137" s="151">
        <f t="shared" ref="AJ137:AL137" si="254">P137-AE137</f>
        <v>0</v>
      </c>
      <c r="AK137" s="151">
        <f t="shared" si="254"/>
        <v>0</v>
      </c>
      <c r="AL137" s="151">
        <f t="shared" si="254"/>
        <v>0</v>
      </c>
      <c r="AM137" s="145"/>
      <c r="AN137" s="139"/>
      <c r="AO137" s="139"/>
      <c r="AP137" s="139"/>
      <c r="AQ137" s="145"/>
      <c r="AR137" s="145"/>
    </row>
    <row r="138" spans="1:44" s="156" customFormat="1" ht="31.5" x14ac:dyDescent="0.25">
      <c r="A138" s="143" t="s">
        <v>60</v>
      </c>
      <c r="B138" s="144">
        <v>125</v>
      </c>
      <c r="C138" s="143" t="s">
        <v>916</v>
      </c>
      <c r="D138" s="143" t="s">
        <v>916</v>
      </c>
      <c r="E138" s="145"/>
      <c r="F138" s="146"/>
      <c r="G138" s="143" t="s">
        <v>1066</v>
      </c>
      <c r="H138" s="143"/>
      <c r="I138" s="143" t="s">
        <v>113</v>
      </c>
      <c r="J138" s="143"/>
      <c r="K138" s="143"/>
      <c r="L138" s="143" t="s">
        <v>281</v>
      </c>
      <c r="M138" s="143" t="s">
        <v>43</v>
      </c>
      <c r="N138" s="143" t="s">
        <v>1067</v>
      </c>
      <c r="O138" s="147"/>
      <c r="P138" s="150"/>
      <c r="Q138" s="150"/>
      <c r="R138" s="150"/>
      <c r="S138" s="147">
        <f t="shared" si="5"/>
        <v>0</v>
      </c>
      <c r="T138" s="144">
        <v>0</v>
      </c>
      <c r="U138" s="143"/>
      <c r="V138" s="157"/>
      <c r="W138" s="143"/>
      <c r="X138" s="143"/>
      <c r="Y138" s="151">
        <f t="shared" ref="Y138:AB138" si="255">AD138-T138</f>
        <v>0</v>
      </c>
      <c r="Z138" s="151">
        <f t="shared" si="255"/>
        <v>0</v>
      </c>
      <c r="AA138" s="151">
        <f t="shared" si="255"/>
        <v>0</v>
      </c>
      <c r="AB138" s="152">
        <f t="shared" si="255"/>
        <v>0</v>
      </c>
      <c r="AC138" s="143"/>
      <c r="AD138" s="148">
        <v>0</v>
      </c>
      <c r="AE138" s="150"/>
      <c r="AF138" s="150"/>
      <c r="AG138" s="155"/>
      <c r="AH138" s="143">
        <f t="shared" si="7"/>
        <v>0</v>
      </c>
      <c r="AI138" s="151"/>
      <c r="AJ138" s="151">
        <f t="shared" ref="AJ138:AL138" si="256">P138-AE138</f>
        <v>0</v>
      </c>
      <c r="AK138" s="151">
        <f t="shared" si="256"/>
        <v>0</v>
      </c>
      <c r="AL138" s="151">
        <f t="shared" si="256"/>
        <v>0</v>
      </c>
      <c r="AM138" s="145"/>
      <c r="AN138" s="139"/>
      <c r="AO138" s="139"/>
      <c r="AP138" s="139"/>
      <c r="AQ138" s="145"/>
      <c r="AR138" s="145"/>
    </row>
    <row r="139" spans="1:44" s="156" customFormat="1" ht="31.5" x14ac:dyDescent="0.25">
      <c r="A139" s="143" t="s">
        <v>52</v>
      </c>
      <c r="B139" s="144">
        <v>126</v>
      </c>
      <c r="C139" s="143" t="s">
        <v>916</v>
      </c>
      <c r="D139" s="143" t="s">
        <v>916</v>
      </c>
      <c r="E139" s="145"/>
      <c r="F139" s="146"/>
      <c r="G139" s="143" t="s">
        <v>1072</v>
      </c>
      <c r="H139" s="143"/>
      <c r="I139" s="143"/>
      <c r="J139" s="143"/>
      <c r="K139" s="143"/>
      <c r="L139" s="143" t="s">
        <v>1073</v>
      </c>
      <c r="M139" s="143" t="s">
        <v>43</v>
      </c>
      <c r="N139" s="143" t="s">
        <v>1074</v>
      </c>
      <c r="O139" s="147">
        <v>659212100</v>
      </c>
      <c r="P139" s="150"/>
      <c r="Q139" s="148">
        <v>7500000</v>
      </c>
      <c r="R139" s="150"/>
      <c r="S139" s="147">
        <f t="shared" si="5"/>
        <v>666712100</v>
      </c>
      <c r="T139" s="158">
        <v>659212100</v>
      </c>
      <c r="U139" s="143"/>
      <c r="V139" s="157">
        <v>7500000</v>
      </c>
      <c r="W139" s="143"/>
      <c r="X139" s="143"/>
      <c r="Y139" s="152">
        <f t="shared" ref="Y139:AB139" si="257">AD139-T139</f>
        <v>0</v>
      </c>
      <c r="Z139" s="151">
        <f t="shared" si="257"/>
        <v>0</v>
      </c>
      <c r="AA139" s="151">
        <f t="shared" si="257"/>
        <v>0</v>
      </c>
      <c r="AB139" s="152">
        <f t="shared" si="257"/>
        <v>0</v>
      </c>
      <c r="AC139" s="143"/>
      <c r="AD139" s="149">
        <v>659212100</v>
      </c>
      <c r="AE139" s="150"/>
      <c r="AF139" s="148">
        <v>7500000</v>
      </c>
      <c r="AG139" s="155"/>
      <c r="AH139" s="143">
        <f t="shared" si="7"/>
        <v>0</v>
      </c>
      <c r="AI139" s="151"/>
      <c r="AJ139" s="151">
        <f t="shared" ref="AJ139:AL139" si="258">P139-AE139</f>
        <v>0</v>
      </c>
      <c r="AK139" s="151">
        <f t="shared" si="258"/>
        <v>0</v>
      </c>
      <c r="AL139" s="151">
        <f t="shared" si="258"/>
        <v>0</v>
      </c>
      <c r="AM139" s="145"/>
      <c r="AN139" s="172"/>
      <c r="AO139" s="139"/>
      <c r="AP139" s="139"/>
      <c r="AQ139" s="145"/>
      <c r="AR139" s="145"/>
    </row>
    <row r="140" spans="1:44" s="156" customFormat="1" ht="31.5" x14ac:dyDescent="0.25">
      <c r="A140" s="143" t="s">
        <v>60</v>
      </c>
      <c r="B140" s="144">
        <v>127</v>
      </c>
      <c r="C140" s="143" t="s">
        <v>916</v>
      </c>
      <c r="D140" s="143" t="s">
        <v>916</v>
      </c>
      <c r="E140" s="145"/>
      <c r="F140" s="146"/>
      <c r="G140" s="143" t="s">
        <v>1079</v>
      </c>
      <c r="H140" s="143"/>
      <c r="I140" s="143"/>
      <c r="J140" s="143"/>
      <c r="K140" s="143"/>
      <c r="L140" s="143" t="s">
        <v>1080</v>
      </c>
      <c r="M140" s="143" t="s">
        <v>43</v>
      </c>
      <c r="N140" s="143" t="s">
        <v>1081</v>
      </c>
      <c r="O140" s="147">
        <v>99800000</v>
      </c>
      <c r="P140" s="150"/>
      <c r="Q140" s="148">
        <v>7500000</v>
      </c>
      <c r="R140" s="150"/>
      <c r="S140" s="147">
        <f t="shared" si="5"/>
        <v>107300000</v>
      </c>
      <c r="T140" s="158">
        <v>99800000</v>
      </c>
      <c r="U140" s="143"/>
      <c r="V140" s="147">
        <v>7500000</v>
      </c>
      <c r="W140" s="143"/>
      <c r="X140" s="143"/>
      <c r="Y140" s="152">
        <f t="shared" ref="Y140:AB140" si="259">AD140-T140</f>
        <v>0</v>
      </c>
      <c r="Z140" s="151">
        <f t="shared" si="259"/>
        <v>0</v>
      </c>
      <c r="AA140" s="151">
        <f t="shared" si="259"/>
        <v>0</v>
      </c>
      <c r="AB140" s="152">
        <f t="shared" si="259"/>
        <v>0</v>
      </c>
      <c r="AC140" s="143"/>
      <c r="AD140" s="149">
        <v>99800000</v>
      </c>
      <c r="AE140" s="150"/>
      <c r="AF140" s="173">
        <v>7500000</v>
      </c>
      <c r="AG140" s="155"/>
      <c r="AH140" s="143">
        <f t="shared" si="7"/>
        <v>0</v>
      </c>
      <c r="AI140" s="151"/>
      <c r="AJ140" s="151">
        <f t="shared" ref="AJ140:AL140" si="260">P140-AE140</f>
        <v>0</v>
      </c>
      <c r="AK140" s="151">
        <f t="shared" si="260"/>
        <v>0</v>
      </c>
      <c r="AL140" s="151">
        <f t="shared" si="260"/>
        <v>0</v>
      </c>
      <c r="AM140" s="145"/>
      <c r="AN140" s="139"/>
      <c r="AO140" s="139"/>
      <c r="AP140" s="139"/>
      <c r="AQ140" s="145"/>
      <c r="AR140" s="145"/>
    </row>
    <row r="141" spans="1:44" s="156" customFormat="1" ht="47.25" x14ac:dyDescent="0.25">
      <c r="A141" s="143" t="s">
        <v>46</v>
      </c>
      <c r="B141" s="144">
        <v>128</v>
      </c>
      <c r="C141" s="143" t="s">
        <v>916</v>
      </c>
      <c r="D141" s="143" t="s">
        <v>916</v>
      </c>
      <c r="E141" s="145" t="s">
        <v>508</v>
      </c>
      <c r="F141" s="146"/>
      <c r="G141" s="143" t="s">
        <v>1086</v>
      </c>
      <c r="H141" s="143" t="s">
        <v>1087</v>
      </c>
      <c r="I141" s="143"/>
      <c r="J141" s="143"/>
      <c r="K141" s="143"/>
      <c r="L141" s="143" t="s">
        <v>1088</v>
      </c>
      <c r="M141" s="143" t="s">
        <v>43</v>
      </c>
      <c r="N141" s="143" t="s">
        <v>1089</v>
      </c>
      <c r="O141" s="147">
        <v>3116216204</v>
      </c>
      <c r="P141" s="148">
        <v>1408896</v>
      </c>
      <c r="Q141" s="148">
        <v>15000000</v>
      </c>
      <c r="R141" s="150"/>
      <c r="S141" s="147">
        <f t="shared" si="5"/>
        <v>3132625100</v>
      </c>
      <c r="T141" s="158">
        <v>3116216204</v>
      </c>
      <c r="U141" s="158">
        <v>1408896</v>
      </c>
      <c r="V141" s="147">
        <v>15000000</v>
      </c>
      <c r="W141" s="143"/>
      <c r="X141" s="143"/>
      <c r="Y141" s="152">
        <f t="shared" ref="Y141:AB141" si="261">AD141-T141</f>
        <v>0</v>
      </c>
      <c r="Z141" s="151">
        <f t="shared" si="261"/>
        <v>0</v>
      </c>
      <c r="AA141" s="151">
        <f t="shared" si="261"/>
        <v>0</v>
      </c>
      <c r="AB141" s="151">
        <f t="shared" si="261"/>
        <v>0</v>
      </c>
      <c r="AC141" s="143"/>
      <c r="AD141" s="149">
        <v>3116216204</v>
      </c>
      <c r="AE141" s="148">
        <v>1408896</v>
      </c>
      <c r="AF141" s="148">
        <v>15000000</v>
      </c>
      <c r="AG141" s="150"/>
      <c r="AH141" s="143">
        <f t="shared" si="7"/>
        <v>0</v>
      </c>
      <c r="AI141" s="151"/>
      <c r="AJ141" s="151">
        <f t="shared" ref="AJ141:AL141" si="262">P141-AE141</f>
        <v>0</v>
      </c>
      <c r="AK141" s="151">
        <f t="shared" si="262"/>
        <v>0</v>
      </c>
      <c r="AL141" s="151">
        <f t="shared" si="262"/>
        <v>0</v>
      </c>
      <c r="AM141" s="145"/>
      <c r="AN141" s="139"/>
      <c r="AO141" s="139"/>
      <c r="AP141" s="139"/>
      <c r="AQ141" s="145"/>
      <c r="AR141" s="145"/>
    </row>
    <row r="142" spans="1:44" s="156" customFormat="1" ht="47.25" x14ac:dyDescent="0.25">
      <c r="A142" s="143" t="s">
        <v>60</v>
      </c>
      <c r="B142" s="144">
        <v>129</v>
      </c>
      <c r="C142" s="143" t="s">
        <v>916</v>
      </c>
      <c r="D142" s="143" t="s">
        <v>916</v>
      </c>
      <c r="E142" s="145"/>
      <c r="F142" s="146"/>
      <c r="G142" s="143" t="s">
        <v>1094</v>
      </c>
      <c r="H142" s="143"/>
      <c r="I142" s="143"/>
      <c r="J142" s="143"/>
      <c r="K142" s="143"/>
      <c r="L142" s="143" t="s">
        <v>1095</v>
      </c>
      <c r="M142" s="143" t="s">
        <v>43</v>
      </c>
      <c r="N142" s="143" t="s">
        <v>1096</v>
      </c>
      <c r="O142" s="147">
        <v>2855511110</v>
      </c>
      <c r="P142" s="150"/>
      <c r="Q142" s="148">
        <v>7500000</v>
      </c>
      <c r="R142" s="150"/>
      <c r="S142" s="147">
        <f t="shared" si="5"/>
        <v>2863011110</v>
      </c>
      <c r="T142" s="158">
        <v>2855511110</v>
      </c>
      <c r="U142" s="143"/>
      <c r="V142" s="157"/>
      <c r="W142" s="143"/>
      <c r="X142" s="143"/>
      <c r="Y142" s="152">
        <f t="shared" ref="Y142:AB142" si="263">AD142-T142</f>
        <v>0</v>
      </c>
      <c r="Z142" s="151">
        <f t="shared" si="263"/>
        <v>0</v>
      </c>
      <c r="AA142" s="151">
        <f t="shared" si="263"/>
        <v>0</v>
      </c>
      <c r="AB142" s="152">
        <f t="shared" si="263"/>
        <v>0</v>
      </c>
      <c r="AC142" s="143"/>
      <c r="AD142" s="149">
        <v>2855511110</v>
      </c>
      <c r="AE142" s="150"/>
      <c r="AF142" s="150"/>
      <c r="AG142" s="155"/>
      <c r="AH142" s="143">
        <f t="shared" si="7"/>
        <v>0</v>
      </c>
      <c r="AI142" s="151"/>
      <c r="AJ142" s="151">
        <f t="shared" ref="AJ142:AL142" si="264">P142-AE142</f>
        <v>0</v>
      </c>
      <c r="AK142" s="151">
        <f t="shared" si="264"/>
        <v>7500000</v>
      </c>
      <c r="AL142" s="151">
        <f t="shared" si="264"/>
        <v>0</v>
      </c>
      <c r="AM142" s="145"/>
      <c r="AN142" s="139"/>
      <c r="AO142" s="139"/>
      <c r="AP142" s="162" t="s">
        <v>1878</v>
      </c>
      <c r="AQ142" s="145"/>
      <c r="AR142" s="145"/>
    </row>
    <row r="143" spans="1:44" s="156" customFormat="1" ht="31.5" x14ac:dyDescent="0.25">
      <c r="A143" s="143" t="s">
        <v>60</v>
      </c>
      <c r="B143" s="144">
        <v>130</v>
      </c>
      <c r="C143" s="143" t="s">
        <v>1097</v>
      </c>
      <c r="D143" s="143" t="s">
        <v>1097</v>
      </c>
      <c r="E143" s="145"/>
      <c r="F143" s="146"/>
      <c r="G143" s="143" t="s">
        <v>1098</v>
      </c>
      <c r="H143" s="143"/>
      <c r="I143" s="143"/>
      <c r="J143" s="143"/>
      <c r="K143" s="143"/>
      <c r="L143" s="143" t="s">
        <v>1099</v>
      </c>
      <c r="M143" s="143" t="s">
        <v>43</v>
      </c>
      <c r="N143" s="143" t="s">
        <v>1100</v>
      </c>
      <c r="O143" s="147">
        <v>442633200</v>
      </c>
      <c r="P143" s="150"/>
      <c r="Q143" s="148">
        <v>7500000</v>
      </c>
      <c r="R143" s="150"/>
      <c r="S143" s="147">
        <f t="shared" si="5"/>
        <v>450133200</v>
      </c>
      <c r="T143" s="158">
        <v>442633200</v>
      </c>
      <c r="U143" s="143"/>
      <c r="V143" s="147">
        <v>7500000</v>
      </c>
      <c r="W143" s="143"/>
      <c r="X143" s="143"/>
      <c r="Y143" s="152">
        <f t="shared" ref="Y143:AB143" si="265">AD143-T143</f>
        <v>0</v>
      </c>
      <c r="Z143" s="151">
        <f t="shared" si="265"/>
        <v>0</v>
      </c>
      <c r="AA143" s="151">
        <f t="shared" si="265"/>
        <v>0</v>
      </c>
      <c r="AB143" s="152">
        <f t="shared" si="265"/>
        <v>0</v>
      </c>
      <c r="AC143" s="143"/>
      <c r="AD143" s="149">
        <v>442633200</v>
      </c>
      <c r="AE143" s="150"/>
      <c r="AF143" s="148">
        <v>7500000</v>
      </c>
      <c r="AG143" s="155"/>
      <c r="AH143" s="143">
        <f t="shared" si="7"/>
        <v>0</v>
      </c>
      <c r="AI143" s="151"/>
      <c r="AJ143" s="151">
        <f t="shared" ref="AJ143:AL143" si="266">P143-AE143</f>
        <v>0</v>
      </c>
      <c r="AK143" s="151">
        <f t="shared" si="266"/>
        <v>0</v>
      </c>
      <c r="AL143" s="151">
        <f t="shared" si="266"/>
        <v>0</v>
      </c>
      <c r="AM143" s="145"/>
      <c r="AN143" s="139"/>
      <c r="AO143" s="139"/>
      <c r="AP143" s="139"/>
      <c r="AQ143" s="145"/>
      <c r="AR143" s="145"/>
    </row>
    <row r="144" spans="1:44" s="156" customFormat="1" ht="78.75" x14ac:dyDescent="0.25">
      <c r="A144" s="143" t="s">
        <v>60</v>
      </c>
      <c r="B144" s="144">
        <v>131</v>
      </c>
      <c r="C144" s="143" t="s">
        <v>1097</v>
      </c>
      <c r="D144" s="143" t="s">
        <v>1097</v>
      </c>
      <c r="E144" s="145"/>
      <c r="F144" s="146"/>
      <c r="G144" s="143" t="s">
        <v>1101</v>
      </c>
      <c r="H144" s="143"/>
      <c r="I144" s="143"/>
      <c r="J144" s="143"/>
      <c r="K144" s="143"/>
      <c r="L144" s="143" t="s">
        <v>1102</v>
      </c>
      <c r="M144" s="143" t="s">
        <v>43</v>
      </c>
      <c r="N144" s="143" t="s">
        <v>1103</v>
      </c>
      <c r="O144" s="147">
        <v>4416075000</v>
      </c>
      <c r="P144" s="150"/>
      <c r="Q144" s="148">
        <v>7500000</v>
      </c>
      <c r="R144" s="150"/>
      <c r="S144" s="147">
        <f t="shared" si="5"/>
        <v>4423575000</v>
      </c>
      <c r="T144" s="158">
        <v>4416075000</v>
      </c>
      <c r="U144" s="143"/>
      <c r="V144" s="157"/>
      <c r="W144" s="143"/>
      <c r="X144" s="143"/>
      <c r="Y144" s="152">
        <f t="shared" ref="Y144:AB144" si="267">AD144-T144</f>
        <v>0</v>
      </c>
      <c r="Z144" s="151">
        <f t="shared" si="267"/>
        <v>0</v>
      </c>
      <c r="AA144" s="151">
        <f t="shared" si="267"/>
        <v>0</v>
      </c>
      <c r="AB144" s="152">
        <f t="shared" si="267"/>
        <v>0</v>
      </c>
      <c r="AC144" s="143"/>
      <c r="AD144" s="149">
        <v>4416075000</v>
      </c>
      <c r="AE144" s="150"/>
      <c r="AF144" s="150"/>
      <c r="AG144" s="155"/>
      <c r="AH144" s="143">
        <f t="shared" si="7"/>
        <v>0</v>
      </c>
      <c r="AI144" s="151"/>
      <c r="AJ144" s="151">
        <f t="shared" ref="AJ144:AL144" si="268">P144-AE144</f>
        <v>0</v>
      </c>
      <c r="AK144" s="151">
        <f t="shared" si="268"/>
        <v>7500000</v>
      </c>
      <c r="AL144" s="151">
        <f t="shared" si="268"/>
        <v>0</v>
      </c>
      <c r="AM144" s="145"/>
      <c r="AN144" s="139"/>
      <c r="AO144" s="139"/>
      <c r="AP144" s="168" t="s">
        <v>1909</v>
      </c>
      <c r="AQ144" s="145"/>
      <c r="AR144" s="145"/>
    </row>
    <row r="145" spans="1:44" s="156" customFormat="1" ht="31.5" x14ac:dyDescent="0.25">
      <c r="A145" s="143" t="s">
        <v>52</v>
      </c>
      <c r="B145" s="144">
        <v>132</v>
      </c>
      <c r="C145" s="143" t="s">
        <v>1097</v>
      </c>
      <c r="D145" s="143" t="s">
        <v>1097</v>
      </c>
      <c r="E145" s="145"/>
      <c r="F145" s="146"/>
      <c r="G145" s="143" t="s">
        <v>1104</v>
      </c>
      <c r="H145" s="143"/>
      <c r="I145" s="143"/>
      <c r="J145" s="143"/>
      <c r="K145" s="143"/>
      <c r="L145" s="143" t="s">
        <v>1105</v>
      </c>
      <c r="M145" s="143" t="s">
        <v>43</v>
      </c>
      <c r="N145" s="143" t="s">
        <v>1106</v>
      </c>
      <c r="O145" s="147">
        <v>371583574</v>
      </c>
      <c r="P145" s="150"/>
      <c r="Q145" s="148">
        <v>7500000</v>
      </c>
      <c r="R145" s="150"/>
      <c r="S145" s="147">
        <f t="shared" si="5"/>
        <v>379083574</v>
      </c>
      <c r="T145" s="158">
        <v>371583574</v>
      </c>
      <c r="U145" s="143"/>
      <c r="V145" s="147">
        <v>7500000</v>
      </c>
      <c r="W145" s="143"/>
      <c r="X145" s="143"/>
      <c r="Y145" s="152">
        <f t="shared" ref="Y145:AB145" si="269">AD145-T145</f>
        <v>0</v>
      </c>
      <c r="Z145" s="151">
        <f t="shared" si="269"/>
        <v>0</v>
      </c>
      <c r="AA145" s="151">
        <f t="shared" si="269"/>
        <v>0</v>
      </c>
      <c r="AB145" s="143">
        <f t="shared" si="269"/>
        <v>0</v>
      </c>
      <c r="AC145" s="143"/>
      <c r="AD145" s="149">
        <v>371583574</v>
      </c>
      <c r="AE145" s="150"/>
      <c r="AF145" s="148">
        <v>7500000</v>
      </c>
      <c r="AG145" s="145"/>
      <c r="AH145" s="143">
        <f t="shared" si="7"/>
        <v>0</v>
      </c>
      <c r="AI145" s="151"/>
      <c r="AJ145" s="151">
        <f t="shared" ref="AJ145:AL145" si="270">P145-AE145</f>
        <v>0</v>
      </c>
      <c r="AK145" s="151">
        <f t="shared" si="270"/>
        <v>0</v>
      </c>
      <c r="AL145" s="151">
        <f t="shared" si="270"/>
        <v>0</v>
      </c>
      <c r="AM145" s="145"/>
      <c r="AN145" s="139"/>
      <c r="AO145" s="139"/>
      <c r="AP145" s="139"/>
      <c r="AQ145" s="145"/>
      <c r="AR145" s="145"/>
    </row>
    <row r="146" spans="1:44" s="156" customFormat="1" ht="31.5" x14ac:dyDescent="0.25">
      <c r="A146" s="143" t="s">
        <v>52</v>
      </c>
      <c r="B146" s="144">
        <v>133</v>
      </c>
      <c r="C146" s="143" t="s">
        <v>1097</v>
      </c>
      <c r="D146" s="143" t="s">
        <v>1097</v>
      </c>
      <c r="E146" s="145"/>
      <c r="F146" s="146"/>
      <c r="G146" s="143" t="s">
        <v>1112</v>
      </c>
      <c r="H146" s="143"/>
      <c r="I146" s="143"/>
      <c r="J146" s="143"/>
      <c r="K146" s="143"/>
      <c r="L146" s="143" t="s">
        <v>1113</v>
      </c>
      <c r="M146" s="143" t="s">
        <v>43</v>
      </c>
      <c r="N146" s="143" t="s">
        <v>1114</v>
      </c>
      <c r="O146" s="147">
        <v>374522488</v>
      </c>
      <c r="P146" s="150"/>
      <c r="Q146" s="148">
        <v>7500000</v>
      </c>
      <c r="R146" s="150"/>
      <c r="S146" s="147">
        <f t="shared" si="5"/>
        <v>382022488</v>
      </c>
      <c r="T146" s="158">
        <v>374522488</v>
      </c>
      <c r="U146" s="143"/>
      <c r="V146" s="147">
        <v>7500000</v>
      </c>
      <c r="W146" s="143"/>
      <c r="X146" s="143"/>
      <c r="Y146" s="152">
        <f t="shared" ref="Y146:AB146" si="271">AD146-T146</f>
        <v>0</v>
      </c>
      <c r="Z146" s="151">
        <f t="shared" si="271"/>
        <v>0</v>
      </c>
      <c r="AA146" s="151">
        <f t="shared" si="271"/>
        <v>0</v>
      </c>
      <c r="AB146" s="152">
        <f t="shared" si="271"/>
        <v>0</v>
      </c>
      <c r="AC146" s="143"/>
      <c r="AD146" s="149">
        <v>374522488</v>
      </c>
      <c r="AE146" s="150"/>
      <c r="AF146" s="148">
        <v>7500000</v>
      </c>
      <c r="AG146" s="155"/>
      <c r="AH146" s="143">
        <f t="shared" si="7"/>
        <v>0</v>
      </c>
      <c r="AI146" s="151"/>
      <c r="AJ146" s="151">
        <f t="shared" ref="AJ146:AL146" si="272">P146-AE146</f>
        <v>0</v>
      </c>
      <c r="AK146" s="151">
        <f t="shared" si="272"/>
        <v>0</v>
      </c>
      <c r="AL146" s="151">
        <f t="shared" si="272"/>
        <v>0</v>
      </c>
      <c r="AM146" s="145"/>
      <c r="AN146" s="139"/>
      <c r="AO146" s="139"/>
      <c r="AP146" s="139"/>
      <c r="AQ146" s="145"/>
      <c r="AR146" s="145"/>
    </row>
    <row r="147" spans="1:44" s="156" customFormat="1" ht="31.5" x14ac:dyDescent="0.25">
      <c r="A147" s="143" t="s">
        <v>46</v>
      </c>
      <c r="B147" s="144">
        <v>134</v>
      </c>
      <c r="C147" s="143" t="s">
        <v>1097</v>
      </c>
      <c r="D147" s="143" t="s">
        <v>1097</v>
      </c>
      <c r="E147" s="145"/>
      <c r="F147" s="146"/>
      <c r="G147" s="143" t="s">
        <v>1120</v>
      </c>
      <c r="H147" s="143"/>
      <c r="I147" s="143"/>
      <c r="J147" s="143"/>
      <c r="K147" s="143"/>
      <c r="L147" s="143" t="s">
        <v>1121</v>
      </c>
      <c r="M147" s="143" t="s">
        <v>43</v>
      </c>
      <c r="N147" s="143" t="s">
        <v>1122</v>
      </c>
      <c r="O147" s="147">
        <v>1958914892</v>
      </c>
      <c r="P147" s="150"/>
      <c r="Q147" s="148">
        <v>7500000</v>
      </c>
      <c r="R147" s="150"/>
      <c r="S147" s="147">
        <f t="shared" si="5"/>
        <v>1966414892</v>
      </c>
      <c r="T147" s="158">
        <v>1958914892</v>
      </c>
      <c r="U147" s="143"/>
      <c r="V147" s="147">
        <v>7500000</v>
      </c>
      <c r="W147" s="143"/>
      <c r="X147" s="143"/>
      <c r="Y147" s="152">
        <f t="shared" ref="Y147:AB147" si="273">AD147-T147</f>
        <v>0</v>
      </c>
      <c r="Z147" s="151">
        <f t="shared" si="273"/>
        <v>0</v>
      </c>
      <c r="AA147" s="151">
        <f t="shared" si="273"/>
        <v>0</v>
      </c>
      <c r="AB147" s="152">
        <f t="shared" si="273"/>
        <v>0</v>
      </c>
      <c r="AC147" s="143"/>
      <c r="AD147" s="149">
        <v>1958914892</v>
      </c>
      <c r="AE147" s="150"/>
      <c r="AF147" s="148">
        <v>7500000</v>
      </c>
      <c r="AG147" s="155"/>
      <c r="AH147" s="143">
        <f t="shared" si="7"/>
        <v>0</v>
      </c>
      <c r="AI147" s="151"/>
      <c r="AJ147" s="151">
        <f t="shared" ref="AJ147:AL147" si="274">P147-AE147</f>
        <v>0</v>
      </c>
      <c r="AK147" s="151">
        <f t="shared" si="274"/>
        <v>0</v>
      </c>
      <c r="AL147" s="151">
        <f t="shared" si="274"/>
        <v>0</v>
      </c>
      <c r="AM147" s="145"/>
      <c r="AN147" s="139"/>
      <c r="AO147" s="139"/>
      <c r="AP147" s="139"/>
      <c r="AQ147" s="145"/>
      <c r="AR147" s="145"/>
    </row>
    <row r="148" spans="1:44" s="156" customFormat="1" ht="31.5" x14ac:dyDescent="0.25">
      <c r="A148" s="143" t="s">
        <v>46</v>
      </c>
      <c r="B148" s="144">
        <v>135</v>
      </c>
      <c r="C148" s="143" t="s">
        <v>1097</v>
      </c>
      <c r="D148" s="143" t="s">
        <v>1097</v>
      </c>
      <c r="E148" s="145"/>
      <c r="F148" s="146"/>
      <c r="G148" s="143" t="s">
        <v>1128</v>
      </c>
      <c r="H148" s="143"/>
      <c r="I148" s="143"/>
      <c r="J148" s="143"/>
      <c r="K148" s="143"/>
      <c r="L148" s="143" t="s">
        <v>1129</v>
      </c>
      <c r="M148" s="143" t="s">
        <v>43</v>
      </c>
      <c r="N148" s="143" t="s">
        <v>1130</v>
      </c>
      <c r="O148" s="147">
        <v>2065538000</v>
      </c>
      <c r="P148" s="150"/>
      <c r="Q148" s="148">
        <v>7500000</v>
      </c>
      <c r="R148" s="150"/>
      <c r="S148" s="147">
        <f t="shared" si="5"/>
        <v>2073038000</v>
      </c>
      <c r="T148" s="158">
        <v>2065538000</v>
      </c>
      <c r="U148" s="143"/>
      <c r="V148" s="147">
        <v>7500000</v>
      </c>
      <c r="W148" s="143"/>
      <c r="X148" s="143"/>
      <c r="Y148" s="152">
        <f t="shared" ref="Y148:AB148" si="275">AD148-T148</f>
        <v>0</v>
      </c>
      <c r="Z148" s="151">
        <f t="shared" si="275"/>
        <v>0</v>
      </c>
      <c r="AA148" s="151">
        <f t="shared" si="275"/>
        <v>0</v>
      </c>
      <c r="AB148" s="152">
        <f t="shared" si="275"/>
        <v>0</v>
      </c>
      <c r="AC148" s="143"/>
      <c r="AD148" s="149">
        <v>2065538000</v>
      </c>
      <c r="AE148" s="150"/>
      <c r="AF148" s="148">
        <v>7500000</v>
      </c>
      <c r="AG148" s="155"/>
      <c r="AH148" s="143">
        <f t="shared" si="7"/>
        <v>0</v>
      </c>
      <c r="AI148" s="151"/>
      <c r="AJ148" s="151">
        <f t="shared" ref="AJ148:AL148" si="276">P148-AE148</f>
        <v>0</v>
      </c>
      <c r="AK148" s="151">
        <f t="shared" si="276"/>
        <v>0</v>
      </c>
      <c r="AL148" s="151">
        <f t="shared" si="276"/>
        <v>0</v>
      </c>
      <c r="AM148" s="145"/>
      <c r="AN148" s="139"/>
      <c r="AO148" s="139"/>
      <c r="AP148" s="139"/>
      <c r="AQ148" s="145"/>
      <c r="AR148" s="145"/>
    </row>
    <row r="149" spans="1:44" s="156" customFormat="1" ht="31.5" x14ac:dyDescent="0.25">
      <c r="A149" s="143" t="s">
        <v>35</v>
      </c>
      <c r="B149" s="144">
        <v>136</v>
      </c>
      <c r="C149" s="143" t="s">
        <v>1139</v>
      </c>
      <c r="D149" s="143" t="s">
        <v>1139</v>
      </c>
      <c r="E149" s="145"/>
      <c r="F149" s="146"/>
      <c r="G149" s="143" t="s">
        <v>1142</v>
      </c>
      <c r="H149" s="143"/>
      <c r="I149" s="143"/>
      <c r="J149" s="143"/>
      <c r="K149" s="143"/>
      <c r="L149" s="143" t="s">
        <v>1144</v>
      </c>
      <c r="M149" s="143" t="s">
        <v>43</v>
      </c>
      <c r="N149" s="143" t="s">
        <v>1145</v>
      </c>
      <c r="O149" s="147">
        <v>1293714744</v>
      </c>
      <c r="P149" s="150"/>
      <c r="Q149" s="148">
        <v>7500000</v>
      </c>
      <c r="R149" s="150"/>
      <c r="S149" s="147">
        <f t="shared" si="5"/>
        <v>1301214744</v>
      </c>
      <c r="T149" s="151">
        <v>1293714744</v>
      </c>
      <c r="U149" s="143"/>
      <c r="V149" s="147">
        <v>7500000</v>
      </c>
      <c r="W149" s="143"/>
      <c r="X149" s="143"/>
      <c r="Y149" s="152">
        <f t="shared" ref="Y149:AB149" si="277">AD149-T149</f>
        <v>0</v>
      </c>
      <c r="Z149" s="151">
        <f t="shared" si="277"/>
        <v>0</v>
      </c>
      <c r="AA149" s="151">
        <f t="shared" si="277"/>
        <v>0</v>
      </c>
      <c r="AB149" s="152">
        <f t="shared" si="277"/>
        <v>0</v>
      </c>
      <c r="AC149" s="143"/>
      <c r="AD149" s="155">
        <v>1293714744</v>
      </c>
      <c r="AE149" s="150"/>
      <c r="AF149" s="148">
        <v>7500000</v>
      </c>
      <c r="AG149" s="155"/>
      <c r="AH149" s="143">
        <f t="shared" si="7"/>
        <v>0</v>
      </c>
      <c r="AI149" s="151"/>
      <c r="AJ149" s="151">
        <f t="shared" ref="AJ149:AL149" si="278">P149-AE149</f>
        <v>0</v>
      </c>
      <c r="AK149" s="151">
        <f t="shared" si="278"/>
        <v>0</v>
      </c>
      <c r="AL149" s="151">
        <f t="shared" si="278"/>
        <v>0</v>
      </c>
      <c r="AM149" s="145"/>
      <c r="AN149" s="139"/>
      <c r="AO149" s="139"/>
      <c r="AP149" s="139"/>
      <c r="AQ149" s="145"/>
      <c r="AR149" s="145"/>
    </row>
    <row r="150" spans="1:44" s="156" customFormat="1" ht="31.5" x14ac:dyDescent="0.25">
      <c r="A150" s="143" t="s">
        <v>35</v>
      </c>
      <c r="B150" s="144">
        <v>137</v>
      </c>
      <c r="C150" s="143" t="s">
        <v>581</v>
      </c>
      <c r="D150" s="143" t="s">
        <v>1153</v>
      </c>
      <c r="E150" s="145"/>
      <c r="F150" s="146"/>
      <c r="G150" s="143" t="s">
        <v>1154</v>
      </c>
      <c r="H150" s="143"/>
      <c r="I150" s="143" t="s">
        <v>1155</v>
      </c>
      <c r="J150" s="143"/>
      <c r="K150" s="143"/>
      <c r="L150" s="143" t="s">
        <v>1156</v>
      </c>
      <c r="M150" s="143" t="s">
        <v>43</v>
      </c>
      <c r="N150" s="143" t="s">
        <v>1157</v>
      </c>
      <c r="O150" s="147">
        <v>4217619670</v>
      </c>
      <c r="P150" s="150"/>
      <c r="Q150" s="148">
        <v>15000000</v>
      </c>
      <c r="R150" s="150"/>
      <c r="S150" s="147">
        <f t="shared" si="5"/>
        <v>4232619670</v>
      </c>
      <c r="T150" s="158">
        <v>4217619670</v>
      </c>
      <c r="U150" s="143"/>
      <c r="V150" s="147">
        <v>15000000</v>
      </c>
      <c r="W150" s="143"/>
      <c r="X150" s="143"/>
      <c r="Y150" s="152">
        <f t="shared" ref="Y150:AB150" si="279">AD150-T150</f>
        <v>0</v>
      </c>
      <c r="Z150" s="151">
        <f t="shared" si="279"/>
        <v>0</v>
      </c>
      <c r="AA150" s="151">
        <f t="shared" si="279"/>
        <v>0</v>
      </c>
      <c r="AB150" s="152">
        <f t="shared" si="279"/>
        <v>0</v>
      </c>
      <c r="AC150" s="143"/>
      <c r="AD150" s="149">
        <v>4217619670</v>
      </c>
      <c r="AE150" s="150"/>
      <c r="AF150" s="148">
        <v>15000000</v>
      </c>
      <c r="AG150" s="155"/>
      <c r="AH150" s="143">
        <f t="shared" si="7"/>
        <v>0</v>
      </c>
      <c r="AI150" s="151"/>
      <c r="AJ150" s="151">
        <f t="shared" ref="AJ150:AL150" si="280">P150-AE150</f>
        <v>0</v>
      </c>
      <c r="AK150" s="151">
        <f t="shared" si="280"/>
        <v>0</v>
      </c>
      <c r="AL150" s="151">
        <f t="shared" si="280"/>
        <v>0</v>
      </c>
      <c r="AM150" s="145"/>
      <c r="AN150" s="139"/>
      <c r="AO150" s="139"/>
      <c r="AP150" s="139"/>
      <c r="AQ150" s="145"/>
      <c r="AR150" s="145"/>
    </row>
    <row r="151" spans="1:44" s="156" customFormat="1" ht="47.25" x14ac:dyDescent="0.25">
      <c r="A151" s="143" t="s">
        <v>35</v>
      </c>
      <c r="B151" s="144">
        <v>138</v>
      </c>
      <c r="C151" s="143" t="s">
        <v>581</v>
      </c>
      <c r="D151" s="143" t="s">
        <v>1163</v>
      </c>
      <c r="E151" s="145" t="s">
        <v>156</v>
      </c>
      <c r="F151" s="146"/>
      <c r="G151" s="143" t="s">
        <v>1164</v>
      </c>
      <c r="H151" s="143" t="s">
        <v>1165</v>
      </c>
      <c r="I151" s="143"/>
      <c r="J151" s="143"/>
      <c r="K151" s="143"/>
      <c r="L151" s="143" t="s">
        <v>1166</v>
      </c>
      <c r="M151" s="143" t="s">
        <v>43</v>
      </c>
      <c r="N151" s="143" t="s">
        <v>1168</v>
      </c>
      <c r="O151" s="147">
        <v>3194338952</v>
      </c>
      <c r="P151" s="174">
        <v>41139648</v>
      </c>
      <c r="Q151" s="148">
        <v>15000000</v>
      </c>
      <c r="R151" s="150"/>
      <c r="S151" s="147">
        <f t="shared" si="5"/>
        <v>3250478600</v>
      </c>
      <c r="T151" s="158">
        <v>3194338952</v>
      </c>
      <c r="U151" s="158">
        <v>41139648</v>
      </c>
      <c r="V151" s="157"/>
      <c r="W151" s="143"/>
      <c r="X151" s="143"/>
      <c r="Y151" s="152">
        <f t="shared" ref="Y151:AB151" si="281">AD151-T151</f>
        <v>0</v>
      </c>
      <c r="Z151" s="151">
        <f t="shared" si="281"/>
        <v>0</v>
      </c>
      <c r="AA151" s="151">
        <f t="shared" si="281"/>
        <v>0</v>
      </c>
      <c r="AB151" s="151">
        <f t="shared" si="281"/>
        <v>0</v>
      </c>
      <c r="AC151" s="143"/>
      <c r="AD151" s="149">
        <v>3194338952</v>
      </c>
      <c r="AE151" s="174">
        <v>41139648</v>
      </c>
      <c r="AF151" s="150"/>
      <c r="AG151" s="160"/>
      <c r="AH151" s="143">
        <f t="shared" si="7"/>
        <v>0</v>
      </c>
      <c r="AI151" s="151"/>
      <c r="AJ151" s="151">
        <f t="shared" ref="AJ151:AL151" si="282">P151-AE151</f>
        <v>0</v>
      </c>
      <c r="AK151" s="151">
        <f t="shared" si="282"/>
        <v>15000000</v>
      </c>
      <c r="AL151" s="151">
        <f t="shared" si="282"/>
        <v>0</v>
      </c>
      <c r="AM151" s="145"/>
      <c r="AN151" s="139"/>
      <c r="AO151" s="139"/>
      <c r="AP151" s="162" t="s">
        <v>1970</v>
      </c>
      <c r="AQ151" s="145"/>
      <c r="AR151" s="145"/>
    </row>
    <row r="152" spans="1:44" s="156" customFormat="1" ht="31.5" x14ac:dyDescent="0.25">
      <c r="A152" s="143" t="s">
        <v>46</v>
      </c>
      <c r="B152" s="144">
        <v>139</v>
      </c>
      <c r="C152" s="143" t="s">
        <v>581</v>
      </c>
      <c r="D152" s="143" t="s">
        <v>1173</v>
      </c>
      <c r="E152" s="145"/>
      <c r="F152" s="146"/>
      <c r="G152" s="143" t="s">
        <v>1174</v>
      </c>
      <c r="H152" s="143"/>
      <c r="I152" s="143"/>
      <c r="J152" s="143"/>
      <c r="K152" s="143"/>
      <c r="L152" s="143" t="s">
        <v>1175</v>
      </c>
      <c r="M152" s="143" t="s">
        <v>43</v>
      </c>
      <c r="N152" s="143" t="s">
        <v>1176</v>
      </c>
      <c r="O152" s="147">
        <v>1616275160</v>
      </c>
      <c r="P152" s="150"/>
      <c r="Q152" s="148">
        <v>7500000</v>
      </c>
      <c r="R152" s="150"/>
      <c r="S152" s="147">
        <f t="shared" si="5"/>
        <v>1623775160</v>
      </c>
      <c r="T152" s="158">
        <v>1616275160</v>
      </c>
      <c r="U152" s="143"/>
      <c r="V152" s="147">
        <v>7500000</v>
      </c>
      <c r="W152" s="143"/>
      <c r="X152" s="143"/>
      <c r="Y152" s="152">
        <f t="shared" ref="Y152:AB152" si="283">AD152-T152</f>
        <v>0</v>
      </c>
      <c r="Z152" s="151">
        <f t="shared" si="283"/>
        <v>0</v>
      </c>
      <c r="AA152" s="151">
        <f t="shared" si="283"/>
        <v>0</v>
      </c>
      <c r="AB152" s="152">
        <f t="shared" si="283"/>
        <v>0</v>
      </c>
      <c r="AC152" s="143"/>
      <c r="AD152" s="149">
        <v>1616275160</v>
      </c>
      <c r="AE152" s="150"/>
      <c r="AF152" s="148">
        <v>7500000</v>
      </c>
      <c r="AG152" s="155"/>
      <c r="AH152" s="143">
        <f t="shared" si="7"/>
        <v>0</v>
      </c>
      <c r="AI152" s="151"/>
      <c r="AJ152" s="151">
        <f t="shared" ref="AJ152:AL152" si="284">P152-AE152</f>
        <v>0</v>
      </c>
      <c r="AK152" s="151">
        <f t="shared" si="284"/>
        <v>0</v>
      </c>
      <c r="AL152" s="151">
        <f t="shared" si="284"/>
        <v>0</v>
      </c>
      <c r="AM152" s="145"/>
      <c r="AN152" s="139"/>
      <c r="AO152" s="139"/>
      <c r="AP152" s="139"/>
      <c r="AQ152" s="145"/>
      <c r="AR152" s="145"/>
    </row>
    <row r="153" spans="1:44" s="156" customFormat="1" ht="110.25" x14ac:dyDescent="0.25">
      <c r="A153" s="143" t="s">
        <v>60</v>
      </c>
      <c r="B153" s="175">
        <v>140</v>
      </c>
      <c r="C153" s="145" t="s">
        <v>581</v>
      </c>
      <c r="D153" s="143" t="s">
        <v>1182</v>
      </c>
      <c r="E153" s="145"/>
      <c r="F153" s="145" t="s">
        <v>1186</v>
      </c>
      <c r="G153" s="145" t="s">
        <v>1183</v>
      </c>
      <c r="H153" s="145" t="s">
        <v>913</v>
      </c>
      <c r="I153" s="145"/>
      <c r="J153" s="145"/>
      <c r="K153" s="146"/>
      <c r="L153" s="145" t="s">
        <v>1184</v>
      </c>
      <c r="M153" s="145" t="s">
        <v>43</v>
      </c>
      <c r="N153" s="145" t="s">
        <v>1185</v>
      </c>
      <c r="O153" s="147">
        <v>3156816400</v>
      </c>
      <c r="P153" s="150"/>
      <c r="Q153" s="148">
        <v>15000000</v>
      </c>
      <c r="R153" s="148">
        <v>18000000</v>
      </c>
      <c r="S153" s="147">
        <f t="shared" si="5"/>
        <v>3189816400</v>
      </c>
      <c r="T153" s="158">
        <v>3156816400</v>
      </c>
      <c r="U153" s="143"/>
      <c r="V153" s="147">
        <v>15000000</v>
      </c>
      <c r="W153" s="143"/>
      <c r="X153" s="143"/>
      <c r="Y153" s="152">
        <f t="shared" ref="Y153:AB153" si="285">AD153-T153</f>
        <v>0</v>
      </c>
      <c r="Z153" s="151">
        <f t="shared" si="285"/>
        <v>0</v>
      </c>
      <c r="AA153" s="151">
        <f t="shared" si="285"/>
        <v>0</v>
      </c>
      <c r="AB153" s="152">
        <f t="shared" si="285"/>
        <v>0</v>
      </c>
      <c r="AC153" s="165"/>
      <c r="AD153" s="149">
        <v>3156816400</v>
      </c>
      <c r="AE153" s="150"/>
      <c r="AF153" s="148">
        <v>15000000</v>
      </c>
      <c r="AG153" s="155"/>
      <c r="AH153" s="166">
        <f t="shared" si="7"/>
        <v>0</v>
      </c>
      <c r="AI153" s="151"/>
      <c r="AJ153" s="151">
        <f t="shared" ref="AJ153:AL153" si="286">P153-AE153</f>
        <v>0</v>
      </c>
      <c r="AK153" s="151">
        <f t="shared" si="286"/>
        <v>0</v>
      </c>
      <c r="AL153" s="150">
        <f t="shared" si="286"/>
        <v>18000000</v>
      </c>
      <c r="AM153" s="145"/>
      <c r="AN153" s="139"/>
      <c r="AO153" s="139"/>
      <c r="AP153" s="139"/>
      <c r="AQ153" s="145" t="s">
        <v>1987</v>
      </c>
      <c r="AR153" s="145"/>
    </row>
    <row r="154" spans="1:44" s="156" customFormat="1" ht="31.5" x14ac:dyDescent="0.25">
      <c r="A154" s="143" t="s">
        <v>60</v>
      </c>
      <c r="B154" s="144">
        <v>141</v>
      </c>
      <c r="C154" s="143" t="s">
        <v>581</v>
      </c>
      <c r="D154" s="143" t="s">
        <v>1194</v>
      </c>
      <c r="E154" s="145"/>
      <c r="F154" s="146"/>
      <c r="G154" s="143" t="s">
        <v>1195</v>
      </c>
      <c r="H154" s="143"/>
      <c r="I154" s="143"/>
      <c r="J154" s="143"/>
      <c r="K154" s="143"/>
      <c r="L154" s="143" t="s">
        <v>1196</v>
      </c>
      <c r="M154" s="143" t="s">
        <v>43</v>
      </c>
      <c r="N154" s="143" t="s">
        <v>1197</v>
      </c>
      <c r="O154" s="147">
        <v>1739119796</v>
      </c>
      <c r="P154" s="150"/>
      <c r="Q154" s="148">
        <v>7500000</v>
      </c>
      <c r="R154" s="150"/>
      <c r="S154" s="147">
        <f t="shared" si="5"/>
        <v>1746619796</v>
      </c>
      <c r="T154" s="158">
        <v>1739119796</v>
      </c>
      <c r="U154" s="143"/>
      <c r="V154" s="147">
        <v>7500000</v>
      </c>
      <c r="W154" s="143"/>
      <c r="X154" s="143"/>
      <c r="Y154" s="152">
        <f t="shared" ref="Y154:AB154" si="287">AD154-T154</f>
        <v>0</v>
      </c>
      <c r="Z154" s="151">
        <f t="shared" si="287"/>
        <v>0</v>
      </c>
      <c r="AA154" s="151">
        <f t="shared" si="287"/>
        <v>0</v>
      </c>
      <c r="AB154" s="152">
        <f t="shared" si="287"/>
        <v>0</v>
      </c>
      <c r="AC154" s="143"/>
      <c r="AD154" s="149">
        <v>1739119796</v>
      </c>
      <c r="AE154" s="150"/>
      <c r="AF154" s="148">
        <v>7500000</v>
      </c>
      <c r="AG154" s="155"/>
      <c r="AH154" s="143">
        <f t="shared" si="7"/>
        <v>0</v>
      </c>
      <c r="AI154" s="151"/>
      <c r="AJ154" s="151">
        <f t="shared" ref="AJ154:AL154" si="288">P154-AE154</f>
        <v>0</v>
      </c>
      <c r="AK154" s="151">
        <f t="shared" si="288"/>
        <v>0</v>
      </c>
      <c r="AL154" s="151">
        <f t="shared" si="288"/>
        <v>0</v>
      </c>
      <c r="AM154" s="145"/>
      <c r="AN154" s="139"/>
      <c r="AO154" s="139"/>
      <c r="AP154" s="139"/>
      <c r="AQ154" s="145"/>
      <c r="AR154" s="145"/>
    </row>
    <row r="155" spans="1:44" s="156" customFormat="1" ht="31.5" x14ac:dyDescent="0.25">
      <c r="A155" s="143" t="s">
        <v>60</v>
      </c>
      <c r="B155" s="144">
        <v>142</v>
      </c>
      <c r="C155" s="143" t="s">
        <v>581</v>
      </c>
      <c r="D155" s="143" t="s">
        <v>1203</v>
      </c>
      <c r="E155" s="145"/>
      <c r="F155" s="146"/>
      <c r="G155" s="143" t="s">
        <v>1204</v>
      </c>
      <c r="H155" s="143"/>
      <c r="I155" s="143"/>
      <c r="J155" s="143"/>
      <c r="K155" s="143"/>
      <c r="L155" s="143" t="s">
        <v>1205</v>
      </c>
      <c r="M155" s="143" t="s">
        <v>43</v>
      </c>
      <c r="N155" s="143" t="s">
        <v>591</v>
      </c>
      <c r="O155" s="147">
        <v>1019168200</v>
      </c>
      <c r="P155" s="150"/>
      <c r="Q155" s="148">
        <v>7500000</v>
      </c>
      <c r="R155" s="150"/>
      <c r="S155" s="147">
        <f t="shared" si="5"/>
        <v>1026668200</v>
      </c>
      <c r="T155" s="158">
        <v>1019168200</v>
      </c>
      <c r="U155" s="143"/>
      <c r="V155" s="147">
        <v>7500000</v>
      </c>
      <c r="W155" s="143"/>
      <c r="X155" s="143"/>
      <c r="Y155" s="152">
        <f t="shared" ref="Y155:AB155" si="289">AD155-T155</f>
        <v>0</v>
      </c>
      <c r="Z155" s="151">
        <f t="shared" si="289"/>
        <v>0</v>
      </c>
      <c r="AA155" s="151">
        <f t="shared" si="289"/>
        <v>0</v>
      </c>
      <c r="AB155" s="152">
        <f t="shared" si="289"/>
        <v>0</v>
      </c>
      <c r="AC155" s="143"/>
      <c r="AD155" s="149">
        <v>1019168200</v>
      </c>
      <c r="AE155" s="150"/>
      <c r="AF155" s="148">
        <v>7500000</v>
      </c>
      <c r="AG155" s="155"/>
      <c r="AH155" s="143">
        <f t="shared" si="7"/>
        <v>0</v>
      </c>
      <c r="AI155" s="151"/>
      <c r="AJ155" s="151">
        <f t="shared" ref="AJ155:AL155" si="290">P155-AE155</f>
        <v>0</v>
      </c>
      <c r="AK155" s="151">
        <f t="shared" si="290"/>
        <v>0</v>
      </c>
      <c r="AL155" s="151">
        <f t="shared" si="290"/>
        <v>0</v>
      </c>
      <c r="AM155" s="145"/>
      <c r="AN155" s="139"/>
      <c r="AO155" s="139"/>
      <c r="AP155" s="139"/>
      <c r="AQ155" s="145"/>
      <c r="AR155" s="145"/>
    </row>
    <row r="156" spans="1:44" s="156" customFormat="1" ht="47.25" x14ac:dyDescent="0.25">
      <c r="A156" s="143" t="s">
        <v>60</v>
      </c>
      <c r="B156" s="144">
        <v>143</v>
      </c>
      <c r="C156" s="143" t="s">
        <v>581</v>
      </c>
      <c r="D156" s="143" t="s">
        <v>1210</v>
      </c>
      <c r="E156" s="145" t="s">
        <v>409</v>
      </c>
      <c r="F156" s="146"/>
      <c r="G156" s="143" t="s">
        <v>1211</v>
      </c>
      <c r="H156" s="143" t="s">
        <v>1212</v>
      </c>
      <c r="I156" s="143"/>
      <c r="J156" s="143"/>
      <c r="K156" s="143"/>
      <c r="L156" s="143" t="s">
        <v>1213</v>
      </c>
      <c r="M156" s="143" t="s">
        <v>43</v>
      </c>
      <c r="N156" s="143" t="s">
        <v>1214</v>
      </c>
      <c r="O156" s="147">
        <v>7965890968</v>
      </c>
      <c r="P156" s="148">
        <v>161187840</v>
      </c>
      <c r="Q156" s="148">
        <v>15000000</v>
      </c>
      <c r="R156" s="150"/>
      <c r="S156" s="147">
        <f t="shared" si="5"/>
        <v>8142078808</v>
      </c>
      <c r="T156" s="158">
        <v>7965890968</v>
      </c>
      <c r="U156" s="143"/>
      <c r="V156" s="147">
        <v>15000000</v>
      </c>
      <c r="W156" s="143"/>
      <c r="X156" s="143"/>
      <c r="Y156" s="152">
        <f t="shared" ref="Y156:AB156" si="291">AD156-T156</f>
        <v>0</v>
      </c>
      <c r="Z156" s="151">
        <f t="shared" si="291"/>
        <v>0</v>
      </c>
      <c r="AA156" s="151">
        <f t="shared" si="291"/>
        <v>0</v>
      </c>
      <c r="AB156" s="152">
        <f t="shared" si="291"/>
        <v>0</v>
      </c>
      <c r="AC156" s="143"/>
      <c r="AD156" s="149">
        <v>7965890968</v>
      </c>
      <c r="AE156" s="150"/>
      <c r="AF156" s="148">
        <v>15000000</v>
      </c>
      <c r="AG156" s="155"/>
      <c r="AH156" s="143">
        <f t="shared" si="7"/>
        <v>0</v>
      </c>
      <c r="AI156" s="151"/>
      <c r="AJ156" s="151">
        <f t="shared" ref="AJ156:AL156" si="292">P156-AE156</f>
        <v>161187840</v>
      </c>
      <c r="AK156" s="151">
        <f t="shared" si="292"/>
        <v>0</v>
      </c>
      <c r="AL156" s="151">
        <f t="shared" si="292"/>
        <v>0</v>
      </c>
      <c r="AM156" s="145"/>
      <c r="AN156" s="139"/>
      <c r="AO156" s="168" t="s">
        <v>2000</v>
      </c>
      <c r="AP156" s="139"/>
      <c r="AQ156" s="145"/>
      <c r="AR156" s="145"/>
    </row>
    <row r="157" spans="1:44" s="156" customFormat="1" ht="47.25" x14ac:dyDescent="0.25">
      <c r="A157" s="143" t="s">
        <v>60</v>
      </c>
      <c r="B157" s="144">
        <v>144</v>
      </c>
      <c r="C157" s="143" t="s">
        <v>581</v>
      </c>
      <c r="D157" s="143" t="s">
        <v>672</v>
      </c>
      <c r="E157" s="145"/>
      <c r="F157" s="145" t="s">
        <v>657</v>
      </c>
      <c r="G157" s="143" t="s">
        <v>673</v>
      </c>
      <c r="H157" s="143" t="s">
        <v>84</v>
      </c>
      <c r="I157" s="143"/>
      <c r="J157" s="143"/>
      <c r="K157" s="164"/>
      <c r="L157" s="143" t="s">
        <v>674</v>
      </c>
      <c r="M157" s="143" t="s">
        <v>43</v>
      </c>
      <c r="N157" s="143" t="s">
        <v>675</v>
      </c>
      <c r="O157" s="147">
        <v>9907256382</v>
      </c>
      <c r="P157" s="150"/>
      <c r="Q157" s="148">
        <v>15000000</v>
      </c>
      <c r="R157" s="148">
        <v>5600000</v>
      </c>
      <c r="S157" s="147">
        <f t="shared" si="5"/>
        <v>9927856382</v>
      </c>
      <c r="T157" s="158">
        <v>9907256382</v>
      </c>
      <c r="U157" s="143"/>
      <c r="V157" s="147">
        <v>15000000</v>
      </c>
      <c r="W157" s="151">
        <v>5600000</v>
      </c>
      <c r="X157" s="143"/>
      <c r="Y157" s="152">
        <f t="shared" ref="Y157:AB157" si="293">AD157-T157</f>
        <v>0</v>
      </c>
      <c r="Z157" s="151">
        <f t="shared" si="293"/>
        <v>0</v>
      </c>
      <c r="AA157" s="151">
        <f t="shared" si="293"/>
        <v>0</v>
      </c>
      <c r="AB157" s="151">
        <f t="shared" si="293"/>
        <v>0</v>
      </c>
      <c r="AC157" s="143"/>
      <c r="AD157" s="149">
        <v>9907256382</v>
      </c>
      <c r="AE157" s="150"/>
      <c r="AF157" s="148">
        <v>15000000</v>
      </c>
      <c r="AG157" s="148">
        <v>5600000</v>
      </c>
      <c r="AH157" s="143">
        <f t="shared" si="7"/>
        <v>0</v>
      </c>
      <c r="AI157" s="151"/>
      <c r="AJ157" s="151">
        <f t="shared" ref="AJ157:AL157" si="294">P157-AE157</f>
        <v>0</v>
      </c>
      <c r="AK157" s="151">
        <f t="shared" si="294"/>
        <v>0</v>
      </c>
      <c r="AL157" s="151">
        <f t="shared" si="294"/>
        <v>0</v>
      </c>
      <c r="AM157" s="145"/>
      <c r="AN157" s="139"/>
      <c r="AO157" s="139"/>
      <c r="AP157" s="139"/>
      <c r="AQ157" s="145"/>
      <c r="AR157" s="145"/>
    </row>
    <row r="158" spans="1:44" s="156" customFormat="1" ht="31.5" x14ac:dyDescent="0.25">
      <c r="A158" s="143" t="s">
        <v>60</v>
      </c>
      <c r="B158" s="144">
        <v>145</v>
      </c>
      <c r="C158" s="143" t="s">
        <v>581</v>
      </c>
      <c r="D158" s="143" t="s">
        <v>1223</v>
      </c>
      <c r="E158" s="145"/>
      <c r="F158" s="146"/>
      <c r="G158" s="143" t="s">
        <v>1225</v>
      </c>
      <c r="H158" s="143"/>
      <c r="I158" s="143"/>
      <c r="J158" s="143"/>
      <c r="K158" s="143"/>
      <c r="L158" s="143" t="s">
        <v>1228</v>
      </c>
      <c r="M158" s="143" t="s">
        <v>43</v>
      </c>
      <c r="N158" s="143" t="s">
        <v>1230</v>
      </c>
      <c r="O158" s="147">
        <v>1620845726</v>
      </c>
      <c r="P158" s="150"/>
      <c r="Q158" s="148">
        <v>7500000</v>
      </c>
      <c r="R158" s="150"/>
      <c r="S158" s="147">
        <f t="shared" si="5"/>
        <v>1628345726</v>
      </c>
      <c r="T158" s="158">
        <v>1620845726</v>
      </c>
      <c r="U158" s="143"/>
      <c r="V158" s="147">
        <v>7500000</v>
      </c>
      <c r="W158" s="143"/>
      <c r="X158" s="143"/>
      <c r="Y158" s="152">
        <f t="shared" ref="Y158:AB158" si="295">AD158-T158</f>
        <v>0</v>
      </c>
      <c r="Z158" s="151">
        <f t="shared" si="295"/>
        <v>0</v>
      </c>
      <c r="AA158" s="151">
        <f t="shared" si="295"/>
        <v>0</v>
      </c>
      <c r="AB158" s="151">
        <f t="shared" si="295"/>
        <v>0</v>
      </c>
      <c r="AC158" s="143"/>
      <c r="AD158" s="149">
        <v>1620845726</v>
      </c>
      <c r="AE158" s="150"/>
      <c r="AF158" s="148">
        <v>7500000</v>
      </c>
      <c r="AG158" s="150"/>
      <c r="AH158" s="143">
        <f t="shared" si="7"/>
        <v>0</v>
      </c>
      <c r="AI158" s="151"/>
      <c r="AJ158" s="151">
        <f t="shared" ref="AJ158:AL158" si="296">P158-AE158</f>
        <v>0</v>
      </c>
      <c r="AK158" s="151">
        <f t="shared" si="296"/>
        <v>0</v>
      </c>
      <c r="AL158" s="151">
        <f t="shared" si="296"/>
        <v>0</v>
      </c>
      <c r="AM158" s="145"/>
      <c r="AN158" s="139"/>
      <c r="AO158" s="139"/>
      <c r="AP158" s="139"/>
      <c r="AQ158" s="145"/>
      <c r="AR158" s="145"/>
    </row>
    <row r="159" spans="1:44" s="156" customFormat="1" ht="47.25" x14ac:dyDescent="0.25">
      <c r="A159" s="143" t="s">
        <v>52</v>
      </c>
      <c r="B159" s="144">
        <v>146</v>
      </c>
      <c r="C159" s="143" t="s">
        <v>581</v>
      </c>
      <c r="D159" s="143" t="s">
        <v>582</v>
      </c>
      <c r="E159" s="145" t="s">
        <v>583</v>
      </c>
      <c r="F159" s="145" t="s">
        <v>584</v>
      </c>
      <c r="G159" s="143" t="s">
        <v>585</v>
      </c>
      <c r="H159" s="143" t="s">
        <v>586</v>
      </c>
      <c r="I159" s="143"/>
      <c r="J159" s="143"/>
      <c r="K159" s="164"/>
      <c r="L159" s="143" t="s">
        <v>587</v>
      </c>
      <c r="M159" s="143" t="s">
        <v>43</v>
      </c>
      <c r="N159" s="143" t="s">
        <v>588</v>
      </c>
      <c r="O159" s="147">
        <v>3395712926</v>
      </c>
      <c r="P159" s="148">
        <v>194860554</v>
      </c>
      <c r="Q159" s="148">
        <v>15000000</v>
      </c>
      <c r="R159" s="148">
        <v>30000000</v>
      </c>
      <c r="S159" s="147">
        <f t="shared" si="5"/>
        <v>3635573480</v>
      </c>
      <c r="T159" s="151">
        <v>3395712926</v>
      </c>
      <c r="U159" s="143"/>
      <c r="V159" s="147">
        <v>15000000</v>
      </c>
      <c r="W159" s="143"/>
      <c r="X159" s="143"/>
      <c r="Y159" s="151">
        <f t="shared" ref="Y159:AB159" si="297">AD159-T159</f>
        <v>0</v>
      </c>
      <c r="Z159" s="151">
        <f t="shared" si="297"/>
        <v>0</v>
      </c>
      <c r="AA159" s="151">
        <f t="shared" si="297"/>
        <v>0</v>
      </c>
      <c r="AB159" s="151">
        <f t="shared" si="297"/>
        <v>30000000</v>
      </c>
      <c r="AC159" s="165"/>
      <c r="AD159" s="148">
        <v>3395712926</v>
      </c>
      <c r="AE159" s="150"/>
      <c r="AF159" s="148">
        <v>15000000</v>
      </c>
      <c r="AG159" s="148">
        <v>30000000</v>
      </c>
      <c r="AH159" s="166">
        <f t="shared" si="7"/>
        <v>0</v>
      </c>
      <c r="AI159" s="151"/>
      <c r="AJ159" s="151">
        <f t="shared" ref="AJ159:AL159" si="298">P159-AE159</f>
        <v>194860554</v>
      </c>
      <c r="AK159" s="151">
        <f t="shared" si="298"/>
        <v>0</v>
      </c>
      <c r="AL159" s="151">
        <f t="shared" si="298"/>
        <v>0</v>
      </c>
      <c r="AM159" s="148"/>
      <c r="AN159" s="160"/>
      <c r="AO159" s="162" t="s">
        <v>2013</v>
      </c>
      <c r="AP159" s="160"/>
      <c r="AQ159" s="145"/>
      <c r="AR159" s="145"/>
    </row>
    <row r="160" spans="1:44" s="156" customFormat="1" ht="31.5" x14ac:dyDescent="0.25">
      <c r="A160" s="143" t="s">
        <v>52</v>
      </c>
      <c r="B160" s="144">
        <v>147</v>
      </c>
      <c r="C160" s="143" t="s">
        <v>581</v>
      </c>
      <c r="D160" s="143" t="s">
        <v>1238</v>
      </c>
      <c r="E160" s="145"/>
      <c r="F160" s="146"/>
      <c r="G160" s="143" t="s">
        <v>1239</v>
      </c>
      <c r="H160" s="143"/>
      <c r="I160" s="143"/>
      <c r="J160" s="143"/>
      <c r="K160" s="143"/>
      <c r="L160" s="143" t="s">
        <v>1240</v>
      </c>
      <c r="M160" s="143" t="s">
        <v>43</v>
      </c>
      <c r="N160" s="143" t="s">
        <v>1241</v>
      </c>
      <c r="O160" s="147">
        <v>1686837440</v>
      </c>
      <c r="P160" s="150"/>
      <c r="Q160" s="148">
        <v>7500000</v>
      </c>
      <c r="R160" s="150"/>
      <c r="S160" s="147">
        <f t="shared" si="5"/>
        <v>1694337440</v>
      </c>
      <c r="T160" s="158">
        <v>1686837440</v>
      </c>
      <c r="U160" s="143"/>
      <c r="V160" s="147">
        <v>7500000</v>
      </c>
      <c r="W160" s="143"/>
      <c r="X160" s="143"/>
      <c r="Y160" s="152">
        <f t="shared" ref="Y160:AB160" si="299">AD160-T160</f>
        <v>0</v>
      </c>
      <c r="Z160" s="151">
        <f t="shared" si="299"/>
        <v>0</v>
      </c>
      <c r="AA160" s="151">
        <f t="shared" si="299"/>
        <v>0</v>
      </c>
      <c r="AB160" s="152">
        <f t="shared" si="299"/>
        <v>0</v>
      </c>
      <c r="AC160" s="143"/>
      <c r="AD160" s="149">
        <v>1686837440</v>
      </c>
      <c r="AE160" s="150"/>
      <c r="AF160" s="148">
        <v>7500000</v>
      </c>
      <c r="AG160" s="155"/>
      <c r="AH160" s="143">
        <f t="shared" si="7"/>
        <v>0</v>
      </c>
      <c r="AI160" s="151"/>
      <c r="AJ160" s="151">
        <f t="shared" ref="AJ160:AL160" si="300">P160-AE160</f>
        <v>0</v>
      </c>
      <c r="AK160" s="151">
        <f t="shared" si="300"/>
        <v>0</v>
      </c>
      <c r="AL160" s="151">
        <f t="shared" si="300"/>
        <v>0</v>
      </c>
      <c r="AM160" s="145"/>
      <c r="AN160" s="139"/>
      <c r="AO160" s="139"/>
      <c r="AP160" s="139"/>
      <c r="AQ160" s="145"/>
      <c r="AR160" s="145"/>
    </row>
    <row r="161" spans="1:44" s="156" customFormat="1" ht="31.5" x14ac:dyDescent="0.25">
      <c r="A161" s="143" t="s">
        <v>46</v>
      </c>
      <c r="B161" s="144">
        <v>148</v>
      </c>
      <c r="C161" s="143" t="s">
        <v>1247</v>
      </c>
      <c r="D161" s="143" t="s">
        <v>1248</v>
      </c>
      <c r="E161" s="145"/>
      <c r="F161" s="146"/>
      <c r="G161" s="143" t="s">
        <v>1249</v>
      </c>
      <c r="H161" s="143"/>
      <c r="I161" s="143"/>
      <c r="J161" s="143"/>
      <c r="K161" s="143"/>
      <c r="L161" s="143" t="s">
        <v>1250</v>
      </c>
      <c r="M161" s="143" t="s">
        <v>43</v>
      </c>
      <c r="N161" s="143" t="s">
        <v>1251</v>
      </c>
      <c r="O161" s="147">
        <v>437187740</v>
      </c>
      <c r="P161" s="150"/>
      <c r="Q161" s="148">
        <v>7500000</v>
      </c>
      <c r="R161" s="150"/>
      <c r="S161" s="147">
        <f t="shared" si="5"/>
        <v>444687740</v>
      </c>
      <c r="T161" s="158">
        <v>437187740</v>
      </c>
      <c r="U161" s="143"/>
      <c r="V161" s="157">
        <v>7500000</v>
      </c>
      <c r="W161" s="143"/>
      <c r="X161" s="143"/>
      <c r="Y161" s="152">
        <f t="shared" ref="Y161:AB161" si="301">AD161-T161</f>
        <v>0</v>
      </c>
      <c r="Z161" s="151">
        <f t="shared" si="301"/>
        <v>0</v>
      </c>
      <c r="AA161" s="151">
        <f t="shared" si="301"/>
        <v>0</v>
      </c>
      <c r="AB161" s="151">
        <f t="shared" si="301"/>
        <v>0</v>
      </c>
      <c r="AC161" s="143"/>
      <c r="AD161" s="149">
        <v>437187740</v>
      </c>
      <c r="AE161" s="150"/>
      <c r="AF161" s="148">
        <v>7500000</v>
      </c>
      <c r="AG161" s="150"/>
      <c r="AH161" s="143">
        <f t="shared" si="7"/>
        <v>0</v>
      </c>
      <c r="AI161" s="151"/>
      <c r="AJ161" s="151">
        <f t="shared" ref="AJ161:AL161" si="302">P161-AE161</f>
        <v>0</v>
      </c>
      <c r="AK161" s="151">
        <f t="shared" si="302"/>
        <v>0</v>
      </c>
      <c r="AL161" s="151">
        <f t="shared" si="302"/>
        <v>0</v>
      </c>
      <c r="AM161" s="145"/>
      <c r="AN161" s="139"/>
      <c r="AO161" s="139"/>
      <c r="AP161" s="139"/>
      <c r="AQ161" s="145"/>
      <c r="AR161" s="145"/>
    </row>
    <row r="162" spans="1:44" s="156" customFormat="1" ht="31.5" x14ac:dyDescent="0.25">
      <c r="A162" s="143" t="s">
        <v>35</v>
      </c>
      <c r="B162" s="144">
        <v>149</v>
      </c>
      <c r="C162" s="143" t="s">
        <v>1247</v>
      </c>
      <c r="D162" s="143" t="s">
        <v>1255</v>
      </c>
      <c r="E162" s="145"/>
      <c r="F162" s="146"/>
      <c r="G162" s="143" t="s">
        <v>1257</v>
      </c>
      <c r="H162" s="143"/>
      <c r="I162" s="143"/>
      <c r="J162" s="143"/>
      <c r="K162" s="143"/>
      <c r="L162" s="143" t="s">
        <v>1258</v>
      </c>
      <c r="M162" s="143" t="s">
        <v>43</v>
      </c>
      <c r="N162" s="143" t="s">
        <v>1259</v>
      </c>
      <c r="O162" s="147">
        <v>1573408200</v>
      </c>
      <c r="P162" s="150"/>
      <c r="Q162" s="148">
        <v>7500000</v>
      </c>
      <c r="R162" s="150"/>
      <c r="S162" s="147">
        <f t="shared" si="5"/>
        <v>1580908200</v>
      </c>
      <c r="T162" s="151">
        <v>1573408200</v>
      </c>
      <c r="U162" s="143"/>
      <c r="V162" s="147">
        <v>7500000</v>
      </c>
      <c r="W162" s="143"/>
      <c r="X162" s="143"/>
      <c r="Y162" s="152">
        <f t="shared" ref="Y162:AB162" si="303">AD162-T162</f>
        <v>0</v>
      </c>
      <c r="Z162" s="151">
        <f t="shared" si="303"/>
        <v>0</v>
      </c>
      <c r="AA162" s="151">
        <f t="shared" si="303"/>
        <v>0</v>
      </c>
      <c r="AB162" s="152">
        <f t="shared" si="303"/>
        <v>0</v>
      </c>
      <c r="AC162" s="143"/>
      <c r="AD162" s="155">
        <v>1573408200</v>
      </c>
      <c r="AE162" s="150"/>
      <c r="AF162" s="148">
        <v>7500000</v>
      </c>
      <c r="AG162" s="155"/>
      <c r="AH162" s="143">
        <f t="shared" si="7"/>
        <v>0</v>
      </c>
      <c r="AI162" s="151"/>
      <c r="AJ162" s="151">
        <f t="shared" ref="AJ162:AL162" si="304">P162-AE162</f>
        <v>0</v>
      </c>
      <c r="AK162" s="151">
        <f t="shared" si="304"/>
        <v>0</v>
      </c>
      <c r="AL162" s="151">
        <f t="shared" si="304"/>
        <v>0</v>
      </c>
      <c r="AM162" s="145"/>
      <c r="AN162" s="139"/>
      <c r="AO162" s="139"/>
      <c r="AP162" s="139"/>
      <c r="AQ162" s="145"/>
      <c r="AR162" s="145"/>
    </row>
    <row r="163" spans="1:44" s="156" customFormat="1" ht="31.5" x14ac:dyDescent="0.25">
      <c r="A163" s="143" t="s">
        <v>52</v>
      </c>
      <c r="B163" s="144">
        <v>150</v>
      </c>
      <c r="C163" s="143" t="s">
        <v>1260</v>
      </c>
      <c r="D163" s="143" t="s">
        <v>1261</v>
      </c>
      <c r="E163" s="145"/>
      <c r="F163" s="146"/>
      <c r="G163" s="143" t="s">
        <v>1262</v>
      </c>
      <c r="H163" s="143"/>
      <c r="I163" s="143"/>
      <c r="J163" s="143"/>
      <c r="K163" s="143"/>
      <c r="L163" s="143" t="s">
        <v>1263</v>
      </c>
      <c r="M163" s="143" t="s">
        <v>43</v>
      </c>
      <c r="N163" s="143" t="s">
        <v>1264</v>
      </c>
      <c r="O163" s="147">
        <v>861004700</v>
      </c>
      <c r="P163" s="150"/>
      <c r="Q163" s="148">
        <v>7500000</v>
      </c>
      <c r="R163" s="150"/>
      <c r="S163" s="147">
        <f t="shared" si="5"/>
        <v>868504700</v>
      </c>
      <c r="T163" s="158">
        <v>861004700</v>
      </c>
      <c r="U163" s="143"/>
      <c r="V163" s="147">
        <v>7500000</v>
      </c>
      <c r="W163" s="143"/>
      <c r="X163" s="143"/>
      <c r="Y163" s="152">
        <f t="shared" ref="Y163:AB163" si="305">AD163-T163</f>
        <v>0</v>
      </c>
      <c r="Z163" s="151">
        <f t="shared" si="305"/>
        <v>0</v>
      </c>
      <c r="AA163" s="151">
        <f t="shared" si="305"/>
        <v>0</v>
      </c>
      <c r="AB163" s="143">
        <f t="shared" si="305"/>
        <v>0</v>
      </c>
      <c r="AC163" s="143"/>
      <c r="AD163" s="149">
        <v>861004700</v>
      </c>
      <c r="AE163" s="150"/>
      <c r="AF163" s="148">
        <v>7500000</v>
      </c>
      <c r="AG163" s="145"/>
      <c r="AH163" s="143">
        <f t="shared" si="7"/>
        <v>0</v>
      </c>
      <c r="AI163" s="151"/>
      <c r="AJ163" s="151">
        <f t="shared" ref="AJ163:AL163" si="306">P163-AE163</f>
        <v>0</v>
      </c>
      <c r="AK163" s="151">
        <f t="shared" si="306"/>
        <v>0</v>
      </c>
      <c r="AL163" s="151">
        <f t="shared" si="306"/>
        <v>0</v>
      </c>
      <c r="AM163" s="145"/>
      <c r="AN163" s="139"/>
      <c r="AO163" s="139"/>
      <c r="AP163" s="139"/>
      <c r="AQ163" s="145"/>
      <c r="AR163" s="145"/>
    </row>
    <row r="164" spans="1:44" s="156" customFormat="1" ht="31.5" x14ac:dyDescent="0.25">
      <c r="A164" s="143" t="s">
        <v>60</v>
      </c>
      <c r="B164" s="144">
        <v>151</v>
      </c>
      <c r="C164" s="143" t="s">
        <v>1260</v>
      </c>
      <c r="D164" s="143" t="s">
        <v>1271</v>
      </c>
      <c r="E164" s="145"/>
      <c r="F164" s="146"/>
      <c r="G164" s="143" t="s">
        <v>908</v>
      </c>
      <c r="H164" s="143"/>
      <c r="I164" s="143"/>
      <c r="J164" s="143"/>
      <c r="K164" s="143"/>
      <c r="L164" s="143" t="s">
        <v>1272</v>
      </c>
      <c r="M164" s="143" t="s">
        <v>43</v>
      </c>
      <c r="N164" s="143" t="s">
        <v>1273</v>
      </c>
      <c r="O164" s="147">
        <v>151014160</v>
      </c>
      <c r="P164" s="150"/>
      <c r="Q164" s="148">
        <v>7500000</v>
      </c>
      <c r="R164" s="150"/>
      <c r="S164" s="147">
        <f t="shared" si="5"/>
        <v>158514160</v>
      </c>
      <c r="T164" s="158">
        <v>151014160</v>
      </c>
      <c r="U164" s="143"/>
      <c r="V164" s="147">
        <v>7500000</v>
      </c>
      <c r="W164" s="143"/>
      <c r="X164" s="143"/>
      <c r="Y164" s="152">
        <f t="shared" ref="Y164:AB164" si="307">AD164-T164</f>
        <v>0</v>
      </c>
      <c r="Z164" s="151">
        <f t="shared" si="307"/>
        <v>0</v>
      </c>
      <c r="AA164" s="151">
        <f t="shared" si="307"/>
        <v>0</v>
      </c>
      <c r="AB164" s="152">
        <f t="shared" si="307"/>
        <v>0</v>
      </c>
      <c r="AC164" s="143"/>
      <c r="AD164" s="149">
        <v>151014160</v>
      </c>
      <c r="AE164" s="150"/>
      <c r="AF164" s="148">
        <v>7500000</v>
      </c>
      <c r="AG164" s="155"/>
      <c r="AH164" s="143">
        <f t="shared" si="7"/>
        <v>0</v>
      </c>
      <c r="AI164" s="151"/>
      <c r="AJ164" s="151">
        <f t="shared" ref="AJ164:AL164" si="308">P164-AE164</f>
        <v>0</v>
      </c>
      <c r="AK164" s="151">
        <f t="shared" si="308"/>
        <v>0</v>
      </c>
      <c r="AL164" s="151">
        <f t="shared" si="308"/>
        <v>0</v>
      </c>
      <c r="AM164" s="145"/>
      <c r="AN164" s="139"/>
      <c r="AO164" s="139"/>
      <c r="AP164" s="139"/>
      <c r="AQ164" s="145"/>
      <c r="AR164" s="145"/>
    </row>
    <row r="165" spans="1:44" s="156" customFormat="1" ht="47.25" x14ac:dyDescent="0.25">
      <c r="A165" s="143" t="s">
        <v>60</v>
      </c>
      <c r="B165" s="144">
        <v>152</v>
      </c>
      <c r="C165" s="143" t="s">
        <v>719</v>
      </c>
      <c r="D165" s="143" t="s">
        <v>720</v>
      </c>
      <c r="E165" s="145" t="s">
        <v>156</v>
      </c>
      <c r="F165" s="145" t="s">
        <v>722</v>
      </c>
      <c r="G165" s="143" t="s">
        <v>723</v>
      </c>
      <c r="H165" s="143" t="s">
        <v>724</v>
      </c>
      <c r="I165" s="143"/>
      <c r="J165" s="143"/>
      <c r="K165" s="164"/>
      <c r="L165" s="143" t="s">
        <v>725</v>
      </c>
      <c r="M165" s="143" t="s">
        <v>43</v>
      </c>
      <c r="N165" s="143" t="s">
        <v>726</v>
      </c>
      <c r="O165" s="147">
        <v>2958066419</v>
      </c>
      <c r="P165" s="174">
        <v>403742592</v>
      </c>
      <c r="Q165" s="148">
        <v>15000000</v>
      </c>
      <c r="R165" s="148">
        <v>45066673</v>
      </c>
      <c r="S165" s="147">
        <f t="shared" si="5"/>
        <v>3421875684</v>
      </c>
      <c r="T165" s="158">
        <v>2958066419</v>
      </c>
      <c r="U165" s="158">
        <v>403742592</v>
      </c>
      <c r="V165" s="147">
        <v>15000000</v>
      </c>
      <c r="W165" s="151">
        <v>45066673</v>
      </c>
      <c r="X165" s="143"/>
      <c r="Y165" s="152">
        <f t="shared" ref="Y165:AB165" si="309">AD165-T165</f>
        <v>0</v>
      </c>
      <c r="Z165" s="151">
        <f t="shared" si="309"/>
        <v>0</v>
      </c>
      <c r="AA165" s="151">
        <f t="shared" si="309"/>
        <v>0</v>
      </c>
      <c r="AB165" s="151">
        <f t="shared" si="309"/>
        <v>0</v>
      </c>
      <c r="AC165" s="143"/>
      <c r="AD165" s="149">
        <v>2958066419</v>
      </c>
      <c r="AE165" s="174">
        <v>403742592</v>
      </c>
      <c r="AF165" s="148">
        <v>15000000</v>
      </c>
      <c r="AG165" s="174">
        <v>45066673</v>
      </c>
      <c r="AH165" s="143">
        <f t="shared" si="7"/>
        <v>0</v>
      </c>
      <c r="AI165" s="151"/>
      <c r="AJ165" s="151">
        <f t="shared" ref="AJ165:AL165" si="310">P165-AE165</f>
        <v>0</v>
      </c>
      <c r="AK165" s="151">
        <f t="shared" si="310"/>
        <v>0</v>
      </c>
      <c r="AL165" s="151">
        <f t="shared" si="310"/>
        <v>0</v>
      </c>
      <c r="AM165" s="145"/>
      <c r="AN165" s="139"/>
      <c r="AO165" s="139"/>
      <c r="AP165" s="139"/>
      <c r="AQ165" s="145"/>
      <c r="AR165" s="145"/>
    </row>
    <row r="166" spans="1:44" s="156" customFormat="1" ht="47.25" x14ac:dyDescent="0.25">
      <c r="A166" s="143" t="s">
        <v>35</v>
      </c>
      <c r="B166" s="144">
        <v>153</v>
      </c>
      <c r="C166" s="143" t="s">
        <v>719</v>
      </c>
      <c r="D166" s="143" t="s">
        <v>1291</v>
      </c>
      <c r="E166" s="145" t="s">
        <v>409</v>
      </c>
      <c r="F166" s="146"/>
      <c r="G166" s="143" t="s">
        <v>1292</v>
      </c>
      <c r="H166" s="143" t="s">
        <v>1293</v>
      </c>
      <c r="I166" s="143"/>
      <c r="J166" s="143"/>
      <c r="K166" s="143"/>
      <c r="L166" s="143" t="s">
        <v>1294</v>
      </c>
      <c r="M166" s="143" t="s">
        <v>43</v>
      </c>
      <c r="N166" s="143" t="s">
        <v>1295</v>
      </c>
      <c r="O166" s="147">
        <v>3584065926</v>
      </c>
      <c r="P166" s="148">
        <v>76538880</v>
      </c>
      <c r="Q166" s="148">
        <v>7500000</v>
      </c>
      <c r="R166" s="150"/>
      <c r="S166" s="147">
        <f t="shared" si="5"/>
        <v>3668104806</v>
      </c>
      <c r="T166" s="151">
        <v>3584065926</v>
      </c>
      <c r="U166" s="158">
        <v>76538880</v>
      </c>
      <c r="V166" s="147">
        <v>7500000</v>
      </c>
      <c r="W166" s="143"/>
      <c r="X166" s="143"/>
      <c r="Y166" s="152">
        <f t="shared" ref="Y166:AB166" si="311">AD166-T166</f>
        <v>0</v>
      </c>
      <c r="Z166" s="151">
        <f t="shared" si="311"/>
        <v>0</v>
      </c>
      <c r="AA166" s="151">
        <f t="shared" si="311"/>
        <v>0</v>
      </c>
      <c r="AB166" s="152">
        <f t="shared" si="311"/>
        <v>0</v>
      </c>
      <c r="AC166" s="143"/>
      <c r="AD166" s="155">
        <v>3584065926</v>
      </c>
      <c r="AE166" s="148">
        <v>76538880</v>
      </c>
      <c r="AF166" s="148">
        <v>7500000</v>
      </c>
      <c r="AG166" s="155"/>
      <c r="AH166" s="143">
        <f t="shared" si="7"/>
        <v>0</v>
      </c>
      <c r="AI166" s="151"/>
      <c r="AJ166" s="151">
        <f t="shared" ref="AJ166:AL166" si="312">P166-AE166</f>
        <v>0</v>
      </c>
      <c r="AK166" s="151">
        <f t="shared" si="312"/>
        <v>0</v>
      </c>
      <c r="AL166" s="151">
        <f t="shared" si="312"/>
        <v>0</v>
      </c>
      <c r="AM166" s="145"/>
      <c r="AN166" s="139"/>
      <c r="AO166" s="139"/>
      <c r="AP166" s="139"/>
      <c r="AQ166" s="145"/>
      <c r="AR166" s="145"/>
    </row>
    <row r="167" spans="1:44" s="156" customFormat="1" ht="31.5" x14ac:dyDescent="0.25">
      <c r="A167" s="143" t="s">
        <v>60</v>
      </c>
      <c r="B167" s="144">
        <v>154</v>
      </c>
      <c r="C167" s="143" t="s">
        <v>719</v>
      </c>
      <c r="D167" s="143" t="s">
        <v>1307</v>
      </c>
      <c r="E167" s="145"/>
      <c r="F167" s="146"/>
      <c r="G167" s="143" t="s">
        <v>1308</v>
      </c>
      <c r="H167" s="143"/>
      <c r="I167" s="143"/>
      <c r="J167" s="143"/>
      <c r="K167" s="143"/>
      <c r="L167" s="143" t="s">
        <v>1309</v>
      </c>
      <c r="M167" s="143" t="s">
        <v>43</v>
      </c>
      <c r="N167" s="143" t="s">
        <v>1310</v>
      </c>
      <c r="O167" s="147">
        <v>628833560</v>
      </c>
      <c r="P167" s="150"/>
      <c r="Q167" s="148">
        <v>7500000</v>
      </c>
      <c r="R167" s="150"/>
      <c r="S167" s="147">
        <f t="shared" si="5"/>
        <v>636333560</v>
      </c>
      <c r="T167" s="158">
        <v>628833560</v>
      </c>
      <c r="U167" s="143"/>
      <c r="V167" s="147">
        <v>7500000</v>
      </c>
      <c r="W167" s="143"/>
      <c r="X167" s="143"/>
      <c r="Y167" s="152">
        <f t="shared" ref="Y167:AB167" si="313">AD167-T167</f>
        <v>0</v>
      </c>
      <c r="Z167" s="151">
        <f t="shared" si="313"/>
        <v>0</v>
      </c>
      <c r="AA167" s="151">
        <f t="shared" si="313"/>
        <v>0</v>
      </c>
      <c r="AB167" s="152">
        <f t="shared" si="313"/>
        <v>0</v>
      </c>
      <c r="AC167" s="143"/>
      <c r="AD167" s="149">
        <v>628833560</v>
      </c>
      <c r="AE167" s="150"/>
      <c r="AF167" s="148">
        <v>7500000</v>
      </c>
      <c r="AG167" s="155"/>
      <c r="AH167" s="143">
        <f t="shared" si="7"/>
        <v>0</v>
      </c>
      <c r="AI167" s="151"/>
      <c r="AJ167" s="151">
        <f t="shared" ref="AJ167:AL167" si="314">P167-AE167</f>
        <v>0</v>
      </c>
      <c r="AK167" s="151">
        <f t="shared" si="314"/>
        <v>0</v>
      </c>
      <c r="AL167" s="151">
        <f t="shared" si="314"/>
        <v>0</v>
      </c>
      <c r="AM167" s="145"/>
      <c r="AN167" s="139"/>
      <c r="AO167" s="139"/>
      <c r="AP167" s="139"/>
      <c r="AQ167" s="145"/>
      <c r="AR167" s="145"/>
    </row>
    <row r="168" spans="1:44" s="156" customFormat="1" ht="31.5" x14ac:dyDescent="0.25">
      <c r="A168" s="143" t="s">
        <v>52</v>
      </c>
      <c r="B168" s="144">
        <v>155</v>
      </c>
      <c r="C168" s="143" t="s">
        <v>719</v>
      </c>
      <c r="D168" s="143" t="s">
        <v>1315</v>
      </c>
      <c r="E168" s="145"/>
      <c r="F168" s="146"/>
      <c r="G168" s="143" t="s">
        <v>1316</v>
      </c>
      <c r="H168" s="143"/>
      <c r="I168" s="143"/>
      <c r="J168" s="143"/>
      <c r="K168" s="143"/>
      <c r="L168" s="143" t="s">
        <v>1317</v>
      </c>
      <c r="M168" s="143" t="s">
        <v>43</v>
      </c>
      <c r="N168" s="143" t="s">
        <v>1318</v>
      </c>
      <c r="O168" s="147">
        <v>1176606588</v>
      </c>
      <c r="P168" s="150"/>
      <c r="Q168" s="148">
        <v>15000000</v>
      </c>
      <c r="R168" s="150"/>
      <c r="S168" s="147">
        <f t="shared" si="5"/>
        <v>1191606588</v>
      </c>
      <c r="T168" s="158">
        <v>1176606588</v>
      </c>
      <c r="U168" s="143"/>
      <c r="V168" s="147">
        <v>15000000</v>
      </c>
      <c r="W168" s="143"/>
      <c r="X168" s="143"/>
      <c r="Y168" s="151">
        <f t="shared" ref="Y168:AB168" si="315">AD168-T168</f>
        <v>0</v>
      </c>
      <c r="Z168" s="151">
        <f t="shared" si="315"/>
        <v>0</v>
      </c>
      <c r="AA168" s="151">
        <f t="shared" si="315"/>
        <v>0</v>
      </c>
      <c r="AB168" s="151">
        <f t="shared" si="315"/>
        <v>0</v>
      </c>
      <c r="AC168" s="143"/>
      <c r="AD168" s="148">
        <v>1176606588</v>
      </c>
      <c r="AE168" s="150"/>
      <c r="AF168" s="148">
        <v>15000000</v>
      </c>
      <c r="AG168" s="150"/>
      <c r="AH168" s="143">
        <f t="shared" si="7"/>
        <v>0</v>
      </c>
      <c r="AI168" s="151"/>
      <c r="AJ168" s="151">
        <f t="shared" ref="AJ168:AL168" si="316">P168-AE168</f>
        <v>0</v>
      </c>
      <c r="AK168" s="151">
        <f t="shared" si="316"/>
        <v>0</v>
      </c>
      <c r="AL168" s="151">
        <f t="shared" si="316"/>
        <v>0</v>
      </c>
      <c r="AM168" s="145"/>
      <c r="AN168" s="139"/>
      <c r="AO168" s="139"/>
      <c r="AP168" s="139"/>
      <c r="AQ168" s="145"/>
      <c r="AR168" s="145"/>
    </row>
    <row r="169" spans="1:44" s="156" customFormat="1" ht="31.5" x14ac:dyDescent="0.25">
      <c r="A169" s="143" t="s">
        <v>46</v>
      </c>
      <c r="B169" s="144">
        <v>156</v>
      </c>
      <c r="C169" s="143" t="s">
        <v>154</v>
      </c>
      <c r="D169" s="143" t="s">
        <v>1323</v>
      </c>
      <c r="E169" s="145"/>
      <c r="F169" s="146"/>
      <c r="G169" s="143" t="s">
        <v>1324</v>
      </c>
      <c r="H169" s="143"/>
      <c r="I169" s="143"/>
      <c r="J169" s="143"/>
      <c r="K169" s="143"/>
      <c r="L169" s="143" t="s">
        <v>1325</v>
      </c>
      <c r="M169" s="143" t="s">
        <v>43</v>
      </c>
      <c r="N169" s="143" t="s">
        <v>1326</v>
      </c>
      <c r="O169" s="147">
        <v>4803560172</v>
      </c>
      <c r="P169" s="150"/>
      <c r="Q169" s="148">
        <v>7500000</v>
      </c>
      <c r="R169" s="150"/>
      <c r="S169" s="147">
        <f t="shared" si="5"/>
        <v>4811060172</v>
      </c>
      <c r="T169" s="158">
        <v>4803560172</v>
      </c>
      <c r="U169" s="143"/>
      <c r="V169" s="147">
        <v>7500000</v>
      </c>
      <c r="W169" s="143"/>
      <c r="X169" s="143"/>
      <c r="Y169" s="152">
        <f t="shared" ref="Y169:AB169" si="317">AD169-T169</f>
        <v>0</v>
      </c>
      <c r="Z169" s="151">
        <f t="shared" si="317"/>
        <v>0</v>
      </c>
      <c r="AA169" s="151">
        <f t="shared" si="317"/>
        <v>0</v>
      </c>
      <c r="AB169" s="151">
        <f t="shared" si="317"/>
        <v>0</v>
      </c>
      <c r="AC169" s="143"/>
      <c r="AD169" s="149">
        <v>4803560172</v>
      </c>
      <c r="AE169" s="150"/>
      <c r="AF169" s="148">
        <v>7500000</v>
      </c>
      <c r="AG169" s="150"/>
      <c r="AH169" s="143">
        <f t="shared" si="7"/>
        <v>0</v>
      </c>
      <c r="AI169" s="151"/>
      <c r="AJ169" s="151">
        <f t="shared" ref="AJ169:AL169" si="318">P169-AE169</f>
        <v>0</v>
      </c>
      <c r="AK169" s="151">
        <f t="shared" si="318"/>
        <v>0</v>
      </c>
      <c r="AL169" s="151">
        <f t="shared" si="318"/>
        <v>0</v>
      </c>
      <c r="AM169" s="145"/>
      <c r="AN169" s="139"/>
      <c r="AO169" s="139"/>
      <c r="AP169" s="139"/>
      <c r="AQ169" s="145"/>
      <c r="AR169" s="145"/>
    </row>
    <row r="170" spans="1:44" s="156" customFormat="1" ht="47.25" x14ac:dyDescent="0.25">
      <c r="A170" s="143" t="s">
        <v>46</v>
      </c>
      <c r="B170" s="144">
        <v>157</v>
      </c>
      <c r="C170" s="143" t="s">
        <v>154</v>
      </c>
      <c r="D170" s="143" t="s">
        <v>155</v>
      </c>
      <c r="E170" s="145" t="s">
        <v>156</v>
      </c>
      <c r="F170" s="145" t="s">
        <v>144</v>
      </c>
      <c r="G170" s="143" t="s">
        <v>157</v>
      </c>
      <c r="H170" s="143" t="s">
        <v>63</v>
      </c>
      <c r="I170" s="143"/>
      <c r="J170" s="143"/>
      <c r="K170" s="164"/>
      <c r="L170" s="143" t="s">
        <v>158</v>
      </c>
      <c r="M170" s="143" t="s">
        <v>43</v>
      </c>
      <c r="N170" s="143" t="s">
        <v>159</v>
      </c>
      <c r="O170" s="147">
        <v>1901994350</v>
      </c>
      <c r="P170" s="174">
        <v>63527270</v>
      </c>
      <c r="Q170" s="148">
        <v>15000000</v>
      </c>
      <c r="R170" s="148">
        <v>90000000</v>
      </c>
      <c r="S170" s="147">
        <f t="shared" si="5"/>
        <v>2070521620</v>
      </c>
      <c r="T170" s="158">
        <v>1901994350</v>
      </c>
      <c r="U170" s="158">
        <v>63527270</v>
      </c>
      <c r="V170" s="147">
        <v>15000000</v>
      </c>
      <c r="W170" s="158">
        <v>90000000</v>
      </c>
      <c r="X170" s="143"/>
      <c r="Y170" s="152">
        <f t="shared" ref="Y170:AB170" si="319">AD170-T170</f>
        <v>0</v>
      </c>
      <c r="Z170" s="151">
        <f t="shared" si="319"/>
        <v>0</v>
      </c>
      <c r="AA170" s="151">
        <f t="shared" si="319"/>
        <v>0</v>
      </c>
      <c r="AB170" s="152">
        <f t="shared" si="319"/>
        <v>0</v>
      </c>
      <c r="AC170" s="143"/>
      <c r="AD170" s="149">
        <v>1901994350</v>
      </c>
      <c r="AE170" s="148">
        <v>63527270</v>
      </c>
      <c r="AF170" s="148">
        <v>15000000</v>
      </c>
      <c r="AG170" s="149">
        <v>90000000</v>
      </c>
      <c r="AH170" s="143">
        <f t="shared" si="7"/>
        <v>0</v>
      </c>
      <c r="AI170" s="151"/>
      <c r="AJ170" s="151">
        <f t="shared" ref="AJ170:AL170" si="320">P170-AE170</f>
        <v>0</v>
      </c>
      <c r="AK170" s="151">
        <f t="shared" si="320"/>
        <v>0</v>
      </c>
      <c r="AL170" s="151">
        <f t="shared" si="320"/>
        <v>0</v>
      </c>
      <c r="AM170" s="145"/>
      <c r="AN170" s="139"/>
      <c r="AO170" s="139"/>
      <c r="AP170" s="139"/>
      <c r="AQ170" s="145"/>
      <c r="AR170" s="145"/>
    </row>
    <row r="171" spans="1:44" s="156" customFormat="1" ht="31.5" x14ac:dyDescent="0.25">
      <c r="A171" s="143" t="s">
        <v>52</v>
      </c>
      <c r="B171" s="144">
        <v>158</v>
      </c>
      <c r="C171" s="143" t="s">
        <v>154</v>
      </c>
      <c r="D171" s="143" t="s">
        <v>1336</v>
      </c>
      <c r="E171" s="145"/>
      <c r="F171" s="146"/>
      <c r="G171" s="143" t="s">
        <v>1337</v>
      </c>
      <c r="H171" s="143"/>
      <c r="I171" s="143"/>
      <c r="J171" s="143"/>
      <c r="K171" s="143"/>
      <c r="L171" s="143" t="s">
        <v>1338</v>
      </c>
      <c r="M171" s="143" t="s">
        <v>43</v>
      </c>
      <c r="N171" s="143" t="s">
        <v>1339</v>
      </c>
      <c r="O171" s="147">
        <v>3339426044</v>
      </c>
      <c r="P171" s="150"/>
      <c r="Q171" s="148">
        <v>7500000</v>
      </c>
      <c r="R171" s="150"/>
      <c r="S171" s="147">
        <f t="shared" si="5"/>
        <v>3346926044</v>
      </c>
      <c r="T171" s="158">
        <v>3339426044</v>
      </c>
      <c r="U171" s="143"/>
      <c r="V171" s="147">
        <v>7500000</v>
      </c>
      <c r="W171" s="143"/>
      <c r="X171" s="143"/>
      <c r="Y171" s="152">
        <f t="shared" ref="Y171:AB171" si="321">AD171-T171</f>
        <v>0</v>
      </c>
      <c r="Z171" s="151">
        <f t="shared" si="321"/>
        <v>0</v>
      </c>
      <c r="AA171" s="151">
        <f t="shared" si="321"/>
        <v>0</v>
      </c>
      <c r="AB171" s="152">
        <f t="shared" si="321"/>
        <v>0</v>
      </c>
      <c r="AC171" s="143"/>
      <c r="AD171" s="149">
        <v>3339426044</v>
      </c>
      <c r="AE171" s="150"/>
      <c r="AF171" s="148">
        <v>7500000</v>
      </c>
      <c r="AG171" s="155"/>
      <c r="AH171" s="143">
        <f t="shared" si="7"/>
        <v>0</v>
      </c>
      <c r="AI171" s="151"/>
      <c r="AJ171" s="151">
        <f t="shared" ref="AJ171:AL171" si="322">P171-AE171</f>
        <v>0</v>
      </c>
      <c r="AK171" s="151">
        <f t="shared" si="322"/>
        <v>0</v>
      </c>
      <c r="AL171" s="151">
        <f t="shared" si="322"/>
        <v>0</v>
      </c>
      <c r="AM171" s="145"/>
      <c r="AN171" s="139"/>
      <c r="AO171" s="139"/>
      <c r="AP171" s="139"/>
      <c r="AQ171" s="145"/>
      <c r="AR171" s="145"/>
    </row>
    <row r="172" spans="1:44" s="156" customFormat="1" ht="31.5" x14ac:dyDescent="0.25">
      <c r="A172" s="143" t="s">
        <v>35</v>
      </c>
      <c r="B172" s="144">
        <v>159</v>
      </c>
      <c r="C172" s="143" t="s">
        <v>154</v>
      </c>
      <c r="D172" s="143" t="s">
        <v>1345</v>
      </c>
      <c r="E172" s="145"/>
      <c r="F172" s="146"/>
      <c r="G172" s="143" t="s">
        <v>1346</v>
      </c>
      <c r="H172" s="143"/>
      <c r="I172" s="143"/>
      <c r="J172" s="143"/>
      <c r="K172" s="143"/>
      <c r="L172" s="143" t="s">
        <v>1347</v>
      </c>
      <c r="M172" s="143" t="s">
        <v>43</v>
      </c>
      <c r="N172" s="143" t="s">
        <v>1348</v>
      </c>
      <c r="O172" s="147">
        <v>1480854756</v>
      </c>
      <c r="P172" s="150"/>
      <c r="Q172" s="148">
        <v>15000000</v>
      </c>
      <c r="R172" s="150"/>
      <c r="S172" s="147">
        <f t="shared" si="5"/>
        <v>1495854756</v>
      </c>
      <c r="T172" s="151">
        <v>1480854756</v>
      </c>
      <c r="U172" s="143"/>
      <c r="V172" s="147">
        <v>15000000</v>
      </c>
      <c r="W172" s="143"/>
      <c r="X172" s="143"/>
      <c r="Y172" s="152">
        <f t="shared" ref="Y172:AB172" si="323">AD172-T172</f>
        <v>0</v>
      </c>
      <c r="Z172" s="151">
        <f t="shared" si="323"/>
        <v>0</v>
      </c>
      <c r="AA172" s="151">
        <f t="shared" si="323"/>
        <v>0</v>
      </c>
      <c r="AB172" s="152">
        <f t="shared" si="323"/>
        <v>0</v>
      </c>
      <c r="AC172" s="143"/>
      <c r="AD172" s="155">
        <v>1480854756</v>
      </c>
      <c r="AE172" s="150"/>
      <c r="AF172" s="148">
        <v>15000000</v>
      </c>
      <c r="AG172" s="155"/>
      <c r="AH172" s="143">
        <f t="shared" si="7"/>
        <v>0</v>
      </c>
      <c r="AI172" s="151"/>
      <c r="AJ172" s="151">
        <f t="shared" ref="AJ172:AL172" si="324">P172-AE172</f>
        <v>0</v>
      </c>
      <c r="AK172" s="151">
        <f t="shared" si="324"/>
        <v>0</v>
      </c>
      <c r="AL172" s="151">
        <f t="shared" si="324"/>
        <v>0</v>
      </c>
      <c r="AM172" s="145"/>
      <c r="AN172" s="139"/>
      <c r="AO172" s="139"/>
      <c r="AP172" s="139"/>
      <c r="AQ172" s="145"/>
      <c r="AR172" s="145"/>
    </row>
    <row r="173" spans="1:44" s="156" customFormat="1" ht="47.25" x14ac:dyDescent="0.25">
      <c r="A173" s="143" t="s">
        <v>46</v>
      </c>
      <c r="B173" s="144">
        <v>160</v>
      </c>
      <c r="C173" s="143" t="s">
        <v>1359</v>
      </c>
      <c r="D173" s="143" t="s">
        <v>1360</v>
      </c>
      <c r="E173" s="145" t="s">
        <v>1362</v>
      </c>
      <c r="F173" s="146"/>
      <c r="G173" s="143" t="s">
        <v>1363</v>
      </c>
      <c r="H173" s="143" t="s">
        <v>1364</v>
      </c>
      <c r="I173" s="143"/>
      <c r="J173" s="143"/>
      <c r="K173" s="143"/>
      <c r="L173" s="143" t="s">
        <v>1365</v>
      </c>
      <c r="M173" s="143" t="s">
        <v>43</v>
      </c>
      <c r="N173" s="143" t="s">
        <v>1366</v>
      </c>
      <c r="O173" s="147">
        <v>4073141200</v>
      </c>
      <c r="P173" s="148">
        <v>43408140</v>
      </c>
      <c r="Q173" s="148">
        <v>7500000</v>
      </c>
      <c r="R173" s="150"/>
      <c r="S173" s="147">
        <f t="shared" si="5"/>
        <v>4124049340</v>
      </c>
      <c r="T173" s="158">
        <v>4073141200</v>
      </c>
      <c r="U173" s="151">
        <v>43408140</v>
      </c>
      <c r="V173" s="147">
        <v>7500000</v>
      </c>
      <c r="W173" s="143"/>
      <c r="X173" s="143"/>
      <c r="Y173" s="152">
        <f t="shared" ref="Y173:AB173" si="325">AD173-T173</f>
        <v>0</v>
      </c>
      <c r="Z173" s="151">
        <f t="shared" si="325"/>
        <v>0</v>
      </c>
      <c r="AA173" s="151">
        <f t="shared" si="325"/>
        <v>0</v>
      </c>
      <c r="AB173" s="151">
        <f t="shared" si="325"/>
        <v>0</v>
      </c>
      <c r="AC173" s="143"/>
      <c r="AD173" s="149">
        <v>4073141200</v>
      </c>
      <c r="AE173" s="148">
        <v>43408140</v>
      </c>
      <c r="AF173" s="148">
        <v>7500000</v>
      </c>
      <c r="AG173" s="150"/>
      <c r="AH173" s="143">
        <f t="shared" si="7"/>
        <v>0</v>
      </c>
      <c r="AI173" s="151"/>
      <c r="AJ173" s="151">
        <f t="shared" ref="AJ173:AL173" si="326">P173-AE173</f>
        <v>0</v>
      </c>
      <c r="AK173" s="151">
        <f t="shared" si="326"/>
        <v>0</v>
      </c>
      <c r="AL173" s="151">
        <f t="shared" si="326"/>
        <v>0</v>
      </c>
      <c r="AM173" s="145"/>
      <c r="AN173" s="139"/>
      <c r="AO173" s="139"/>
      <c r="AP173" s="139"/>
      <c r="AQ173" s="145"/>
      <c r="AR173" s="145"/>
    </row>
    <row r="174" spans="1:44" s="156" customFormat="1" ht="31.5" x14ac:dyDescent="0.25">
      <c r="A174" s="143" t="s">
        <v>52</v>
      </c>
      <c r="B174" s="144">
        <v>161</v>
      </c>
      <c r="C174" s="143" t="s">
        <v>1359</v>
      </c>
      <c r="D174" s="143" t="s">
        <v>1369</v>
      </c>
      <c r="E174" s="145"/>
      <c r="F174" s="146"/>
      <c r="G174" s="143" t="s">
        <v>1370</v>
      </c>
      <c r="H174" s="143"/>
      <c r="I174" s="143"/>
      <c r="J174" s="143"/>
      <c r="K174" s="143"/>
      <c r="L174" s="143" t="s">
        <v>1372</v>
      </c>
      <c r="M174" s="143" t="s">
        <v>43</v>
      </c>
      <c r="N174" s="143" t="s">
        <v>1375</v>
      </c>
      <c r="O174" s="147"/>
      <c r="P174" s="150"/>
      <c r="Q174" s="148">
        <v>7500000</v>
      </c>
      <c r="R174" s="150"/>
      <c r="S174" s="147">
        <f t="shared" si="5"/>
        <v>7500000</v>
      </c>
      <c r="T174" s="144">
        <v>0</v>
      </c>
      <c r="U174" s="143"/>
      <c r="V174" s="147">
        <v>7500000</v>
      </c>
      <c r="W174" s="143"/>
      <c r="X174" s="143"/>
      <c r="Y174" s="143">
        <f t="shared" ref="Y174:AB174" si="327">AD174-T174</f>
        <v>0</v>
      </c>
      <c r="Z174" s="151">
        <f t="shared" si="327"/>
        <v>0</v>
      </c>
      <c r="AA174" s="151">
        <f t="shared" si="327"/>
        <v>0</v>
      </c>
      <c r="AB174" s="152">
        <f t="shared" si="327"/>
        <v>0</v>
      </c>
      <c r="AC174" s="143"/>
      <c r="AD174" s="175">
        <v>0</v>
      </c>
      <c r="AE174" s="150"/>
      <c r="AF174" s="148">
        <v>7500000</v>
      </c>
      <c r="AG174" s="155"/>
      <c r="AH174" s="143">
        <f t="shared" si="7"/>
        <v>0</v>
      </c>
      <c r="AI174" s="151"/>
      <c r="AJ174" s="151">
        <f t="shared" ref="AJ174:AL174" si="328">P174-AE174</f>
        <v>0</v>
      </c>
      <c r="AK174" s="151">
        <f t="shared" si="328"/>
        <v>0</v>
      </c>
      <c r="AL174" s="151">
        <f t="shared" si="328"/>
        <v>0</v>
      </c>
      <c r="AM174" s="145"/>
      <c r="AN174" s="139"/>
      <c r="AO174" s="139"/>
      <c r="AP174" s="139"/>
      <c r="AQ174" s="145"/>
      <c r="AR174" s="145"/>
    </row>
    <row r="175" spans="1:44" s="156" customFormat="1" ht="47.25" x14ac:dyDescent="0.25">
      <c r="A175" s="143" t="s">
        <v>60</v>
      </c>
      <c r="B175" s="144">
        <v>162</v>
      </c>
      <c r="C175" s="143" t="s">
        <v>1359</v>
      </c>
      <c r="D175" s="143" t="s">
        <v>1381</v>
      </c>
      <c r="E175" s="145" t="s">
        <v>409</v>
      </c>
      <c r="F175" s="146"/>
      <c r="G175" s="143" t="s">
        <v>1382</v>
      </c>
      <c r="H175" s="143" t="s">
        <v>1383</v>
      </c>
      <c r="I175" s="143"/>
      <c r="J175" s="143"/>
      <c r="K175" s="143"/>
      <c r="L175" s="143" t="s">
        <v>697</v>
      </c>
      <c r="M175" s="143" t="s">
        <v>43</v>
      </c>
      <c r="N175" s="143" t="s">
        <v>1384</v>
      </c>
      <c r="O175" s="147">
        <v>1042237976</v>
      </c>
      <c r="P175" s="148">
        <v>271713024</v>
      </c>
      <c r="Q175" s="148">
        <v>15000000</v>
      </c>
      <c r="R175" s="150"/>
      <c r="S175" s="147">
        <f t="shared" si="5"/>
        <v>1328951000</v>
      </c>
      <c r="T175" s="151">
        <v>1042237976</v>
      </c>
      <c r="U175" s="158">
        <v>271713024</v>
      </c>
      <c r="V175" s="147">
        <v>15000000</v>
      </c>
      <c r="W175" s="143"/>
      <c r="X175" s="143"/>
      <c r="Y175" s="152">
        <f t="shared" ref="Y175:AB175" si="329">AD175-T175</f>
        <v>0</v>
      </c>
      <c r="Z175" s="151">
        <f t="shared" si="329"/>
        <v>0</v>
      </c>
      <c r="AA175" s="151">
        <f t="shared" si="329"/>
        <v>0</v>
      </c>
      <c r="AB175" s="152">
        <f t="shared" si="329"/>
        <v>0</v>
      </c>
      <c r="AC175" s="143"/>
      <c r="AD175" s="155">
        <v>1042237976</v>
      </c>
      <c r="AE175" s="148">
        <v>271713024</v>
      </c>
      <c r="AF175" s="148">
        <v>15000000</v>
      </c>
      <c r="AG175" s="155"/>
      <c r="AH175" s="143">
        <f t="shared" si="7"/>
        <v>0</v>
      </c>
      <c r="AI175" s="151"/>
      <c r="AJ175" s="151">
        <f t="shared" ref="AJ175:AL175" si="330">P175-AE175</f>
        <v>0</v>
      </c>
      <c r="AK175" s="151">
        <f t="shared" si="330"/>
        <v>0</v>
      </c>
      <c r="AL175" s="151">
        <f t="shared" si="330"/>
        <v>0</v>
      </c>
      <c r="AM175" s="145"/>
      <c r="AN175" s="139"/>
      <c r="AO175" s="139"/>
      <c r="AP175" s="139"/>
      <c r="AQ175" s="145"/>
      <c r="AR175" s="145"/>
    </row>
    <row r="176" spans="1:44" s="156" customFormat="1" ht="31.5" x14ac:dyDescent="0.25">
      <c r="A176" s="143" t="s">
        <v>60</v>
      </c>
      <c r="B176" s="144">
        <v>163</v>
      </c>
      <c r="C176" s="143" t="s">
        <v>1359</v>
      </c>
      <c r="D176" s="143" t="s">
        <v>1385</v>
      </c>
      <c r="E176" s="145"/>
      <c r="F176" s="146"/>
      <c r="G176" s="143" t="s">
        <v>1386</v>
      </c>
      <c r="H176" s="143"/>
      <c r="I176" s="143"/>
      <c r="J176" s="143"/>
      <c r="K176" s="143"/>
      <c r="L176" s="143" t="s">
        <v>1387</v>
      </c>
      <c r="M176" s="143" t="s">
        <v>43</v>
      </c>
      <c r="N176" s="143" t="s">
        <v>1388</v>
      </c>
      <c r="O176" s="147">
        <v>725476290</v>
      </c>
      <c r="P176" s="150"/>
      <c r="Q176" s="148">
        <v>7500000</v>
      </c>
      <c r="R176" s="150"/>
      <c r="S176" s="147">
        <f t="shared" si="5"/>
        <v>732976290</v>
      </c>
      <c r="T176" s="151">
        <v>725476290</v>
      </c>
      <c r="U176" s="143"/>
      <c r="V176" s="157"/>
      <c r="W176" s="143"/>
      <c r="X176" s="143"/>
      <c r="Y176" s="152">
        <f t="shared" ref="Y176:AB176" si="331">AD176-T176</f>
        <v>0</v>
      </c>
      <c r="Z176" s="151">
        <f t="shared" si="331"/>
        <v>0</v>
      </c>
      <c r="AA176" s="151">
        <f t="shared" si="331"/>
        <v>0</v>
      </c>
      <c r="AB176" s="152">
        <f t="shared" si="331"/>
        <v>0</v>
      </c>
      <c r="AC176" s="143"/>
      <c r="AD176" s="155">
        <v>725476290</v>
      </c>
      <c r="AE176" s="150"/>
      <c r="AF176" s="150"/>
      <c r="AG176" s="155"/>
      <c r="AH176" s="143">
        <f t="shared" si="7"/>
        <v>0</v>
      </c>
      <c r="AI176" s="151"/>
      <c r="AJ176" s="151">
        <f t="shared" ref="AJ176:AL176" si="332">P176-AE176</f>
        <v>0</v>
      </c>
      <c r="AK176" s="151">
        <f t="shared" si="332"/>
        <v>7500000</v>
      </c>
      <c r="AL176" s="151">
        <f t="shared" si="332"/>
        <v>0</v>
      </c>
      <c r="AM176" s="145"/>
      <c r="AN176" s="139"/>
      <c r="AO176" s="139"/>
      <c r="AP176" s="168" t="s">
        <v>2013</v>
      </c>
      <c r="AQ176" s="145"/>
      <c r="AR176" s="145"/>
    </row>
    <row r="177" spans="1:44" s="156" customFormat="1" ht="47.25" x14ac:dyDescent="0.25">
      <c r="A177" s="143" t="s">
        <v>35</v>
      </c>
      <c r="B177" s="144">
        <v>164</v>
      </c>
      <c r="C177" s="143" t="s">
        <v>1359</v>
      </c>
      <c r="D177" s="143" t="s">
        <v>1389</v>
      </c>
      <c r="E177" s="145" t="s">
        <v>409</v>
      </c>
      <c r="F177" s="146"/>
      <c r="G177" s="143" t="s">
        <v>1390</v>
      </c>
      <c r="H177" s="143" t="s">
        <v>1391</v>
      </c>
      <c r="I177" s="143"/>
      <c r="J177" s="143"/>
      <c r="K177" s="143"/>
      <c r="L177" s="143" t="s">
        <v>1392</v>
      </c>
      <c r="M177" s="143" t="s">
        <v>43</v>
      </c>
      <c r="N177" s="143" t="s">
        <v>1394</v>
      </c>
      <c r="O177" s="147">
        <v>3565502327</v>
      </c>
      <c r="P177" s="148">
        <v>450846720</v>
      </c>
      <c r="Q177" s="148">
        <v>15000000</v>
      </c>
      <c r="R177" s="150"/>
      <c r="S177" s="147">
        <f t="shared" si="5"/>
        <v>4031349047</v>
      </c>
      <c r="T177" s="158">
        <v>3565502327</v>
      </c>
      <c r="U177" s="158">
        <v>450846720</v>
      </c>
      <c r="V177" s="147">
        <v>15000000</v>
      </c>
      <c r="W177" s="143"/>
      <c r="X177" s="143"/>
      <c r="Y177" s="152">
        <f t="shared" ref="Y177:AB177" si="333">AD177-T177</f>
        <v>0</v>
      </c>
      <c r="Z177" s="151">
        <f t="shared" si="333"/>
        <v>0</v>
      </c>
      <c r="AA177" s="151">
        <f t="shared" si="333"/>
        <v>0</v>
      </c>
      <c r="AB177" s="151">
        <f t="shared" si="333"/>
        <v>0</v>
      </c>
      <c r="AC177" s="143"/>
      <c r="AD177" s="149">
        <v>3565502327</v>
      </c>
      <c r="AE177" s="148">
        <v>450846720</v>
      </c>
      <c r="AF177" s="148">
        <v>15000000</v>
      </c>
      <c r="AG177" s="150"/>
      <c r="AH177" s="143">
        <f t="shared" si="7"/>
        <v>0</v>
      </c>
      <c r="AI177" s="151"/>
      <c r="AJ177" s="151">
        <f t="shared" ref="AJ177:AL177" si="334">P177-AE177</f>
        <v>0</v>
      </c>
      <c r="AK177" s="151">
        <f t="shared" si="334"/>
        <v>0</v>
      </c>
      <c r="AL177" s="151">
        <f t="shared" si="334"/>
        <v>0</v>
      </c>
      <c r="AM177" s="145"/>
      <c r="AN177" s="139"/>
      <c r="AO177" s="139"/>
      <c r="AP177" s="139"/>
      <c r="AQ177" s="145"/>
      <c r="AR177" s="145"/>
    </row>
    <row r="178" spans="1:44" s="156" customFormat="1" ht="47.25" x14ac:dyDescent="0.25">
      <c r="A178" s="143" t="s">
        <v>46</v>
      </c>
      <c r="B178" s="144">
        <v>165</v>
      </c>
      <c r="C178" s="143" t="s">
        <v>1359</v>
      </c>
      <c r="D178" s="143" t="s">
        <v>1400</v>
      </c>
      <c r="E178" s="145" t="s">
        <v>156</v>
      </c>
      <c r="F178" s="146"/>
      <c r="G178" s="143" t="s">
        <v>1401</v>
      </c>
      <c r="H178" s="143" t="s">
        <v>1402</v>
      </c>
      <c r="I178" s="143"/>
      <c r="J178" s="143"/>
      <c r="K178" s="143"/>
      <c r="L178" s="143" t="s">
        <v>1403</v>
      </c>
      <c r="M178" s="143" t="s">
        <v>43</v>
      </c>
      <c r="N178" s="143" t="s">
        <v>1404</v>
      </c>
      <c r="O178" s="147">
        <v>1192465080</v>
      </c>
      <c r="P178" s="174">
        <v>287020800</v>
      </c>
      <c r="Q178" s="148">
        <v>15000000</v>
      </c>
      <c r="R178" s="150"/>
      <c r="S178" s="147">
        <f t="shared" si="5"/>
        <v>1494485880</v>
      </c>
      <c r="T178" s="158">
        <v>1192465080</v>
      </c>
      <c r="U178" s="158">
        <v>287020800</v>
      </c>
      <c r="V178" s="147">
        <v>15000000</v>
      </c>
      <c r="W178" s="143"/>
      <c r="X178" s="143"/>
      <c r="Y178" s="152">
        <f t="shared" ref="Y178:AB178" si="335">AD178-T178</f>
        <v>0</v>
      </c>
      <c r="Z178" s="151">
        <f t="shared" si="335"/>
        <v>0</v>
      </c>
      <c r="AA178" s="151">
        <f t="shared" si="335"/>
        <v>0</v>
      </c>
      <c r="AB178" s="151">
        <f t="shared" si="335"/>
        <v>0</v>
      </c>
      <c r="AC178" s="143"/>
      <c r="AD178" s="149">
        <v>1192465080</v>
      </c>
      <c r="AE178" s="174">
        <v>287020800</v>
      </c>
      <c r="AF178" s="148">
        <v>15000000</v>
      </c>
      <c r="AG178" s="160"/>
      <c r="AH178" s="143">
        <f t="shared" si="7"/>
        <v>0</v>
      </c>
      <c r="AI178" s="151"/>
      <c r="AJ178" s="151">
        <f t="shared" ref="AJ178:AL178" si="336">P178-AE178</f>
        <v>0</v>
      </c>
      <c r="AK178" s="151">
        <f t="shared" si="336"/>
        <v>0</v>
      </c>
      <c r="AL178" s="151">
        <f t="shared" si="336"/>
        <v>0</v>
      </c>
      <c r="AM178" s="145"/>
      <c r="AN178" s="139"/>
      <c r="AO178" s="139"/>
      <c r="AP178" s="139"/>
      <c r="AQ178" s="145"/>
      <c r="AR178" s="145"/>
    </row>
    <row r="179" spans="1:44" s="156" customFormat="1" ht="31.5" x14ac:dyDescent="0.25">
      <c r="A179" s="143" t="s">
        <v>52</v>
      </c>
      <c r="B179" s="144">
        <v>166</v>
      </c>
      <c r="C179" s="143" t="s">
        <v>1359</v>
      </c>
      <c r="D179" s="143" t="s">
        <v>1405</v>
      </c>
      <c r="E179" s="145"/>
      <c r="F179" s="146"/>
      <c r="G179" s="143" t="s">
        <v>1406</v>
      </c>
      <c r="H179" s="143"/>
      <c r="I179" s="143"/>
      <c r="J179" s="143"/>
      <c r="K179" s="143"/>
      <c r="L179" s="143" t="s">
        <v>1407</v>
      </c>
      <c r="M179" s="143" t="s">
        <v>43</v>
      </c>
      <c r="N179" s="143" t="s">
        <v>1409</v>
      </c>
      <c r="O179" s="147">
        <v>1818691780</v>
      </c>
      <c r="P179" s="150"/>
      <c r="Q179" s="148">
        <v>7500000</v>
      </c>
      <c r="R179" s="150"/>
      <c r="S179" s="147">
        <f t="shared" si="5"/>
        <v>1826191780</v>
      </c>
      <c r="T179" s="158">
        <v>1818691780</v>
      </c>
      <c r="U179" s="143"/>
      <c r="V179" s="147">
        <v>7500000</v>
      </c>
      <c r="W179" s="143"/>
      <c r="X179" s="143"/>
      <c r="Y179" s="152">
        <f t="shared" ref="Y179:AB179" si="337">AD179-T179</f>
        <v>0</v>
      </c>
      <c r="Z179" s="151">
        <f t="shared" si="337"/>
        <v>0</v>
      </c>
      <c r="AA179" s="151">
        <f t="shared" si="337"/>
        <v>0</v>
      </c>
      <c r="AB179" s="143">
        <f t="shared" si="337"/>
        <v>0</v>
      </c>
      <c r="AC179" s="143"/>
      <c r="AD179" s="149">
        <v>1818691780</v>
      </c>
      <c r="AE179" s="150"/>
      <c r="AF179" s="148">
        <v>7500000</v>
      </c>
      <c r="AG179" s="145"/>
      <c r="AH179" s="143">
        <f t="shared" si="7"/>
        <v>0</v>
      </c>
      <c r="AI179" s="151"/>
      <c r="AJ179" s="151">
        <f t="shared" ref="AJ179:AL179" si="338">P179-AE179</f>
        <v>0</v>
      </c>
      <c r="AK179" s="151">
        <f t="shared" si="338"/>
        <v>0</v>
      </c>
      <c r="AL179" s="151">
        <f t="shared" si="338"/>
        <v>0</v>
      </c>
      <c r="AM179" s="145"/>
      <c r="AN179" s="139"/>
      <c r="AO179" s="139"/>
      <c r="AP179" s="139"/>
      <c r="AQ179" s="145"/>
      <c r="AR179" s="145"/>
    </row>
    <row r="180" spans="1:44" s="156" customFormat="1" ht="47.25" x14ac:dyDescent="0.25">
      <c r="A180" s="143" t="s">
        <v>52</v>
      </c>
      <c r="B180" s="144">
        <v>167</v>
      </c>
      <c r="C180" s="143" t="s">
        <v>386</v>
      </c>
      <c r="D180" s="143" t="s">
        <v>1413</v>
      </c>
      <c r="E180" s="145" t="s">
        <v>1414</v>
      </c>
      <c r="F180" s="146"/>
      <c r="G180" s="143" t="s">
        <v>1415</v>
      </c>
      <c r="H180" s="143" t="s">
        <v>1416</v>
      </c>
      <c r="I180" s="143"/>
      <c r="J180" s="143"/>
      <c r="K180" s="143"/>
      <c r="L180" s="143" t="s">
        <v>1417</v>
      </c>
      <c r="M180" s="143" t="s">
        <v>43</v>
      </c>
      <c r="N180" s="143" t="s">
        <v>1418</v>
      </c>
      <c r="O180" s="147">
        <v>3670953400</v>
      </c>
      <c r="P180" s="148">
        <v>858857640</v>
      </c>
      <c r="Q180" s="148">
        <v>7500000</v>
      </c>
      <c r="R180" s="150"/>
      <c r="S180" s="147">
        <f t="shared" si="5"/>
        <v>4537311040</v>
      </c>
      <c r="T180" s="158">
        <v>3670953400</v>
      </c>
      <c r="U180" s="151">
        <v>858857640</v>
      </c>
      <c r="V180" s="147">
        <v>7500000</v>
      </c>
      <c r="W180" s="143"/>
      <c r="X180" s="143"/>
      <c r="Y180" s="152">
        <f t="shared" ref="Y180:AB180" si="339">AD180-T180</f>
        <v>0</v>
      </c>
      <c r="Z180" s="151">
        <f t="shared" si="339"/>
        <v>0</v>
      </c>
      <c r="AA180" s="151">
        <f t="shared" si="339"/>
        <v>0</v>
      </c>
      <c r="AB180" s="152">
        <f t="shared" si="339"/>
        <v>0</v>
      </c>
      <c r="AC180" s="143"/>
      <c r="AD180" s="149">
        <v>3670953400</v>
      </c>
      <c r="AE180" s="148">
        <v>858857640</v>
      </c>
      <c r="AF180" s="148">
        <v>7500000</v>
      </c>
      <c r="AG180" s="155"/>
      <c r="AH180" s="143">
        <f t="shared" si="7"/>
        <v>0</v>
      </c>
      <c r="AI180" s="151"/>
      <c r="AJ180" s="151">
        <f t="shared" ref="AJ180:AL180" si="340">P180-AE180</f>
        <v>0</v>
      </c>
      <c r="AK180" s="151">
        <f t="shared" si="340"/>
        <v>0</v>
      </c>
      <c r="AL180" s="151">
        <f t="shared" si="340"/>
        <v>0</v>
      </c>
      <c r="AM180" s="145"/>
      <c r="AN180" s="139"/>
      <c r="AO180" s="139"/>
      <c r="AP180" s="139"/>
      <c r="AQ180" s="145"/>
      <c r="AR180" s="145"/>
    </row>
    <row r="181" spans="1:44" s="156" customFormat="1" ht="31.5" x14ac:dyDescent="0.25">
      <c r="A181" s="143" t="s">
        <v>46</v>
      </c>
      <c r="B181" s="144">
        <v>168</v>
      </c>
      <c r="C181" s="143" t="s">
        <v>386</v>
      </c>
      <c r="D181" s="143" t="s">
        <v>1423</v>
      </c>
      <c r="E181" s="145"/>
      <c r="F181" s="146"/>
      <c r="G181" s="143" t="s">
        <v>1424</v>
      </c>
      <c r="H181" s="143"/>
      <c r="I181" s="143"/>
      <c r="J181" s="143"/>
      <c r="K181" s="143"/>
      <c r="L181" s="143" t="s">
        <v>1425</v>
      </c>
      <c r="M181" s="143" t="s">
        <v>43</v>
      </c>
      <c r="N181" s="143" t="s">
        <v>1426</v>
      </c>
      <c r="O181" s="147">
        <v>8433071600</v>
      </c>
      <c r="P181" s="150"/>
      <c r="Q181" s="148">
        <v>7500000</v>
      </c>
      <c r="R181" s="150"/>
      <c r="S181" s="147">
        <f t="shared" si="5"/>
        <v>8440571600</v>
      </c>
      <c r="T181" s="158">
        <v>8433071600</v>
      </c>
      <c r="U181" s="143"/>
      <c r="V181" s="157"/>
      <c r="W181" s="143"/>
      <c r="X181" s="143"/>
      <c r="Y181" s="152">
        <f t="shared" ref="Y181:AB181" si="341">AD181-T181</f>
        <v>0</v>
      </c>
      <c r="Z181" s="151">
        <f t="shared" si="341"/>
        <v>0</v>
      </c>
      <c r="AA181" s="151">
        <f t="shared" si="341"/>
        <v>0</v>
      </c>
      <c r="AB181" s="151">
        <f t="shared" si="341"/>
        <v>0</v>
      </c>
      <c r="AC181" s="143"/>
      <c r="AD181" s="149">
        <v>8433071600</v>
      </c>
      <c r="AE181" s="150"/>
      <c r="AF181" s="150"/>
      <c r="AG181" s="150"/>
      <c r="AH181" s="143">
        <f t="shared" si="7"/>
        <v>0</v>
      </c>
      <c r="AI181" s="151"/>
      <c r="AJ181" s="151">
        <f t="shared" ref="AJ181:AL181" si="342">P181-AE181</f>
        <v>0</v>
      </c>
      <c r="AK181" s="151">
        <f t="shared" si="342"/>
        <v>7500000</v>
      </c>
      <c r="AL181" s="151">
        <f t="shared" si="342"/>
        <v>0</v>
      </c>
      <c r="AM181" s="145"/>
      <c r="AN181" s="139"/>
      <c r="AO181" s="139"/>
      <c r="AP181" s="168" t="s">
        <v>2129</v>
      </c>
      <c r="AQ181" s="145"/>
      <c r="AR181" s="145"/>
    </row>
    <row r="182" spans="1:44" s="156" customFormat="1" ht="47.25" x14ac:dyDescent="0.25">
      <c r="A182" s="143" t="s">
        <v>60</v>
      </c>
      <c r="B182" s="144">
        <v>169</v>
      </c>
      <c r="C182" s="143" t="s">
        <v>386</v>
      </c>
      <c r="D182" s="143" t="s">
        <v>1009</v>
      </c>
      <c r="E182" s="145" t="s">
        <v>1011</v>
      </c>
      <c r="F182" s="145" t="s">
        <v>1012</v>
      </c>
      <c r="G182" s="143" t="s">
        <v>1014</v>
      </c>
      <c r="H182" s="143" t="s">
        <v>1015</v>
      </c>
      <c r="I182" s="143"/>
      <c r="J182" s="143"/>
      <c r="K182" s="164"/>
      <c r="L182" s="143" t="s">
        <v>1016</v>
      </c>
      <c r="M182" s="143" t="s">
        <v>43</v>
      </c>
      <c r="N182" s="143" t="s">
        <v>1017</v>
      </c>
      <c r="O182" s="147">
        <v>5988544304</v>
      </c>
      <c r="P182" s="148">
        <v>118968048</v>
      </c>
      <c r="Q182" s="148">
        <v>15000000</v>
      </c>
      <c r="R182" s="148">
        <v>36000000</v>
      </c>
      <c r="S182" s="147">
        <f t="shared" si="5"/>
        <v>6158512352</v>
      </c>
      <c r="T182" s="158">
        <v>5988544304</v>
      </c>
      <c r="U182" s="158">
        <v>118968048</v>
      </c>
      <c r="V182" s="147">
        <v>15000000</v>
      </c>
      <c r="W182" s="158">
        <v>36000000</v>
      </c>
      <c r="X182" s="143"/>
      <c r="Y182" s="152">
        <f t="shared" ref="Y182:AB182" si="343">AD182-T182</f>
        <v>0</v>
      </c>
      <c r="Z182" s="151">
        <f t="shared" si="343"/>
        <v>0</v>
      </c>
      <c r="AA182" s="151">
        <f t="shared" si="343"/>
        <v>0</v>
      </c>
      <c r="AB182" s="151">
        <f t="shared" si="343"/>
        <v>0</v>
      </c>
      <c r="AC182" s="143"/>
      <c r="AD182" s="149">
        <v>5988544304</v>
      </c>
      <c r="AE182" s="148">
        <v>118968048</v>
      </c>
      <c r="AF182" s="148">
        <v>15000000</v>
      </c>
      <c r="AG182" s="148">
        <v>36000000</v>
      </c>
      <c r="AH182" s="143">
        <f t="shared" si="7"/>
        <v>0</v>
      </c>
      <c r="AI182" s="151"/>
      <c r="AJ182" s="151">
        <f t="shared" ref="AJ182:AL182" si="344">P182-AE182</f>
        <v>0</v>
      </c>
      <c r="AK182" s="151">
        <f t="shared" si="344"/>
        <v>0</v>
      </c>
      <c r="AL182" s="151">
        <f t="shared" si="344"/>
        <v>0</v>
      </c>
      <c r="AM182" s="145"/>
      <c r="AN182" s="139"/>
      <c r="AO182" s="139"/>
      <c r="AP182" s="139"/>
      <c r="AQ182" s="145"/>
      <c r="AR182" s="145"/>
    </row>
    <row r="183" spans="1:44" s="156" customFormat="1" ht="47.25" x14ac:dyDescent="0.25">
      <c r="A183" s="143" t="s">
        <v>46</v>
      </c>
      <c r="B183" s="144">
        <v>170</v>
      </c>
      <c r="C183" s="143" t="s">
        <v>386</v>
      </c>
      <c r="D183" s="143" t="s">
        <v>1436</v>
      </c>
      <c r="E183" s="145" t="s">
        <v>1437</v>
      </c>
      <c r="F183" s="146"/>
      <c r="G183" s="143" t="s">
        <v>1438</v>
      </c>
      <c r="H183" s="143" t="s">
        <v>1439</v>
      </c>
      <c r="I183" s="143"/>
      <c r="J183" s="143"/>
      <c r="K183" s="143"/>
      <c r="L183" s="143" t="s">
        <v>1440</v>
      </c>
      <c r="M183" s="143" t="s">
        <v>43</v>
      </c>
      <c r="N183" s="143" t="s">
        <v>1441</v>
      </c>
      <c r="O183" s="147">
        <v>2032992492</v>
      </c>
      <c r="P183" s="148">
        <v>46891008</v>
      </c>
      <c r="Q183" s="148">
        <v>15000000</v>
      </c>
      <c r="R183" s="150"/>
      <c r="S183" s="147">
        <f t="shared" si="5"/>
        <v>2094883500</v>
      </c>
      <c r="T183" s="158">
        <v>2032992492</v>
      </c>
      <c r="U183" s="151">
        <v>46891008</v>
      </c>
      <c r="V183" s="147">
        <v>15000000</v>
      </c>
      <c r="W183" s="143"/>
      <c r="X183" s="143"/>
      <c r="Y183" s="152">
        <f t="shared" ref="Y183:AB183" si="345">AD183-T183</f>
        <v>0</v>
      </c>
      <c r="Z183" s="151">
        <f t="shared" si="345"/>
        <v>0</v>
      </c>
      <c r="AA183" s="151">
        <f t="shared" si="345"/>
        <v>0</v>
      </c>
      <c r="AB183" s="151">
        <f t="shared" si="345"/>
        <v>0</v>
      </c>
      <c r="AC183" s="143"/>
      <c r="AD183" s="149">
        <v>2032992492</v>
      </c>
      <c r="AE183" s="148">
        <v>46891008</v>
      </c>
      <c r="AF183" s="148">
        <v>15000000</v>
      </c>
      <c r="AG183" s="150"/>
      <c r="AH183" s="143">
        <f t="shared" si="7"/>
        <v>0</v>
      </c>
      <c r="AI183" s="151"/>
      <c r="AJ183" s="151">
        <f t="shared" ref="AJ183:AL183" si="346">P183-AE183</f>
        <v>0</v>
      </c>
      <c r="AK183" s="151">
        <f t="shared" si="346"/>
        <v>0</v>
      </c>
      <c r="AL183" s="151">
        <f t="shared" si="346"/>
        <v>0</v>
      </c>
      <c r="AM183" s="145"/>
      <c r="AN183" s="139"/>
      <c r="AO183" s="139"/>
      <c r="AP183" s="139"/>
      <c r="AQ183" s="145"/>
      <c r="AR183" s="145"/>
    </row>
    <row r="184" spans="1:44" s="156" customFormat="1" ht="31.5" x14ac:dyDescent="0.25">
      <c r="A184" s="143" t="s">
        <v>52</v>
      </c>
      <c r="B184" s="144">
        <v>171</v>
      </c>
      <c r="C184" s="143" t="s">
        <v>386</v>
      </c>
      <c r="D184" s="143" t="s">
        <v>1448</v>
      </c>
      <c r="E184" s="145"/>
      <c r="F184" s="146"/>
      <c r="G184" s="143" t="s">
        <v>1449</v>
      </c>
      <c r="H184" s="143"/>
      <c r="I184" s="143"/>
      <c r="J184" s="143"/>
      <c r="K184" s="143"/>
      <c r="L184" s="143" t="s">
        <v>1450</v>
      </c>
      <c r="M184" s="143" t="s">
        <v>43</v>
      </c>
      <c r="N184" s="143" t="s">
        <v>1451</v>
      </c>
      <c r="O184" s="147">
        <v>3992486323</v>
      </c>
      <c r="P184" s="150"/>
      <c r="Q184" s="148">
        <v>7500000</v>
      </c>
      <c r="R184" s="150"/>
      <c r="S184" s="147">
        <f t="shared" si="5"/>
        <v>3999986323</v>
      </c>
      <c r="T184" s="158">
        <v>3992486323</v>
      </c>
      <c r="U184" s="143"/>
      <c r="V184" s="147">
        <v>7500000</v>
      </c>
      <c r="W184" s="143"/>
      <c r="X184" s="143"/>
      <c r="Y184" s="152">
        <f t="shared" ref="Y184:AB184" si="347">AD184-T184</f>
        <v>0</v>
      </c>
      <c r="Z184" s="151">
        <f t="shared" si="347"/>
        <v>0</v>
      </c>
      <c r="AA184" s="151">
        <f t="shared" si="347"/>
        <v>0</v>
      </c>
      <c r="AB184" s="143">
        <f t="shared" si="347"/>
        <v>0</v>
      </c>
      <c r="AC184" s="143"/>
      <c r="AD184" s="149">
        <v>3992486323</v>
      </c>
      <c r="AE184" s="150"/>
      <c r="AF184" s="148">
        <v>7500000</v>
      </c>
      <c r="AG184" s="145"/>
      <c r="AH184" s="143">
        <f t="shared" si="7"/>
        <v>0</v>
      </c>
      <c r="AI184" s="151"/>
      <c r="AJ184" s="151">
        <f t="shared" ref="AJ184:AL184" si="348">P184-AE184</f>
        <v>0</v>
      </c>
      <c r="AK184" s="151">
        <f t="shared" si="348"/>
        <v>0</v>
      </c>
      <c r="AL184" s="151">
        <f t="shared" si="348"/>
        <v>0</v>
      </c>
      <c r="AM184" s="145"/>
      <c r="AN184" s="139"/>
      <c r="AO184" s="139"/>
      <c r="AP184" s="139"/>
      <c r="AQ184" s="145"/>
      <c r="AR184" s="145"/>
    </row>
    <row r="185" spans="1:44" s="156" customFormat="1" ht="31.5" x14ac:dyDescent="0.25">
      <c r="A185" s="143" t="s">
        <v>60</v>
      </c>
      <c r="B185" s="144">
        <v>172</v>
      </c>
      <c r="C185" s="143" t="s">
        <v>386</v>
      </c>
      <c r="D185" s="143" t="s">
        <v>1457</v>
      </c>
      <c r="E185" s="145"/>
      <c r="F185" s="146"/>
      <c r="G185" s="143" t="s">
        <v>1458</v>
      </c>
      <c r="H185" s="143"/>
      <c r="I185" s="143"/>
      <c r="J185" s="143"/>
      <c r="K185" s="143"/>
      <c r="L185" s="143" t="s">
        <v>1459</v>
      </c>
      <c r="M185" s="143" t="s">
        <v>43</v>
      </c>
      <c r="N185" s="143" t="s">
        <v>1460</v>
      </c>
      <c r="O185" s="147">
        <v>729829000</v>
      </c>
      <c r="P185" s="150"/>
      <c r="Q185" s="148">
        <v>7500000</v>
      </c>
      <c r="R185" s="150"/>
      <c r="S185" s="147">
        <f t="shared" si="5"/>
        <v>737329000</v>
      </c>
      <c r="T185" s="158">
        <v>729829000</v>
      </c>
      <c r="U185" s="143"/>
      <c r="V185" s="147">
        <v>7500000</v>
      </c>
      <c r="W185" s="143"/>
      <c r="X185" s="143"/>
      <c r="Y185" s="152">
        <f t="shared" ref="Y185:AB185" si="349">AD185-T185</f>
        <v>0</v>
      </c>
      <c r="Z185" s="151">
        <f t="shared" si="349"/>
        <v>0</v>
      </c>
      <c r="AA185" s="151">
        <f t="shared" si="349"/>
        <v>0</v>
      </c>
      <c r="AB185" s="152">
        <f t="shared" si="349"/>
        <v>0</v>
      </c>
      <c r="AC185" s="143"/>
      <c r="AD185" s="149">
        <v>729829000</v>
      </c>
      <c r="AE185" s="150"/>
      <c r="AF185" s="148">
        <v>7500000</v>
      </c>
      <c r="AG185" s="155"/>
      <c r="AH185" s="143">
        <f t="shared" si="7"/>
        <v>0</v>
      </c>
      <c r="AI185" s="151"/>
      <c r="AJ185" s="151">
        <f t="shared" ref="AJ185:AL185" si="350">P185-AE185</f>
        <v>0</v>
      </c>
      <c r="AK185" s="151">
        <f t="shared" si="350"/>
        <v>0</v>
      </c>
      <c r="AL185" s="151">
        <f t="shared" si="350"/>
        <v>0</v>
      </c>
      <c r="AM185" s="145"/>
      <c r="AN185" s="139"/>
      <c r="AO185" s="139"/>
      <c r="AP185" s="139"/>
      <c r="AQ185" s="145"/>
      <c r="AR185" s="145"/>
    </row>
    <row r="186" spans="1:44" s="156" customFormat="1" ht="31.5" x14ac:dyDescent="0.25">
      <c r="A186" s="143" t="s">
        <v>46</v>
      </c>
      <c r="B186" s="144">
        <v>173</v>
      </c>
      <c r="C186" s="143" t="s">
        <v>386</v>
      </c>
      <c r="D186" s="143" t="s">
        <v>1466</v>
      </c>
      <c r="E186" s="145"/>
      <c r="F186" s="146"/>
      <c r="G186" s="143" t="s">
        <v>1467</v>
      </c>
      <c r="H186" s="143"/>
      <c r="I186" s="143"/>
      <c r="J186" s="143"/>
      <c r="K186" s="143"/>
      <c r="L186" s="143" t="s">
        <v>1468</v>
      </c>
      <c r="M186" s="143" t="s">
        <v>43</v>
      </c>
      <c r="N186" s="143" t="s">
        <v>1469</v>
      </c>
      <c r="O186" s="147">
        <v>124266760</v>
      </c>
      <c r="P186" s="150"/>
      <c r="Q186" s="148">
        <v>7500000</v>
      </c>
      <c r="R186" s="150"/>
      <c r="S186" s="147">
        <f t="shared" si="5"/>
        <v>131766760</v>
      </c>
      <c r="T186" s="158">
        <v>124266760</v>
      </c>
      <c r="U186" s="143"/>
      <c r="V186" s="147">
        <v>7500000</v>
      </c>
      <c r="W186" s="143"/>
      <c r="X186" s="143"/>
      <c r="Y186" s="152">
        <f t="shared" ref="Y186:AB186" si="351">AD186-T186</f>
        <v>0</v>
      </c>
      <c r="Z186" s="151">
        <f t="shared" si="351"/>
        <v>0</v>
      </c>
      <c r="AA186" s="151">
        <f t="shared" si="351"/>
        <v>0</v>
      </c>
      <c r="AB186" s="151">
        <f t="shared" si="351"/>
        <v>0</v>
      </c>
      <c r="AC186" s="143"/>
      <c r="AD186" s="149">
        <v>124266760</v>
      </c>
      <c r="AE186" s="150"/>
      <c r="AF186" s="148">
        <v>7500000</v>
      </c>
      <c r="AG186" s="150"/>
      <c r="AH186" s="143">
        <f t="shared" si="7"/>
        <v>0</v>
      </c>
      <c r="AI186" s="151"/>
      <c r="AJ186" s="151">
        <f t="shared" ref="AJ186:AL186" si="352">P186-AE186</f>
        <v>0</v>
      </c>
      <c r="AK186" s="151">
        <f t="shared" si="352"/>
        <v>0</v>
      </c>
      <c r="AL186" s="151">
        <f t="shared" si="352"/>
        <v>0</v>
      </c>
      <c r="AM186" s="145"/>
      <c r="AN186" s="139"/>
      <c r="AO186" s="139"/>
      <c r="AP186" s="139"/>
      <c r="AQ186" s="145"/>
      <c r="AR186" s="145"/>
    </row>
    <row r="187" spans="1:44" s="156" customFormat="1" ht="78.75" x14ac:dyDescent="0.25">
      <c r="A187" s="143" t="s">
        <v>60</v>
      </c>
      <c r="B187" s="144">
        <v>174</v>
      </c>
      <c r="C187" s="143" t="s">
        <v>386</v>
      </c>
      <c r="D187" s="143" t="s">
        <v>1470</v>
      </c>
      <c r="E187" s="145"/>
      <c r="F187" s="146"/>
      <c r="G187" s="143" t="s">
        <v>1472</v>
      </c>
      <c r="H187" s="143"/>
      <c r="I187" s="143"/>
      <c r="J187" s="143"/>
      <c r="K187" s="143"/>
      <c r="L187" s="143" t="s">
        <v>1474</v>
      </c>
      <c r="M187" s="143" t="s">
        <v>43</v>
      </c>
      <c r="N187" s="143" t="s">
        <v>1476</v>
      </c>
      <c r="O187" s="147"/>
      <c r="P187" s="150"/>
      <c r="Q187" s="148">
        <v>7500000</v>
      </c>
      <c r="R187" s="150"/>
      <c r="S187" s="147">
        <f t="shared" si="5"/>
        <v>7500000</v>
      </c>
      <c r="T187" s="144">
        <v>0</v>
      </c>
      <c r="U187" s="143"/>
      <c r="V187" s="157"/>
      <c r="W187" s="143"/>
      <c r="X187" s="143"/>
      <c r="Y187" s="151">
        <f t="shared" ref="Y187:AB187" si="353">AD187-T187</f>
        <v>0</v>
      </c>
      <c r="Z187" s="151">
        <f t="shared" si="353"/>
        <v>0</v>
      </c>
      <c r="AA187" s="151">
        <f t="shared" si="353"/>
        <v>0</v>
      </c>
      <c r="AB187" s="152">
        <f t="shared" si="353"/>
        <v>0</v>
      </c>
      <c r="AC187" s="143"/>
      <c r="AD187" s="148">
        <v>0</v>
      </c>
      <c r="AE187" s="150"/>
      <c r="AF187" s="150"/>
      <c r="AG187" s="155"/>
      <c r="AH187" s="143">
        <f t="shared" si="7"/>
        <v>0</v>
      </c>
      <c r="AI187" s="151"/>
      <c r="AJ187" s="151">
        <f t="shared" ref="AJ187:AL187" si="354">P187-AE187</f>
        <v>0</v>
      </c>
      <c r="AK187" s="151">
        <f t="shared" si="354"/>
        <v>7500000</v>
      </c>
      <c r="AL187" s="151">
        <f t="shared" si="354"/>
        <v>0</v>
      </c>
      <c r="AM187" s="145"/>
      <c r="AN187" s="139"/>
      <c r="AO187" s="139"/>
      <c r="AP187" s="162" t="s">
        <v>2159</v>
      </c>
      <c r="AQ187" s="145"/>
      <c r="AR187" s="145"/>
    </row>
    <row r="188" spans="1:44" s="156" customFormat="1" ht="94.5" x14ac:dyDescent="0.25">
      <c r="A188" s="143" t="s">
        <v>52</v>
      </c>
      <c r="B188" s="144">
        <v>175</v>
      </c>
      <c r="C188" s="143" t="s">
        <v>386</v>
      </c>
      <c r="D188" s="143" t="s">
        <v>1478</v>
      </c>
      <c r="E188" s="145" t="s">
        <v>1479</v>
      </c>
      <c r="F188" s="146"/>
      <c r="G188" s="143" t="s">
        <v>1480</v>
      </c>
      <c r="H188" s="143" t="s">
        <v>1481</v>
      </c>
      <c r="I188" s="143"/>
      <c r="J188" s="143"/>
      <c r="K188" s="143"/>
      <c r="L188" s="143" t="s">
        <v>1482</v>
      </c>
      <c r="M188" s="143" t="s">
        <v>43</v>
      </c>
      <c r="N188" s="143" t="s">
        <v>1483</v>
      </c>
      <c r="O188" s="147">
        <v>2265222670</v>
      </c>
      <c r="P188" s="148">
        <f>50549184+502318200</f>
        <v>552867384</v>
      </c>
      <c r="Q188" s="148">
        <v>7500000</v>
      </c>
      <c r="R188" s="150"/>
      <c r="S188" s="147">
        <f t="shared" si="5"/>
        <v>2825590054</v>
      </c>
      <c r="T188" s="143"/>
      <c r="U188" s="143"/>
      <c r="V188" s="157"/>
      <c r="W188" s="143"/>
      <c r="X188" s="143"/>
      <c r="Y188" s="151">
        <f t="shared" ref="Y188:AB188" si="355">AD188-T188</f>
        <v>0</v>
      </c>
      <c r="Z188" s="151">
        <f t="shared" si="355"/>
        <v>0</v>
      </c>
      <c r="AA188" s="151">
        <f t="shared" si="355"/>
        <v>0</v>
      </c>
      <c r="AB188" s="151">
        <f t="shared" si="355"/>
        <v>0</v>
      </c>
      <c r="AC188" s="143"/>
      <c r="AD188" s="150"/>
      <c r="AE188" s="150"/>
      <c r="AF188" s="150"/>
      <c r="AG188" s="150"/>
      <c r="AH188" s="143">
        <f t="shared" si="7"/>
        <v>0</v>
      </c>
      <c r="AI188" s="151">
        <v>2265222670</v>
      </c>
      <c r="AJ188" s="151">
        <f t="shared" ref="AJ188:AL188" si="356">P188-AE188</f>
        <v>552867384</v>
      </c>
      <c r="AK188" s="151">
        <f t="shared" si="356"/>
        <v>7500000</v>
      </c>
      <c r="AL188" s="151">
        <f t="shared" si="356"/>
        <v>0</v>
      </c>
      <c r="AM188" s="148">
        <v>2818090054</v>
      </c>
      <c r="AN188" s="159" t="s">
        <v>2160</v>
      </c>
      <c r="AO188" s="176" t="s">
        <v>2162</v>
      </c>
      <c r="AP188" s="168" t="s">
        <v>2160</v>
      </c>
      <c r="AQ188" s="219"/>
      <c r="AR188" s="218"/>
    </row>
    <row r="189" spans="1:44" s="156" customFormat="1" ht="31.5" x14ac:dyDescent="0.25">
      <c r="A189" s="143" t="s">
        <v>46</v>
      </c>
      <c r="B189" s="144">
        <v>176</v>
      </c>
      <c r="C189" s="143" t="s">
        <v>386</v>
      </c>
      <c r="D189" s="143" t="s">
        <v>1488</v>
      </c>
      <c r="E189" s="145"/>
      <c r="F189" s="146"/>
      <c r="G189" s="143" t="s">
        <v>1489</v>
      </c>
      <c r="H189" s="143"/>
      <c r="I189" s="143"/>
      <c r="J189" s="143"/>
      <c r="K189" s="143"/>
      <c r="L189" s="143" t="s">
        <v>1490</v>
      </c>
      <c r="M189" s="143" t="s">
        <v>43</v>
      </c>
      <c r="N189" s="143" t="s">
        <v>1491</v>
      </c>
      <c r="O189" s="147">
        <v>10643430</v>
      </c>
      <c r="P189" s="150"/>
      <c r="Q189" s="148">
        <v>7500000</v>
      </c>
      <c r="R189" s="150"/>
      <c r="S189" s="147">
        <f t="shared" si="5"/>
        <v>18143430</v>
      </c>
      <c r="T189" s="158">
        <v>10643430</v>
      </c>
      <c r="U189" s="143"/>
      <c r="V189" s="147">
        <v>7500000</v>
      </c>
      <c r="W189" s="143"/>
      <c r="X189" s="143"/>
      <c r="Y189" s="152">
        <f t="shared" ref="Y189:AB189" si="357">AD189-T189</f>
        <v>0</v>
      </c>
      <c r="Z189" s="151">
        <f t="shared" si="357"/>
        <v>0</v>
      </c>
      <c r="AA189" s="151">
        <f t="shared" si="357"/>
        <v>0</v>
      </c>
      <c r="AB189" s="151">
        <f t="shared" si="357"/>
        <v>0</v>
      </c>
      <c r="AC189" s="143"/>
      <c r="AD189" s="149">
        <v>10643430</v>
      </c>
      <c r="AE189" s="150"/>
      <c r="AF189" s="148">
        <v>7500000</v>
      </c>
      <c r="AG189" s="150"/>
      <c r="AH189" s="143">
        <f t="shared" si="7"/>
        <v>0</v>
      </c>
      <c r="AI189" s="151"/>
      <c r="AJ189" s="151">
        <f t="shared" ref="AJ189:AL189" si="358">P189-AE189</f>
        <v>0</v>
      </c>
      <c r="AK189" s="151">
        <f t="shared" si="358"/>
        <v>0</v>
      </c>
      <c r="AL189" s="151">
        <f t="shared" si="358"/>
        <v>0</v>
      </c>
      <c r="AM189" s="145"/>
      <c r="AN189" s="139"/>
      <c r="AO189" s="139"/>
      <c r="AP189" s="139"/>
      <c r="AQ189" s="145"/>
      <c r="AR189" s="145"/>
    </row>
    <row r="190" spans="1:44" s="156" customFormat="1" ht="31.5" x14ac:dyDescent="0.25">
      <c r="A190" s="143" t="s">
        <v>52</v>
      </c>
      <c r="B190" s="144">
        <v>177</v>
      </c>
      <c r="C190" s="143" t="s">
        <v>386</v>
      </c>
      <c r="D190" s="143" t="s">
        <v>1498</v>
      </c>
      <c r="E190" s="145"/>
      <c r="F190" s="146"/>
      <c r="G190" s="143" t="s">
        <v>1499</v>
      </c>
      <c r="H190" s="143"/>
      <c r="I190" s="143"/>
      <c r="J190" s="143"/>
      <c r="K190" s="143"/>
      <c r="L190" s="143" t="s">
        <v>1500</v>
      </c>
      <c r="M190" s="143" t="s">
        <v>43</v>
      </c>
      <c r="N190" s="143" t="s">
        <v>1501</v>
      </c>
      <c r="O190" s="147">
        <v>8918600276</v>
      </c>
      <c r="P190" s="150"/>
      <c r="Q190" s="148">
        <v>15000000</v>
      </c>
      <c r="R190" s="150"/>
      <c r="S190" s="147">
        <f t="shared" si="5"/>
        <v>8933600276</v>
      </c>
      <c r="T190" s="158">
        <v>8918600276</v>
      </c>
      <c r="U190" s="143"/>
      <c r="V190" s="147">
        <v>15000000</v>
      </c>
      <c r="W190" s="143"/>
      <c r="X190" s="143"/>
      <c r="Y190" s="152">
        <f t="shared" ref="Y190:AB190" si="359">AD190-T190</f>
        <v>0</v>
      </c>
      <c r="Z190" s="151">
        <f t="shared" si="359"/>
        <v>0</v>
      </c>
      <c r="AA190" s="151">
        <f t="shared" si="359"/>
        <v>0</v>
      </c>
      <c r="AB190" s="151">
        <f t="shared" si="359"/>
        <v>0</v>
      </c>
      <c r="AC190" s="143"/>
      <c r="AD190" s="149">
        <v>8918600276</v>
      </c>
      <c r="AE190" s="150"/>
      <c r="AF190" s="148">
        <v>15000000</v>
      </c>
      <c r="AG190" s="150"/>
      <c r="AH190" s="143">
        <f t="shared" si="7"/>
        <v>0</v>
      </c>
      <c r="AI190" s="151"/>
      <c r="AJ190" s="151">
        <f t="shared" ref="AJ190:AL190" si="360">P190-AE190</f>
        <v>0</v>
      </c>
      <c r="AK190" s="151">
        <f t="shared" si="360"/>
        <v>0</v>
      </c>
      <c r="AL190" s="151">
        <f t="shared" si="360"/>
        <v>0</v>
      </c>
      <c r="AM190" s="145"/>
      <c r="AN190" s="139"/>
      <c r="AO190" s="139"/>
      <c r="AP190" s="139"/>
      <c r="AQ190" s="145"/>
      <c r="AR190" s="145"/>
    </row>
    <row r="191" spans="1:44" s="156" customFormat="1" ht="47.25" x14ac:dyDescent="0.25">
      <c r="A191" s="143" t="s">
        <v>52</v>
      </c>
      <c r="B191" s="144">
        <v>178</v>
      </c>
      <c r="C191" s="143" t="s">
        <v>386</v>
      </c>
      <c r="D191" s="143" t="s">
        <v>1506</v>
      </c>
      <c r="E191" s="145" t="s">
        <v>156</v>
      </c>
      <c r="F191" s="146"/>
      <c r="G191" s="143" t="s">
        <v>1507</v>
      </c>
      <c r="H191" s="143" t="s">
        <v>405</v>
      </c>
      <c r="I191" s="143"/>
      <c r="J191" s="143"/>
      <c r="K191" s="143"/>
      <c r="L191" s="143" t="s">
        <v>1508</v>
      </c>
      <c r="M191" s="143" t="s">
        <v>43</v>
      </c>
      <c r="N191" s="143" t="s">
        <v>1509</v>
      </c>
      <c r="O191" s="147">
        <v>1981953376</v>
      </c>
      <c r="P191" s="174">
        <v>93049344</v>
      </c>
      <c r="Q191" s="148">
        <v>15000000</v>
      </c>
      <c r="R191" s="150"/>
      <c r="S191" s="147">
        <f t="shared" si="5"/>
        <v>2090002720</v>
      </c>
      <c r="T191" s="158">
        <v>1981953376</v>
      </c>
      <c r="U191" s="158">
        <v>93049344</v>
      </c>
      <c r="V191" s="147">
        <v>15000000</v>
      </c>
      <c r="W191" s="143"/>
      <c r="X191" s="143"/>
      <c r="Y191" s="152">
        <f t="shared" ref="Y191:AB191" si="361">AD191-T191</f>
        <v>0</v>
      </c>
      <c r="Z191" s="151">
        <f t="shared" si="361"/>
        <v>0</v>
      </c>
      <c r="AA191" s="151">
        <f t="shared" si="361"/>
        <v>0</v>
      </c>
      <c r="AB191" s="151">
        <f t="shared" si="361"/>
        <v>0</v>
      </c>
      <c r="AC191" s="143"/>
      <c r="AD191" s="149">
        <v>1981953376</v>
      </c>
      <c r="AE191" s="174">
        <v>93049344</v>
      </c>
      <c r="AF191" s="148">
        <v>15000000</v>
      </c>
      <c r="AG191" s="160"/>
      <c r="AH191" s="143">
        <f t="shared" si="7"/>
        <v>0</v>
      </c>
      <c r="AI191" s="151"/>
      <c r="AJ191" s="151">
        <f t="shared" ref="AJ191:AL191" si="362">P191-AE191</f>
        <v>0</v>
      </c>
      <c r="AK191" s="151">
        <f t="shared" si="362"/>
        <v>0</v>
      </c>
      <c r="AL191" s="151">
        <f t="shared" si="362"/>
        <v>0</v>
      </c>
      <c r="AM191" s="145"/>
      <c r="AN191" s="139"/>
      <c r="AO191" s="139"/>
      <c r="AP191" s="139"/>
      <c r="AQ191" s="145"/>
      <c r="AR191" s="145"/>
    </row>
    <row r="192" spans="1:44" s="156" customFormat="1" ht="31.5" x14ac:dyDescent="0.25">
      <c r="A192" s="143" t="s">
        <v>60</v>
      </c>
      <c r="B192" s="144">
        <v>179</v>
      </c>
      <c r="C192" s="143" t="s">
        <v>386</v>
      </c>
      <c r="D192" s="143" t="s">
        <v>1514</v>
      </c>
      <c r="E192" s="145"/>
      <c r="F192" s="146"/>
      <c r="G192" s="143" t="s">
        <v>859</v>
      </c>
      <c r="H192" s="143"/>
      <c r="I192" s="143"/>
      <c r="J192" s="143"/>
      <c r="K192" s="143"/>
      <c r="L192" s="143" t="s">
        <v>1515</v>
      </c>
      <c r="M192" s="143" t="s">
        <v>43</v>
      </c>
      <c r="N192" s="143" t="s">
        <v>274</v>
      </c>
      <c r="O192" s="147">
        <v>10000000</v>
      </c>
      <c r="P192" s="150"/>
      <c r="Q192" s="148">
        <v>15000000</v>
      </c>
      <c r="R192" s="150"/>
      <c r="S192" s="147">
        <f t="shared" si="5"/>
        <v>25000000</v>
      </c>
      <c r="T192" s="151">
        <v>10000000</v>
      </c>
      <c r="U192" s="143"/>
      <c r="V192" s="147">
        <v>15000000</v>
      </c>
      <c r="W192" s="143"/>
      <c r="X192" s="143"/>
      <c r="Y192" s="152">
        <f t="shared" ref="Y192:AB192" si="363">AD192-T192</f>
        <v>0</v>
      </c>
      <c r="Z192" s="151">
        <f t="shared" si="363"/>
        <v>0</v>
      </c>
      <c r="AA192" s="151">
        <f t="shared" si="363"/>
        <v>0</v>
      </c>
      <c r="AB192" s="152">
        <f t="shared" si="363"/>
        <v>0</v>
      </c>
      <c r="AC192" s="143"/>
      <c r="AD192" s="155">
        <v>10000000</v>
      </c>
      <c r="AE192" s="150"/>
      <c r="AF192" s="148">
        <v>15000000</v>
      </c>
      <c r="AG192" s="155"/>
      <c r="AH192" s="143">
        <f t="shared" si="7"/>
        <v>0</v>
      </c>
      <c r="AI192" s="151"/>
      <c r="AJ192" s="151">
        <f t="shared" ref="AJ192:AL192" si="364">P192-AE192</f>
        <v>0</v>
      </c>
      <c r="AK192" s="151">
        <f t="shared" si="364"/>
        <v>0</v>
      </c>
      <c r="AL192" s="151">
        <f t="shared" si="364"/>
        <v>0</v>
      </c>
      <c r="AM192" s="145"/>
      <c r="AN192" s="139"/>
      <c r="AO192" s="139"/>
      <c r="AP192" s="139"/>
      <c r="AQ192" s="145"/>
      <c r="AR192" s="145"/>
    </row>
    <row r="193" spans="1:44" s="156" customFormat="1" ht="31.5" x14ac:dyDescent="0.25">
      <c r="A193" s="143" t="s">
        <v>60</v>
      </c>
      <c r="B193" s="144">
        <v>180</v>
      </c>
      <c r="C193" s="143" t="s">
        <v>386</v>
      </c>
      <c r="D193" s="143" t="s">
        <v>1520</v>
      </c>
      <c r="E193" s="145"/>
      <c r="F193" s="146"/>
      <c r="G193" s="143" t="s">
        <v>1521</v>
      </c>
      <c r="H193" s="143"/>
      <c r="I193" s="143"/>
      <c r="J193" s="143"/>
      <c r="K193" s="143"/>
      <c r="L193" s="143" t="s">
        <v>1522</v>
      </c>
      <c r="M193" s="143" t="s">
        <v>43</v>
      </c>
      <c r="N193" s="143" t="s">
        <v>1523</v>
      </c>
      <c r="O193" s="147">
        <v>10000000</v>
      </c>
      <c r="P193" s="150"/>
      <c r="Q193" s="148">
        <v>15000000</v>
      </c>
      <c r="R193" s="150"/>
      <c r="S193" s="147">
        <f t="shared" si="5"/>
        <v>25000000</v>
      </c>
      <c r="T193" s="151">
        <v>10000000</v>
      </c>
      <c r="U193" s="143"/>
      <c r="V193" s="147">
        <v>15000000</v>
      </c>
      <c r="W193" s="143"/>
      <c r="X193" s="143"/>
      <c r="Y193" s="152">
        <f t="shared" ref="Y193:AB193" si="365">AD193-T193</f>
        <v>0</v>
      </c>
      <c r="Z193" s="151">
        <f t="shared" si="365"/>
        <v>0</v>
      </c>
      <c r="AA193" s="151">
        <f t="shared" si="365"/>
        <v>0</v>
      </c>
      <c r="AB193" s="152">
        <f t="shared" si="365"/>
        <v>0</v>
      </c>
      <c r="AC193" s="143"/>
      <c r="AD193" s="155">
        <v>10000000</v>
      </c>
      <c r="AE193" s="150"/>
      <c r="AF193" s="148">
        <v>15000000</v>
      </c>
      <c r="AG193" s="155"/>
      <c r="AH193" s="143">
        <f t="shared" si="7"/>
        <v>0</v>
      </c>
      <c r="AI193" s="151"/>
      <c r="AJ193" s="151">
        <f t="shared" ref="AJ193:AL193" si="366">P193-AE193</f>
        <v>0</v>
      </c>
      <c r="AK193" s="151">
        <f t="shared" si="366"/>
        <v>0</v>
      </c>
      <c r="AL193" s="151">
        <f t="shared" si="366"/>
        <v>0</v>
      </c>
      <c r="AM193" s="145"/>
      <c r="AN193" s="139"/>
      <c r="AO193" s="139"/>
      <c r="AP193" s="139"/>
      <c r="AQ193" s="145"/>
      <c r="AR193" s="145"/>
    </row>
    <row r="194" spans="1:44" s="156" customFormat="1" ht="47.25" x14ac:dyDescent="0.25">
      <c r="A194" s="143" t="s">
        <v>60</v>
      </c>
      <c r="B194" s="144">
        <v>181</v>
      </c>
      <c r="C194" s="143" t="s">
        <v>386</v>
      </c>
      <c r="D194" s="143" t="s">
        <v>387</v>
      </c>
      <c r="E194" s="145" t="s">
        <v>156</v>
      </c>
      <c r="F194" s="145" t="s">
        <v>388</v>
      </c>
      <c r="G194" s="143" t="s">
        <v>389</v>
      </c>
      <c r="H194" s="143" t="s">
        <v>390</v>
      </c>
      <c r="I194" s="143"/>
      <c r="J194" s="143"/>
      <c r="K194" s="164"/>
      <c r="L194" s="143" t="s">
        <v>391</v>
      </c>
      <c r="M194" s="143" t="s">
        <v>43</v>
      </c>
      <c r="N194" s="143" t="s">
        <v>392</v>
      </c>
      <c r="O194" s="147">
        <v>14532544980</v>
      </c>
      <c r="P194" s="174">
        <v>643772000</v>
      </c>
      <c r="Q194" s="148">
        <v>15000000</v>
      </c>
      <c r="R194" s="148">
        <v>48000000</v>
      </c>
      <c r="S194" s="147">
        <f t="shared" si="5"/>
        <v>15239316980</v>
      </c>
      <c r="T194" s="158">
        <v>14532544980</v>
      </c>
      <c r="U194" s="158">
        <v>643772000</v>
      </c>
      <c r="V194" s="147">
        <v>15000000</v>
      </c>
      <c r="W194" s="158">
        <v>48000000</v>
      </c>
      <c r="X194" s="143"/>
      <c r="Y194" s="152">
        <f t="shared" ref="Y194:AB194" si="367">AD194-T194</f>
        <v>0</v>
      </c>
      <c r="Z194" s="151">
        <f t="shared" si="367"/>
        <v>0</v>
      </c>
      <c r="AA194" s="151">
        <f t="shared" si="367"/>
        <v>0</v>
      </c>
      <c r="AB194" s="151">
        <f t="shared" si="367"/>
        <v>0</v>
      </c>
      <c r="AC194" s="143"/>
      <c r="AD194" s="149">
        <v>14532544980</v>
      </c>
      <c r="AE194" s="148">
        <v>643772000</v>
      </c>
      <c r="AF194" s="148">
        <v>15000000</v>
      </c>
      <c r="AG194" s="148">
        <v>48000000</v>
      </c>
      <c r="AH194" s="143">
        <f t="shared" si="7"/>
        <v>0</v>
      </c>
      <c r="AI194" s="151"/>
      <c r="AJ194" s="151">
        <f t="shared" ref="AJ194:AL194" si="368">P194-AE194</f>
        <v>0</v>
      </c>
      <c r="AK194" s="151">
        <f t="shared" si="368"/>
        <v>0</v>
      </c>
      <c r="AL194" s="151">
        <f t="shared" si="368"/>
        <v>0</v>
      </c>
      <c r="AM194" s="145"/>
      <c r="AN194" s="139"/>
      <c r="AO194" s="139"/>
      <c r="AP194" s="139"/>
      <c r="AQ194" s="145"/>
      <c r="AR194" s="145"/>
    </row>
    <row r="195" spans="1:44" s="156" customFormat="1" ht="94.5" x14ac:dyDescent="0.25">
      <c r="A195" s="143" t="s">
        <v>60</v>
      </c>
      <c r="B195" s="144">
        <v>182</v>
      </c>
      <c r="C195" s="143" t="s">
        <v>1018</v>
      </c>
      <c r="D195" s="143" t="s">
        <v>1537</v>
      </c>
      <c r="E195" s="145" t="s">
        <v>1538</v>
      </c>
      <c r="F195" s="146"/>
      <c r="G195" s="143" t="s">
        <v>431</v>
      </c>
      <c r="H195" s="143" t="s">
        <v>1539</v>
      </c>
      <c r="I195" s="143"/>
      <c r="J195" s="143"/>
      <c r="K195" s="143"/>
      <c r="L195" s="143" t="s">
        <v>1541</v>
      </c>
      <c r="M195" s="143" t="s">
        <v>43</v>
      </c>
      <c r="N195" s="143" t="s">
        <v>1544</v>
      </c>
      <c r="O195" s="147">
        <v>336768568</v>
      </c>
      <c r="P195" s="148">
        <f>116040254+25758000</f>
        <v>141798254</v>
      </c>
      <c r="Q195" s="148">
        <v>7500000</v>
      </c>
      <c r="R195" s="150"/>
      <c r="S195" s="147">
        <f t="shared" si="5"/>
        <v>486066822</v>
      </c>
      <c r="T195" s="158">
        <v>336768568</v>
      </c>
      <c r="U195" s="158">
        <v>141798254</v>
      </c>
      <c r="V195" s="147">
        <v>7500000</v>
      </c>
      <c r="W195" s="143"/>
      <c r="X195" s="143"/>
      <c r="Y195" s="152">
        <f t="shared" ref="Y195:AB195" si="369">AD195-T195</f>
        <v>0</v>
      </c>
      <c r="Z195" s="151">
        <f t="shared" si="369"/>
        <v>0</v>
      </c>
      <c r="AA195" s="151">
        <f t="shared" si="369"/>
        <v>0</v>
      </c>
      <c r="AB195" s="151">
        <f t="shared" si="369"/>
        <v>0</v>
      </c>
      <c r="AC195" s="143"/>
      <c r="AD195" s="149">
        <v>336768568</v>
      </c>
      <c r="AE195" s="148">
        <f>116040254+25758000</f>
        <v>141798254</v>
      </c>
      <c r="AF195" s="148">
        <v>7500000</v>
      </c>
      <c r="AG195" s="150"/>
      <c r="AH195" s="143">
        <f t="shared" si="7"/>
        <v>0</v>
      </c>
      <c r="AI195" s="151"/>
      <c r="AJ195" s="151">
        <f t="shared" ref="AJ195:AL195" si="370">P195-AE195</f>
        <v>0</v>
      </c>
      <c r="AK195" s="151">
        <f t="shared" si="370"/>
        <v>0</v>
      </c>
      <c r="AL195" s="151">
        <f t="shared" si="370"/>
        <v>0</v>
      </c>
      <c r="AM195" s="145"/>
      <c r="AN195" s="139"/>
      <c r="AO195" s="139"/>
      <c r="AP195" s="139"/>
      <c r="AQ195" s="145"/>
      <c r="AR195" s="145"/>
    </row>
    <row r="196" spans="1:44" s="156" customFormat="1" ht="31.5" x14ac:dyDescent="0.25">
      <c r="A196" s="143" t="s">
        <v>60</v>
      </c>
      <c r="B196" s="144">
        <v>183</v>
      </c>
      <c r="C196" s="143" t="s">
        <v>1018</v>
      </c>
      <c r="D196" s="143" t="s">
        <v>1549</v>
      </c>
      <c r="E196" s="145"/>
      <c r="F196" s="146"/>
      <c r="G196" s="143" t="s">
        <v>1550</v>
      </c>
      <c r="H196" s="143"/>
      <c r="I196" s="143"/>
      <c r="J196" s="143"/>
      <c r="K196" s="143"/>
      <c r="L196" s="143" t="s">
        <v>1551</v>
      </c>
      <c r="M196" s="143" t="s">
        <v>43</v>
      </c>
      <c r="N196" s="143" t="s">
        <v>1553</v>
      </c>
      <c r="O196" s="147">
        <v>1710548356</v>
      </c>
      <c r="P196" s="150"/>
      <c r="Q196" s="148">
        <v>7500000</v>
      </c>
      <c r="R196" s="150"/>
      <c r="S196" s="147">
        <f t="shared" si="5"/>
        <v>1718048356</v>
      </c>
      <c r="T196" s="158">
        <v>1710548356</v>
      </c>
      <c r="U196" s="143"/>
      <c r="V196" s="157"/>
      <c r="W196" s="143"/>
      <c r="X196" s="143"/>
      <c r="Y196" s="152">
        <f t="shared" ref="Y196:AB196" si="371">AD196-T196</f>
        <v>0</v>
      </c>
      <c r="Z196" s="151">
        <f t="shared" si="371"/>
        <v>0</v>
      </c>
      <c r="AA196" s="151">
        <f t="shared" si="371"/>
        <v>0</v>
      </c>
      <c r="AB196" s="151">
        <f t="shared" si="371"/>
        <v>0</v>
      </c>
      <c r="AC196" s="143"/>
      <c r="AD196" s="149">
        <v>1710548356</v>
      </c>
      <c r="AE196" s="150"/>
      <c r="AF196" s="150"/>
      <c r="AG196" s="150"/>
      <c r="AH196" s="143">
        <f t="shared" si="7"/>
        <v>0</v>
      </c>
      <c r="AI196" s="151"/>
      <c r="AJ196" s="151">
        <f t="shared" ref="AJ196:AL196" si="372">P196-AE196</f>
        <v>0</v>
      </c>
      <c r="AK196" s="151">
        <f t="shared" si="372"/>
        <v>7500000</v>
      </c>
      <c r="AL196" s="151">
        <f t="shared" si="372"/>
        <v>0</v>
      </c>
      <c r="AM196" s="145"/>
      <c r="AN196" s="139"/>
      <c r="AO196" s="139"/>
      <c r="AP196" s="168" t="s">
        <v>1579</v>
      </c>
      <c r="AQ196" s="145"/>
      <c r="AR196" s="145"/>
    </row>
    <row r="197" spans="1:44" s="156" customFormat="1" ht="31.5" x14ac:dyDescent="0.25">
      <c r="A197" s="143" t="s">
        <v>60</v>
      </c>
      <c r="B197" s="144">
        <v>184</v>
      </c>
      <c r="C197" s="143" t="s">
        <v>1018</v>
      </c>
      <c r="D197" s="143" t="s">
        <v>1560</v>
      </c>
      <c r="E197" s="145"/>
      <c r="F197" s="146"/>
      <c r="G197" s="143" t="s">
        <v>1563</v>
      </c>
      <c r="H197" s="143"/>
      <c r="I197" s="143"/>
      <c r="J197" s="143"/>
      <c r="K197" s="143"/>
      <c r="L197" s="143" t="s">
        <v>1565</v>
      </c>
      <c r="M197" s="143" t="s">
        <v>43</v>
      </c>
      <c r="N197" s="143" t="s">
        <v>1567</v>
      </c>
      <c r="O197" s="147">
        <v>2940512944</v>
      </c>
      <c r="P197" s="150"/>
      <c r="Q197" s="148">
        <v>7500000</v>
      </c>
      <c r="R197" s="150"/>
      <c r="S197" s="147">
        <f t="shared" si="5"/>
        <v>2948012944</v>
      </c>
      <c r="T197" s="158">
        <v>2940512944</v>
      </c>
      <c r="U197" s="143"/>
      <c r="V197" s="147">
        <v>7500000</v>
      </c>
      <c r="W197" s="143"/>
      <c r="X197" s="143"/>
      <c r="Y197" s="152">
        <f t="shared" ref="Y197:AB197" si="373">AD197-T197</f>
        <v>0</v>
      </c>
      <c r="Z197" s="151">
        <f t="shared" si="373"/>
        <v>0</v>
      </c>
      <c r="AA197" s="151">
        <f t="shared" si="373"/>
        <v>0</v>
      </c>
      <c r="AB197" s="151">
        <f t="shared" si="373"/>
        <v>0</v>
      </c>
      <c r="AC197" s="143"/>
      <c r="AD197" s="149">
        <v>2940512944</v>
      </c>
      <c r="AE197" s="150"/>
      <c r="AF197" s="148">
        <v>7500000</v>
      </c>
      <c r="AG197" s="150"/>
      <c r="AH197" s="143">
        <f t="shared" si="7"/>
        <v>0</v>
      </c>
      <c r="AI197" s="151"/>
      <c r="AJ197" s="151">
        <f t="shared" ref="AJ197:AL197" si="374">P197-AE197</f>
        <v>0</v>
      </c>
      <c r="AK197" s="151">
        <f t="shared" si="374"/>
        <v>0</v>
      </c>
      <c r="AL197" s="151">
        <f t="shared" si="374"/>
        <v>0</v>
      </c>
      <c r="AM197" s="145"/>
      <c r="AN197" s="139"/>
      <c r="AO197" s="139"/>
      <c r="AP197" s="139"/>
      <c r="AQ197" s="145"/>
      <c r="AR197" s="145"/>
    </row>
    <row r="198" spans="1:44" s="156" customFormat="1" ht="31.5" x14ac:dyDescent="0.25">
      <c r="A198" s="143" t="s">
        <v>60</v>
      </c>
      <c r="B198" s="144">
        <v>185</v>
      </c>
      <c r="C198" s="143" t="s">
        <v>1018</v>
      </c>
      <c r="D198" s="143" t="s">
        <v>1569</v>
      </c>
      <c r="E198" s="145"/>
      <c r="F198" s="146"/>
      <c r="G198" s="143" t="s">
        <v>931</v>
      </c>
      <c r="H198" s="143"/>
      <c r="I198" s="143"/>
      <c r="J198" s="143"/>
      <c r="K198" s="143"/>
      <c r="L198" s="143" t="s">
        <v>1570</v>
      </c>
      <c r="M198" s="143" t="s">
        <v>43</v>
      </c>
      <c r="N198" s="143" t="s">
        <v>1571</v>
      </c>
      <c r="O198" s="147">
        <v>1486137360</v>
      </c>
      <c r="P198" s="150"/>
      <c r="Q198" s="148">
        <v>7500000</v>
      </c>
      <c r="R198" s="150"/>
      <c r="S198" s="147">
        <f t="shared" si="5"/>
        <v>1493637360</v>
      </c>
      <c r="T198" s="151">
        <v>1486137360</v>
      </c>
      <c r="U198" s="143"/>
      <c r="V198" s="147">
        <v>7500000</v>
      </c>
      <c r="W198" s="143"/>
      <c r="X198" s="143"/>
      <c r="Y198" s="152">
        <f t="shared" ref="Y198:AB198" si="375">AD198-T198</f>
        <v>0</v>
      </c>
      <c r="Z198" s="151">
        <f t="shared" si="375"/>
        <v>0</v>
      </c>
      <c r="AA198" s="151">
        <f t="shared" si="375"/>
        <v>0</v>
      </c>
      <c r="AB198" s="152">
        <f t="shared" si="375"/>
        <v>0</v>
      </c>
      <c r="AC198" s="143"/>
      <c r="AD198" s="155">
        <v>1486137360</v>
      </c>
      <c r="AE198" s="150"/>
      <c r="AF198" s="148">
        <v>7500000</v>
      </c>
      <c r="AG198" s="155"/>
      <c r="AH198" s="143">
        <f t="shared" si="7"/>
        <v>0</v>
      </c>
      <c r="AI198" s="151"/>
      <c r="AJ198" s="151">
        <f t="shared" ref="AJ198:AL198" si="376">P198-AE198</f>
        <v>0</v>
      </c>
      <c r="AK198" s="151">
        <f t="shared" si="376"/>
        <v>0</v>
      </c>
      <c r="AL198" s="151">
        <f t="shared" si="376"/>
        <v>0</v>
      </c>
      <c r="AM198" s="145"/>
      <c r="AN198" s="139"/>
      <c r="AO198" s="139"/>
      <c r="AP198" s="139"/>
      <c r="AQ198" s="145"/>
      <c r="AR198" s="145"/>
    </row>
    <row r="199" spans="1:44" s="156" customFormat="1" ht="31.5" x14ac:dyDescent="0.25">
      <c r="A199" s="143" t="s">
        <v>60</v>
      </c>
      <c r="B199" s="144">
        <v>186</v>
      </c>
      <c r="C199" s="143" t="s">
        <v>1018</v>
      </c>
      <c r="D199" s="143" t="s">
        <v>1574</v>
      </c>
      <c r="E199" s="145"/>
      <c r="F199" s="146"/>
      <c r="G199" s="143" t="s">
        <v>452</v>
      </c>
      <c r="H199" s="143"/>
      <c r="I199" s="143"/>
      <c r="J199" s="143"/>
      <c r="K199" s="143"/>
      <c r="L199" s="143" t="s">
        <v>1577</v>
      </c>
      <c r="M199" s="143" t="s">
        <v>43</v>
      </c>
      <c r="N199" s="143" t="s">
        <v>1578</v>
      </c>
      <c r="O199" s="147">
        <v>7125152398</v>
      </c>
      <c r="P199" s="150"/>
      <c r="Q199" s="148">
        <v>15000000</v>
      </c>
      <c r="R199" s="150"/>
      <c r="S199" s="147">
        <f t="shared" si="5"/>
        <v>7140152398</v>
      </c>
      <c r="T199" s="158">
        <v>7125152398</v>
      </c>
      <c r="U199" s="143"/>
      <c r="V199" s="147">
        <v>15000000</v>
      </c>
      <c r="W199" s="143"/>
      <c r="X199" s="143"/>
      <c r="Y199" s="152">
        <f t="shared" ref="Y199:AB199" si="377">AD199-T199</f>
        <v>0</v>
      </c>
      <c r="Z199" s="151">
        <f t="shared" si="377"/>
        <v>0</v>
      </c>
      <c r="AA199" s="151">
        <f t="shared" si="377"/>
        <v>0</v>
      </c>
      <c r="AB199" s="151">
        <f t="shared" si="377"/>
        <v>0</v>
      </c>
      <c r="AC199" s="143"/>
      <c r="AD199" s="149">
        <v>7125152398</v>
      </c>
      <c r="AE199" s="150"/>
      <c r="AF199" s="148">
        <v>15000000</v>
      </c>
      <c r="AG199" s="150"/>
      <c r="AH199" s="143">
        <f t="shared" si="7"/>
        <v>0</v>
      </c>
      <c r="AI199" s="151"/>
      <c r="AJ199" s="151">
        <f t="shared" ref="AJ199:AL199" si="378">P199-AE199</f>
        <v>0</v>
      </c>
      <c r="AK199" s="151">
        <f t="shared" si="378"/>
        <v>0</v>
      </c>
      <c r="AL199" s="151">
        <f t="shared" si="378"/>
        <v>0</v>
      </c>
      <c r="AM199" s="145"/>
      <c r="AN199" s="139"/>
      <c r="AO199" s="139"/>
      <c r="AP199" s="139"/>
      <c r="AQ199" s="145"/>
      <c r="AR199" s="145"/>
    </row>
    <row r="200" spans="1:44" s="156" customFormat="1" ht="94.5" x14ac:dyDescent="0.25">
      <c r="A200" s="143" t="s">
        <v>60</v>
      </c>
      <c r="B200" s="144">
        <v>187</v>
      </c>
      <c r="C200" s="143" t="s">
        <v>1018</v>
      </c>
      <c r="D200" s="143" t="s">
        <v>1581</v>
      </c>
      <c r="E200" s="145" t="s">
        <v>1583</v>
      </c>
      <c r="F200" s="146"/>
      <c r="G200" s="143" t="s">
        <v>1585</v>
      </c>
      <c r="H200" s="143" t="s">
        <v>1587</v>
      </c>
      <c r="I200" s="143"/>
      <c r="J200" s="143"/>
      <c r="K200" s="143"/>
      <c r="L200" s="143" t="s">
        <v>1589</v>
      </c>
      <c r="M200" s="143" t="s">
        <v>43</v>
      </c>
      <c r="N200" s="143" t="s">
        <v>1590</v>
      </c>
      <c r="O200" s="147">
        <v>6715150664</v>
      </c>
      <c r="P200" s="169">
        <f>5861376+10000000</f>
        <v>15861376</v>
      </c>
      <c r="Q200" s="148">
        <v>15000000</v>
      </c>
      <c r="R200" s="150"/>
      <c r="S200" s="147">
        <f t="shared" si="5"/>
        <v>6746012040</v>
      </c>
      <c r="T200" s="158">
        <v>6715150664</v>
      </c>
      <c r="U200" s="158">
        <v>15861376</v>
      </c>
      <c r="V200" s="147">
        <v>15000000</v>
      </c>
      <c r="W200" s="143"/>
      <c r="X200" s="143"/>
      <c r="Y200" s="152">
        <f t="shared" ref="Y200:AB200" si="379">AD200-T200</f>
        <v>0</v>
      </c>
      <c r="Z200" s="151">
        <f t="shared" si="379"/>
        <v>0</v>
      </c>
      <c r="AA200" s="151">
        <f t="shared" si="379"/>
        <v>0</v>
      </c>
      <c r="AB200" s="151">
        <f t="shared" si="379"/>
        <v>0</v>
      </c>
      <c r="AC200" s="143"/>
      <c r="AD200" s="149">
        <v>6715150664</v>
      </c>
      <c r="AE200" s="177">
        <f>5861376+10000000</f>
        <v>15861376</v>
      </c>
      <c r="AF200" s="148">
        <v>15000000</v>
      </c>
      <c r="AG200" s="178"/>
      <c r="AH200" s="143">
        <f t="shared" si="7"/>
        <v>0</v>
      </c>
      <c r="AI200" s="151"/>
      <c r="AJ200" s="151">
        <f t="shared" ref="AJ200:AL200" si="380">P200-AE200</f>
        <v>0</v>
      </c>
      <c r="AK200" s="151">
        <f t="shared" si="380"/>
        <v>0</v>
      </c>
      <c r="AL200" s="151">
        <f t="shared" si="380"/>
        <v>0</v>
      </c>
      <c r="AM200" s="145"/>
      <c r="AN200" s="139"/>
      <c r="AO200" s="139"/>
      <c r="AP200" s="139"/>
      <c r="AQ200" s="145"/>
      <c r="AR200" s="145"/>
    </row>
    <row r="201" spans="1:44" s="156" customFormat="1" ht="31.5" x14ac:dyDescent="0.25">
      <c r="A201" s="143" t="s">
        <v>60</v>
      </c>
      <c r="B201" s="144">
        <v>188</v>
      </c>
      <c r="C201" s="143" t="s">
        <v>1018</v>
      </c>
      <c r="D201" s="143" t="s">
        <v>1597</v>
      </c>
      <c r="E201" s="145"/>
      <c r="F201" s="146"/>
      <c r="G201" s="143" t="s">
        <v>1598</v>
      </c>
      <c r="H201" s="143" t="s">
        <v>1599</v>
      </c>
      <c r="I201" s="143"/>
      <c r="J201" s="143"/>
      <c r="K201" s="143"/>
      <c r="L201" s="143" t="s">
        <v>1600</v>
      </c>
      <c r="M201" s="143" t="s">
        <v>43</v>
      </c>
      <c r="N201" s="143" t="s">
        <v>1601</v>
      </c>
      <c r="O201" s="147">
        <v>5835879930</v>
      </c>
      <c r="P201" s="150"/>
      <c r="Q201" s="148">
        <v>15000000</v>
      </c>
      <c r="R201" s="150"/>
      <c r="S201" s="147">
        <f t="shared" si="5"/>
        <v>5850879930</v>
      </c>
      <c r="T201" s="158">
        <v>5835879930</v>
      </c>
      <c r="U201" s="143"/>
      <c r="V201" s="147">
        <v>15000000</v>
      </c>
      <c r="W201" s="143"/>
      <c r="X201" s="143"/>
      <c r="Y201" s="152">
        <f t="shared" ref="Y201:AB201" si="381">AD201-T201</f>
        <v>0</v>
      </c>
      <c r="Z201" s="151">
        <f t="shared" si="381"/>
        <v>0</v>
      </c>
      <c r="AA201" s="151">
        <f t="shared" si="381"/>
        <v>0</v>
      </c>
      <c r="AB201" s="152">
        <f t="shared" si="381"/>
        <v>0</v>
      </c>
      <c r="AC201" s="143"/>
      <c r="AD201" s="149">
        <v>5835879930</v>
      </c>
      <c r="AE201" s="150"/>
      <c r="AF201" s="148">
        <v>15000000</v>
      </c>
      <c r="AG201" s="155"/>
      <c r="AH201" s="143">
        <f t="shared" si="7"/>
        <v>0</v>
      </c>
      <c r="AI201" s="151"/>
      <c r="AJ201" s="151">
        <f t="shared" ref="AJ201:AL201" si="382">P201-AE201</f>
        <v>0</v>
      </c>
      <c r="AK201" s="151">
        <f t="shared" si="382"/>
        <v>0</v>
      </c>
      <c r="AL201" s="151">
        <f t="shared" si="382"/>
        <v>0</v>
      </c>
      <c r="AM201" s="145"/>
      <c r="AN201" s="139"/>
      <c r="AO201" s="139"/>
      <c r="AP201" s="139"/>
      <c r="AQ201" s="145"/>
      <c r="AR201" s="145"/>
    </row>
    <row r="202" spans="1:44" s="156" customFormat="1" ht="31.5" x14ac:dyDescent="0.25">
      <c r="A202" s="143" t="s">
        <v>60</v>
      </c>
      <c r="B202" s="144">
        <v>189</v>
      </c>
      <c r="C202" s="143" t="s">
        <v>1018</v>
      </c>
      <c r="D202" s="143" t="s">
        <v>1019</v>
      </c>
      <c r="E202" s="145"/>
      <c r="F202" s="145" t="s">
        <v>1012</v>
      </c>
      <c r="G202" s="143" t="s">
        <v>1020</v>
      </c>
      <c r="H202" s="143"/>
      <c r="I202" s="143"/>
      <c r="J202" s="143"/>
      <c r="K202" s="164"/>
      <c r="L202" s="143" t="s">
        <v>1021</v>
      </c>
      <c r="M202" s="143" t="s">
        <v>43</v>
      </c>
      <c r="N202" s="143" t="s">
        <v>1022</v>
      </c>
      <c r="O202" s="147">
        <v>3789029120</v>
      </c>
      <c r="P202" s="150"/>
      <c r="Q202" s="148">
        <v>15000000</v>
      </c>
      <c r="R202" s="148">
        <v>24000000</v>
      </c>
      <c r="S202" s="147">
        <f t="shared" si="5"/>
        <v>3828029120</v>
      </c>
      <c r="T202" s="158">
        <v>3789029120</v>
      </c>
      <c r="U202" s="143"/>
      <c r="V202" s="147">
        <v>15000000</v>
      </c>
      <c r="W202" s="158">
        <v>24000000</v>
      </c>
      <c r="X202" s="143"/>
      <c r="Y202" s="152">
        <f t="shared" ref="Y202:AB202" si="383">AD202-T202</f>
        <v>0</v>
      </c>
      <c r="Z202" s="151">
        <f t="shared" si="383"/>
        <v>0</v>
      </c>
      <c r="AA202" s="151">
        <f t="shared" si="383"/>
        <v>0</v>
      </c>
      <c r="AB202" s="151">
        <f t="shared" si="383"/>
        <v>0</v>
      </c>
      <c r="AC202" s="143"/>
      <c r="AD202" s="149">
        <v>3789029120</v>
      </c>
      <c r="AE202" s="150"/>
      <c r="AF202" s="148">
        <v>15000000</v>
      </c>
      <c r="AG202" s="148">
        <v>24000000</v>
      </c>
      <c r="AH202" s="143">
        <f t="shared" si="7"/>
        <v>0</v>
      </c>
      <c r="AI202" s="151"/>
      <c r="AJ202" s="151">
        <f t="shared" ref="AJ202:AL202" si="384">P202-AE202</f>
        <v>0</v>
      </c>
      <c r="AK202" s="151">
        <f t="shared" si="384"/>
        <v>0</v>
      </c>
      <c r="AL202" s="151">
        <f t="shared" si="384"/>
        <v>0</v>
      </c>
      <c r="AM202" s="145"/>
      <c r="AN202" s="139"/>
      <c r="AO202" s="139"/>
      <c r="AP202" s="139"/>
      <c r="AQ202" s="145"/>
      <c r="AR202" s="145"/>
    </row>
    <row r="203" spans="1:44" s="156" customFormat="1" ht="47.25" x14ac:dyDescent="0.25">
      <c r="A203" s="143" t="s">
        <v>60</v>
      </c>
      <c r="B203" s="144">
        <v>190</v>
      </c>
      <c r="C203" s="143" t="s">
        <v>1018</v>
      </c>
      <c r="D203" s="143" t="s">
        <v>1607</v>
      </c>
      <c r="E203" s="145" t="s">
        <v>156</v>
      </c>
      <c r="F203" s="146"/>
      <c r="G203" s="143" t="s">
        <v>1608</v>
      </c>
      <c r="H203" s="143" t="s">
        <v>1609</v>
      </c>
      <c r="I203" s="143"/>
      <c r="J203" s="143"/>
      <c r="K203" s="143"/>
      <c r="L203" s="143" t="s">
        <v>1611</v>
      </c>
      <c r="M203" s="143" t="s">
        <v>43</v>
      </c>
      <c r="N203" s="143" t="s">
        <v>1612</v>
      </c>
      <c r="O203" s="147">
        <v>3874838388</v>
      </c>
      <c r="P203" s="174">
        <v>219379565</v>
      </c>
      <c r="Q203" s="148">
        <v>15000000</v>
      </c>
      <c r="R203" s="150"/>
      <c r="S203" s="147">
        <f t="shared" si="5"/>
        <v>4109217953</v>
      </c>
      <c r="T203" s="158">
        <v>3874838388</v>
      </c>
      <c r="U203" s="158">
        <v>219379565</v>
      </c>
      <c r="V203" s="147">
        <v>15000000</v>
      </c>
      <c r="W203" s="143"/>
      <c r="X203" s="143"/>
      <c r="Y203" s="152">
        <f t="shared" ref="Y203:AB203" si="385">AD203-T203</f>
        <v>0</v>
      </c>
      <c r="Z203" s="151">
        <f t="shared" si="385"/>
        <v>0</v>
      </c>
      <c r="AA203" s="151">
        <f t="shared" si="385"/>
        <v>0</v>
      </c>
      <c r="AB203" s="152">
        <f t="shared" si="385"/>
        <v>0</v>
      </c>
      <c r="AC203" s="143"/>
      <c r="AD203" s="149">
        <v>3874838388</v>
      </c>
      <c r="AE203" s="148">
        <v>219379565</v>
      </c>
      <c r="AF203" s="148">
        <v>15000000</v>
      </c>
      <c r="AG203" s="155"/>
      <c r="AH203" s="143">
        <f t="shared" si="7"/>
        <v>0</v>
      </c>
      <c r="AI203" s="151"/>
      <c r="AJ203" s="151">
        <f t="shared" ref="AJ203:AL203" si="386">P203-AE203</f>
        <v>0</v>
      </c>
      <c r="AK203" s="151">
        <f t="shared" si="386"/>
        <v>0</v>
      </c>
      <c r="AL203" s="151">
        <f t="shared" si="386"/>
        <v>0</v>
      </c>
      <c r="AM203" s="145"/>
      <c r="AN203" s="139"/>
      <c r="AO203" s="139"/>
      <c r="AP203" s="139"/>
      <c r="AQ203" s="145"/>
      <c r="AR203" s="145"/>
    </row>
    <row r="204" spans="1:44" s="156" customFormat="1" ht="47.25" x14ac:dyDescent="0.25">
      <c r="A204" s="143" t="s">
        <v>35</v>
      </c>
      <c r="B204" s="144">
        <v>191</v>
      </c>
      <c r="C204" s="143" t="s">
        <v>1018</v>
      </c>
      <c r="D204" s="143" t="s">
        <v>1616</v>
      </c>
      <c r="E204" s="145" t="s">
        <v>100</v>
      </c>
      <c r="F204" s="146"/>
      <c r="G204" s="143" t="s">
        <v>1617</v>
      </c>
      <c r="H204" s="143" t="s">
        <v>1618</v>
      </c>
      <c r="I204" s="143"/>
      <c r="J204" s="143"/>
      <c r="K204" s="143"/>
      <c r="L204" s="143" t="s">
        <v>1619</v>
      </c>
      <c r="M204" s="143" t="s">
        <v>43</v>
      </c>
      <c r="N204" s="143" t="s">
        <v>1620</v>
      </c>
      <c r="O204" s="147">
        <v>1674305520</v>
      </c>
      <c r="P204" s="148">
        <v>74625408</v>
      </c>
      <c r="Q204" s="148">
        <v>7500000</v>
      </c>
      <c r="R204" s="150"/>
      <c r="S204" s="147">
        <f t="shared" si="5"/>
        <v>1756430928</v>
      </c>
      <c r="T204" s="158">
        <v>1674305520</v>
      </c>
      <c r="U204" s="158">
        <v>74625408</v>
      </c>
      <c r="V204" s="147">
        <v>7500000</v>
      </c>
      <c r="W204" s="143"/>
      <c r="X204" s="143"/>
      <c r="Y204" s="152">
        <f t="shared" ref="Y204:AB204" si="387">AD204-T204</f>
        <v>0</v>
      </c>
      <c r="Z204" s="151">
        <f t="shared" si="387"/>
        <v>0</v>
      </c>
      <c r="AA204" s="151">
        <f t="shared" si="387"/>
        <v>0</v>
      </c>
      <c r="AB204" s="152">
        <f t="shared" si="387"/>
        <v>0</v>
      </c>
      <c r="AC204" s="143"/>
      <c r="AD204" s="149">
        <v>1674305520</v>
      </c>
      <c r="AE204" s="148">
        <v>74625408</v>
      </c>
      <c r="AF204" s="148">
        <v>7500000</v>
      </c>
      <c r="AG204" s="155"/>
      <c r="AH204" s="143">
        <f t="shared" si="7"/>
        <v>0</v>
      </c>
      <c r="AI204" s="151"/>
      <c r="AJ204" s="151">
        <f t="shared" ref="AJ204:AL204" si="388">P204-AE204</f>
        <v>0</v>
      </c>
      <c r="AK204" s="151">
        <f t="shared" si="388"/>
        <v>0</v>
      </c>
      <c r="AL204" s="151">
        <f t="shared" si="388"/>
        <v>0</v>
      </c>
      <c r="AM204" s="145"/>
      <c r="AN204" s="139"/>
      <c r="AO204" s="139"/>
      <c r="AP204" s="139"/>
      <c r="AQ204" s="145"/>
      <c r="AR204" s="145"/>
    </row>
    <row r="205" spans="1:44" s="156" customFormat="1" ht="31.5" x14ac:dyDescent="0.25">
      <c r="A205" s="143" t="s">
        <v>35</v>
      </c>
      <c r="B205" s="144">
        <v>192</v>
      </c>
      <c r="C205" s="143" t="s">
        <v>1018</v>
      </c>
      <c r="D205" s="143" t="s">
        <v>1625</v>
      </c>
      <c r="E205" s="145"/>
      <c r="F205" s="146"/>
      <c r="G205" s="143" t="s">
        <v>1626</v>
      </c>
      <c r="H205" s="143"/>
      <c r="I205" s="143"/>
      <c r="J205" s="143"/>
      <c r="K205" s="143"/>
      <c r="L205" s="143" t="s">
        <v>1627</v>
      </c>
      <c r="M205" s="143" t="s">
        <v>43</v>
      </c>
      <c r="N205" s="143" t="s">
        <v>1628</v>
      </c>
      <c r="O205" s="147">
        <v>3072481912</v>
      </c>
      <c r="P205" s="150"/>
      <c r="Q205" s="148">
        <v>15000000</v>
      </c>
      <c r="R205" s="150"/>
      <c r="S205" s="147">
        <f t="shared" si="5"/>
        <v>3087481912</v>
      </c>
      <c r="T205" s="158">
        <v>3072481912</v>
      </c>
      <c r="U205" s="143"/>
      <c r="V205" s="147">
        <v>15000000</v>
      </c>
      <c r="W205" s="143"/>
      <c r="X205" s="143"/>
      <c r="Y205" s="152">
        <f t="shared" ref="Y205:AB205" si="389">AD205-T205</f>
        <v>0</v>
      </c>
      <c r="Z205" s="151">
        <f t="shared" si="389"/>
        <v>0</v>
      </c>
      <c r="AA205" s="151">
        <f t="shared" si="389"/>
        <v>0</v>
      </c>
      <c r="AB205" s="151">
        <f t="shared" si="389"/>
        <v>0</v>
      </c>
      <c r="AC205" s="143"/>
      <c r="AD205" s="149">
        <v>3072481912</v>
      </c>
      <c r="AE205" s="150"/>
      <c r="AF205" s="148">
        <v>15000000</v>
      </c>
      <c r="AG205" s="150"/>
      <c r="AH205" s="143">
        <f t="shared" si="7"/>
        <v>0</v>
      </c>
      <c r="AI205" s="151"/>
      <c r="AJ205" s="151">
        <f t="shared" ref="AJ205:AL205" si="390">P205-AE205</f>
        <v>0</v>
      </c>
      <c r="AK205" s="151">
        <f t="shared" si="390"/>
        <v>0</v>
      </c>
      <c r="AL205" s="151">
        <f t="shared" si="390"/>
        <v>0</v>
      </c>
      <c r="AM205" s="145"/>
      <c r="AN205" s="139"/>
      <c r="AO205" s="139"/>
      <c r="AP205" s="139"/>
      <c r="AQ205" s="145"/>
      <c r="AR205" s="145"/>
    </row>
    <row r="206" spans="1:44" s="156" customFormat="1" ht="63" x14ac:dyDescent="0.25">
      <c r="A206" s="143" t="s">
        <v>35</v>
      </c>
      <c r="B206" s="144">
        <v>193</v>
      </c>
      <c r="C206" s="143" t="s">
        <v>1018</v>
      </c>
      <c r="D206" s="143" t="s">
        <v>1634</v>
      </c>
      <c r="E206" s="145" t="s">
        <v>1635</v>
      </c>
      <c r="F206" s="146"/>
      <c r="G206" s="143" t="s">
        <v>1636</v>
      </c>
      <c r="H206" s="143" t="s">
        <v>1637</v>
      </c>
      <c r="I206" s="143"/>
      <c r="J206" s="143"/>
      <c r="K206" s="143"/>
      <c r="L206" s="143" t="s">
        <v>1638</v>
      </c>
      <c r="M206" s="143" t="s">
        <v>43</v>
      </c>
      <c r="N206" s="143" t="s">
        <v>1639</v>
      </c>
      <c r="O206" s="147">
        <v>3088268220</v>
      </c>
      <c r="P206" s="148">
        <f>893427190+10000000</f>
        <v>903427190</v>
      </c>
      <c r="Q206" s="148">
        <v>15000000</v>
      </c>
      <c r="R206" s="150"/>
      <c r="S206" s="147">
        <f t="shared" si="5"/>
        <v>4006695410</v>
      </c>
      <c r="T206" s="158">
        <v>3088268220</v>
      </c>
      <c r="U206" s="158">
        <v>903427190</v>
      </c>
      <c r="V206" s="147">
        <v>15000000</v>
      </c>
      <c r="W206" s="143"/>
      <c r="X206" s="143"/>
      <c r="Y206" s="152">
        <f t="shared" ref="Y206:AB206" si="391">AD206-T206</f>
        <v>0</v>
      </c>
      <c r="Z206" s="151">
        <f t="shared" si="391"/>
        <v>0</v>
      </c>
      <c r="AA206" s="151">
        <f t="shared" si="391"/>
        <v>0</v>
      </c>
      <c r="AB206" s="151">
        <f t="shared" si="391"/>
        <v>0</v>
      </c>
      <c r="AC206" s="143"/>
      <c r="AD206" s="149">
        <v>3088268220</v>
      </c>
      <c r="AE206" s="148">
        <v>903427190</v>
      </c>
      <c r="AF206" s="148">
        <v>15000000</v>
      </c>
      <c r="AG206" s="150"/>
      <c r="AH206" s="143">
        <f t="shared" si="7"/>
        <v>0</v>
      </c>
      <c r="AI206" s="151"/>
      <c r="AJ206" s="151">
        <f t="shared" ref="AJ206:AL206" si="392">P206-AE206</f>
        <v>0</v>
      </c>
      <c r="AK206" s="151">
        <f t="shared" si="392"/>
        <v>0</v>
      </c>
      <c r="AL206" s="151">
        <f t="shared" si="392"/>
        <v>0</v>
      </c>
      <c r="AM206" s="145"/>
      <c r="AN206" s="139"/>
      <c r="AO206" s="139"/>
      <c r="AP206" s="139"/>
      <c r="AQ206" s="145"/>
      <c r="AR206" s="145"/>
    </row>
    <row r="207" spans="1:44" s="156" customFormat="1" ht="47.25" x14ac:dyDescent="0.25">
      <c r="A207" s="143" t="s">
        <v>35</v>
      </c>
      <c r="B207" s="144">
        <v>194</v>
      </c>
      <c r="C207" s="143" t="s">
        <v>1018</v>
      </c>
      <c r="D207" s="143" t="s">
        <v>1644</v>
      </c>
      <c r="E207" s="145" t="s">
        <v>100</v>
      </c>
      <c r="F207" s="145"/>
      <c r="G207" s="143" t="s">
        <v>1645</v>
      </c>
      <c r="H207" s="143" t="s">
        <v>1550</v>
      </c>
      <c r="I207" s="143"/>
      <c r="J207" s="143"/>
      <c r="K207" s="143"/>
      <c r="L207" s="143" t="s">
        <v>1646</v>
      </c>
      <c r="M207" s="143" t="s">
        <v>43</v>
      </c>
      <c r="N207" s="143" t="s">
        <v>1647</v>
      </c>
      <c r="O207" s="147">
        <v>1894603455</v>
      </c>
      <c r="P207" s="148">
        <v>66971520</v>
      </c>
      <c r="Q207" s="148">
        <v>7500000</v>
      </c>
      <c r="R207" s="150"/>
      <c r="S207" s="147">
        <f t="shared" si="5"/>
        <v>1969074975</v>
      </c>
      <c r="T207" s="158">
        <v>1894603455</v>
      </c>
      <c r="U207" s="158">
        <v>66971520</v>
      </c>
      <c r="V207" s="147">
        <v>7500000</v>
      </c>
      <c r="W207" s="143"/>
      <c r="X207" s="143"/>
      <c r="Y207" s="152">
        <f t="shared" ref="Y207:AB207" si="393">AD207-T207</f>
        <v>0</v>
      </c>
      <c r="Z207" s="151">
        <f t="shared" si="393"/>
        <v>0</v>
      </c>
      <c r="AA207" s="151">
        <f t="shared" si="393"/>
        <v>0</v>
      </c>
      <c r="AB207" s="152">
        <f t="shared" si="393"/>
        <v>0</v>
      </c>
      <c r="AC207" s="143"/>
      <c r="AD207" s="149">
        <v>1894603455</v>
      </c>
      <c r="AE207" s="148">
        <v>66971520</v>
      </c>
      <c r="AF207" s="148">
        <v>7500000</v>
      </c>
      <c r="AG207" s="155"/>
      <c r="AH207" s="143">
        <f t="shared" si="7"/>
        <v>0</v>
      </c>
      <c r="AI207" s="151"/>
      <c r="AJ207" s="151">
        <f t="shared" ref="AJ207:AL207" si="394">P207-AE207</f>
        <v>0</v>
      </c>
      <c r="AK207" s="151">
        <f t="shared" si="394"/>
        <v>0</v>
      </c>
      <c r="AL207" s="151">
        <f t="shared" si="394"/>
        <v>0</v>
      </c>
      <c r="AM207" s="145"/>
      <c r="AN207" s="139"/>
      <c r="AO207" s="139"/>
      <c r="AP207" s="139"/>
      <c r="AQ207" s="145"/>
      <c r="AR207" s="145"/>
    </row>
    <row r="208" spans="1:44" s="156" customFormat="1" ht="31.5" x14ac:dyDescent="0.25">
      <c r="A208" s="143" t="s">
        <v>35</v>
      </c>
      <c r="B208" s="144">
        <v>195</v>
      </c>
      <c r="C208" s="143" t="s">
        <v>1018</v>
      </c>
      <c r="D208" s="143" t="s">
        <v>1653</v>
      </c>
      <c r="E208" s="145"/>
      <c r="F208" s="146"/>
      <c r="G208" s="143" t="s">
        <v>1654</v>
      </c>
      <c r="H208" s="143"/>
      <c r="I208" s="143"/>
      <c r="J208" s="143"/>
      <c r="K208" s="143"/>
      <c r="L208" s="143" t="s">
        <v>1655</v>
      </c>
      <c r="M208" s="143" t="s">
        <v>43</v>
      </c>
      <c r="N208" s="143" t="s">
        <v>1656</v>
      </c>
      <c r="O208" s="147">
        <v>2562353764</v>
      </c>
      <c r="P208" s="150"/>
      <c r="Q208" s="148">
        <v>15000000</v>
      </c>
      <c r="R208" s="150"/>
      <c r="S208" s="147">
        <f t="shared" si="5"/>
        <v>2577353764</v>
      </c>
      <c r="T208" s="158">
        <v>2562353764</v>
      </c>
      <c r="U208" s="143"/>
      <c r="V208" s="147">
        <v>15000000</v>
      </c>
      <c r="W208" s="143"/>
      <c r="X208" s="143"/>
      <c r="Y208" s="152">
        <f t="shared" ref="Y208:AB208" si="395">AD208-T208</f>
        <v>0</v>
      </c>
      <c r="Z208" s="151">
        <f t="shared" si="395"/>
        <v>0</v>
      </c>
      <c r="AA208" s="151">
        <f t="shared" si="395"/>
        <v>0</v>
      </c>
      <c r="AB208" s="151">
        <f t="shared" si="395"/>
        <v>0</v>
      </c>
      <c r="AC208" s="143"/>
      <c r="AD208" s="149">
        <v>2562353764</v>
      </c>
      <c r="AE208" s="150"/>
      <c r="AF208" s="148">
        <v>15000000</v>
      </c>
      <c r="AG208" s="150"/>
      <c r="AH208" s="143">
        <f t="shared" si="7"/>
        <v>0</v>
      </c>
      <c r="AI208" s="151"/>
      <c r="AJ208" s="151">
        <f t="shared" ref="AJ208:AL208" si="396">P208-AE208</f>
        <v>0</v>
      </c>
      <c r="AK208" s="151">
        <f t="shared" si="396"/>
        <v>0</v>
      </c>
      <c r="AL208" s="151">
        <f t="shared" si="396"/>
        <v>0</v>
      </c>
      <c r="AM208" s="145"/>
      <c r="AN208" s="139"/>
      <c r="AO208" s="139"/>
      <c r="AP208" s="139"/>
      <c r="AQ208" s="145"/>
      <c r="AR208" s="145"/>
    </row>
    <row r="209" spans="1:44" s="156" customFormat="1" ht="31.5" x14ac:dyDescent="0.25">
      <c r="A209" s="143" t="s">
        <v>35</v>
      </c>
      <c r="B209" s="144">
        <v>196</v>
      </c>
      <c r="C209" s="143" t="s">
        <v>1018</v>
      </c>
      <c r="D209" s="143" t="s">
        <v>1657</v>
      </c>
      <c r="E209" s="145"/>
      <c r="F209" s="146"/>
      <c r="G209" s="143" t="s">
        <v>1658</v>
      </c>
      <c r="H209" s="143"/>
      <c r="I209" s="143"/>
      <c r="J209" s="143"/>
      <c r="K209" s="143"/>
      <c r="L209" s="143" t="s">
        <v>1659</v>
      </c>
      <c r="M209" s="143" t="s">
        <v>43</v>
      </c>
      <c r="N209" s="143" t="s">
        <v>1660</v>
      </c>
      <c r="O209" s="147">
        <v>2203826444</v>
      </c>
      <c r="P209" s="150"/>
      <c r="Q209" s="148">
        <v>7500000</v>
      </c>
      <c r="R209" s="150"/>
      <c r="S209" s="147">
        <f t="shared" si="5"/>
        <v>2211326444</v>
      </c>
      <c r="T209" s="158">
        <v>2203826444</v>
      </c>
      <c r="U209" s="143"/>
      <c r="V209" s="147">
        <v>7500000</v>
      </c>
      <c r="W209" s="143"/>
      <c r="X209" s="143"/>
      <c r="Y209" s="152">
        <f t="shared" ref="Y209:AB209" si="397">AD209-T209</f>
        <v>0</v>
      </c>
      <c r="Z209" s="151">
        <f t="shared" si="397"/>
        <v>0</v>
      </c>
      <c r="AA209" s="151">
        <f t="shared" si="397"/>
        <v>0</v>
      </c>
      <c r="AB209" s="152">
        <f t="shared" si="397"/>
        <v>0</v>
      </c>
      <c r="AC209" s="143"/>
      <c r="AD209" s="149">
        <v>2203826444</v>
      </c>
      <c r="AE209" s="150"/>
      <c r="AF209" s="148">
        <v>7500000</v>
      </c>
      <c r="AG209" s="155"/>
      <c r="AH209" s="143">
        <f t="shared" si="7"/>
        <v>0</v>
      </c>
      <c r="AI209" s="151"/>
      <c r="AJ209" s="151">
        <f t="shared" ref="AJ209:AL209" si="398">P209-AE209</f>
        <v>0</v>
      </c>
      <c r="AK209" s="151">
        <f t="shared" si="398"/>
        <v>0</v>
      </c>
      <c r="AL209" s="151">
        <f t="shared" si="398"/>
        <v>0</v>
      </c>
      <c r="AM209" s="145"/>
      <c r="AN209" s="139"/>
      <c r="AO209" s="139"/>
      <c r="AP209" s="139"/>
      <c r="AQ209" s="145"/>
      <c r="AR209" s="145"/>
    </row>
    <row r="210" spans="1:44" s="156" customFormat="1" ht="47.25" x14ac:dyDescent="0.25">
      <c r="A210" s="143" t="s">
        <v>35</v>
      </c>
      <c r="B210" s="144">
        <v>197</v>
      </c>
      <c r="C210" s="143" t="s">
        <v>1018</v>
      </c>
      <c r="D210" s="143" t="s">
        <v>1666</v>
      </c>
      <c r="E210" s="145" t="s">
        <v>883</v>
      </c>
      <c r="F210" s="146"/>
      <c r="G210" s="143" t="s">
        <v>1667</v>
      </c>
      <c r="H210" s="143" t="s">
        <v>620</v>
      </c>
      <c r="I210" s="143"/>
      <c r="J210" s="143"/>
      <c r="K210" s="143"/>
      <c r="L210" s="143" t="s">
        <v>1668</v>
      </c>
      <c r="M210" s="143" t="s">
        <v>43</v>
      </c>
      <c r="N210" s="143" t="s">
        <v>1669</v>
      </c>
      <c r="O210" s="147">
        <v>3074543364</v>
      </c>
      <c r="P210" s="148">
        <v>808489752</v>
      </c>
      <c r="Q210" s="148">
        <v>7500000</v>
      </c>
      <c r="R210" s="150"/>
      <c r="S210" s="147">
        <f t="shared" si="5"/>
        <v>3890533116</v>
      </c>
      <c r="T210" s="158">
        <v>3074543364</v>
      </c>
      <c r="U210" s="158">
        <v>808489752</v>
      </c>
      <c r="V210" s="157">
        <v>7500000</v>
      </c>
      <c r="W210" s="143"/>
      <c r="X210" s="143"/>
      <c r="Y210" s="152">
        <f t="shared" ref="Y210:AB210" si="399">AD210-T210</f>
        <v>0</v>
      </c>
      <c r="Z210" s="151">
        <f t="shared" si="399"/>
        <v>0</v>
      </c>
      <c r="AA210" s="151">
        <f t="shared" si="399"/>
        <v>0</v>
      </c>
      <c r="AB210" s="151">
        <f t="shared" si="399"/>
        <v>0</v>
      </c>
      <c r="AC210" s="143"/>
      <c r="AD210" s="149">
        <v>3074543364</v>
      </c>
      <c r="AE210" s="148">
        <v>808489752</v>
      </c>
      <c r="AF210" s="148">
        <v>7500000</v>
      </c>
      <c r="AG210" s="150"/>
      <c r="AH210" s="143">
        <f t="shared" si="7"/>
        <v>0</v>
      </c>
      <c r="AI210" s="151"/>
      <c r="AJ210" s="151">
        <f t="shared" ref="AJ210:AL210" si="400">P210-AE210</f>
        <v>0</v>
      </c>
      <c r="AK210" s="151">
        <f t="shared" si="400"/>
        <v>0</v>
      </c>
      <c r="AL210" s="151">
        <f t="shared" si="400"/>
        <v>0</v>
      </c>
      <c r="AM210" s="145"/>
      <c r="AN210" s="139"/>
      <c r="AO210" s="139"/>
      <c r="AP210" s="139"/>
      <c r="AQ210" s="145"/>
      <c r="AR210" s="145"/>
    </row>
    <row r="211" spans="1:44" s="156" customFormat="1" ht="94.5" x14ac:dyDescent="0.25">
      <c r="A211" s="143" t="s">
        <v>35</v>
      </c>
      <c r="B211" s="144">
        <v>198</v>
      </c>
      <c r="C211" s="143" t="s">
        <v>1018</v>
      </c>
      <c r="D211" s="143" t="s">
        <v>1676</v>
      </c>
      <c r="E211" s="145"/>
      <c r="F211" s="146"/>
      <c r="G211" s="143" t="s">
        <v>1677</v>
      </c>
      <c r="H211" s="143"/>
      <c r="I211" s="143" t="s">
        <v>85</v>
      </c>
      <c r="J211" s="143"/>
      <c r="K211" s="143"/>
      <c r="L211" s="143" t="s">
        <v>1678</v>
      </c>
      <c r="M211" s="143" t="s">
        <v>43</v>
      </c>
      <c r="N211" s="143" t="s">
        <v>1601</v>
      </c>
      <c r="O211" s="147"/>
      <c r="P211" s="150"/>
      <c r="Q211" s="150"/>
      <c r="R211" s="150"/>
      <c r="S211" s="147">
        <f t="shared" si="5"/>
        <v>0</v>
      </c>
      <c r="T211" s="144">
        <v>0</v>
      </c>
      <c r="U211" s="143"/>
      <c r="V211" s="157"/>
      <c r="W211" s="143"/>
      <c r="X211" s="143"/>
      <c r="Y211" s="151">
        <f t="shared" ref="Y211:AB211" si="401">AD211-T211</f>
        <v>0</v>
      </c>
      <c r="Z211" s="151">
        <f t="shared" si="401"/>
        <v>0</v>
      </c>
      <c r="AA211" s="151">
        <f t="shared" si="401"/>
        <v>0</v>
      </c>
      <c r="AB211" s="152">
        <f t="shared" si="401"/>
        <v>0</v>
      </c>
      <c r="AC211" s="143"/>
      <c r="AD211" s="148">
        <v>0</v>
      </c>
      <c r="AE211" s="150"/>
      <c r="AF211" s="150"/>
      <c r="AG211" s="155"/>
      <c r="AH211" s="143">
        <f t="shared" si="7"/>
        <v>0</v>
      </c>
      <c r="AI211" s="151"/>
      <c r="AJ211" s="151">
        <f t="shared" ref="AJ211:AL211" si="402">P211-AE211</f>
        <v>0</v>
      </c>
      <c r="AK211" s="151">
        <f t="shared" si="402"/>
        <v>0</v>
      </c>
      <c r="AL211" s="151">
        <f t="shared" si="402"/>
        <v>0</v>
      </c>
      <c r="AM211" s="145"/>
      <c r="AN211" s="139"/>
      <c r="AO211" s="139"/>
      <c r="AP211" s="139"/>
      <c r="AQ211" s="145"/>
      <c r="AR211" s="145"/>
    </row>
    <row r="212" spans="1:44" s="156" customFormat="1" ht="47.25" x14ac:dyDescent="0.25">
      <c r="A212" s="143" t="s">
        <v>35</v>
      </c>
      <c r="B212" s="144">
        <v>199</v>
      </c>
      <c r="C212" s="143" t="s">
        <v>1018</v>
      </c>
      <c r="D212" s="143" t="s">
        <v>1679</v>
      </c>
      <c r="E212" s="145" t="s">
        <v>156</v>
      </c>
      <c r="F212" s="145" t="s">
        <v>1685</v>
      </c>
      <c r="G212" s="143" t="s">
        <v>1680</v>
      </c>
      <c r="H212" s="143" t="s">
        <v>1681</v>
      </c>
      <c r="I212" s="143"/>
      <c r="J212" s="143"/>
      <c r="K212" s="164"/>
      <c r="L212" s="143" t="s">
        <v>1682</v>
      </c>
      <c r="M212" s="143" t="s">
        <v>43</v>
      </c>
      <c r="N212" s="143" t="s">
        <v>1683</v>
      </c>
      <c r="O212" s="147">
        <v>11308899100</v>
      </c>
      <c r="P212" s="174">
        <v>243896000</v>
      </c>
      <c r="Q212" s="148">
        <v>15000000</v>
      </c>
      <c r="R212" s="148">
        <v>72000000</v>
      </c>
      <c r="S212" s="147">
        <f t="shared" si="5"/>
        <v>11639795100</v>
      </c>
      <c r="T212" s="158">
        <v>11308899100</v>
      </c>
      <c r="U212" s="158">
        <v>243896000</v>
      </c>
      <c r="V212" s="147">
        <v>15000000</v>
      </c>
      <c r="W212" s="158">
        <v>72000000</v>
      </c>
      <c r="X212" s="143"/>
      <c r="Y212" s="152">
        <f t="shared" ref="Y212:AB212" si="403">AD212-T212</f>
        <v>0</v>
      </c>
      <c r="Z212" s="151">
        <f t="shared" si="403"/>
        <v>0</v>
      </c>
      <c r="AA212" s="151">
        <f t="shared" si="403"/>
        <v>0</v>
      </c>
      <c r="AB212" s="151">
        <f t="shared" si="403"/>
        <v>0</v>
      </c>
      <c r="AC212" s="143"/>
      <c r="AD212" s="149">
        <v>11308899100</v>
      </c>
      <c r="AE212" s="174">
        <v>243896000</v>
      </c>
      <c r="AF212" s="148">
        <v>15000000</v>
      </c>
      <c r="AG212" s="174">
        <v>72000000</v>
      </c>
      <c r="AH212" s="143">
        <f t="shared" si="7"/>
        <v>0</v>
      </c>
      <c r="AI212" s="151"/>
      <c r="AJ212" s="151">
        <f t="shared" ref="AJ212:AL212" si="404">P212-AE212</f>
        <v>0</v>
      </c>
      <c r="AK212" s="151">
        <f t="shared" si="404"/>
        <v>0</v>
      </c>
      <c r="AL212" s="151">
        <f t="shared" si="404"/>
        <v>0</v>
      </c>
      <c r="AM212" s="145"/>
      <c r="AN212" s="139"/>
      <c r="AO212" s="139"/>
      <c r="AP212" s="139"/>
      <c r="AQ212" s="145"/>
      <c r="AR212" s="145"/>
    </row>
    <row r="213" spans="1:44" s="156" customFormat="1" ht="31.5" x14ac:dyDescent="0.25">
      <c r="A213" s="143" t="s">
        <v>35</v>
      </c>
      <c r="B213" s="144">
        <v>200</v>
      </c>
      <c r="C213" s="143" t="s">
        <v>1018</v>
      </c>
      <c r="D213" s="143" t="s">
        <v>1690</v>
      </c>
      <c r="E213" s="145"/>
      <c r="F213" s="146"/>
      <c r="G213" s="143" t="s">
        <v>1691</v>
      </c>
      <c r="H213" s="143"/>
      <c r="I213" s="143"/>
      <c r="J213" s="143"/>
      <c r="K213" s="143"/>
      <c r="L213" s="143" t="s">
        <v>1692</v>
      </c>
      <c r="M213" s="143" t="s">
        <v>43</v>
      </c>
      <c r="N213" s="143" t="s">
        <v>1693</v>
      </c>
      <c r="O213" s="147">
        <v>3220790384</v>
      </c>
      <c r="P213" s="150"/>
      <c r="Q213" s="148">
        <v>7500000</v>
      </c>
      <c r="R213" s="150"/>
      <c r="S213" s="147">
        <f t="shared" si="5"/>
        <v>3228290384</v>
      </c>
      <c r="T213" s="158">
        <v>3220790384</v>
      </c>
      <c r="U213" s="143"/>
      <c r="V213" s="147">
        <v>7500000</v>
      </c>
      <c r="W213" s="143"/>
      <c r="X213" s="143"/>
      <c r="Y213" s="152">
        <f t="shared" ref="Y213:AB213" si="405">AD213-T213</f>
        <v>0</v>
      </c>
      <c r="Z213" s="151">
        <f t="shared" si="405"/>
        <v>0</v>
      </c>
      <c r="AA213" s="151">
        <f t="shared" si="405"/>
        <v>0</v>
      </c>
      <c r="AB213" s="152">
        <f t="shared" si="405"/>
        <v>0</v>
      </c>
      <c r="AC213" s="143"/>
      <c r="AD213" s="149">
        <v>3220790384</v>
      </c>
      <c r="AE213" s="150"/>
      <c r="AF213" s="148">
        <v>7500000</v>
      </c>
      <c r="AG213" s="155"/>
      <c r="AH213" s="143">
        <f t="shared" si="7"/>
        <v>0</v>
      </c>
      <c r="AI213" s="151"/>
      <c r="AJ213" s="151">
        <f t="shared" ref="AJ213:AL213" si="406">P213-AE213</f>
        <v>0</v>
      </c>
      <c r="AK213" s="151">
        <f t="shared" si="406"/>
        <v>0</v>
      </c>
      <c r="AL213" s="151">
        <f t="shared" si="406"/>
        <v>0</v>
      </c>
      <c r="AM213" s="145"/>
      <c r="AN213" s="139"/>
      <c r="AO213" s="139"/>
      <c r="AP213" s="139"/>
      <c r="AQ213" s="145"/>
      <c r="AR213" s="145"/>
    </row>
    <row r="214" spans="1:44" s="156" customFormat="1" ht="126" x14ac:dyDescent="0.25">
      <c r="A214" s="143" t="s">
        <v>35</v>
      </c>
      <c r="B214" s="144">
        <v>201</v>
      </c>
      <c r="C214" s="143" t="s">
        <v>1018</v>
      </c>
      <c r="D214" s="143" t="s">
        <v>1700</v>
      </c>
      <c r="E214" s="145" t="s">
        <v>1701</v>
      </c>
      <c r="F214" s="146"/>
      <c r="G214" s="143" t="s">
        <v>1702</v>
      </c>
      <c r="H214" s="143" t="s">
        <v>1703</v>
      </c>
      <c r="I214" s="143"/>
      <c r="J214" s="143"/>
      <c r="K214" s="143"/>
      <c r="L214" s="143" t="s">
        <v>1704</v>
      </c>
      <c r="M214" s="143" t="s">
        <v>43</v>
      </c>
      <c r="N214" s="143" t="s">
        <v>1705</v>
      </c>
      <c r="O214" s="147">
        <v>910302386</v>
      </c>
      <c r="P214" s="148">
        <v>152432640</v>
      </c>
      <c r="Q214" s="148">
        <v>7500000</v>
      </c>
      <c r="R214" s="150"/>
      <c r="S214" s="147">
        <f t="shared" si="5"/>
        <v>1070235026</v>
      </c>
      <c r="T214" s="158">
        <v>910302386</v>
      </c>
      <c r="U214" s="143"/>
      <c r="V214" s="147">
        <v>7500000</v>
      </c>
      <c r="W214" s="143"/>
      <c r="X214" s="143"/>
      <c r="Y214" s="152">
        <f t="shared" ref="Y214:AB214" si="407">AD214-T214</f>
        <v>0</v>
      </c>
      <c r="Z214" s="151">
        <f t="shared" si="407"/>
        <v>0</v>
      </c>
      <c r="AA214" s="151">
        <f t="shared" si="407"/>
        <v>0</v>
      </c>
      <c r="AB214" s="152">
        <f t="shared" si="407"/>
        <v>0</v>
      </c>
      <c r="AC214" s="143"/>
      <c r="AD214" s="149">
        <v>910302386</v>
      </c>
      <c r="AE214" s="150"/>
      <c r="AF214" s="148">
        <v>7500000</v>
      </c>
      <c r="AG214" s="155"/>
      <c r="AH214" s="143">
        <f t="shared" si="7"/>
        <v>0</v>
      </c>
      <c r="AI214" s="151"/>
      <c r="AJ214" s="151">
        <f t="shared" ref="AJ214:AL214" si="408">P214-AE214</f>
        <v>152432640</v>
      </c>
      <c r="AK214" s="151">
        <f t="shared" si="408"/>
        <v>0</v>
      </c>
      <c r="AL214" s="151">
        <f t="shared" si="408"/>
        <v>0</v>
      </c>
      <c r="AM214" s="145"/>
      <c r="AN214" s="139"/>
      <c r="AO214" s="162" t="s">
        <v>2323</v>
      </c>
      <c r="AP214" s="139"/>
      <c r="AQ214" s="145"/>
      <c r="AR214" s="145"/>
    </row>
    <row r="215" spans="1:44" s="156" customFormat="1" ht="31.5" x14ac:dyDescent="0.25">
      <c r="A215" s="143" t="s">
        <v>35</v>
      </c>
      <c r="B215" s="144">
        <v>202</v>
      </c>
      <c r="C215" s="143" t="s">
        <v>1018</v>
      </c>
      <c r="D215" s="143" t="s">
        <v>1712</v>
      </c>
      <c r="E215" s="145"/>
      <c r="F215" s="146"/>
      <c r="G215" s="143" t="s">
        <v>1713</v>
      </c>
      <c r="H215" s="143"/>
      <c r="I215" s="143"/>
      <c r="J215" s="143"/>
      <c r="K215" s="143"/>
      <c r="L215" s="143" t="s">
        <v>1715</v>
      </c>
      <c r="M215" s="143" t="s">
        <v>43</v>
      </c>
      <c r="N215" s="143" t="s">
        <v>1718</v>
      </c>
      <c r="O215" s="147">
        <v>1185868242</v>
      </c>
      <c r="P215" s="150"/>
      <c r="Q215" s="148">
        <v>7500000</v>
      </c>
      <c r="R215" s="150"/>
      <c r="S215" s="147">
        <f t="shared" si="5"/>
        <v>1193368242</v>
      </c>
      <c r="T215" s="158">
        <v>1185868242</v>
      </c>
      <c r="U215" s="143"/>
      <c r="V215" s="147">
        <v>7500000</v>
      </c>
      <c r="W215" s="143"/>
      <c r="X215" s="143"/>
      <c r="Y215" s="152">
        <f t="shared" ref="Y215:AB215" si="409">AD215-T215</f>
        <v>0</v>
      </c>
      <c r="Z215" s="151">
        <f t="shared" si="409"/>
        <v>0</v>
      </c>
      <c r="AA215" s="151">
        <f t="shared" si="409"/>
        <v>0</v>
      </c>
      <c r="AB215" s="151">
        <f t="shared" si="409"/>
        <v>0</v>
      </c>
      <c r="AC215" s="143"/>
      <c r="AD215" s="149">
        <v>1185868242</v>
      </c>
      <c r="AE215" s="150"/>
      <c r="AF215" s="148">
        <v>7500000</v>
      </c>
      <c r="AG215" s="150"/>
      <c r="AH215" s="143">
        <f t="shared" si="7"/>
        <v>0</v>
      </c>
      <c r="AI215" s="151"/>
      <c r="AJ215" s="151">
        <f t="shared" ref="AJ215:AL215" si="410">P215-AE215</f>
        <v>0</v>
      </c>
      <c r="AK215" s="151">
        <f t="shared" si="410"/>
        <v>0</v>
      </c>
      <c r="AL215" s="151">
        <f t="shared" si="410"/>
        <v>0</v>
      </c>
      <c r="AM215" s="145"/>
      <c r="AN215" s="139"/>
      <c r="AO215" s="139"/>
      <c r="AP215" s="139"/>
      <c r="AQ215" s="145"/>
      <c r="AR215" s="145"/>
    </row>
    <row r="216" spans="1:44" s="156" customFormat="1" ht="63" x14ac:dyDescent="0.25">
      <c r="A216" s="143" t="s">
        <v>35</v>
      </c>
      <c r="B216" s="144">
        <v>203</v>
      </c>
      <c r="C216" s="143" t="s">
        <v>1018</v>
      </c>
      <c r="D216" s="143" t="s">
        <v>1721</v>
      </c>
      <c r="E216" s="145"/>
      <c r="F216" s="146"/>
      <c r="G216" s="143" t="s">
        <v>1722</v>
      </c>
      <c r="H216" s="143"/>
      <c r="I216" s="143"/>
      <c r="J216" s="143"/>
      <c r="K216" s="143"/>
      <c r="L216" s="143" t="s">
        <v>1723</v>
      </c>
      <c r="M216" s="143" t="s">
        <v>43</v>
      </c>
      <c r="N216" s="143" t="s">
        <v>1724</v>
      </c>
      <c r="O216" s="147">
        <v>4789848</v>
      </c>
      <c r="P216" s="150"/>
      <c r="Q216" s="148">
        <v>7500000</v>
      </c>
      <c r="R216" s="150"/>
      <c r="S216" s="147">
        <f t="shared" si="5"/>
        <v>12289848</v>
      </c>
      <c r="T216" s="143"/>
      <c r="U216" s="143"/>
      <c r="V216" s="157"/>
      <c r="W216" s="143"/>
      <c r="X216" s="143"/>
      <c r="Y216" s="152">
        <f t="shared" ref="Y216:AB216" si="411">AD216-T216</f>
        <v>0</v>
      </c>
      <c r="Z216" s="151">
        <f t="shared" si="411"/>
        <v>0</v>
      </c>
      <c r="AA216" s="151">
        <f t="shared" si="411"/>
        <v>0</v>
      </c>
      <c r="AB216" s="151">
        <f t="shared" si="411"/>
        <v>0</v>
      </c>
      <c r="AC216" s="143"/>
      <c r="AD216" s="155"/>
      <c r="AE216" s="150"/>
      <c r="AF216" s="150"/>
      <c r="AG216" s="150"/>
      <c r="AH216" s="143">
        <f t="shared" si="7"/>
        <v>0</v>
      </c>
      <c r="AI216" s="151">
        <v>4789848</v>
      </c>
      <c r="AJ216" s="151">
        <f t="shared" ref="AJ216:AL216" si="412">P216-AE216</f>
        <v>0</v>
      </c>
      <c r="AK216" s="151">
        <f t="shared" si="412"/>
        <v>7500000</v>
      </c>
      <c r="AL216" s="151">
        <f t="shared" si="412"/>
        <v>0</v>
      </c>
      <c r="AM216" s="148">
        <v>4789848</v>
      </c>
      <c r="AN216" s="159" t="s">
        <v>336</v>
      </c>
      <c r="AO216" s="160"/>
      <c r="AP216" s="168" t="s">
        <v>336</v>
      </c>
      <c r="AQ216" s="219"/>
      <c r="AR216" s="218"/>
    </row>
    <row r="217" spans="1:44" s="156" customFormat="1" ht="31.5" x14ac:dyDescent="0.25">
      <c r="A217" s="143" t="s">
        <v>35</v>
      </c>
      <c r="B217" s="144">
        <v>204</v>
      </c>
      <c r="C217" s="143" t="s">
        <v>1018</v>
      </c>
      <c r="D217" s="143" t="s">
        <v>1730</v>
      </c>
      <c r="E217" s="145"/>
      <c r="F217" s="146"/>
      <c r="G217" s="143" t="s">
        <v>1731</v>
      </c>
      <c r="H217" s="143"/>
      <c r="I217" s="143"/>
      <c r="J217" s="143"/>
      <c r="K217" s="143"/>
      <c r="L217" s="143" t="s">
        <v>1732</v>
      </c>
      <c r="M217" s="143" t="s">
        <v>43</v>
      </c>
      <c r="N217" s="143" t="s">
        <v>1733</v>
      </c>
      <c r="O217" s="147">
        <v>917216300</v>
      </c>
      <c r="P217" s="150"/>
      <c r="Q217" s="148">
        <v>7500000</v>
      </c>
      <c r="R217" s="150"/>
      <c r="S217" s="147">
        <f t="shared" si="5"/>
        <v>924716300</v>
      </c>
      <c r="T217" s="158">
        <v>917216300</v>
      </c>
      <c r="U217" s="143"/>
      <c r="V217" s="147">
        <v>7500000</v>
      </c>
      <c r="W217" s="143"/>
      <c r="X217" s="143"/>
      <c r="Y217" s="152">
        <f t="shared" ref="Y217:AB217" si="413">AD217-T217</f>
        <v>0</v>
      </c>
      <c r="Z217" s="151">
        <f t="shared" si="413"/>
        <v>0</v>
      </c>
      <c r="AA217" s="151">
        <f t="shared" si="413"/>
        <v>0</v>
      </c>
      <c r="AB217" s="152">
        <f t="shared" si="413"/>
        <v>0</v>
      </c>
      <c r="AC217" s="143"/>
      <c r="AD217" s="149">
        <v>917216300</v>
      </c>
      <c r="AE217" s="150"/>
      <c r="AF217" s="148">
        <v>7500000</v>
      </c>
      <c r="AG217" s="155"/>
      <c r="AH217" s="143">
        <f t="shared" si="7"/>
        <v>0</v>
      </c>
      <c r="AI217" s="151"/>
      <c r="AJ217" s="151">
        <f t="shared" ref="AJ217:AL217" si="414">P217-AE217</f>
        <v>0</v>
      </c>
      <c r="AK217" s="151">
        <f t="shared" si="414"/>
        <v>0</v>
      </c>
      <c r="AL217" s="151">
        <f t="shared" si="414"/>
        <v>0</v>
      </c>
      <c r="AM217" s="145"/>
      <c r="AN217" s="139"/>
      <c r="AO217" s="139"/>
      <c r="AP217" s="139"/>
      <c r="AQ217" s="145"/>
      <c r="AR217" s="145"/>
    </row>
    <row r="218" spans="1:44" s="156" customFormat="1" ht="47.25" x14ac:dyDescent="0.25">
      <c r="A218" s="143" t="s">
        <v>35</v>
      </c>
      <c r="B218" s="144">
        <v>205</v>
      </c>
      <c r="C218" s="143" t="s">
        <v>1018</v>
      </c>
      <c r="D218" s="143" t="s">
        <v>1740</v>
      </c>
      <c r="E218" s="145" t="s">
        <v>1741</v>
      </c>
      <c r="F218" s="146"/>
      <c r="G218" s="143" t="s">
        <v>1742</v>
      </c>
      <c r="H218" s="143"/>
      <c r="I218" s="143"/>
      <c r="J218" s="143"/>
      <c r="K218" s="143"/>
      <c r="L218" s="143" t="s">
        <v>1743</v>
      </c>
      <c r="M218" s="143" t="s">
        <v>43</v>
      </c>
      <c r="N218" s="143" t="s">
        <v>1744</v>
      </c>
      <c r="O218" s="147">
        <v>9371283600</v>
      </c>
      <c r="P218" s="148">
        <v>550184000</v>
      </c>
      <c r="Q218" s="148">
        <v>15000000</v>
      </c>
      <c r="R218" s="150"/>
      <c r="S218" s="147">
        <f t="shared" si="5"/>
        <v>9936467600</v>
      </c>
      <c r="T218" s="158">
        <v>9371283600</v>
      </c>
      <c r="U218" s="158">
        <v>550184000</v>
      </c>
      <c r="V218" s="157"/>
      <c r="W218" s="143"/>
      <c r="X218" s="143"/>
      <c r="Y218" s="152">
        <f t="shared" ref="Y218:AB218" si="415">AD218-T218</f>
        <v>0</v>
      </c>
      <c r="Z218" s="151">
        <f t="shared" si="415"/>
        <v>0</v>
      </c>
      <c r="AA218" s="151">
        <f t="shared" si="415"/>
        <v>0</v>
      </c>
      <c r="AB218" s="151">
        <f t="shared" si="415"/>
        <v>0</v>
      </c>
      <c r="AC218" s="143"/>
      <c r="AD218" s="149">
        <v>9371283600</v>
      </c>
      <c r="AE218" s="148">
        <v>550184000</v>
      </c>
      <c r="AF218" s="150"/>
      <c r="AG218" s="150"/>
      <c r="AH218" s="143">
        <f t="shared" si="7"/>
        <v>0</v>
      </c>
      <c r="AI218" s="151"/>
      <c r="AJ218" s="151">
        <f t="shared" ref="AJ218:AL218" si="416">P218-AE218</f>
        <v>0</v>
      </c>
      <c r="AK218" s="151">
        <f t="shared" si="416"/>
        <v>15000000</v>
      </c>
      <c r="AL218" s="151">
        <f t="shared" si="416"/>
        <v>0</v>
      </c>
      <c r="AM218" s="145"/>
      <c r="AN218" s="139"/>
      <c r="AO218" s="139"/>
      <c r="AP218" s="168" t="s">
        <v>900</v>
      </c>
      <c r="AQ218" s="145"/>
      <c r="AR218" s="145"/>
    </row>
    <row r="219" spans="1:44" s="156" customFormat="1" ht="31.5" x14ac:dyDescent="0.25">
      <c r="A219" s="143" t="s">
        <v>35</v>
      </c>
      <c r="B219" s="144">
        <v>206</v>
      </c>
      <c r="C219" s="143" t="s">
        <v>1018</v>
      </c>
      <c r="D219" s="143" t="s">
        <v>1749</v>
      </c>
      <c r="E219" s="145"/>
      <c r="F219" s="146"/>
      <c r="G219" s="143" t="s">
        <v>1750</v>
      </c>
      <c r="H219" s="143"/>
      <c r="I219" s="143"/>
      <c r="J219" s="143"/>
      <c r="K219" s="143"/>
      <c r="L219" s="143" t="s">
        <v>1751</v>
      </c>
      <c r="M219" s="143" t="s">
        <v>43</v>
      </c>
      <c r="N219" s="143" t="s">
        <v>1752</v>
      </c>
      <c r="O219" s="147">
        <v>829054600</v>
      </c>
      <c r="P219" s="150"/>
      <c r="Q219" s="148">
        <v>7500000</v>
      </c>
      <c r="R219" s="150"/>
      <c r="S219" s="147">
        <f t="shared" si="5"/>
        <v>836554600</v>
      </c>
      <c r="T219" s="158">
        <v>829054600</v>
      </c>
      <c r="U219" s="143"/>
      <c r="V219" s="147">
        <v>7500000</v>
      </c>
      <c r="W219" s="143"/>
      <c r="X219" s="143"/>
      <c r="Y219" s="152">
        <f t="shared" ref="Y219:AB219" si="417">AD219-T219</f>
        <v>0</v>
      </c>
      <c r="Z219" s="151">
        <f t="shared" si="417"/>
        <v>0</v>
      </c>
      <c r="AA219" s="151">
        <f t="shared" si="417"/>
        <v>0</v>
      </c>
      <c r="AB219" s="152">
        <f t="shared" si="417"/>
        <v>0</v>
      </c>
      <c r="AC219" s="143"/>
      <c r="AD219" s="149">
        <v>829054600</v>
      </c>
      <c r="AE219" s="150"/>
      <c r="AF219" s="148">
        <v>7500000</v>
      </c>
      <c r="AG219" s="155"/>
      <c r="AH219" s="143">
        <f t="shared" si="7"/>
        <v>0</v>
      </c>
      <c r="AI219" s="151"/>
      <c r="AJ219" s="151">
        <f t="shared" ref="AJ219:AL219" si="418">P219-AE219</f>
        <v>0</v>
      </c>
      <c r="AK219" s="151">
        <f t="shared" si="418"/>
        <v>0</v>
      </c>
      <c r="AL219" s="151">
        <f t="shared" si="418"/>
        <v>0</v>
      </c>
      <c r="AM219" s="145"/>
      <c r="AN219" s="139"/>
      <c r="AO219" s="139"/>
      <c r="AP219" s="139"/>
      <c r="AQ219" s="145"/>
      <c r="AR219" s="145"/>
    </row>
    <row r="220" spans="1:44" s="156" customFormat="1" ht="31.5" x14ac:dyDescent="0.25">
      <c r="A220" s="143" t="s">
        <v>35</v>
      </c>
      <c r="B220" s="144">
        <v>207</v>
      </c>
      <c r="C220" s="143" t="s">
        <v>1018</v>
      </c>
      <c r="D220" s="143" t="s">
        <v>1758</v>
      </c>
      <c r="E220" s="145"/>
      <c r="F220" s="146"/>
      <c r="G220" s="143" t="s">
        <v>1759</v>
      </c>
      <c r="H220" s="143"/>
      <c r="I220" s="143"/>
      <c r="J220" s="143"/>
      <c r="K220" s="143"/>
      <c r="L220" s="143" t="s">
        <v>1760</v>
      </c>
      <c r="M220" s="143" t="s">
        <v>43</v>
      </c>
      <c r="N220" s="143" t="s">
        <v>1761</v>
      </c>
      <c r="O220" s="147">
        <v>8019904200</v>
      </c>
      <c r="P220" s="150"/>
      <c r="Q220" s="148">
        <v>7500000</v>
      </c>
      <c r="R220" s="150"/>
      <c r="S220" s="147">
        <f t="shared" si="5"/>
        <v>8027404200</v>
      </c>
      <c r="T220" s="158">
        <v>8019904200</v>
      </c>
      <c r="U220" s="143"/>
      <c r="V220" s="147">
        <v>7500000</v>
      </c>
      <c r="W220" s="143"/>
      <c r="X220" s="143"/>
      <c r="Y220" s="152">
        <f t="shared" ref="Y220:AB220" si="419">AD220-T220</f>
        <v>0</v>
      </c>
      <c r="Z220" s="151">
        <f t="shared" si="419"/>
        <v>0</v>
      </c>
      <c r="AA220" s="151">
        <f t="shared" si="419"/>
        <v>0</v>
      </c>
      <c r="AB220" s="151">
        <f t="shared" si="419"/>
        <v>0</v>
      </c>
      <c r="AC220" s="143"/>
      <c r="AD220" s="149">
        <v>8019904200</v>
      </c>
      <c r="AE220" s="150"/>
      <c r="AF220" s="148">
        <v>7500000</v>
      </c>
      <c r="AG220" s="150"/>
      <c r="AH220" s="143">
        <f t="shared" si="7"/>
        <v>0</v>
      </c>
      <c r="AI220" s="151"/>
      <c r="AJ220" s="151">
        <f t="shared" ref="AJ220:AL220" si="420">P220-AE220</f>
        <v>0</v>
      </c>
      <c r="AK220" s="151">
        <f t="shared" si="420"/>
        <v>0</v>
      </c>
      <c r="AL220" s="151">
        <f t="shared" si="420"/>
        <v>0</v>
      </c>
      <c r="AM220" s="145"/>
      <c r="AN220" s="139"/>
      <c r="AO220" s="139"/>
      <c r="AP220" s="139"/>
      <c r="AQ220" s="145"/>
      <c r="AR220" s="145"/>
    </row>
    <row r="221" spans="1:44" s="156" customFormat="1" ht="31.5" x14ac:dyDescent="0.25">
      <c r="A221" s="143" t="s">
        <v>60</v>
      </c>
      <c r="B221" s="144">
        <v>208</v>
      </c>
      <c r="C221" s="143" t="s">
        <v>557</v>
      </c>
      <c r="D221" s="143" t="s">
        <v>1762</v>
      </c>
      <c r="E221" s="145"/>
      <c r="F221" s="146"/>
      <c r="G221" s="143" t="s">
        <v>1763</v>
      </c>
      <c r="H221" s="143"/>
      <c r="I221" s="143"/>
      <c r="J221" s="143"/>
      <c r="K221" s="143"/>
      <c r="L221" s="143" t="s">
        <v>1764</v>
      </c>
      <c r="M221" s="143" t="s">
        <v>43</v>
      </c>
      <c r="N221" s="143" t="s">
        <v>1765</v>
      </c>
      <c r="O221" s="147">
        <v>692628720</v>
      </c>
      <c r="P221" s="150"/>
      <c r="Q221" s="148">
        <v>7500000</v>
      </c>
      <c r="R221" s="150"/>
      <c r="S221" s="147">
        <f t="shared" si="5"/>
        <v>700128720</v>
      </c>
      <c r="T221" s="158">
        <v>692628720</v>
      </c>
      <c r="U221" s="143"/>
      <c r="V221" s="147">
        <v>7500000</v>
      </c>
      <c r="W221" s="143"/>
      <c r="X221" s="143"/>
      <c r="Y221" s="152">
        <f t="shared" ref="Y221:AB221" si="421">AD221-T221</f>
        <v>0</v>
      </c>
      <c r="Z221" s="151">
        <f t="shared" si="421"/>
        <v>0</v>
      </c>
      <c r="AA221" s="151">
        <f t="shared" si="421"/>
        <v>0</v>
      </c>
      <c r="AB221" s="151">
        <f t="shared" si="421"/>
        <v>0</v>
      </c>
      <c r="AC221" s="143"/>
      <c r="AD221" s="149">
        <v>692628720</v>
      </c>
      <c r="AE221" s="150"/>
      <c r="AF221" s="148">
        <v>7500000</v>
      </c>
      <c r="AG221" s="150"/>
      <c r="AH221" s="143">
        <f t="shared" si="7"/>
        <v>0</v>
      </c>
      <c r="AI221" s="151"/>
      <c r="AJ221" s="151">
        <f t="shared" ref="AJ221:AL221" si="422">P221-AE221</f>
        <v>0</v>
      </c>
      <c r="AK221" s="151">
        <f t="shared" si="422"/>
        <v>0</v>
      </c>
      <c r="AL221" s="151">
        <f t="shared" si="422"/>
        <v>0</v>
      </c>
      <c r="AM221" s="145"/>
      <c r="AN221" s="139"/>
      <c r="AO221" s="139"/>
      <c r="AP221" s="139"/>
      <c r="AQ221" s="145"/>
      <c r="AR221" s="145"/>
    </row>
    <row r="222" spans="1:44" s="156" customFormat="1" ht="47.25" x14ac:dyDescent="0.25">
      <c r="A222" s="143" t="s">
        <v>60</v>
      </c>
      <c r="B222" s="144">
        <v>209</v>
      </c>
      <c r="C222" s="143" t="s">
        <v>557</v>
      </c>
      <c r="D222" s="143" t="s">
        <v>1768</v>
      </c>
      <c r="E222" s="145" t="s">
        <v>62</v>
      </c>
      <c r="F222" s="146"/>
      <c r="G222" s="143" t="s">
        <v>1770</v>
      </c>
      <c r="H222" s="143"/>
      <c r="I222" s="143"/>
      <c r="J222" s="143"/>
      <c r="K222" s="143"/>
      <c r="L222" s="143" t="s">
        <v>1771</v>
      </c>
      <c r="M222" s="143" t="s">
        <v>43</v>
      </c>
      <c r="N222" s="143" t="s">
        <v>1773</v>
      </c>
      <c r="O222" s="147">
        <v>3623186360</v>
      </c>
      <c r="P222" s="148">
        <v>652093580</v>
      </c>
      <c r="Q222" s="148">
        <v>7500000</v>
      </c>
      <c r="R222" s="150"/>
      <c r="S222" s="147">
        <f t="shared" si="5"/>
        <v>4282779940</v>
      </c>
      <c r="T222" s="158">
        <v>3623186360</v>
      </c>
      <c r="U222" s="158">
        <v>652093580</v>
      </c>
      <c r="V222" s="157">
        <v>7500000</v>
      </c>
      <c r="W222" s="143"/>
      <c r="X222" s="143"/>
      <c r="Y222" s="152">
        <f t="shared" ref="Y222:AB222" si="423">AD222-T222</f>
        <v>0</v>
      </c>
      <c r="Z222" s="151">
        <f t="shared" si="423"/>
        <v>0</v>
      </c>
      <c r="AA222" s="151">
        <f t="shared" si="423"/>
        <v>0</v>
      </c>
      <c r="AB222" s="151">
        <f t="shared" si="423"/>
        <v>0</v>
      </c>
      <c r="AC222" s="143"/>
      <c r="AD222" s="149">
        <v>3623186360</v>
      </c>
      <c r="AE222" s="148">
        <v>652093580</v>
      </c>
      <c r="AF222" s="148">
        <v>7500000</v>
      </c>
      <c r="AG222" s="150"/>
      <c r="AH222" s="143">
        <f t="shared" si="7"/>
        <v>0</v>
      </c>
      <c r="AI222" s="151"/>
      <c r="AJ222" s="151">
        <f t="shared" ref="AJ222:AL222" si="424">P222-AE222</f>
        <v>0</v>
      </c>
      <c r="AK222" s="151">
        <f t="shared" si="424"/>
        <v>0</v>
      </c>
      <c r="AL222" s="151">
        <f t="shared" si="424"/>
        <v>0</v>
      </c>
      <c r="AM222" s="145"/>
      <c r="AN222" s="139"/>
      <c r="AO222" s="139"/>
      <c r="AP222" s="139"/>
      <c r="AQ222" s="145"/>
      <c r="AR222" s="145"/>
    </row>
    <row r="223" spans="1:44" s="156" customFormat="1" ht="47.25" x14ac:dyDescent="0.25">
      <c r="A223" s="143" t="s">
        <v>35</v>
      </c>
      <c r="B223" s="144">
        <v>210</v>
      </c>
      <c r="C223" s="143" t="s">
        <v>557</v>
      </c>
      <c r="D223" s="143" t="s">
        <v>1775</v>
      </c>
      <c r="E223" s="145" t="s">
        <v>1776</v>
      </c>
      <c r="F223" s="146"/>
      <c r="G223" s="143" t="s">
        <v>1777</v>
      </c>
      <c r="H223" s="143"/>
      <c r="I223" s="143"/>
      <c r="J223" s="143"/>
      <c r="K223" s="143"/>
      <c r="L223" s="143" t="s">
        <v>1778</v>
      </c>
      <c r="M223" s="143" t="s">
        <v>43</v>
      </c>
      <c r="N223" s="143" t="s">
        <v>1779</v>
      </c>
      <c r="O223" s="147">
        <v>2110989648</v>
      </c>
      <c r="P223" s="148">
        <v>10000000</v>
      </c>
      <c r="Q223" s="148">
        <v>15000000</v>
      </c>
      <c r="R223" s="150"/>
      <c r="S223" s="147">
        <f t="shared" si="5"/>
        <v>2135989648</v>
      </c>
      <c r="T223" s="158">
        <v>2110989648</v>
      </c>
      <c r="U223" s="158">
        <v>10000000</v>
      </c>
      <c r="V223" s="147">
        <v>15000000</v>
      </c>
      <c r="W223" s="143"/>
      <c r="X223" s="143"/>
      <c r="Y223" s="152">
        <f t="shared" ref="Y223:AB223" si="425">AD223-T223</f>
        <v>0</v>
      </c>
      <c r="Z223" s="151">
        <f t="shared" si="425"/>
        <v>0</v>
      </c>
      <c r="AA223" s="151">
        <f t="shared" si="425"/>
        <v>0</v>
      </c>
      <c r="AB223" s="151">
        <f t="shared" si="425"/>
        <v>0</v>
      </c>
      <c r="AC223" s="143"/>
      <c r="AD223" s="149">
        <v>2110989648</v>
      </c>
      <c r="AE223" s="148">
        <v>10000000</v>
      </c>
      <c r="AF223" s="148">
        <v>15000000</v>
      </c>
      <c r="AG223" s="150"/>
      <c r="AH223" s="143">
        <f t="shared" si="7"/>
        <v>0</v>
      </c>
      <c r="AI223" s="151"/>
      <c r="AJ223" s="151">
        <f t="shared" ref="AJ223:AL223" si="426">P223-AE223</f>
        <v>0</v>
      </c>
      <c r="AK223" s="151">
        <f t="shared" si="426"/>
        <v>0</v>
      </c>
      <c r="AL223" s="151">
        <f t="shared" si="426"/>
        <v>0</v>
      </c>
      <c r="AM223" s="145"/>
      <c r="AN223" s="139"/>
      <c r="AO223" s="139"/>
      <c r="AP223" s="139"/>
      <c r="AQ223" s="145"/>
      <c r="AR223" s="145"/>
    </row>
    <row r="224" spans="1:44" s="156" customFormat="1" ht="47.25" x14ac:dyDescent="0.25">
      <c r="A224" s="143" t="s">
        <v>35</v>
      </c>
      <c r="B224" s="144">
        <v>211</v>
      </c>
      <c r="C224" s="143" t="s">
        <v>557</v>
      </c>
      <c r="D224" s="143" t="s">
        <v>1780</v>
      </c>
      <c r="E224" s="145" t="s">
        <v>1043</v>
      </c>
      <c r="F224" s="146"/>
      <c r="G224" s="143" t="s">
        <v>1781</v>
      </c>
      <c r="H224" s="143" t="s">
        <v>1782</v>
      </c>
      <c r="I224" s="143"/>
      <c r="J224" s="143"/>
      <c r="K224" s="143"/>
      <c r="L224" s="143" t="s">
        <v>1783</v>
      </c>
      <c r="M224" s="143" t="s">
        <v>43</v>
      </c>
      <c r="N224" s="143" t="s">
        <v>1784</v>
      </c>
      <c r="O224" s="147">
        <v>1970289158</v>
      </c>
      <c r="P224" s="148">
        <v>289891008</v>
      </c>
      <c r="Q224" s="148">
        <v>15000000</v>
      </c>
      <c r="R224" s="150"/>
      <c r="S224" s="147">
        <f t="shared" si="5"/>
        <v>2275180166</v>
      </c>
      <c r="T224" s="158">
        <v>1970289158</v>
      </c>
      <c r="U224" s="158">
        <v>289891008</v>
      </c>
      <c r="V224" s="147">
        <v>15000000</v>
      </c>
      <c r="W224" s="143"/>
      <c r="X224" s="143"/>
      <c r="Y224" s="152">
        <f t="shared" ref="Y224:AB224" si="427">AD224-T224</f>
        <v>0</v>
      </c>
      <c r="Z224" s="151">
        <f t="shared" si="427"/>
        <v>0</v>
      </c>
      <c r="AA224" s="151">
        <f t="shared" si="427"/>
        <v>0</v>
      </c>
      <c r="AB224" s="151">
        <f t="shared" si="427"/>
        <v>0</v>
      </c>
      <c r="AC224" s="143"/>
      <c r="AD224" s="149">
        <v>1970289158</v>
      </c>
      <c r="AE224" s="148">
        <v>289891008</v>
      </c>
      <c r="AF224" s="148">
        <v>15000000</v>
      </c>
      <c r="AG224" s="150"/>
      <c r="AH224" s="143">
        <f t="shared" si="7"/>
        <v>0</v>
      </c>
      <c r="AI224" s="151"/>
      <c r="AJ224" s="151">
        <f t="shared" ref="AJ224:AL224" si="428">P224-AE224</f>
        <v>0</v>
      </c>
      <c r="AK224" s="151">
        <f t="shared" si="428"/>
        <v>0</v>
      </c>
      <c r="AL224" s="151">
        <f t="shared" si="428"/>
        <v>0</v>
      </c>
      <c r="AM224" s="145"/>
      <c r="AN224" s="139"/>
      <c r="AO224" s="139"/>
      <c r="AP224" s="139"/>
      <c r="AQ224" s="145"/>
      <c r="AR224" s="145"/>
    </row>
    <row r="225" spans="1:44" s="156" customFormat="1" ht="31.5" x14ac:dyDescent="0.25">
      <c r="A225" s="143" t="s">
        <v>35</v>
      </c>
      <c r="B225" s="144">
        <v>212</v>
      </c>
      <c r="C225" s="143" t="s">
        <v>557</v>
      </c>
      <c r="D225" s="143" t="s">
        <v>1791</v>
      </c>
      <c r="E225" s="145"/>
      <c r="F225" s="146"/>
      <c r="G225" s="143" t="s">
        <v>1792</v>
      </c>
      <c r="H225" s="143"/>
      <c r="I225" s="143"/>
      <c r="J225" s="143"/>
      <c r="K225" s="143"/>
      <c r="L225" s="143" t="s">
        <v>1793</v>
      </c>
      <c r="M225" s="143" t="s">
        <v>43</v>
      </c>
      <c r="N225" s="143" t="s">
        <v>1794</v>
      </c>
      <c r="O225" s="147">
        <v>1905146779</v>
      </c>
      <c r="P225" s="150"/>
      <c r="Q225" s="148">
        <v>7500000</v>
      </c>
      <c r="R225" s="150"/>
      <c r="S225" s="147">
        <f t="shared" si="5"/>
        <v>1912646779</v>
      </c>
      <c r="T225" s="158">
        <v>1905146779</v>
      </c>
      <c r="U225" s="143"/>
      <c r="V225" s="147">
        <v>7500000</v>
      </c>
      <c r="W225" s="143"/>
      <c r="X225" s="143"/>
      <c r="Y225" s="152">
        <f t="shared" ref="Y225:AB225" si="429">AD225-T225</f>
        <v>0</v>
      </c>
      <c r="Z225" s="151">
        <f t="shared" si="429"/>
        <v>0</v>
      </c>
      <c r="AA225" s="151">
        <f t="shared" si="429"/>
        <v>0</v>
      </c>
      <c r="AB225" s="151">
        <f t="shared" si="429"/>
        <v>0</v>
      </c>
      <c r="AC225" s="143"/>
      <c r="AD225" s="149">
        <v>1905146779</v>
      </c>
      <c r="AE225" s="150"/>
      <c r="AF225" s="148">
        <v>7500000</v>
      </c>
      <c r="AG225" s="150"/>
      <c r="AH225" s="143">
        <f t="shared" si="7"/>
        <v>0</v>
      </c>
      <c r="AI225" s="151"/>
      <c r="AJ225" s="151">
        <f t="shared" ref="AJ225:AL225" si="430">P225-AE225</f>
        <v>0</v>
      </c>
      <c r="AK225" s="151">
        <f t="shared" si="430"/>
        <v>0</v>
      </c>
      <c r="AL225" s="151">
        <f t="shared" si="430"/>
        <v>0</v>
      </c>
      <c r="AM225" s="145"/>
      <c r="AN225" s="139"/>
      <c r="AO225" s="139"/>
      <c r="AP225" s="139"/>
      <c r="AQ225" s="145"/>
      <c r="AR225" s="145"/>
    </row>
    <row r="226" spans="1:44" s="156" customFormat="1" ht="31.5" x14ac:dyDescent="0.25">
      <c r="A226" s="143" t="s">
        <v>52</v>
      </c>
      <c r="B226" s="144">
        <v>213</v>
      </c>
      <c r="C226" s="143" t="s">
        <v>557</v>
      </c>
      <c r="D226" s="143" t="s">
        <v>1800</v>
      </c>
      <c r="E226" s="145"/>
      <c r="F226" s="146"/>
      <c r="G226" s="143" t="s">
        <v>1801</v>
      </c>
      <c r="H226" s="143"/>
      <c r="I226" s="143" t="s">
        <v>85</v>
      </c>
      <c r="J226" s="143"/>
      <c r="K226" s="143"/>
      <c r="L226" s="143" t="s">
        <v>1802</v>
      </c>
      <c r="M226" s="143" t="s">
        <v>43</v>
      </c>
      <c r="N226" s="143" t="s">
        <v>1803</v>
      </c>
      <c r="O226" s="147"/>
      <c r="P226" s="150"/>
      <c r="Q226" s="150"/>
      <c r="R226" s="150"/>
      <c r="S226" s="147">
        <f t="shared" si="5"/>
        <v>0</v>
      </c>
      <c r="T226" s="144">
        <v>0</v>
      </c>
      <c r="U226" s="143"/>
      <c r="V226" s="157"/>
      <c r="W226" s="143"/>
      <c r="X226" s="143"/>
      <c r="Y226" s="151">
        <f t="shared" ref="Y226:AB226" si="431">AD226-T226</f>
        <v>0</v>
      </c>
      <c r="Z226" s="151">
        <f t="shared" si="431"/>
        <v>0</v>
      </c>
      <c r="AA226" s="151">
        <f t="shared" si="431"/>
        <v>0</v>
      </c>
      <c r="AB226" s="152">
        <f t="shared" si="431"/>
        <v>0</v>
      </c>
      <c r="AC226" s="143"/>
      <c r="AD226" s="148">
        <v>0</v>
      </c>
      <c r="AE226" s="150"/>
      <c r="AF226" s="150"/>
      <c r="AG226" s="155"/>
      <c r="AH226" s="143">
        <f t="shared" si="7"/>
        <v>0</v>
      </c>
      <c r="AI226" s="151"/>
      <c r="AJ226" s="151">
        <f t="shared" ref="AJ226:AL226" si="432">P226-AE226</f>
        <v>0</v>
      </c>
      <c r="AK226" s="151">
        <f t="shared" si="432"/>
        <v>0</v>
      </c>
      <c r="AL226" s="151">
        <f t="shared" si="432"/>
        <v>0</v>
      </c>
      <c r="AM226" s="145"/>
      <c r="AN226" s="139"/>
      <c r="AO226" s="139"/>
      <c r="AP226" s="139"/>
      <c r="AQ226" s="145"/>
      <c r="AR226" s="145"/>
    </row>
    <row r="227" spans="1:44" s="156" customFormat="1" ht="31.5" x14ac:dyDescent="0.25">
      <c r="A227" s="143" t="s">
        <v>35</v>
      </c>
      <c r="B227" s="144">
        <v>214</v>
      </c>
      <c r="C227" s="143" t="s">
        <v>557</v>
      </c>
      <c r="D227" s="143" t="s">
        <v>1804</v>
      </c>
      <c r="E227" s="145"/>
      <c r="F227" s="146"/>
      <c r="G227" s="143" t="s">
        <v>1805</v>
      </c>
      <c r="H227" s="143"/>
      <c r="I227" s="143"/>
      <c r="J227" s="143"/>
      <c r="K227" s="143"/>
      <c r="L227" s="143" t="s">
        <v>1806</v>
      </c>
      <c r="M227" s="143" t="s">
        <v>43</v>
      </c>
      <c r="N227" s="143" t="s">
        <v>1807</v>
      </c>
      <c r="O227" s="147">
        <v>1051785402</v>
      </c>
      <c r="P227" s="150"/>
      <c r="Q227" s="148">
        <v>15000000</v>
      </c>
      <c r="R227" s="150"/>
      <c r="S227" s="147">
        <f t="shared" si="5"/>
        <v>1066785402</v>
      </c>
      <c r="T227" s="158">
        <v>1051785402</v>
      </c>
      <c r="U227" s="143"/>
      <c r="V227" s="147">
        <v>15000000</v>
      </c>
      <c r="W227" s="143"/>
      <c r="X227" s="143"/>
      <c r="Y227" s="152">
        <f t="shared" ref="Y227:AB227" si="433">AD227-T227</f>
        <v>0</v>
      </c>
      <c r="Z227" s="151">
        <f t="shared" si="433"/>
        <v>0</v>
      </c>
      <c r="AA227" s="151">
        <f t="shared" si="433"/>
        <v>0</v>
      </c>
      <c r="AB227" s="151">
        <f t="shared" si="433"/>
        <v>0</v>
      </c>
      <c r="AC227" s="143"/>
      <c r="AD227" s="149">
        <v>1051785402</v>
      </c>
      <c r="AE227" s="150"/>
      <c r="AF227" s="148">
        <v>15000000</v>
      </c>
      <c r="AG227" s="150"/>
      <c r="AH227" s="143">
        <f t="shared" si="7"/>
        <v>0</v>
      </c>
      <c r="AI227" s="151"/>
      <c r="AJ227" s="151">
        <f t="shared" ref="AJ227:AL227" si="434">P227-AE227</f>
        <v>0</v>
      </c>
      <c r="AK227" s="151">
        <f t="shared" si="434"/>
        <v>0</v>
      </c>
      <c r="AL227" s="151">
        <f t="shared" si="434"/>
        <v>0</v>
      </c>
      <c r="AM227" s="145"/>
      <c r="AN227" s="139"/>
      <c r="AO227" s="139"/>
      <c r="AP227" s="139"/>
      <c r="AQ227" s="145"/>
      <c r="AR227" s="145"/>
    </row>
    <row r="228" spans="1:44" s="156" customFormat="1" ht="47.25" x14ac:dyDescent="0.25">
      <c r="A228" s="143" t="s">
        <v>35</v>
      </c>
      <c r="B228" s="144">
        <v>215</v>
      </c>
      <c r="C228" s="143" t="s">
        <v>557</v>
      </c>
      <c r="D228" s="143" t="s">
        <v>1812</v>
      </c>
      <c r="E228" s="145" t="s">
        <v>409</v>
      </c>
      <c r="F228" s="146"/>
      <c r="G228" s="143" t="s">
        <v>1813</v>
      </c>
      <c r="H228" s="143" t="s">
        <v>1626</v>
      </c>
      <c r="I228" s="143"/>
      <c r="J228" s="143"/>
      <c r="K228" s="143"/>
      <c r="L228" s="143" t="s">
        <v>1814</v>
      </c>
      <c r="M228" s="143" t="s">
        <v>43</v>
      </c>
      <c r="N228" s="143" t="s">
        <v>1815</v>
      </c>
      <c r="O228" s="147">
        <v>1825416000</v>
      </c>
      <c r="P228" s="148">
        <v>419381453</v>
      </c>
      <c r="Q228" s="148">
        <v>15000000</v>
      </c>
      <c r="R228" s="150"/>
      <c r="S228" s="147">
        <f t="shared" si="5"/>
        <v>2259797453</v>
      </c>
      <c r="T228" s="158">
        <v>1825416000</v>
      </c>
      <c r="U228" s="158">
        <v>419381453</v>
      </c>
      <c r="V228" s="147">
        <v>15000000</v>
      </c>
      <c r="W228" s="143"/>
      <c r="X228" s="143"/>
      <c r="Y228" s="152">
        <f t="shared" ref="Y228:AB228" si="435">AD228-T228</f>
        <v>0</v>
      </c>
      <c r="Z228" s="151">
        <f t="shared" si="435"/>
        <v>0</v>
      </c>
      <c r="AA228" s="151">
        <f t="shared" si="435"/>
        <v>0</v>
      </c>
      <c r="AB228" s="151">
        <f t="shared" si="435"/>
        <v>0</v>
      </c>
      <c r="AC228" s="143"/>
      <c r="AD228" s="149">
        <v>1825416000</v>
      </c>
      <c r="AE228" s="148">
        <v>419381453</v>
      </c>
      <c r="AF228" s="148">
        <v>15000000</v>
      </c>
      <c r="AG228" s="150"/>
      <c r="AH228" s="143">
        <f t="shared" si="7"/>
        <v>0</v>
      </c>
      <c r="AI228" s="151"/>
      <c r="AJ228" s="151">
        <f t="shared" ref="AJ228:AL228" si="436">P228-AE228</f>
        <v>0</v>
      </c>
      <c r="AK228" s="151">
        <f t="shared" si="436"/>
        <v>0</v>
      </c>
      <c r="AL228" s="151">
        <f t="shared" si="436"/>
        <v>0</v>
      </c>
      <c r="AM228" s="145"/>
      <c r="AN228" s="139"/>
      <c r="AO228" s="139"/>
      <c r="AP228" s="139"/>
      <c r="AQ228" s="145"/>
      <c r="AR228" s="145"/>
    </row>
    <row r="229" spans="1:44" s="156" customFormat="1" ht="31.5" x14ac:dyDescent="0.25">
      <c r="A229" s="143" t="s">
        <v>35</v>
      </c>
      <c r="B229" s="144">
        <v>216</v>
      </c>
      <c r="C229" s="143" t="s">
        <v>557</v>
      </c>
      <c r="D229" s="143" t="s">
        <v>1816</v>
      </c>
      <c r="E229" s="145"/>
      <c r="F229" s="146"/>
      <c r="G229" s="143" t="s">
        <v>1817</v>
      </c>
      <c r="H229" s="143"/>
      <c r="I229" s="143"/>
      <c r="J229" s="143"/>
      <c r="K229" s="143"/>
      <c r="L229" s="143" t="s">
        <v>1818</v>
      </c>
      <c r="M229" s="143" t="s">
        <v>43</v>
      </c>
      <c r="N229" s="143" t="s">
        <v>1819</v>
      </c>
      <c r="O229" s="147">
        <v>2346410500</v>
      </c>
      <c r="P229" s="150"/>
      <c r="Q229" s="148">
        <v>7500000</v>
      </c>
      <c r="R229" s="150"/>
      <c r="S229" s="147">
        <f t="shared" si="5"/>
        <v>2353910500</v>
      </c>
      <c r="T229" s="158">
        <v>2346410500</v>
      </c>
      <c r="U229" s="143"/>
      <c r="V229" s="147">
        <v>7500000</v>
      </c>
      <c r="W229" s="143"/>
      <c r="X229" s="143"/>
      <c r="Y229" s="152">
        <f t="shared" ref="Y229:AB229" si="437">AD229-T229</f>
        <v>0</v>
      </c>
      <c r="Z229" s="151">
        <f t="shared" si="437"/>
        <v>0</v>
      </c>
      <c r="AA229" s="151">
        <f t="shared" si="437"/>
        <v>0</v>
      </c>
      <c r="AB229" s="151">
        <f t="shared" si="437"/>
        <v>0</v>
      </c>
      <c r="AC229" s="143"/>
      <c r="AD229" s="149">
        <v>2346410500</v>
      </c>
      <c r="AE229" s="150"/>
      <c r="AF229" s="148">
        <v>7500000</v>
      </c>
      <c r="AG229" s="150"/>
      <c r="AH229" s="143">
        <f t="shared" si="7"/>
        <v>0</v>
      </c>
      <c r="AI229" s="151"/>
      <c r="AJ229" s="151">
        <f t="shared" ref="AJ229:AL229" si="438">P229-AE229</f>
        <v>0</v>
      </c>
      <c r="AK229" s="151">
        <f t="shared" si="438"/>
        <v>0</v>
      </c>
      <c r="AL229" s="151">
        <f t="shared" si="438"/>
        <v>0</v>
      </c>
      <c r="AM229" s="145"/>
      <c r="AN229" s="139"/>
      <c r="AO229" s="139"/>
      <c r="AP229" s="139"/>
      <c r="AQ229" s="145"/>
      <c r="AR229" s="145"/>
    </row>
    <row r="230" spans="1:44" s="156" customFormat="1" ht="31.5" x14ac:dyDescent="0.25">
      <c r="A230" s="143" t="s">
        <v>35</v>
      </c>
      <c r="B230" s="144">
        <v>217</v>
      </c>
      <c r="C230" s="143" t="s">
        <v>557</v>
      </c>
      <c r="D230" s="143" t="s">
        <v>1827</v>
      </c>
      <c r="E230" s="145"/>
      <c r="F230" s="146"/>
      <c r="G230" s="143" t="s">
        <v>1828</v>
      </c>
      <c r="H230" s="143"/>
      <c r="I230" s="143"/>
      <c r="J230" s="143"/>
      <c r="K230" s="143"/>
      <c r="L230" s="143" t="s">
        <v>1829</v>
      </c>
      <c r="M230" s="143" t="s">
        <v>43</v>
      </c>
      <c r="N230" s="143" t="s">
        <v>1830</v>
      </c>
      <c r="O230" s="147">
        <v>9676523194</v>
      </c>
      <c r="P230" s="150"/>
      <c r="Q230" s="148">
        <v>15000000</v>
      </c>
      <c r="R230" s="150"/>
      <c r="S230" s="147">
        <f t="shared" si="5"/>
        <v>9691523194</v>
      </c>
      <c r="T230" s="158">
        <v>9676523194</v>
      </c>
      <c r="U230" s="143"/>
      <c r="V230" s="147">
        <v>15000000</v>
      </c>
      <c r="W230" s="143"/>
      <c r="X230" s="143"/>
      <c r="Y230" s="152">
        <f t="shared" ref="Y230:AB230" si="439">AD230-T230</f>
        <v>0</v>
      </c>
      <c r="Z230" s="151">
        <f t="shared" si="439"/>
        <v>0</v>
      </c>
      <c r="AA230" s="151">
        <f t="shared" si="439"/>
        <v>0</v>
      </c>
      <c r="AB230" s="151">
        <f t="shared" si="439"/>
        <v>0</v>
      </c>
      <c r="AC230" s="143"/>
      <c r="AD230" s="149">
        <v>9676523194</v>
      </c>
      <c r="AE230" s="150"/>
      <c r="AF230" s="148">
        <v>15000000</v>
      </c>
      <c r="AG230" s="150"/>
      <c r="AH230" s="143">
        <f t="shared" si="7"/>
        <v>0</v>
      </c>
      <c r="AI230" s="151"/>
      <c r="AJ230" s="151">
        <f t="shared" ref="AJ230:AL230" si="440">P230-AE230</f>
        <v>0</v>
      </c>
      <c r="AK230" s="151">
        <f t="shared" si="440"/>
        <v>0</v>
      </c>
      <c r="AL230" s="151">
        <f t="shared" si="440"/>
        <v>0</v>
      </c>
      <c r="AM230" s="145"/>
      <c r="AN230" s="139"/>
      <c r="AO230" s="139"/>
      <c r="AP230" s="139"/>
      <c r="AQ230" s="145"/>
      <c r="AR230" s="145"/>
    </row>
    <row r="231" spans="1:44" s="156" customFormat="1" ht="47.25" x14ac:dyDescent="0.25">
      <c r="A231" s="143" t="s">
        <v>52</v>
      </c>
      <c r="B231" s="144">
        <v>218</v>
      </c>
      <c r="C231" s="143" t="s">
        <v>557</v>
      </c>
      <c r="D231" s="143" t="s">
        <v>1224</v>
      </c>
      <c r="E231" s="145" t="s">
        <v>1226</v>
      </c>
      <c r="F231" s="145" t="s">
        <v>1227</v>
      </c>
      <c r="G231" s="143" t="s">
        <v>1229</v>
      </c>
      <c r="H231" s="143"/>
      <c r="I231" s="143"/>
      <c r="J231" s="143"/>
      <c r="K231" s="164"/>
      <c r="L231" s="143" t="s">
        <v>1231</v>
      </c>
      <c r="M231" s="143" t="s">
        <v>43</v>
      </c>
      <c r="N231" s="143" t="s">
        <v>1232</v>
      </c>
      <c r="O231" s="147">
        <v>1212272880</v>
      </c>
      <c r="P231" s="148">
        <v>231967520</v>
      </c>
      <c r="Q231" s="148">
        <v>15000000</v>
      </c>
      <c r="R231" s="148">
        <v>42000000</v>
      </c>
      <c r="S231" s="147">
        <f t="shared" si="5"/>
        <v>1501240400</v>
      </c>
      <c r="T231" s="158">
        <v>1212272880</v>
      </c>
      <c r="U231" s="158">
        <v>231967520</v>
      </c>
      <c r="V231" s="147">
        <v>15000000</v>
      </c>
      <c r="W231" s="158">
        <v>42000000</v>
      </c>
      <c r="X231" s="143"/>
      <c r="Y231" s="152">
        <f t="shared" ref="Y231:AB231" si="441">AD231-T231</f>
        <v>0</v>
      </c>
      <c r="Z231" s="151">
        <f t="shared" si="441"/>
        <v>0</v>
      </c>
      <c r="AA231" s="151">
        <f t="shared" si="441"/>
        <v>0</v>
      </c>
      <c r="AB231" s="151">
        <f t="shared" si="441"/>
        <v>0</v>
      </c>
      <c r="AC231" s="143"/>
      <c r="AD231" s="149">
        <v>1212272880</v>
      </c>
      <c r="AE231" s="148">
        <v>231967520</v>
      </c>
      <c r="AF231" s="148">
        <v>15000000</v>
      </c>
      <c r="AG231" s="148">
        <v>42000000</v>
      </c>
      <c r="AH231" s="143">
        <f t="shared" si="7"/>
        <v>0</v>
      </c>
      <c r="AI231" s="151"/>
      <c r="AJ231" s="151">
        <f t="shared" ref="AJ231:AL231" si="442">P231-AE231</f>
        <v>0</v>
      </c>
      <c r="AK231" s="151">
        <f t="shared" si="442"/>
        <v>0</v>
      </c>
      <c r="AL231" s="151">
        <f t="shared" si="442"/>
        <v>0</v>
      </c>
      <c r="AM231" s="145"/>
      <c r="AN231" s="139"/>
      <c r="AO231" s="139"/>
      <c r="AP231" s="139"/>
      <c r="AQ231" s="145"/>
      <c r="AR231" s="145"/>
    </row>
    <row r="232" spans="1:44" s="156" customFormat="1" ht="31.5" x14ac:dyDescent="0.25">
      <c r="A232" s="143" t="s">
        <v>35</v>
      </c>
      <c r="B232" s="144">
        <v>219</v>
      </c>
      <c r="C232" s="143" t="s">
        <v>557</v>
      </c>
      <c r="D232" s="143" t="s">
        <v>1839</v>
      </c>
      <c r="E232" s="145"/>
      <c r="F232" s="146"/>
      <c r="G232" s="143" t="s">
        <v>1840</v>
      </c>
      <c r="H232" s="143"/>
      <c r="I232" s="143"/>
      <c r="J232" s="143"/>
      <c r="K232" s="143"/>
      <c r="L232" s="143" t="s">
        <v>1841</v>
      </c>
      <c r="M232" s="143" t="s">
        <v>43</v>
      </c>
      <c r="N232" s="143" t="s">
        <v>1842</v>
      </c>
      <c r="O232" s="147">
        <v>1642004400</v>
      </c>
      <c r="P232" s="150"/>
      <c r="Q232" s="148">
        <v>7500000</v>
      </c>
      <c r="R232" s="150"/>
      <c r="S232" s="147">
        <f t="shared" si="5"/>
        <v>1649504400</v>
      </c>
      <c r="T232" s="158">
        <v>1642004400</v>
      </c>
      <c r="U232" s="143"/>
      <c r="V232" s="147">
        <v>7500000</v>
      </c>
      <c r="W232" s="143"/>
      <c r="X232" s="143"/>
      <c r="Y232" s="152">
        <f t="shared" ref="Y232:AB232" si="443">AD232-T232</f>
        <v>0</v>
      </c>
      <c r="Z232" s="151">
        <f t="shared" si="443"/>
        <v>0</v>
      </c>
      <c r="AA232" s="151">
        <f t="shared" si="443"/>
        <v>0</v>
      </c>
      <c r="AB232" s="151">
        <f t="shared" si="443"/>
        <v>0</v>
      </c>
      <c r="AC232" s="143"/>
      <c r="AD232" s="149">
        <v>1642004400</v>
      </c>
      <c r="AE232" s="150"/>
      <c r="AF232" s="148">
        <v>7500000</v>
      </c>
      <c r="AG232" s="150"/>
      <c r="AH232" s="143">
        <f t="shared" si="7"/>
        <v>0</v>
      </c>
      <c r="AI232" s="151"/>
      <c r="AJ232" s="151">
        <f t="shared" ref="AJ232:AL232" si="444">P232-AE232</f>
        <v>0</v>
      </c>
      <c r="AK232" s="151">
        <f t="shared" si="444"/>
        <v>0</v>
      </c>
      <c r="AL232" s="151">
        <f t="shared" si="444"/>
        <v>0</v>
      </c>
      <c r="AM232" s="145"/>
      <c r="AN232" s="139"/>
      <c r="AO232" s="139"/>
      <c r="AP232" s="139"/>
      <c r="AQ232" s="145"/>
      <c r="AR232" s="145"/>
    </row>
    <row r="233" spans="1:44" s="156" customFormat="1" ht="31.5" x14ac:dyDescent="0.25">
      <c r="A233" s="143" t="s">
        <v>52</v>
      </c>
      <c r="B233" s="144">
        <v>220</v>
      </c>
      <c r="C233" s="143" t="s">
        <v>557</v>
      </c>
      <c r="D233" s="143" t="s">
        <v>1843</v>
      </c>
      <c r="E233" s="145"/>
      <c r="F233" s="146"/>
      <c r="G233" s="143" t="s">
        <v>1844</v>
      </c>
      <c r="H233" s="143"/>
      <c r="I233" s="143"/>
      <c r="J233" s="143"/>
      <c r="K233" s="143"/>
      <c r="L233" s="143" t="s">
        <v>1845</v>
      </c>
      <c r="M233" s="143" t="s">
        <v>43</v>
      </c>
      <c r="N233" s="143" t="s">
        <v>1847</v>
      </c>
      <c r="O233" s="147">
        <v>101857120</v>
      </c>
      <c r="P233" s="150"/>
      <c r="Q233" s="148">
        <v>7500000</v>
      </c>
      <c r="R233" s="150"/>
      <c r="S233" s="147">
        <f t="shared" si="5"/>
        <v>109357120</v>
      </c>
      <c r="T233" s="158">
        <v>101857120</v>
      </c>
      <c r="U233" s="143"/>
      <c r="V233" s="147">
        <v>7500000</v>
      </c>
      <c r="W233" s="143"/>
      <c r="X233" s="143"/>
      <c r="Y233" s="152">
        <f t="shared" ref="Y233:AB233" si="445">AD233-T233</f>
        <v>0</v>
      </c>
      <c r="Z233" s="151">
        <f t="shared" si="445"/>
        <v>0</v>
      </c>
      <c r="AA233" s="151">
        <f t="shared" si="445"/>
        <v>0</v>
      </c>
      <c r="AB233" s="151">
        <f t="shared" si="445"/>
        <v>0</v>
      </c>
      <c r="AC233" s="143"/>
      <c r="AD233" s="149">
        <v>101857120</v>
      </c>
      <c r="AE233" s="150"/>
      <c r="AF233" s="148">
        <v>7500000</v>
      </c>
      <c r="AG233" s="150"/>
      <c r="AH233" s="143">
        <f t="shared" si="7"/>
        <v>0</v>
      </c>
      <c r="AI233" s="151"/>
      <c r="AJ233" s="151">
        <f t="shared" ref="AJ233:AL233" si="446">P233-AE233</f>
        <v>0</v>
      </c>
      <c r="AK233" s="151">
        <f t="shared" si="446"/>
        <v>0</v>
      </c>
      <c r="AL233" s="151">
        <f t="shared" si="446"/>
        <v>0</v>
      </c>
      <c r="AM233" s="145"/>
      <c r="AN233" s="139"/>
      <c r="AO233" s="139"/>
      <c r="AP233" s="139"/>
      <c r="AQ233" s="145"/>
      <c r="AR233" s="145"/>
    </row>
    <row r="234" spans="1:44" s="156" customFormat="1" ht="110.25" x14ac:dyDescent="0.25">
      <c r="A234" s="143" t="s">
        <v>35</v>
      </c>
      <c r="B234" s="144">
        <v>221</v>
      </c>
      <c r="C234" s="143" t="s">
        <v>557</v>
      </c>
      <c r="D234" s="143" t="s">
        <v>1851</v>
      </c>
      <c r="E234" s="145" t="s">
        <v>156</v>
      </c>
      <c r="F234" s="146"/>
      <c r="G234" s="143" t="s">
        <v>1852</v>
      </c>
      <c r="H234" s="143" t="s">
        <v>1853</v>
      </c>
      <c r="I234" s="143"/>
      <c r="J234" s="143"/>
      <c r="K234" s="143"/>
      <c r="L234" s="143" t="s">
        <v>1854</v>
      </c>
      <c r="M234" s="143" t="s">
        <v>43</v>
      </c>
      <c r="N234" s="143" t="s">
        <v>1855</v>
      </c>
      <c r="O234" s="147">
        <v>6130396068</v>
      </c>
      <c r="P234" s="179">
        <v>7326720</v>
      </c>
      <c r="Q234" s="148">
        <v>15000000</v>
      </c>
      <c r="R234" s="150"/>
      <c r="S234" s="147">
        <f t="shared" si="5"/>
        <v>6152722788</v>
      </c>
      <c r="T234" s="158">
        <v>6130396068</v>
      </c>
      <c r="U234" s="158">
        <v>7326720</v>
      </c>
      <c r="V234" s="147">
        <v>15000000</v>
      </c>
      <c r="W234" s="143"/>
      <c r="X234" s="143"/>
      <c r="Y234" s="152">
        <f t="shared" ref="Y234:AB234" si="447">AD234-T234</f>
        <v>0</v>
      </c>
      <c r="Z234" s="151">
        <f t="shared" si="447"/>
        <v>0</v>
      </c>
      <c r="AA234" s="151">
        <f t="shared" si="447"/>
        <v>0</v>
      </c>
      <c r="AB234" s="151">
        <f t="shared" si="447"/>
        <v>0</v>
      </c>
      <c r="AC234" s="143"/>
      <c r="AD234" s="149">
        <v>6130396068</v>
      </c>
      <c r="AE234" s="179">
        <v>7326720</v>
      </c>
      <c r="AF234" s="148">
        <v>15000000</v>
      </c>
      <c r="AG234" s="180"/>
      <c r="AH234" s="143">
        <f t="shared" si="7"/>
        <v>0</v>
      </c>
      <c r="AI234" s="151"/>
      <c r="AJ234" s="151">
        <f t="shared" ref="AJ234:AL234" si="448">P234-AE234</f>
        <v>0</v>
      </c>
      <c r="AK234" s="151">
        <f t="shared" si="448"/>
        <v>0</v>
      </c>
      <c r="AL234" s="151">
        <f t="shared" si="448"/>
        <v>0</v>
      </c>
      <c r="AM234" s="145"/>
      <c r="AN234" s="139"/>
      <c r="AO234" s="139"/>
      <c r="AP234" s="139"/>
      <c r="AQ234" s="145"/>
      <c r="AR234" s="145"/>
    </row>
    <row r="235" spans="1:44" s="156" customFormat="1" ht="31.5" x14ac:dyDescent="0.25">
      <c r="A235" s="143" t="s">
        <v>52</v>
      </c>
      <c r="B235" s="144">
        <v>222</v>
      </c>
      <c r="C235" s="143" t="s">
        <v>557</v>
      </c>
      <c r="D235" s="143" t="s">
        <v>1860</v>
      </c>
      <c r="E235" s="145"/>
      <c r="F235" s="146"/>
      <c r="G235" s="143" t="s">
        <v>1861</v>
      </c>
      <c r="H235" s="143"/>
      <c r="I235" s="143"/>
      <c r="J235" s="143"/>
      <c r="K235" s="143"/>
      <c r="L235" s="143" t="s">
        <v>1862</v>
      </c>
      <c r="M235" s="143" t="s">
        <v>43</v>
      </c>
      <c r="N235" s="143" t="s">
        <v>1863</v>
      </c>
      <c r="O235" s="147">
        <v>2707724480</v>
      </c>
      <c r="P235" s="150"/>
      <c r="Q235" s="148">
        <v>15000000</v>
      </c>
      <c r="R235" s="150"/>
      <c r="S235" s="147">
        <f t="shared" si="5"/>
        <v>2722724480</v>
      </c>
      <c r="T235" s="158">
        <v>2707724480</v>
      </c>
      <c r="U235" s="143"/>
      <c r="V235" s="147">
        <v>15000000</v>
      </c>
      <c r="W235" s="143"/>
      <c r="X235" s="143"/>
      <c r="Y235" s="152">
        <f t="shared" ref="Y235:AB235" si="449">AD235-T235</f>
        <v>0</v>
      </c>
      <c r="Z235" s="151">
        <f t="shared" si="449"/>
        <v>0</v>
      </c>
      <c r="AA235" s="151">
        <f t="shared" si="449"/>
        <v>0</v>
      </c>
      <c r="AB235" s="151">
        <f t="shared" si="449"/>
        <v>0</v>
      </c>
      <c r="AC235" s="143"/>
      <c r="AD235" s="149">
        <v>2707724480</v>
      </c>
      <c r="AE235" s="150"/>
      <c r="AF235" s="148">
        <v>15000000</v>
      </c>
      <c r="AG235" s="150"/>
      <c r="AH235" s="143">
        <f t="shared" si="7"/>
        <v>0</v>
      </c>
      <c r="AI235" s="151"/>
      <c r="AJ235" s="151">
        <f t="shared" ref="AJ235:AL235" si="450">P235-AE235</f>
        <v>0</v>
      </c>
      <c r="AK235" s="151">
        <f t="shared" si="450"/>
        <v>0</v>
      </c>
      <c r="AL235" s="151">
        <f t="shared" si="450"/>
        <v>0</v>
      </c>
      <c r="AM235" s="145"/>
      <c r="AN235" s="139"/>
      <c r="AO235" s="139"/>
      <c r="AP235" s="139"/>
      <c r="AQ235" s="145"/>
      <c r="AR235" s="145"/>
    </row>
    <row r="236" spans="1:44" s="156" customFormat="1" ht="78.75" x14ac:dyDescent="0.25">
      <c r="A236" s="143" t="s">
        <v>52</v>
      </c>
      <c r="B236" s="144">
        <v>223</v>
      </c>
      <c r="C236" s="143" t="s">
        <v>557</v>
      </c>
      <c r="D236" s="143" t="s">
        <v>1868</v>
      </c>
      <c r="E236" s="145"/>
      <c r="F236" s="146"/>
      <c r="G236" s="143" t="s">
        <v>1869</v>
      </c>
      <c r="H236" s="143"/>
      <c r="I236" s="143"/>
      <c r="J236" s="143"/>
      <c r="K236" s="143"/>
      <c r="L236" s="143" t="s">
        <v>1870</v>
      </c>
      <c r="M236" s="143" t="s">
        <v>43</v>
      </c>
      <c r="N236" s="143" t="s">
        <v>1871</v>
      </c>
      <c r="O236" s="147">
        <v>1477449600</v>
      </c>
      <c r="P236" s="150"/>
      <c r="Q236" s="148">
        <v>7500000</v>
      </c>
      <c r="R236" s="150"/>
      <c r="S236" s="147">
        <f t="shared" si="5"/>
        <v>1484949600</v>
      </c>
      <c r="T236" s="158">
        <v>1477449600</v>
      </c>
      <c r="U236" s="143"/>
      <c r="V236" s="157"/>
      <c r="W236" s="143"/>
      <c r="X236" s="143"/>
      <c r="Y236" s="152">
        <f t="shared" ref="Y236:AB236" si="451">AD236-T236</f>
        <v>0</v>
      </c>
      <c r="Z236" s="151">
        <f t="shared" si="451"/>
        <v>0</v>
      </c>
      <c r="AA236" s="151">
        <f t="shared" si="451"/>
        <v>0</v>
      </c>
      <c r="AB236" s="143">
        <f t="shared" si="451"/>
        <v>0</v>
      </c>
      <c r="AC236" s="143"/>
      <c r="AD236" s="149">
        <v>1477449600</v>
      </c>
      <c r="AE236" s="150"/>
      <c r="AF236" s="150"/>
      <c r="AG236" s="145"/>
      <c r="AH236" s="143">
        <f t="shared" si="7"/>
        <v>0</v>
      </c>
      <c r="AI236" s="151"/>
      <c r="AJ236" s="151">
        <f t="shared" ref="AJ236:AL236" si="452">P236-AE236</f>
        <v>0</v>
      </c>
      <c r="AK236" s="151">
        <f t="shared" si="452"/>
        <v>7500000</v>
      </c>
      <c r="AL236" s="151">
        <f t="shared" si="452"/>
        <v>0</v>
      </c>
      <c r="AM236" s="145"/>
      <c r="AN236" s="139"/>
      <c r="AO236" s="139"/>
      <c r="AP236" s="168" t="s">
        <v>2460</v>
      </c>
      <c r="AQ236" s="145"/>
      <c r="AR236" s="145"/>
    </row>
    <row r="237" spans="1:44" s="156" customFormat="1" ht="78.75" x14ac:dyDescent="0.25">
      <c r="A237" s="143" t="s">
        <v>52</v>
      </c>
      <c r="B237" s="144">
        <v>224</v>
      </c>
      <c r="C237" s="143" t="s">
        <v>557</v>
      </c>
      <c r="D237" s="143" t="s">
        <v>1876</v>
      </c>
      <c r="E237" s="145"/>
      <c r="F237" s="146"/>
      <c r="G237" s="143" t="s">
        <v>1877</v>
      </c>
      <c r="H237" s="143"/>
      <c r="I237" s="143"/>
      <c r="J237" s="143"/>
      <c r="K237" s="143"/>
      <c r="L237" s="143" t="s">
        <v>1870</v>
      </c>
      <c r="M237" s="143" t="s">
        <v>43</v>
      </c>
      <c r="N237" s="143" t="s">
        <v>1871</v>
      </c>
      <c r="O237" s="147">
        <v>1245692800</v>
      </c>
      <c r="P237" s="150"/>
      <c r="Q237" s="148">
        <v>7500000</v>
      </c>
      <c r="R237" s="150"/>
      <c r="S237" s="147">
        <f t="shared" si="5"/>
        <v>1253192800</v>
      </c>
      <c r="T237" s="158">
        <v>1245692800</v>
      </c>
      <c r="U237" s="143"/>
      <c r="V237" s="157"/>
      <c r="W237" s="143"/>
      <c r="X237" s="143"/>
      <c r="Y237" s="152">
        <f t="shared" ref="Y237:AB237" si="453">AD237-T237</f>
        <v>0</v>
      </c>
      <c r="Z237" s="151">
        <f t="shared" si="453"/>
        <v>0</v>
      </c>
      <c r="AA237" s="151">
        <f t="shared" si="453"/>
        <v>0</v>
      </c>
      <c r="AB237" s="143">
        <f t="shared" si="453"/>
        <v>0</v>
      </c>
      <c r="AC237" s="143"/>
      <c r="AD237" s="149">
        <v>1245692800</v>
      </c>
      <c r="AE237" s="150"/>
      <c r="AF237" s="150"/>
      <c r="AG237" s="145"/>
      <c r="AH237" s="143">
        <f t="shared" si="7"/>
        <v>0</v>
      </c>
      <c r="AI237" s="151"/>
      <c r="AJ237" s="151">
        <f t="shared" ref="AJ237:AL237" si="454">P237-AE237</f>
        <v>0</v>
      </c>
      <c r="AK237" s="151">
        <f t="shared" si="454"/>
        <v>7500000</v>
      </c>
      <c r="AL237" s="151">
        <f t="shared" si="454"/>
        <v>0</v>
      </c>
      <c r="AM237" s="145"/>
      <c r="AN237" s="139"/>
      <c r="AO237" s="139"/>
      <c r="AP237" s="168" t="s">
        <v>2460</v>
      </c>
      <c r="AQ237" s="145"/>
      <c r="AR237" s="145"/>
    </row>
    <row r="238" spans="1:44" s="156" customFormat="1" ht="47.25" x14ac:dyDescent="0.25">
      <c r="A238" s="143" t="s">
        <v>52</v>
      </c>
      <c r="B238" s="144">
        <v>225</v>
      </c>
      <c r="C238" s="143" t="s">
        <v>557</v>
      </c>
      <c r="D238" s="143" t="s">
        <v>558</v>
      </c>
      <c r="E238" s="145"/>
      <c r="F238" s="145" t="s">
        <v>559</v>
      </c>
      <c r="G238" s="143" t="s">
        <v>560</v>
      </c>
      <c r="H238" s="143"/>
      <c r="I238" s="143"/>
      <c r="J238" s="143"/>
      <c r="K238" s="164"/>
      <c r="L238" s="143" t="s">
        <v>561</v>
      </c>
      <c r="M238" s="143" t="s">
        <v>43</v>
      </c>
      <c r="N238" s="143" t="s">
        <v>562</v>
      </c>
      <c r="O238" s="147">
        <v>30585365520</v>
      </c>
      <c r="P238" s="150"/>
      <c r="Q238" s="148">
        <v>15000000</v>
      </c>
      <c r="R238" s="148">
        <v>48000000</v>
      </c>
      <c r="S238" s="147">
        <f t="shared" si="5"/>
        <v>30648365520</v>
      </c>
      <c r="T238" s="158">
        <v>30585365520</v>
      </c>
      <c r="U238" s="143"/>
      <c r="V238" s="147">
        <v>15000000</v>
      </c>
      <c r="W238" s="158">
        <v>48000000</v>
      </c>
      <c r="X238" s="143"/>
      <c r="Y238" s="152">
        <f t="shared" ref="Y238:AB238" si="455">AD238-T238</f>
        <v>0</v>
      </c>
      <c r="Z238" s="151">
        <f t="shared" si="455"/>
        <v>0</v>
      </c>
      <c r="AA238" s="151">
        <f t="shared" si="455"/>
        <v>0</v>
      </c>
      <c r="AB238" s="151">
        <f t="shared" si="455"/>
        <v>0</v>
      </c>
      <c r="AC238" s="143"/>
      <c r="AD238" s="149">
        <v>30585365520</v>
      </c>
      <c r="AE238" s="150"/>
      <c r="AF238" s="148">
        <v>15000000</v>
      </c>
      <c r="AG238" s="148">
        <v>48000000</v>
      </c>
      <c r="AH238" s="143">
        <f t="shared" si="7"/>
        <v>0</v>
      </c>
      <c r="AI238" s="151"/>
      <c r="AJ238" s="151">
        <f t="shared" ref="AJ238:AL238" si="456">P238-AE238</f>
        <v>0</v>
      </c>
      <c r="AK238" s="151">
        <f t="shared" si="456"/>
        <v>0</v>
      </c>
      <c r="AL238" s="151">
        <f t="shared" si="456"/>
        <v>0</v>
      </c>
      <c r="AM238" s="145"/>
      <c r="AN238" s="139"/>
      <c r="AO238" s="139"/>
      <c r="AP238" s="139"/>
      <c r="AQ238" s="145"/>
      <c r="AR238" s="145"/>
    </row>
    <row r="239" spans="1:44" s="156" customFormat="1" ht="31.5" x14ac:dyDescent="0.25">
      <c r="A239" s="143" t="s">
        <v>52</v>
      </c>
      <c r="B239" s="144">
        <v>226</v>
      </c>
      <c r="C239" s="143" t="s">
        <v>557</v>
      </c>
      <c r="D239" s="143" t="s">
        <v>1885</v>
      </c>
      <c r="E239" s="145"/>
      <c r="F239" s="146"/>
      <c r="G239" s="143" t="s">
        <v>1887</v>
      </c>
      <c r="H239" s="143"/>
      <c r="I239" s="143"/>
      <c r="J239" s="143"/>
      <c r="K239" s="143"/>
      <c r="L239" s="143" t="s">
        <v>1889</v>
      </c>
      <c r="M239" s="143" t="s">
        <v>43</v>
      </c>
      <c r="N239" s="143" t="s">
        <v>1891</v>
      </c>
      <c r="O239" s="147"/>
      <c r="P239" s="150"/>
      <c r="Q239" s="148">
        <v>7500000</v>
      </c>
      <c r="R239" s="150"/>
      <c r="S239" s="147">
        <f t="shared" si="5"/>
        <v>7500000</v>
      </c>
      <c r="T239" s="144">
        <v>0</v>
      </c>
      <c r="U239" s="143"/>
      <c r="V239" s="147">
        <v>7500000</v>
      </c>
      <c r="W239" s="143"/>
      <c r="X239" s="143"/>
      <c r="Y239" s="151">
        <f t="shared" ref="Y239:AB239" si="457">AD239-T239</f>
        <v>0</v>
      </c>
      <c r="Z239" s="151">
        <f t="shared" si="457"/>
        <v>0</v>
      </c>
      <c r="AA239" s="151">
        <f t="shared" si="457"/>
        <v>0</v>
      </c>
      <c r="AB239" s="152">
        <f t="shared" si="457"/>
        <v>0</v>
      </c>
      <c r="AC239" s="143"/>
      <c r="AD239" s="148">
        <v>0</v>
      </c>
      <c r="AE239" s="150"/>
      <c r="AF239" s="148">
        <v>7500000</v>
      </c>
      <c r="AG239" s="155"/>
      <c r="AH239" s="143">
        <f t="shared" si="7"/>
        <v>0</v>
      </c>
      <c r="AI239" s="151"/>
      <c r="AJ239" s="151">
        <f t="shared" ref="AJ239:AL239" si="458">P239-AE239</f>
        <v>0</v>
      </c>
      <c r="AK239" s="151">
        <f t="shared" si="458"/>
        <v>0</v>
      </c>
      <c r="AL239" s="151">
        <f t="shared" si="458"/>
        <v>0</v>
      </c>
      <c r="AM239" s="145"/>
      <c r="AN239" s="139"/>
      <c r="AO239" s="139"/>
      <c r="AP239" s="139"/>
      <c r="AQ239" s="145"/>
      <c r="AR239" s="145"/>
    </row>
    <row r="240" spans="1:44" s="156" customFormat="1" ht="31.5" x14ac:dyDescent="0.25">
      <c r="A240" s="143" t="s">
        <v>35</v>
      </c>
      <c r="B240" s="144">
        <v>227</v>
      </c>
      <c r="C240" s="143" t="s">
        <v>1136</v>
      </c>
      <c r="D240" s="143" t="s">
        <v>1895</v>
      </c>
      <c r="E240" s="145"/>
      <c r="F240" s="146"/>
      <c r="G240" s="143" t="s">
        <v>1896</v>
      </c>
      <c r="H240" s="143"/>
      <c r="I240" s="143"/>
      <c r="J240" s="143"/>
      <c r="K240" s="143"/>
      <c r="L240" s="143" t="s">
        <v>1897</v>
      </c>
      <c r="M240" s="143" t="s">
        <v>43</v>
      </c>
      <c r="N240" s="143" t="s">
        <v>1898</v>
      </c>
      <c r="O240" s="147">
        <v>3467851106</v>
      </c>
      <c r="P240" s="150"/>
      <c r="Q240" s="148">
        <v>7500000</v>
      </c>
      <c r="R240" s="150"/>
      <c r="S240" s="147">
        <f t="shared" si="5"/>
        <v>3475351106</v>
      </c>
      <c r="T240" s="143"/>
      <c r="U240" s="143"/>
      <c r="V240" s="157"/>
      <c r="W240" s="143"/>
      <c r="X240" s="143"/>
      <c r="Y240" s="152">
        <f t="shared" ref="Y240:AB240" si="459">AD240-T240</f>
        <v>0</v>
      </c>
      <c r="Z240" s="151">
        <f t="shared" si="459"/>
        <v>0</v>
      </c>
      <c r="AA240" s="151">
        <f t="shared" si="459"/>
        <v>0</v>
      </c>
      <c r="AB240" s="151">
        <f t="shared" si="459"/>
        <v>0</v>
      </c>
      <c r="AC240" s="143"/>
      <c r="AD240" s="155"/>
      <c r="AE240" s="150"/>
      <c r="AF240" s="150"/>
      <c r="AG240" s="150"/>
      <c r="AH240" s="143">
        <f t="shared" si="7"/>
        <v>0</v>
      </c>
      <c r="AI240" s="151">
        <v>3467851106</v>
      </c>
      <c r="AJ240" s="151">
        <f t="shared" ref="AJ240:AL240" si="460">P240-AE240</f>
        <v>0</v>
      </c>
      <c r="AK240" s="151">
        <f t="shared" si="460"/>
        <v>7500000</v>
      </c>
      <c r="AL240" s="151">
        <f t="shared" si="460"/>
        <v>0</v>
      </c>
      <c r="AM240" s="148">
        <v>3467851106</v>
      </c>
      <c r="AN240" s="159" t="s">
        <v>2160</v>
      </c>
      <c r="AO240" s="160"/>
      <c r="AP240" s="168" t="s">
        <v>2160</v>
      </c>
      <c r="AQ240" s="219"/>
      <c r="AR240" s="218"/>
    </row>
    <row r="241" spans="1:44" s="156" customFormat="1" ht="47.25" x14ac:dyDescent="0.25">
      <c r="A241" s="143" t="s">
        <v>35</v>
      </c>
      <c r="B241" s="144">
        <v>228</v>
      </c>
      <c r="C241" s="143" t="s">
        <v>1136</v>
      </c>
      <c r="D241" s="143" t="s">
        <v>1904</v>
      </c>
      <c r="E241" s="145" t="s">
        <v>156</v>
      </c>
      <c r="F241" s="146"/>
      <c r="G241" s="143" t="s">
        <v>1905</v>
      </c>
      <c r="H241" s="143" t="s">
        <v>1906</v>
      </c>
      <c r="I241" s="143"/>
      <c r="J241" s="143"/>
      <c r="K241" s="143"/>
      <c r="L241" s="143" t="s">
        <v>1907</v>
      </c>
      <c r="M241" s="143" t="s">
        <v>43</v>
      </c>
      <c r="N241" s="143" t="s">
        <v>1908</v>
      </c>
      <c r="O241" s="147">
        <v>2645084632</v>
      </c>
      <c r="P241" s="181">
        <v>617741568</v>
      </c>
      <c r="Q241" s="148">
        <v>15000000</v>
      </c>
      <c r="R241" s="150"/>
      <c r="S241" s="147">
        <f t="shared" si="5"/>
        <v>3277826200</v>
      </c>
      <c r="T241" s="158">
        <v>2645084632</v>
      </c>
      <c r="U241" s="158">
        <v>617741568</v>
      </c>
      <c r="V241" s="147">
        <v>15000000</v>
      </c>
      <c r="W241" s="143"/>
      <c r="X241" s="143"/>
      <c r="Y241" s="152">
        <f t="shared" ref="Y241:AB241" si="461">AD241-T241</f>
        <v>0</v>
      </c>
      <c r="Z241" s="151">
        <f t="shared" si="461"/>
        <v>0</v>
      </c>
      <c r="AA241" s="151">
        <f t="shared" si="461"/>
        <v>0</v>
      </c>
      <c r="AB241" s="151">
        <f t="shared" si="461"/>
        <v>0</v>
      </c>
      <c r="AC241" s="143"/>
      <c r="AD241" s="149">
        <v>2645084632</v>
      </c>
      <c r="AE241" s="148">
        <v>617741568</v>
      </c>
      <c r="AF241" s="148">
        <v>15000000</v>
      </c>
      <c r="AG241" s="150"/>
      <c r="AH241" s="143">
        <f t="shared" si="7"/>
        <v>0</v>
      </c>
      <c r="AI241" s="151"/>
      <c r="AJ241" s="151">
        <f t="shared" ref="AJ241:AL241" si="462">P241-AE241</f>
        <v>0</v>
      </c>
      <c r="AK241" s="151">
        <f t="shared" si="462"/>
        <v>0</v>
      </c>
      <c r="AL241" s="151">
        <f t="shared" si="462"/>
        <v>0</v>
      </c>
      <c r="AM241" s="145"/>
      <c r="AN241" s="139"/>
      <c r="AO241" s="139"/>
      <c r="AP241" s="139"/>
      <c r="AQ241" s="145"/>
      <c r="AR241" s="145"/>
    </row>
    <row r="242" spans="1:44" s="156" customFormat="1" ht="31.5" x14ac:dyDescent="0.25">
      <c r="A242" s="143" t="s">
        <v>35</v>
      </c>
      <c r="B242" s="144">
        <v>229</v>
      </c>
      <c r="C242" s="143" t="s">
        <v>1136</v>
      </c>
      <c r="D242" s="143" t="s">
        <v>1910</v>
      </c>
      <c r="E242" s="145"/>
      <c r="F242" s="146"/>
      <c r="G242" s="143" t="s">
        <v>1911</v>
      </c>
      <c r="H242" s="143"/>
      <c r="I242" s="143"/>
      <c r="J242" s="143"/>
      <c r="K242" s="143"/>
      <c r="L242" s="143" t="s">
        <v>1912</v>
      </c>
      <c r="M242" s="143" t="s">
        <v>43</v>
      </c>
      <c r="N242" s="143" t="s">
        <v>1913</v>
      </c>
      <c r="O242" s="147">
        <v>5265038802</v>
      </c>
      <c r="P242" s="150"/>
      <c r="Q242" s="148">
        <v>7500000</v>
      </c>
      <c r="R242" s="150"/>
      <c r="S242" s="147">
        <f t="shared" si="5"/>
        <v>5272538802</v>
      </c>
      <c r="T242" s="158">
        <v>5265038802</v>
      </c>
      <c r="U242" s="143"/>
      <c r="V242" s="147">
        <v>7500000</v>
      </c>
      <c r="W242" s="143"/>
      <c r="X242" s="143"/>
      <c r="Y242" s="152">
        <f t="shared" ref="Y242:AB242" si="463">AD242-T242</f>
        <v>0</v>
      </c>
      <c r="Z242" s="151">
        <f t="shared" si="463"/>
        <v>0</v>
      </c>
      <c r="AA242" s="151">
        <f t="shared" si="463"/>
        <v>0</v>
      </c>
      <c r="AB242" s="151">
        <f t="shared" si="463"/>
        <v>0</v>
      </c>
      <c r="AC242" s="143"/>
      <c r="AD242" s="149">
        <v>5265038802</v>
      </c>
      <c r="AE242" s="150"/>
      <c r="AF242" s="148">
        <v>7500000</v>
      </c>
      <c r="AG242" s="150"/>
      <c r="AH242" s="143">
        <f t="shared" si="7"/>
        <v>0</v>
      </c>
      <c r="AI242" s="151"/>
      <c r="AJ242" s="151">
        <f t="shared" ref="AJ242:AL242" si="464">P242-AE242</f>
        <v>0</v>
      </c>
      <c r="AK242" s="151">
        <f t="shared" si="464"/>
        <v>0</v>
      </c>
      <c r="AL242" s="151">
        <f t="shared" si="464"/>
        <v>0</v>
      </c>
      <c r="AM242" s="145"/>
      <c r="AN242" s="139"/>
      <c r="AO242" s="139"/>
      <c r="AP242" s="139"/>
      <c r="AQ242" s="145"/>
      <c r="AR242" s="145"/>
    </row>
    <row r="243" spans="1:44" s="156" customFormat="1" ht="31.5" x14ac:dyDescent="0.25">
      <c r="A243" s="143" t="s">
        <v>35</v>
      </c>
      <c r="B243" s="144">
        <v>230</v>
      </c>
      <c r="C243" s="143" t="s">
        <v>1136</v>
      </c>
      <c r="D243" s="143" t="s">
        <v>1918</v>
      </c>
      <c r="E243" s="145"/>
      <c r="F243" s="146"/>
      <c r="G243" s="143" t="s">
        <v>1919</v>
      </c>
      <c r="H243" s="143"/>
      <c r="I243" s="143"/>
      <c r="J243" s="143"/>
      <c r="K243" s="143"/>
      <c r="L243" s="143" t="s">
        <v>1920</v>
      </c>
      <c r="M243" s="143" t="s">
        <v>43</v>
      </c>
      <c r="N243" s="143" t="s">
        <v>1921</v>
      </c>
      <c r="O243" s="147">
        <v>204645630</v>
      </c>
      <c r="P243" s="150"/>
      <c r="Q243" s="148">
        <v>7500000</v>
      </c>
      <c r="R243" s="150"/>
      <c r="S243" s="147">
        <f t="shared" si="5"/>
        <v>212145630</v>
      </c>
      <c r="T243" s="158">
        <v>204645630</v>
      </c>
      <c r="U243" s="143"/>
      <c r="V243" s="147">
        <v>7500000</v>
      </c>
      <c r="W243" s="143"/>
      <c r="X243" s="143"/>
      <c r="Y243" s="152">
        <f t="shared" ref="Y243:AB243" si="465">AD243-T243</f>
        <v>0</v>
      </c>
      <c r="Z243" s="151">
        <f t="shared" si="465"/>
        <v>0</v>
      </c>
      <c r="AA243" s="151">
        <f t="shared" si="465"/>
        <v>0</v>
      </c>
      <c r="AB243" s="152">
        <f t="shared" si="465"/>
        <v>0</v>
      </c>
      <c r="AC243" s="143"/>
      <c r="AD243" s="149">
        <v>204645630</v>
      </c>
      <c r="AE243" s="150"/>
      <c r="AF243" s="148">
        <v>7500000</v>
      </c>
      <c r="AG243" s="155"/>
      <c r="AH243" s="143">
        <f t="shared" si="7"/>
        <v>0</v>
      </c>
      <c r="AI243" s="151"/>
      <c r="AJ243" s="151">
        <f t="shared" ref="AJ243:AL243" si="466">P243-AE243</f>
        <v>0</v>
      </c>
      <c r="AK243" s="151">
        <f t="shared" si="466"/>
        <v>0</v>
      </c>
      <c r="AL243" s="151">
        <f t="shared" si="466"/>
        <v>0</v>
      </c>
      <c r="AM243" s="145"/>
      <c r="AN243" s="139"/>
      <c r="AO243" s="139"/>
      <c r="AP243" s="139"/>
      <c r="AQ243" s="145"/>
      <c r="AR243" s="145"/>
    </row>
    <row r="244" spans="1:44" s="156" customFormat="1" ht="47.25" x14ac:dyDescent="0.25">
      <c r="A244" s="143" t="s">
        <v>35</v>
      </c>
      <c r="B244" s="144">
        <v>231</v>
      </c>
      <c r="C244" s="143" t="s">
        <v>1136</v>
      </c>
      <c r="D244" s="143" t="s">
        <v>1922</v>
      </c>
      <c r="E244" s="145" t="s">
        <v>1923</v>
      </c>
      <c r="F244" s="146"/>
      <c r="G244" s="143" t="s">
        <v>1924</v>
      </c>
      <c r="H244" s="143"/>
      <c r="I244" s="143"/>
      <c r="J244" s="143"/>
      <c r="K244" s="143"/>
      <c r="L244" s="143" t="s">
        <v>1925</v>
      </c>
      <c r="M244" s="143" t="s">
        <v>43</v>
      </c>
      <c r="N244" s="143" t="s">
        <v>1926</v>
      </c>
      <c r="O244" s="147">
        <v>2537955740</v>
      </c>
      <c r="P244" s="148">
        <v>3522240</v>
      </c>
      <c r="Q244" s="148">
        <v>15000000</v>
      </c>
      <c r="R244" s="150"/>
      <c r="S244" s="147">
        <f t="shared" si="5"/>
        <v>2556477980</v>
      </c>
      <c r="T244" s="158">
        <v>2537955740</v>
      </c>
      <c r="U244" s="158">
        <v>3522240</v>
      </c>
      <c r="V244" s="147">
        <v>15000000</v>
      </c>
      <c r="W244" s="143"/>
      <c r="X244" s="143"/>
      <c r="Y244" s="152">
        <f t="shared" ref="Y244:AB244" si="467">AD244-T244</f>
        <v>0</v>
      </c>
      <c r="Z244" s="151">
        <f t="shared" si="467"/>
        <v>0</v>
      </c>
      <c r="AA244" s="151">
        <f t="shared" si="467"/>
        <v>0</v>
      </c>
      <c r="AB244" s="152">
        <f t="shared" si="467"/>
        <v>0</v>
      </c>
      <c r="AC244" s="143"/>
      <c r="AD244" s="149">
        <v>2537955740</v>
      </c>
      <c r="AE244" s="148">
        <v>3522240</v>
      </c>
      <c r="AF244" s="148">
        <v>15000000</v>
      </c>
      <c r="AG244" s="155"/>
      <c r="AH244" s="143">
        <f t="shared" si="7"/>
        <v>0</v>
      </c>
      <c r="AI244" s="151"/>
      <c r="AJ244" s="151">
        <f t="shared" ref="AJ244:AL244" si="468">P244-AE244</f>
        <v>0</v>
      </c>
      <c r="AK244" s="151">
        <f t="shared" si="468"/>
        <v>0</v>
      </c>
      <c r="AL244" s="151">
        <f t="shared" si="468"/>
        <v>0</v>
      </c>
      <c r="AM244" s="145"/>
      <c r="AN244" s="139"/>
      <c r="AO244" s="139"/>
      <c r="AP244" s="139"/>
      <c r="AQ244" s="145"/>
      <c r="AR244" s="145"/>
    </row>
    <row r="245" spans="1:44" s="156" customFormat="1" ht="31.5" x14ac:dyDescent="0.25">
      <c r="A245" s="143" t="s">
        <v>52</v>
      </c>
      <c r="B245" s="144">
        <v>232</v>
      </c>
      <c r="C245" s="143" t="s">
        <v>1136</v>
      </c>
      <c r="D245" s="143" t="s">
        <v>1931</v>
      </c>
      <c r="E245" s="145"/>
      <c r="F245" s="146"/>
      <c r="G245" s="143" t="s">
        <v>1932</v>
      </c>
      <c r="H245" s="143"/>
      <c r="I245" s="143"/>
      <c r="J245" s="143"/>
      <c r="K245" s="143"/>
      <c r="L245" s="143" t="s">
        <v>1933</v>
      </c>
      <c r="M245" s="143" t="s">
        <v>43</v>
      </c>
      <c r="N245" s="143" t="s">
        <v>1934</v>
      </c>
      <c r="O245" s="147">
        <v>5072847062</v>
      </c>
      <c r="P245" s="150"/>
      <c r="Q245" s="148">
        <v>15000000</v>
      </c>
      <c r="R245" s="150"/>
      <c r="S245" s="147">
        <f t="shared" si="5"/>
        <v>5087847062</v>
      </c>
      <c r="T245" s="158">
        <v>5072847062</v>
      </c>
      <c r="U245" s="143"/>
      <c r="V245" s="147">
        <v>15000000</v>
      </c>
      <c r="W245" s="143"/>
      <c r="X245" s="143"/>
      <c r="Y245" s="152">
        <f t="shared" ref="Y245:AB245" si="469">AD245-T245</f>
        <v>0</v>
      </c>
      <c r="Z245" s="151">
        <f t="shared" si="469"/>
        <v>0</v>
      </c>
      <c r="AA245" s="151">
        <f t="shared" si="469"/>
        <v>0</v>
      </c>
      <c r="AB245" s="143">
        <f t="shared" si="469"/>
        <v>0</v>
      </c>
      <c r="AC245" s="143"/>
      <c r="AD245" s="149">
        <v>5072847062</v>
      </c>
      <c r="AE245" s="150"/>
      <c r="AF245" s="148">
        <v>15000000</v>
      </c>
      <c r="AG245" s="145"/>
      <c r="AH245" s="143">
        <f t="shared" si="7"/>
        <v>0</v>
      </c>
      <c r="AI245" s="151"/>
      <c r="AJ245" s="151">
        <f t="shared" ref="AJ245:AL245" si="470">P245-AE245</f>
        <v>0</v>
      </c>
      <c r="AK245" s="151">
        <f t="shared" si="470"/>
        <v>0</v>
      </c>
      <c r="AL245" s="151">
        <f t="shared" si="470"/>
        <v>0</v>
      </c>
      <c r="AM245" s="145"/>
      <c r="AN245" s="139"/>
      <c r="AO245" s="139"/>
      <c r="AP245" s="139"/>
      <c r="AQ245" s="145"/>
      <c r="AR245" s="145"/>
    </row>
    <row r="246" spans="1:44" s="156" customFormat="1" ht="47.25" x14ac:dyDescent="0.25">
      <c r="A246" s="143" t="s">
        <v>35</v>
      </c>
      <c r="B246" s="144">
        <v>233</v>
      </c>
      <c r="C246" s="143" t="s">
        <v>1136</v>
      </c>
      <c r="D246" s="143" t="s">
        <v>1935</v>
      </c>
      <c r="E246" s="145"/>
      <c r="F246" s="146"/>
      <c r="G246" s="143" t="s">
        <v>1936</v>
      </c>
      <c r="H246" s="143"/>
      <c r="I246" s="143"/>
      <c r="J246" s="143"/>
      <c r="K246" s="143"/>
      <c r="L246" s="143" t="s">
        <v>1938</v>
      </c>
      <c r="M246" s="143" t="s">
        <v>43</v>
      </c>
      <c r="N246" s="143" t="s">
        <v>1940</v>
      </c>
      <c r="O246" s="147">
        <v>8181354</v>
      </c>
      <c r="P246" s="150"/>
      <c r="Q246" s="148">
        <v>7500000</v>
      </c>
      <c r="R246" s="150"/>
      <c r="S246" s="147">
        <f t="shared" si="5"/>
        <v>15681354</v>
      </c>
      <c r="T246" s="143"/>
      <c r="U246" s="143"/>
      <c r="V246" s="157"/>
      <c r="W246" s="143"/>
      <c r="X246" s="143"/>
      <c r="Y246" s="152">
        <f t="shared" ref="Y246:AB246" si="471">AD246-T246</f>
        <v>0</v>
      </c>
      <c r="Z246" s="151">
        <f t="shared" si="471"/>
        <v>0</v>
      </c>
      <c r="AA246" s="151">
        <f t="shared" si="471"/>
        <v>0</v>
      </c>
      <c r="AB246" s="151">
        <f t="shared" si="471"/>
        <v>0</v>
      </c>
      <c r="AC246" s="143"/>
      <c r="AD246" s="155"/>
      <c r="AE246" s="150"/>
      <c r="AF246" s="150"/>
      <c r="AG246" s="150"/>
      <c r="AH246" s="143">
        <f t="shared" si="7"/>
        <v>0</v>
      </c>
      <c r="AI246" s="151">
        <v>8181354</v>
      </c>
      <c r="AJ246" s="151">
        <f t="shared" ref="AJ246:AL246" si="472">P246-AE246</f>
        <v>0</v>
      </c>
      <c r="AK246" s="151">
        <f t="shared" si="472"/>
        <v>7500000</v>
      </c>
      <c r="AL246" s="151">
        <f t="shared" si="472"/>
        <v>0</v>
      </c>
      <c r="AM246" s="148">
        <v>8181354</v>
      </c>
      <c r="AN246" s="159" t="s">
        <v>2160</v>
      </c>
      <c r="AO246" s="160"/>
      <c r="AP246" s="168" t="s">
        <v>2160</v>
      </c>
      <c r="AQ246" s="219"/>
      <c r="AR246" s="218"/>
    </row>
    <row r="247" spans="1:44" s="156" customFormat="1" ht="110.25" x14ac:dyDescent="0.25">
      <c r="A247" s="143" t="s">
        <v>35</v>
      </c>
      <c r="B247" s="144">
        <v>234</v>
      </c>
      <c r="C247" s="143" t="s">
        <v>1136</v>
      </c>
      <c r="D247" s="143" t="s">
        <v>1945</v>
      </c>
      <c r="E247" s="145"/>
      <c r="F247" s="146"/>
      <c r="G247" s="143" t="s">
        <v>1946</v>
      </c>
      <c r="H247" s="143"/>
      <c r="I247" s="143" t="s">
        <v>85</v>
      </c>
      <c r="J247" s="143"/>
      <c r="K247" s="143"/>
      <c r="L247" s="143" t="s">
        <v>1947</v>
      </c>
      <c r="M247" s="143" t="s">
        <v>43</v>
      </c>
      <c r="N247" s="143" t="s">
        <v>1948</v>
      </c>
      <c r="O247" s="147"/>
      <c r="P247" s="150"/>
      <c r="Q247" s="150"/>
      <c r="R247" s="150"/>
      <c r="S247" s="147">
        <f t="shared" si="5"/>
        <v>0</v>
      </c>
      <c r="T247" s="144">
        <v>0</v>
      </c>
      <c r="U247" s="143"/>
      <c r="V247" s="157"/>
      <c r="W247" s="143"/>
      <c r="X247" s="143"/>
      <c r="Y247" s="151">
        <f t="shared" ref="Y247:AB247" si="473">AD247-T247</f>
        <v>0</v>
      </c>
      <c r="Z247" s="151">
        <f t="shared" si="473"/>
        <v>0</v>
      </c>
      <c r="AA247" s="151">
        <f t="shared" si="473"/>
        <v>0</v>
      </c>
      <c r="AB247" s="152">
        <f t="shared" si="473"/>
        <v>0</v>
      </c>
      <c r="AC247" s="143"/>
      <c r="AD247" s="148">
        <v>0</v>
      </c>
      <c r="AE247" s="150"/>
      <c r="AF247" s="150"/>
      <c r="AG247" s="155"/>
      <c r="AH247" s="143">
        <f t="shared" si="7"/>
        <v>0</v>
      </c>
      <c r="AI247" s="151"/>
      <c r="AJ247" s="151">
        <f t="shared" ref="AJ247:AL247" si="474">P247-AE247</f>
        <v>0</v>
      </c>
      <c r="AK247" s="151">
        <f t="shared" si="474"/>
        <v>0</v>
      </c>
      <c r="AL247" s="151">
        <f t="shared" si="474"/>
        <v>0</v>
      </c>
      <c r="AM247" s="145"/>
      <c r="AN247" s="139"/>
      <c r="AO247" s="139"/>
      <c r="AP247" s="139"/>
      <c r="AQ247" s="145"/>
      <c r="AR247" s="145"/>
    </row>
    <row r="248" spans="1:44" s="156" customFormat="1" ht="78.75" x14ac:dyDescent="0.25">
      <c r="A248" s="143" t="s">
        <v>35</v>
      </c>
      <c r="B248" s="175">
        <v>235</v>
      </c>
      <c r="C248" s="145" t="s">
        <v>1136</v>
      </c>
      <c r="D248" s="143" t="s">
        <v>1284</v>
      </c>
      <c r="E248" s="145" t="s">
        <v>1285</v>
      </c>
      <c r="F248" s="145" t="s">
        <v>464</v>
      </c>
      <c r="G248" s="145" t="s">
        <v>1286</v>
      </c>
      <c r="H248" s="145" t="s">
        <v>1287</v>
      </c>
      <c r="I248" s="145"/>
      <c r="J248" s="145"/>
      <c r="K248" s="146"/>
      <c r="L248" s="145" t="s">
        <v>1288</v>
      </c>
      <c r="M248" s="145" t="s">
        <v>43</v>
      </c>
      <c r="N248" s="145" t="s">
        <v>1289</v>
      </c>
      <c r="O248" s="147">
        <v>29643369869</v>
      </c>
      <c r="P248" s="148">
        <v>642820640</v>
      </c>
      <c r="Q248" s="148">
        <v>15000000</v>
      </c>
      <c r="R248" s="148">
        <v>48000000</v>
      </c>
      <c r="S248" s="147">
        <f t="shared" si="5"/>
        <v>30349190509</v>
      </c>
      <c r="T248" s="158">
        <v>29643369869</v>
      </c>
      <c r="U248" s="151">
        <v>642820640</v>
      </c>
      <c r="V248" s="157"/>
      <c r="W248" s="143"/>
      <c r="X248" s="143"/>
      <c r="Y248" s="152">
        <f t="shared" ref="Y248:AB248" si="475">AD248-T248</f>
        <v>0</v>
      </c>
      <c r="Z248" s="151">
        <f t="shared" si="475"/>
        <v>0</v>
      </c>
      <c r="AA248" s="151">
        <f t="shared" si="475"/>
        <v>0</v>
      </c>
      <c r="AB248" s="151">
        <f t="shared" si="475"/>
        <v>0</v>
      </c>
      <c r="AC248" s="165"/>
      <c r="AD248" s="149">
        <v>29643369869</v>
      </c>
      <c r="AE248" s="148">
        <v>642820640</v>
      </c>
      <c r="AF248" s="150"/>
      <c r="AG248" s="150"/>
      <c r="AH248" s="166">
        <f t="shared" si="7"/>
        <v>0</v>
      </c>
      <c r="AI248" s="151"/>
      <c r="AJ248" s="151">
        <f t="shared" ref="AJ248:AL248" si="476">P248-AE248</f>
        <v>0</v>
      </c>
      <c r="AK248" s="151">
        <f t="shared" si="476"/>
        <v>15000000</v>
      </c>
      <c r="AL248" s="150">
        <f t="shared" si="476"/>
        <v>48000000</v>
      </c>
      <c r="AM248" s="145"/>
      <c r="AN248" s="139"/>
      <c r="AO248" s="139"/>
      <c r="AP248" s="168" t="s">
        <v>2519</v>
      </c>
      <c r="AQ248" s="145" t="s">
        <v>2520</v>
      </c>
      <c r="AR248" s="145"/>
    </row>
    <row r="249" spans="1:44" s="156" customFormat="1" ht="47.25" x14ac:dyDescent="0.25">
      <c r="A249" s="143" t="s">
        <v>35</v>
      </c>
      <c r="B249" s="144">
        <v>236</v>
      </c>
      <c r="C249" s="143" t="s">
        <v>1136</v>
      </c>
      <c r="D249" s="143" t="s">
        <v>1949</v>
      </c>
      <c r="E249" s="145" t="s">
        <v>100</v>
      </c>
      <c r="F249" s="146"/>
      <c r="G249" s="143" t="s">
        <v>1950</v>
      </c>
      <c r="H249" s="143" t="s">
        <v>1563</v>
      </c>
      <c r="I249" s="143"/>
      <c r="J249" s="143"/>
      <c r="K249" s="143"/>
      <c r="L249" s="143" t="s">
        <v>1951</v>
      </c>
      <c r="M249" s="143" t="s">
        <v>43</v>
      </c>
      <c r="N249" s="143" t="s">
        <v>1952</v>
      </c>
      <c r="O249" s="147">
        <v>607575480</v>
      </c>
      <c r="P249" s="148">
        <v>60674400</v>
      </c>
      <c r="Q249" s="148">
        <v>7500000</v>
      </c>
      <c r="R249" s="150"/>
      <c r="S249" s="147">
        <f t="shared" si="5"/>
        <v>675749880</v>
      </c>
      <c r="T249" s="158">
        <v>607575480</v>
      </c>
      <c r="U249" s="158">
        <v>60674400</v>
      </c>
      <c r="V249" s="147">
        <v>7500000</v>
      </c>
      <c r="W249" s="143"/>
      <c r="X249" s="143"/>
      <c r="Y249" s="152">
        <f t="shared" ref="Y249:AB249" si="477">AD249-T249</f>
        <v>0</v>
      </c>
      <c r="Z249" s="151">
        <f t="shared" si="477"/>
        <v>0</v>
      </c>
      <c r="AA249" s="151">
        <f t="shared" si="477"/>
        <v>0</v>
      </c>
      <c r="AB249" s="151">
        <f t="shared" si="477"/>
        <v>0</v>
      </c>
      <c r="AC249" s="143"/>
      <c r="AD249" s="149">
        <v>607575480</v>
      </c>
      <c r="AE249" s="148">
        <v>60674400</v>
      </c>
      <c r="AF249" s="148">
        <v>7500000</v>
      </c>
      <c r="AG249" s="150"/>
      <c r="AH249" s="143">
        <f t="shared" si="7"/>
        <v>0</v>
      </c>
      <c r="AI249" s="151"/>
      <c r="AJ249" s="151">
        <f t="shared" ref="AJ249:AL249" si="478">P249-AE249</f>
        <v>0</v>
      </c>
      <c r="AK249" s="151">
        <f t="shared" si="478"/>
        <v>0</v>
      </c>
      <c r="AL249" s="151">
        <f t="shared" si="478"/>
        <v>0</v>
      </c>
      <c r="AM249" s="145"/>
      <c r="AN249" s="139"/>
      <c r="AO249" s="139"/>
      <c r="AP249" s="139"/>
      <c r="AQ249" s="145"/>
      <c r="AR249" s="145"/>
    </row>
    <row r="250" spans="1:44" s="156" customFormat="1" ht="31.5" x14ac:dyDescent="0.25">
      <c r="A250" s="143" t="s">
        <v>35</v>
      </c>
      <c r="B250" s="144">
        <v>237</v>
      </c>
      <c r="C250" s="143" t="s">
        <v>1136</v>
      </c>
      <c r="D250" s="143" t="s">
        <v>1953</v>
      </c>
      <c r="E250" s="145"/>
      <c r="F250" s="146"/>
      <c r="G250" s="143" t="s">
        <v>1954</v>
      </c>
      <c r="H250" s="143"/>
      <c r="I250" s="143"/>
      <c r="J250" s="143"/>
      <c r="K250" s="143"/>
      <c r="L250" s="143" t="s">
        <v>1955</v>
      </c>
      <c r="M250" s="143" t="s">
        <v>43</v>
      </c>
      <c r="N250" s="143" t="s">
        <v>1956</v>
      </c>
      <c r="O250" s="147">
        <v>1176584884</v>
      </c>
      <c r="P250" s="150"/>
      <c r="Q250" s="148">
        <v>7500000</v>
      </c>
      <c r="R250" s="150"/>
      <c r="S250" s="147">
        <f t="shared" si="5"/>
        <v>1184084884</v>
      </c>
      <c r="T250" s="158">
        <v>1176584884</v>
      </c>
      <c r="U250" s="143"/>
      <c r="V250" s="147">
        <v>7500000</v>
      </c>
      <c r="W250" s="143"/>
      <c r="X250" s="143"/>
      <c r="Y250" s="152">
        <f t="shared" ref="Y250:AB250" si="479">AD250-T250</f>
        <v>0</v>
      </c>
      <c r="Z250" s="151">
        <f t="shared" si="479"/>
        <v>0</v>
      </c>
      <c r="AA250" s="151">
        <f t="shared" si="479"/>
        <v>0</v>
      </c>
      <c r="AB250" s="152">
        <f t="shared" si="479"/>
        <v>0</v>
      </c>
      <c r="AC250" s="143"/>
      <c r="AD250" s="149">
        <v>1176584884</v>
      </c>
      <c r="AE250" s="150"/>
      <c r="AF250" s="148">
        <v>7500000</v>
      </c>
      <c r="AG250" s="155"/>
      <c r="AH250" s="143">
        <f t="shared" si="7"/>
        <v>0</v>
      </c>
      <c r="AI250" s="151"/>
      <c r="AJ250" s="151">
        <f t="shared" ref="AJ250:AL250" si="480">P250-AE250</f>
        <v>0</v>
      </c>
      <c r="AK250" s="151">
        <f t="shared" si="480"/>
        <v>0</v>
      </c>
      <c r="AL250" s="151">
        <f t="shared" si="480"/>
        <v>0</v>
      </c>
      <c r="AM250" s="145"/>
      <c r="AN250" s="139"/>
      <c r="AO250" s="139"/>
      <c r="AP250" s="139"/>
      <c r="AQ250" s="145"/>
      <c r="AR250" s="145"/>
    </row>
    <row r="251" spans="1:44" s="156" customFormat="1" ht="31.5" x14ac:dyDescent="0.25">
      <c r="A251" s="143" t="s">
        <v>35</v>
      </c>
      <c r="B251" s="144">
        <v>238</v>
      </c>
      <c r="C251" s="143" t="s">
        <v>1136</v>
      </c>
      <c r="D251" s="143" t="s">
        <v>1957</v>
      </c>
      <c r="E251" s="145"/>
      <c r="F251" s="146"/>
      <c r="G251" s="143" t="s">
        <v>1958</v>
      </c>
      <c r="H251" s="143"/>
      <c r="I251" s="143"/>
      <c r="J251" s="143"/>
      <c r="K251" s="143"/>
      <c r="L251" s="143" t="s">
        <v>1959</v>
      </c>
      <c r="M251" s="143" t="s">
        <v>43</v>
      </c>
      <c r="N251" s="143" t="s">
        <v>1960</v>
      </c>
      <c r="O251" s="147">
        <v>2575548192</v>
      </c>
      <c r="P251" s="150"/>
      <c r="Q251" s="148">
        <v>7500000</v>
      </c>
      <c r="R251" s="150"/>
      <c r="S251" s="147">
        <f t="shared" si="5"/>
        <v>2583048192</v>
      </c>
      <c r="T251" s="143"/>
      <c r="U251" s="143"/>
      <c r="V251" s="157"/>
      <c r="W251" s="143"/>
      <c r="X251" s="143"/>
      <c r="Y251" s="152">
        <f t="shared" ref="Y251:AB251" si="481">AD251-T251</f>
        <v>0</v>
      </c>
      <c r="Z251" s="151">
        <f t="shared" si="481"/>
        <v>0</v>
      </c>
      <c r="AA251" s="151">
        <f t="shared" si="481"/>
        <v>0</v>
      </c>
      <c r="AB251" s="151">
        <f t="shared" si="481"/>
        <v>0</v>
      </c>
      <c r="AC251" s="143"/>
      <c r="AD251" s="155"/>
      <c r="AE251" s="150"/>
      <c r="AF251" s="150"/>
      <c r="AG251" s="150"/>
      <c r="AH251" s="143">
        <f t="shared" si="7"/>
        <v>0</v>
      </c>
      <c r="AI251" s="151">
        <v>2575548192</v>
      </c>
      <c r="AJ251" s="151">
        <f t="shared" ref="AJ251:AL251" si="482">P251-AE251</f>
        <v>0</v>
      </c>
      <c r="AK251" s="151">
        <f t="shared" si="482"/>
        <v>7500000</v>
      </c>
      <c r="AL251" s="151">
        <f t="shared" si="482"/>
        <v>0</v>
      </c>
      <c r="AM251" s="148">
        <v>2575548192</v>
      </c>
      <c r="AN251" s="159" t="s">
        <v>336</v>
      </c>
      <c r="AO251" s="160"/>
      <c r="AP251" s="168" t="s">
        <v>336</v>
      </c>
      <c r="AQ251" s="219"/>
      <c r="AR251" s="218"/>
    </row>
    <row r="252" spans="1:44" s="156" customFormat="1" ht="47.25" x14ac:dyDescent="0.25">
      <c r="A252" s="143" t="s">
        <v>52</v>
      </c>
      <c r="B252" s="144">
        <v>239</v>
      </c>
      <c r="C252" s="143" t="s">
        <v>1136</v>
      </c>
      <c r="D252" s="143" t="s">
        <v>1961</v>
      </c>
      <c r="E252" s="145" t="s">
        <v>409</v>
      </c>
      <c r="F252" s="146"/>
      <c r="G252" s="143" t="s">
        <v>1962</v>
      </c>
      <c r="H252" s="143" t="s">
        <v>169</v>
      </c>
      <c r="I252" s="143"/>
      <c r="J252" s="143"/>
      <c r="K252" s="143"/>
      <c r="L252" s="143" t="s">
        <v>1963</v>
      </c>
      <c r="M252" s="143" t="s">
        <v>43</v>
      </c>
      <c r="N252" s="143" t="s">
        <v>1964</v>
      </c>
      <c r="O252" s="147">
        <v>3117071830</v>
      </c>
      <c r="P252" s="148">
        <v>483955776</v>
      </c>
      <c r="Q252" s="148">
        <v>7500000</v>
      </c>
      <c r="R252" s="150"/>
      <c r="S252" s="147">
        <f t="shared" si="5"/>
        <v>3608527606</v>
      </c>
      <c r="T252" s="158">
        <v>3117071830</v>
      </c>
      <c r="U252" s="158">
        <v>483955776</v>
      </c>
      <c r="V252" s="147">
        <v>7500000</v>
      </c>
      <c r="W252" s="143"/>
      <c r="X252" s="143"/>
      <c r="Y252" s="152">
        <f t="shared" ref="Y252:AB252" si="483">AD252-T252</f>
        <v>0</v>
      </c>
      <c r="Z252" s="151">
        <f t="shared" si="483"/>
        <v>0</v>
      </c>
      <c r="AA252" s="151">
        <f t="shared" si="483"/>
        <v>0</v>
      </c>
      <c r="AB252" s="151">
        <f t="shared" si="483"/>
        <v>0</v>
      </c>
      <c r="AC252" s="143"/>
      <c r="AD252" s="149">
        <v>3117071830</v>
      </c>
      <c r="AE252" s="148">
        <v>483955776</v>
      </c>
      <c r="AF252" s="148">
        <v>7500000</v>
      </c>
      <c r="AG252" s="150"/>
      <c r="AH252" s="143">
        <f t="shared" si="7"/>
        <v>0</v>
      </c>
      <c r="AI252" s="151"/>
      <c r="AJ252" s="151">
        <f t="shared" ref="AJ252:AL252" si="484">P252-AE252</f>
        <v>0</v>
      </c>
      <c r="AK252" s="151">
        <f t="shared" si="484"/>
        <v>0</v>
      </c>
      <c r="AL252" s="151">
        <f t="shared" si="484"/>
        <v>0</v>
      </c>
      <c r="AM252" s="145"/>
      <c r="AN252" s="139"/>
      <c r="AO252" s="139"/>
      <c r="AP252" s="139"/>
      <c r="AQ252" s="145"/>
      <c r="AR252" s="145"/>
    </row>
    <row r="253" spans="1:44" s="156" customFormat="1" ht="78.75" x14ac:dyDescent="0.25">
      <c r="A253" s="143" t="s">
        <v>52</v>
      </c>
      <c r="B253" s="144">
        <v>240</v>
      </c>
      <c r="C253" s="143" t="s">
        <v>1136</v>
      </c>
      <c r="D253" s="143" t="s">
        <v>1461</v>
      </c>
      <c r="E253" s="145"/>
      <c r="F253" s="145" t="s">
        <v>1462</v>
      </c>
      <c r="G253" s="143" t="s">
        <v>1463</v>
      </c>
      <c r="H253" s="143"/>
      <c r="I253" s="143"/>
      <c r="J253" s="143"/>
      <c r="K253" s="164"/>
      <c r="L253" s="143" t="s">
        <v>1464</v>
      </c>
      <c r="M253" s="143" t="s">
        <v>43</v>
      </c>
      <c r="N253" s="143" t="s">
        <v>1465</v>
      </c>
      <c r="O253" s="147">
        <v>3280061542</v>
      </c>
      <c r="P253" s="150"/>
      <c r="Q253" s="148">
        <v>15000000</v>
      </c>
      <c r="R253" s="148">
        <f>30000000+60000000</f>
        <v>90000000</v>
      </c>
      <c r="S253" s="147">
        <f t="shared" si="5"/>
        <v>3385061542</v>
      </c>
      <c r="T253" s="158">
        <v>3280061542</v>
      </c>
      <c r="U253" s="143"/>
      <c r="V253" s="147">
        <v>15000000</v>
      </c>
      <c r="W253" s="158">
        <v>90000000</v>
      </c>
      <c r="X253" s="143"/>
      <c r="Y253" s="152">
        <f t="shared" ref="Y253:AB253" si="485">AD253-T253</f>
        <v>0</v>
      </c>
      <c r="Z253" s="151">
        <f t="shared" si="485"/>
        <v>0</v>
      </c>
      <c r="AA253" s="151">
        <f t="shared" si="485"/>
        <v>0</v>
      </c>
      <c r="AB253" s="152">
        <f t="shared" si="485"/>
        <v>0</v>
      </c>
      <c r="AC253" s="143"/>
      <c r="AD253" s="149">
        <v>3280061542</v>
      </c>
      <c r="AE253" s="150"/>
      <c r="AF253" s="148">
        <v>15000000</v>
      </c>
      <c r="AG253" s="149">
        <f>30000000+60000000</f>
        <v>90000000</v>
      </c>
      <c r="AH253" s="143">
        <f t="shared" si="7"/>
        <v>0</v>
      </c>
      <c r="AI253" s="151"/>
      <c r="AJ253" s="151">
        <f t="shared" ref="AJ253:AL253" si="486">P253-AE253</f>
        <v>0</v>
      </c>
      <c r="AK253" s="151">
        <f t="shared" si="486"/>
        <v>0</v>
      </c>
      <c r="AL253" s="151">
        <f t="shared" si="486"/>
        <v>0</v>
      </c>
      <c r="AM253" s="145"/>
      <c r="AN253" s="139"/>
      <c r="AO253" s="139"/>
      <c r="AP253" s="139"/>
      <c r="AQ253" s="145"/>
      <c r="AR253" s="145"/>
    </row>
    <row r="254" spans="1:44" s="156" customFormat="1" ht="31.5" x14ac:dyDescent="0.25">
      <c r="A254" s="143" t="s">
        <v>35</v>
      </c>
      <c r="B254" s="144">
        <v>241</v>
      </c>
      <c r="C254" s="143" t="s">
        <v>1136</v>
      </c>
      <c r="D254" s="143" t="s">
        <v>1966</v>
      </c>
      <c r="E254" s="145"/>
      <c r="F254" s="146"/>
      <c r="G254" s="143" t="s">
        <v>1967</v>
      </c>
      <c r="H254" s="143"/>
      <c r="I254" s="143"/>
      <c r="J254" s="143"/>
      <c r="K254" s="143"/>
      <c r="L254" s="143" t="s">
        <v>1968</v>
      </c>
      <c r="M254" s="143" t="s">
        <v>43</v>
      </c>
      <c r="N254" s="143" t="s">
        <v>1969</v>
      </c>
      <c r="O254" s="147">
        <v>391616484</v>
      </c>
      <c r="P254" s="150"/>
      <c r="Q254" s="148">
        <v>7500000</v>
      </c>
      <c r="R254" s="150"/>
      <c r="S254" s="147">
        <f t="shared" si="5"/>
        <v>399116484</v>
      </c>
      <c r="T254" s="158">
        <v>391616484</v>
      </c>
      <c r="U254" s="143"/>
      <c r="V254" s="147">
        <v>7500000</v>
      </c>
      <c r="W254" s="143"/>
      <c r="X254" s="143"/>
      <c r="Y254" s="152">
        <f t="shared" ref="Y254:AB254" si="487">AD254-T254</f>
        <v>0</v>
      </c>
      <c r="Z254" s="151">
        <f t="shared" si="487"/>
        <v>0</v>
      </c>
      <c r="AA254" s="151">
        <f t="shared" si="487"/>
        <v>0</v>
      </c>
      <c r="AB254" s="151">
        <f t="shared" si="487"/>
        <v>0</v>
      </c>
      <c r="AC254" s="143"/>
      <c r="AD254" s="149">
        <v>391616484</v>
      </c>
      <c r="AE254" s="150"/>
      <c r="AF254" s="148">
        <v>7500000</v>
      </c>
      <c r="AG254" s="150"/>
      <c r="AH254" s="143">
        <f t="shared" si="7"/>
        <v>0</v>
      </c>
      <c r="AI254" s="151"/>
      <c r="AJ254" s="151">
        <f t="shared" ref="AJ254:AL254" si="488">P254-AE254</f>
        <v>0</v>
      </c>
      <c r="AK254" s="151">
        <f t="shared" si="488"/>
        <v>0</v>
      </c>
      <c r="AL254" s="151">
        <f t="shared" si="488"/>
        <v>0</v>
      </c>
      <c r="AM254" s="145"/>
      <c r="AN254" s="139"/>
      <c r="AO254" s="139"/>
      <c r="AP254" s="139"/>
      <c r="AQ254" s="145"/>
      <c r="AR254" s="145"/>
    </row>
    <row r="255" spans="1:44" s="156" customFormat="1" ht="47.25" x14ac:dyDescent="0.25">
      <c r="A255" s="143" t="s">
        <v>35</v>
      </c>
      <c r="B255" s="144">
        <v>242</v>
      </c>
      <c r="C255" s="143" t="s">
        <v>1136</v>
      </c>
      <c r="D255" s="143" t="s">
        <v>1971</v>
      </c>
      <c r="E255" s="145" t="s">
        <v>1923</v>
      </c>
      <c r="F255" s="146"/>
      <c r="G255" s="143" t="s">
        <v>1972</v>
      </c>
      <c r="H255" s="143"/>
      <c r="I255" s="143"/>
      <c r="J255" s="143"/>
      <c r="K255" s="143"/>
      <c r="L255" s="143" t="s">
        <v>1973</v>
      </c>
      <c r="M255" s="143" t="s">
        <v>43</v>
      </c>
      <c r="N255" s="143" t="s">
        <v>1974</v>
      </c>
      <c r="O255" s="147">
        <v>5427416524</v>
      </c>
      <c r="P255" s="148">
        <v>5717376</v>
      </c>
      <c r="Q255" s="148">
        <v>7500000</v>
      </c>
      <c r="R255" s="150"/>
      <c r="S255" s="147">
        <f t="shared" si="5"/>
        <v>5440633900</v>
      </c>
      <c r="T255" s="158">
        <v>5427416524</v>
      </c>
      <c r="U255" s="158">
        <v>5717376</v>
      </c>
      <c r="V255" s="147">
        <v>7500000</v>
      </c>
      <c r="W255" s="143"/>
      <c r="X255" s="143"/>
      <c r="Y255" s="152">
        <f t="shared" ref="Y255:AB255" si="489">AD255-T255</f>
        <v>0</v>
      </c>
      <c r="Z255" s="151">
        <f t="shared" si="489"/>
        <v>0</v>
      </c>
      <c r="AA255" s="151">
        <f t="shared" si="489"/>
        <v>0</v>
      </c>
      <c r="AB255" s="152">
        <f t="shared" si="489"/>
        <v>0</v>
      </c>
      <c r="AC255" s="143"/>
      <c r="AD255" s="149">
        <v>5427416524</v>
      </c>
      <c r="AE255" s="173">
        <v>5717376</v>
      </c>
      <c r="AF255" s="148">
        <v>7500000</v>
      </c>
      <c r="AG255" s="182"/>
      <c r="AH255" s="143">
        <f t="shared" si="7"/>
        <v>0</v>
      </c>
      <c r="AI255" s="151"/>
      <c r="AJ255" s="151">
        <f t="shared" ref="AJ255:AL255" si="490">P255-AE255</f>
        <v>0</v>
      </c>
      <c r="AK255" s="151">
        <f t="shared" si="490"/>
        <v>0</v>
      </c>
      <c r="AL255" s="151">
        <f t="shared" si="490"/>
        <v>0</v>
      </c>
      <c r="AM255" s="145"/>
      <c r="AN255" s="139"/>
      <c r="AO255" s="139"/>
      <c r="AP255" s="139"/>
      <c r="AQ255" s="145"/>
      <c r="AR255" s="145"/>
    </row>
    <row r="256" spans="1:44" s="156" customFormat="1" ht="31.5" x14ac:dyDescent="0.25">
      <c r="A256" s="143" t="s">
        <v>35</v>
      </c>
      <c r="B256" s="144">
        <v>243</v>
      </c>
      <c r="C256" s="143" t="s">
        <v>1136</v>
      </c>
      <c r="D256" s="143" t="s">
        <v>1975</v>
      </c>
      <c r="E256" s="145"/>
      <c r="F256" s="146"/>
      <c r="G256" s="143" t="s">
        <v>1976</v>
      </c>
      <c r="H256" s="143"/>
      <c r="I256" s="143"/>
      <c r="J256" s="143"/>
      <c r="K256" s="143"/>
      <c r="L256" s="143" t="s">
        <v>1977</v>
      </c>
      <c r="M256" s="143" t="s">
        <v>43</v>
      </c>
      <c r="N256" s="143" t="s">
        <v>1978</v>
      </c>
      <c r="O256" s="147">
        <v>220068000</v>
      </c>
      <c r="P256" s="150"/>
      <c r="Q256" s="148">
        <v>7500000</v>
      </c>
      <c r="R256" s="150"/>
      <c r="S256" s="147">
        <f t="shared" si="5"/>
        <v>227568000</v>
      </c>
      <c r="T256" s="158">
        <v>220068000</v>
      </c>
      <c r="U256" s="143"/>
      <c r="V256" s="147">
        <v>7500000</v>
      </c>
      <c r="W256" s="143"/>
      <c r="X256" s="143"/>
      <c r="Y256" s="152">
        <f t="shared" ref="Y256:AB256" si="491">AD256-T256</f>
        <v>0</v>
      </c>
      <c r="Z256" s="151">
        <f t="shared" si="491"/>
        <v>0</v>
      </c>
      <c r="AA256" s="151">
        <f t="shared" si="491"/>
        <v>0</v>
      </c>
      <c r="AB256" s="152">
        <f t="shared" si="491"/>
        <v>0</v>
      </c>
      <c r="AC256" s="143"/>
      <c r="AD256" s="149">
        <v>220068000</v>
      </c>
      <c r="AE256" s="150"/>
      <c r="AF256" s="148">
        <v>7500000</v>
      </c>
      <c r="AG256" s="155"/>
      <c r="AH256" s="143">
        <f t="shared" si="7"/>
        <v>0</v>
      </c>
      <c r="AI256" s="151"/>
      <c r="AJ256" s="151">
        <f t="shared" ref="AJ256:AL256" si="492">P256-AE256</f>
        <v>0</v>
      </c>
      <c r="AK256" s="151">
        <f t="shared" si="492"/>
        <v>0</v>
      </c>
      <c r="AL256" s="151">
        <f t="shared" si="492"/>
        <v>0</v>
      </c>
      <c r="AM256" s="145"/>
      <c r="AN256" s="139"/>
      <c r="AO256" s="139"/>
      <c r="AP256" s="139"/>
      <c r="AQ256" s="145"/>
      <c r="AR256" s="145"/>
    </row>
    <row r="257" spans="1:44" s="156" customFormat="1" ht="63" x14ac:dyDescent="0.25">
      <c r="A257" s="143" t="s">
        <v>35</v>
      </c>
      <c r="B257" s="144">
        <v>244</v>
      </c>
      <c r="C257" s="143" t="s">
        <v>1136</v>
      </c>
      <c r="D257" s="143" t="s">
        <v>1979</v>
      </c>
      <c r="E257" s="145" t="s">
        <v>1923</v>
      </c>
      <c r="F257" s="146"/>
      <c r="G257" s="143" t="s">
        <v>1980</v>
      </c>
      <c r="H257" s="143"/>
      <c r="I257" s="143"/>
      <c r="J257" s="143"/>
      <c r="K257" s="143"/>
      <c r="L257" s="143" t="s">
        <v>1981</v>
      </c>
      <c r="M257" s="143" t="s">
        <v>43</v>
      </c>
      <c r="N257" s="143" t="s">
        <v>1982</v>
      </c>
      <c r="O257" s="147">
        <v>803708300</v>
      </c>
      <c r="P257" s="148">
        <v>83491840</v>
      </c>
      <c r="Q257" s="148">
        <v>7500000</v>
      </c>
      <c r="R257" s="150"/>
      <c r="S257" s="147">
        <f t="shared" si="5"/>
        <v>894700140</v>
      </c>
      <c r="T257" s="158">
        <v>803708300</v>
      </c>
      <c r="U257" s="158">
        <v>83491840</v>
      </c>
      <c r="V257" s="157"/>
      <c r="W257" s="143"/>
      <c r="X257" s="143"/>
      <c r="Y257" s="152">
        <f t="shared" ref="Y257:AB257" si="493">AD257-T257</f>
        <v>0</v>
      </c>
      <c r="Z257" s="151">
        <f t="shared" si="493"/>
        <v>0</v>
      </c>
      <c r="AA257" s="151">
        <f t="shared" si="493"/>
        <v>0</v>
      </c>
      <c r="AB257" s="151">
        <f t="shared" si="493"/>
        <v>0</v>
      </c>
      <c r="AC257" s="143"/>
      <c r="AD257" s="149">
        <v>803708300</v>
      </c>
      <c r="AE257" s="148">
        <v>83491840</v>
      </c>
      <c r="AF257" s="150"/>
      <c r="AG257" s="150"/>
      <c r="AH257" s="143">
        <f t="shared" si="7"/>
        <v>0</v>
      </c>
      <c r="AI257" s="151"/>
      <c r="AJ257" s="151">
        <f t="shared" ref="AJ257:AL257" si="494">P257-AE257</f>
        <v>0</v>
      </c>
      <c r="AK257" s="151">
        <f t="shared" si="494"/>
        <v>7500000</v>
      </c>
      <c r="AL257" s="151">
        <f t="shared" si="494"/>
        <v>0</v>
      </c>
      <c r="AM257" s="145"/>
      <c r="AN257" s="139"/>
      <c r="AO257" s="139"/>
      <c r="AP257" s="168" t="s">
        <v>2560</v>
      </c>
      <c r="AQ257" s="145"/>
      <c r="AR257" s="145"/>
    </row>
    <row r="258" spans="1:44" s="156" customFormat="1" ht="31.5" x14ac:dyDescent="0.25">
      <c r="A258" s="143" t="s">
        <v>52</v>
      </c>
      <c r="B258" s="144">
        <v>245</v>
      </c>
      <c r="C258" s="143" t="s">
        <v>1136</v>
      </c>
      <c r="D258" s="143" t="s">
        <v>1983</v>
      </c>
      <c r="E258" s="145"/>
      <c r="F258" s="146"/>
      <c r="G258" s="143" t="s">
        <v>1984</v>
      </c>
      <c r="H258" s="143"/>
      <c r="I258" s="143"/>
      <c r="J258" s="143"/>
      <c r="K258" s="143"/>
      <c r="L258" s="143" t="s">
        <v>1985</v>
      </c>
      <c r="M258" s="143" t="s">
        <v>43</v>
      </c>
      <c r="N258" s="143" t="s">
        <v>1986</v>
      </c>
      <c r="O258" s="147"/>
      <c r="P258" s="150"/>
      <c r="Q258" s="148">
        <v>7500000</v>
      </c>
      <c r="R258" s="150"/>
      <c r="S258" s="147">
        <f t="shared" si="5"/>
        <v>7500000</v>
      </c>
      <c r="T258" s="144">
        <v>0</v>
      </c>
      <c r="U258" s="143"/>
      <c r="V258" s="147">
        <v>7500000</v>
      </c>
      <c r="W258" s="143"/>
      <c r="X258" s="143"/>
      <c r="Y258" s="151">
        <f t="shared" ref="Y258:AB258" si="495">AD258-T258</f>
        <v>0</v>
      </c>
      <c r="Z258" s="151">
        <f t="shared" si="495"/>
        <v>0</v>
      </c>
      <c r="AA258" s="151">
        <f t="shared" si="495"/>
        <v>0</v>
      </c>
      <c r="AB258" s="152">
        <f t="shared" si="495"/>
        <v>0</v>
      </c>
      <c r="AC258" s="143"/>
      <c r="AD258" s="148">
        <v>0</v>
      </c>
      <c r="AE258" s="150"/>
      <c r="AF258" s="148">
        <v>7500000</v>
      </c>
      <c r="AG258" s="155"/>
      <c r="AH258" s="143">
        <f t="shared" si="7"/>
        <v>0</v>
      </c>
      <c r="AI258" s="151"/>
      <c r="AJ258" s="151">
        <f t="shared" ref="AJ258:AL258" si="496">P258-AE258</f>
        <v>0</v>
      </c>
      <c r="AK258" s="151">
        <f t="shared" si="496"/>
        <v>0</v>
      </c>
      <c r="AL258" s="151">
        <f t="shared" si="496"/>
        <v>0</v>
      </c>
      <c r="AM258" s="145"/>
      <c r="AN258" s="139"/>
      <c r="AO258" s="139"/>
      <c r="AP258" s="139"/>
      <c r="AQ258" s="145"/>
      <c r="AR258" s="145"/>
    </row>
    <row r="259" spans="1:44" s="156" customFormat="1" ht="110.25" x14ac:dyDescent="0.25">
      <c r="A259" s="143" t="s">
        <v>35</v>
      </c>
      <c r="B259" s="144">
        <v>246</v>
      </c>
      <c r="C259" s="143" t="s">
        <v>1136</v>
      </c>
      <c r="D259" s="143" t="s">
        <v>1988</v>
      </c>
      <c r="E259" s="145" t="s">
        <v>1923</v>
      </c>
      <c r="F259" s="146"/>
      <c r="G259" s="143" t="s">
        <v>1989</v>
      </c>
      <c r="H259" s="143"/>
      <c r="I259" s="143"/>
      <c r="J259" s="143"/>
      <c r="K259" s="143"/>
      <c r="L259" s="143" t="s">
        <v>1990</v>
      </c>
      <c r="M259" s="143" t="s">
        <v>43</v>
      </c>
      <c r="N259" s="143" t="s">
        <v>1991</v>
      </c>
      <c r="O259" s="147">
        <v>3613352200</v>
      </c>
      <c r="P259" s="148">
        <v>53089920</v>
      </c>
      <c r="Q259" s="148">
        <v>7500000</v>
      </c>
      <c r="R259" s="150"/>
      <c r="S259" s="147">
        <f t="shared" si="5"/>
        <v>3673942120</v>
      </c>
      <c r="T259" s="158">
        <v>3613352200</v>
      </c>
      <c r="U259" s="158">
        <v>53089920</v>
      </c>
      <c r="V259" s="147">
        <v>7500000</v>
      </c>
      <c r="W259" s="143"/>
      <c r="X259" s="143"/>
      <c r="Y259" s="152">
        <f t="shared" ref="Y259:AB259" si="497">AD259-T259</f>
        <v>0</v>
      </c>
      <c r="Z259" s="151">
        <f t="shared" si="497"/>
        <v>0</v>
      </c>
      <c r="AA259" s="151">
        <f t="shared" si="497"/>
        <v>0</v>
      </c>
      <c r="AB259" s="151">
        <f t="shared" si="497"/>
        <v>0</v>
      </c>
      <c r="AC259" s="143"/>
      <c r="AD259" s="149">
        <v>3613352200</v>
      </c>
      <c r="AE259" s="148">
        <v>53089920</v>
      </c>
      <c r="AF259" s="148">
        <v>7500000</v>
      </c>
      <c r="AG259" s="150"/>
      <c r="AH259" s="143">
        <f t="shared" si="7"/>
        <v>0</v>
      </c>
      <c r="AI259" s="151"/>
      <c r="AJ259" s="151">
        <f t="shared" ref="AJ259:AL259" si="498">P259-AE259</f>
        <v>0</v>
      </c>
      <c r="AK259" s="151">
        <f t="shared" si="498"/>
        <v>0</v>
      </c>
      <c r="AL259" s="151">
        <f t="shared" si="498"/>
        <v>0</v>
      </c>
      <c r="AM259" s="145"/>
      <c r="AN259" s="139"/>
      <c r="AO259" s="139"/>
      <c r="AP259" s="139"/>
      <c r="AQ259" s="145"/>
      <c r="AR259" s="145"/>
    </row>
    <row r="260" spans="1:44" s="156" customFormat="1" ht="47.25" x14ac:dyDescent="0.25">
      <c r="A260" s="143" t="s">
        <v>35</v>
      </c>
      <c r="B260" s="144">
        <v>247</v>
      </c>
      <c r="C260" s="143" t="s">
        <v>1136</v>
      </c>
      <c r="D260" s="143" t="s">
        <v>1992</v>
      </c>
      <c r="E260" s="145" t="s">
        <v>1993</v>
      </c>
      <c r="F260" s="146"/>
      <c r="G260" s="143" t="s">
        <v>1994</v>
      </c>
      <c r="H260" s="143"/>
      <c r="I260" s="143"/>
      <c r="J260" s="143"/>
      <c r="K260" s="143"/>
      <c r="L260" s="143" t="s">
        <v>1995</v>
      </c>
      <c r="M260" s="143" t="s">
        <v>43</v>
      </c>
      <c r="N260" s="143" t="s">
        <v>1996</v>
      </c>
      <c r="O260" s="147">
        <v>2238832624</v>
      </c>
      <c r="P260" s="148">
        <v>440119008</v>
      </c>
      <c r="Q260" s="148">
        <v>15000000</v>
      </c>
      <c r="R260" s="150"/>
      <c r="S260" s="147">
        <f t="shared" si="5"/>
        <v>2693951632</v>
      </c>
      <c r="T260" s="158">
        <v>2238832624</v>
      </c>
      <c r="U260" s="158">
        <v>440119008</v>
      </c>
      <c r="V260" s="147">
        <v>15000000</v>
      </c>
      <c r="W260" s="143"/>
      <c r="X260" s="143"/>
      <c r="Y260" s="152">
        <f t="shared" ref="Y260:AB260" si="499">AD260-T260</f>
        <v>0</v>
      </c>
      <c r="Z260" s="151">
        <f t="shared" si="499"/>
        <v>0</v>
      </c>
      <c r="AA260" s="151">
        <f t="shared" si="499"/>
        <v>0</v>
      </c>
      <c r="AB260" s="151">
        <f t="shared" si="499"/>
        <v>0</v>
      </c>
      <c r="AC260" s="143"/>
      <c r="AD260" s="149">
        <v>2238832624</v>
      </c>
      <c r="AE260" s="148">
        <v>440119008</v>
      </c>
      <c r="AF260" s="148">
        <v>15000000</v>
      </c>
      <c r="AG260" s="150"/>
      <c r="AH260" s="143">
        <f t="shared" si="7"/>
        <v>0</v>
      </c>
      <c r="AI260" s="151"/>
      <c r="AJ260" s="151">
        <f t="shared" ref="AJ260:AL260" si="500">P260-AE260</f>
        <v>0</v>
      </c>
      <c r="AK260" s="151">
        <f t="shared" si="500"/>
        <v>0</v>
      </c>
      <c r="AL260" s="151">
        <f t="shared" si="500"/>
        <v>0</v>
      </c>
      <c r="AM260" s="145"/>
      <c r="AN260" s="139"/>
      <c r="AO260" s="139"/>
      <c r="AP260" s="139"/>
      <c r="AQ260" s="145"/>
      <c r="AR260" s="145"/>
    </row>
    <row r="261" spans="1:44" s="156" customFormat="1" ht="31.5" x14ac:dyDescent="0.25">
      <c r="A261" s="143" t="s">
        <v>35</v>
      </c>
      <c r="B261" s="144">
        <v>248</v>
      </c>
      <c r="C261" s="143" t="s">
        <v>1136</v>
      </c>
      <c r="D261" s="143" t="s">
        <v>1997</v>
      </c>
      <c r="E261" s="145"/>
      <c r="F261" s="146"/>
      <c r="G261" s="143" t="s">
        <v>1383</v>
      </c>
      <c r="H261" s="143"/>
      <c r="I261" s="143"/>
      <c r="J261" s="143"/>
      <c r="K261" s="143"/>
      <c r="L261" s="143" t="s">
        <v>1998</v>
      </c>
      <c r="M261" s="143" t="s">
        <v>43</v>
      </c>
      <c r="N261" s="143" t="s">
        <v>1999</v>
      </c>
      <c r="O261" s="147">
        <v>3203717384</v>
      </c>
      <c r="P261" s="150"/>
      <c r="Q261" s="148">
        <v>15000000</v>
      </c>
      <c r="R261" s="150"/>
      <c r="S261" s="147">
        <f t="shared" si="5"/>
        <v>3218717384</v>
      </c>
      <c r="T261" s="158">
        <v>3203717384</v>
      </c>
      <c r="U261" s="143"/>
      <c r="V261" s="147">
        <v>15000000</v>
      </c>
      <c r="W261" s="143"/>
      <c r="X261" s="143"/>
      <c r="Y261" s="152">
        <f t="shared" ref="Y261:AB261" si="501">AD261-T261</f>
        <v>0</v>
      </c>
      <c r="Z261" s="151">
        <f t="shared" si="501"/>
        <v>0</v>
      </c>
      <c r="AA261" s="151">
        <f t="shared" si="501"/>
        <v>0</v>
      </c>
      <c r="AB261" s="152">
        <f t="shared" si="501"/>
        <v>0</v>
      </c>
      <c r="AC261" s="143"/>
      <c r="AD261" s="149">
        <v>3203717384</v>
      </c>
      <c r="AE261" s="150"/>
      <c r="AF261" s="148">
        <v>15000000</v>
      </c>
      <c r="AG261" s="155"/>
      <c r="AH261" s="143">
        <f t="shared" si="7"/>
        <v>0</v>
      </c>
      <c r="AI261" s="151"/>
      <c r="AJ261" s="151">
        <f t="shared" ref="AJ261:AL261" si="502">P261-AE261</f>
        <v>0</v>
      </c>
      <c r="AK261" s="151">
        <f t="shared" si="502"/>
        <v>0</v>
      </c>
      <c r="AL261" s="151">
        <f t="shared" si="502"/>
        <v>0</v>
      </c>
      <c r="AM261" s="145"/>
      <c r="AN261" s="139"/>
      <c r="AO261" s="139"/>
      <c r="AP261" s="139"/>
      <c r="AQ261" s="145"/>
      <c r="AR261" s="145"/>
    </row>
    <row r="262" spans="1:44" s="156" customFormat="1" ht="78.75" x14ac:dyDescent="0.25">
      <c r="A262" s="145" t="s">
        <v>52</v>
      </c>
      <c r="B262" s="144">
        <v>249</v>
      </c>
      <c r="C262" s="145" t="s">
        <v>1136</v>
      </c>
      <c r="D262" s="145" t="s">
        <v>1137</v>
      </c>
      <c r="E262" s="145" t="s">
        <v>409</v>
      </c>
      <c r="F262" s="145" t="s">
        <v>1138</v>
      </c>
      <c r="G262" s="145" t="s">
        <v>1140</v>
      </c>
      <c r="H262" s="145" t="s">
        <v>204</v>
      </c>
      <c r="I262" s="145"/>
      <c r="J262" s="143"/>
      <c r="K262" s="164"/>
      <c r="L262" s="145" t="s">
        <v>1141</v>
      </c>
      <c r="M262" s="145" t="s">
        <v>43</v>
      </c>
      <c r="N262" s="145" t="s">
        <v>1143</v>
      </c>
      <c r="O262" s="183">
        <v>11542084576</v>
      </c>
      <c r="P262" s="148">
        <v>195952446</v>
      </c>
      <c r="Q262" s="148">
        <v>15000000</v>
      </c>
      <c r="R262" s="148">
        <f>36000000+72000000</f>
        <v>108000000</v>
      </c>
      <c r="S262" s="147">
        <f t="shared" si="5"/>
        <v>11861037022</v>
      </c>
      <c r="T262" s="158">
        <v>11542084576</v>
      </c>
      <c r="U262" s="158">
        <v>195952446</v>
      </c>
      <c r="V262" s="147">
        <v>15000000</v>
      </c>
      <c r="W262" s="148">
        <v>108000000</v>
      </c>
      <c r="X262" s="143"/>
      <c r="Y262" s="152">
        <f t="shared" ref="Y262:AB262" si="503">AD262-T262</f>
        <v>0</v>
      </c>
      <c r="Z262" s="151">
        <f t="shared" si="503"/>
        <v>0</v>
      </c>
      <c r="AA262" s="151">
        <f t="shared" si="503"/>
        <v>0</v>
      </c>
      <c r="AB262" s="151">
        <f t="shared" si="503"/>
        <v>0</v>
      </c>
      <c r="AC262" s="143"/>
      <c r="AD262" s="149">
        <v>11542084576</v>
      </c>
      <c r="AE262" s="148">
        <v>195952446</v>
      </c>
      <c r="AF262" s="148">
        <v>15000000</v>
      </c>
      <c r="AG262" s="148">
        <f>36000000+72000000</f>
        <v>108000000</v>
      </c>
      <c r="AH262" s="143">
        <f t="shared" si="7"/>
        <v>0</v>
      </c>
      <c r="AI262" s="151"/>
      <c r="AJ262" s="151">
        <f t="shared" ref="AJ262:AL262" si="504">P262-AE262</f>
        <v>0</v>
      </c>
      <c r="AK262" s="151">
        <f t="shared" si="504"/>
        <v>0</v>
      </c>
      <c r="AL262" s="151">
        <f t="shared" si="504"/>
        <v>0</v>
      </c>
      <c r="AM262" s="145"/>
      <c r="AN262" s="139"/>
      <c r="AO262" s="139"/>
      <c r="AP262" s="139"/>
      <c r="AQ262" s="145"/>
      <c r="AR262" s="145"/>
    </row>
    <row r="263" spans="1:44" s="156" customFormat="1" ht="31.5" x14ac:dyDescent="0.25">
      <c r="A263" s="143" t="s">
        <v>35</v>
      </c>
      <c r="B263" s="144">
        <v>250</v>
      </c>
      <c r="C263" s="143" t="s">
        <v>1136</v>
      </c>
      <c r="D263" s="143" t="s">
        <v>2002</v>
      </c>
      <c r="E263" s="145"/>
      <c r="F263" s="146"/>
      <c r="G263" s="143" t="s">
        <v>2003</v>
      </c>
      <c r="H263" s="143"/>
      <c r="I263" s="143"/>
      <c r="J263" s="143"/>
      <c r="K263" s="143"/>
      <c r="L263" s="143" t="s">
        <v>2004</v>
      </c>
      <c r="M263" s="143" t="s">
        <v>43</v>
      </c>
      <c r="N263" s="143" t="s">
        <v>2005</v>
      </c>
      <c r="O263" s="147">
        <v>3719388760</v>
      </c>
      <c r="P263" s="150"/>
      <c r="Q263" s="148">
        <v>15000000</v>
      </c>
      <c r="R263" s="150"/>
      <c r="S263" s="147">
        <f t="shared" si="5"/>
        <v>3734388760</v>
      </c>
      <c r="T263" s="158">
        <v>3719388760</v>
      </c>
      <c r="U263" s="143"/>
      <c r="V263" s="147">
        <v>15000000</v>
      </c>
      <c r="W263" s="143"/>
      <c r="X263" s="143"/>
      <c r="Y263" s="152">
        <f t="shared" ref="Y263:AB263" si="505">AD263-T263</f>
        <v>0</v>
      </c>
      <c r="Z263" s="151">
        <f t="shared" si="505"/>
        <v>0</v>
      </c>
      <c r="AA263" s="151">
        <f t="shared" si="505"/>
        <v>0</v>
      </c>
      <c r="AB263" s="151">
        <f t="shared" si="505"/>
        <v>0</v>
      </c>
      <c r="AC263" s="143"/>
      <c r="AD263" s="149">
        <v>3719388760</v>
      </c>
      <c r="AE263" s="150"/>
      <c r="AF263" s="148">
        <v>15000000</v>
      </c>
      <c r="AG263" s="150"/>
      <c r="AH263" s="143">
        <f t="shared" si="7"/>
        <v>0</v>
      </c>
      <c r="AI263" s="151"/>
      <c r="AJ263" s="151">
        <f t="shared" ref="AJ263:AL263" si="506">P263-AE263</f>
        <v>0</v>
      </c>
      <c r="AK263" s="151">
        <f t="shared" si="506"/>
        <v>0</v>
      </c>
      <c r="AL263" s="151">
        <f t="shared" si="506"/>
        <v>0</v>
      </c>
      <c r="AM263" s="145"/>
      <c r="AN263" s="139"/>
      <c r="AO263" s="139"/>
      <c r="AP263" s="139"/>
      <c r="AQ263" s="145"/>
      <c r="AR263" s="145"/>
    </row>
    <row r="264" spans="1:44" s="156" customFormat="1" ht="31.5" x14ac:dyDescent="0.25">
      <c r="A264" s="143" t="s">
        <v>35</v>
      </c>
      <c r="B264" s="144">
        <v>251</v>
      </c>
      <c r="C264" s="143" t="s">
        <v>1136</v>
      </c>
      <c r="D264" s="143" t="s">
        <v>2006</v>
      </c>
      <c r="E264" s="145"/>
      <c r="F264" s="146"/>
      <c r="G264" s="143" t="s">
        <v>2007</v>
      </c>
      <c r="H264" s="143"/>
      <c r="I264" s="143" t="s">
        <v>2008</v>
      </c>
      <c r="J264" s="143"/>
      <c r="K264" s="143"/>
      <c r="L264" s="143" t="s">
        <v>2009</v>
      </c>
      <c r="M264" s="143" t="s">
        <v>43</v>
      </c>
      <c r="N264" s="143" t="s">
        <v>2010</v>
      </c>
      <c r="O264" s="147">
        <v>3679560544</v>
      </c>
      <c r="P264" s="150"/>
      <c r="Q264" s="148">
        <v>15000000</v>
      </c>
      <c r="R264" s="150"/>
      <c r="S264" s="147">
        <f t="shared" si="5"/>
        <v>3694560544</v>
      </c>
      <c r="T264" s="158">
        <v>3679560544</v>
      </c>
      <c r="U264" s="143"/>
      <c r="V264" s="147">
        <v>15000000</v>
      </c>
      <c r="W264" s="143"/>
      <c r="X264" s="143"/>
      <c r="Y264" s="152">
        <f t="shared" ref="Y264:AB264" si="507">AD264-T264</f>
        <v>0</v>
      </c>
      <c r="Z264" s="151">
        <f t="shared" si="507"/>
        <v>0</v>
      </c>
      <c r="AA264" s="151">
        <f t="shared" si="507"/>
        <v>0</v>
      </c>
      <c r="AB264" s="152">
        <f t="shared" si="507"/>
        <v>0</v>
      </c>
      <c r="AC264" s="143"/>
      <c r="AD264" s="149">
        <v>3679560544</v>
      </c>
      <c r="AE264" s="150"/>
      <c r="AF264" s="148">
        <v>15000000</v>
      </c>
      <c r="AG264" s="155"/>
      <c r="AH264" s="143">
        <f t="shared" si="7"/>
        <v>0</v>
      </c>
      <c r="AI264" s="151"/>
      <c r="AJ264" s="151">
        <f t="shared" ref="AJ264:AL264" si="508">P264-AE264</f>
        <v>0</v>
      </c>
      <c r="AK264" s="151">
        <f t="shared" si="508"/>
        <v>0</v>
      </c>
      <c r="AL264" s="151">
        <f t="shared" si="508"/>
        <v>0</v>
      </c>
      <c r="AM264" s="145"/>
      <c r="AN264" s="139"/>
      <c r="AO264" s="139"/>
      <c r="AP264" s="139"/>
      <c r="AQ264" s="145"/>
      <c r="AR264" s="145"/>
    </row>
    <row r="265" spans="1:44" s="156" customFormat="1" ht="47.25" x14ac:dyDescent="0.25">
      <c r="A265" s="143" t="s">
        <v>46</v>
      </c>
      <c r="B265" s="144">
        <v>252</v>
      </c>
      <c r="C265" s="143" t="s">
        <v>1886</v>
      </c>
      <c r="D265" s="143" t="s">
        <v>2011</v>
      </c>
      <c r="E265" s="145"/>
      <c r="F265" s="146"/>
      <c r="G265" s="143" t="s">
        <v>2012</v>
      </c>
      <c r="H265" s="143"/>
      <c r="I265" s="143"/>
      <c r="J265" s="143"/>
      <c r="K265" s="143"/>
      <c r="L265" s="143" t="s">
        <v>2014</v>
      </c>
      <c r="M265" s="143" t="s">
        <v>43</v>
      </c>
      <c r="N265" s="143" t="s">
        <v>2015</v>
      </c>
      <c r="O265" s="147">
        <v>2768598346</v>
      </c>
      <c r="P265" s="150"/>
      <c r="Q265" s="148">
        <v>7500000</v>
      </c>
      <c r="R265" s="150"/>
      <c r="S265" s="147">
        <f t="shared" si="5"/>
        <v>2776098346</v>
      </c>
      <c r="T265" s="158">
        <v>2768598346</v>
      </c>
      <c r="U265" s="143"/>
      <c r="V265" s="147">
        <v>7500000</v>
      </c>
      <c r="W265" s="143"/>
      <c r="X265" s="143"/>
      <c r="Y265" s="152">
        <f t="shared" ref="Y265:AB265" si="509">AD265-T265</f>
        <v>0</v>
      </c>
      <c r="Z265" s="151">
        <f t="shared" si="509"/>
        <v>0</v>
      </c>
      <c r="AA265" s="151">
        <f t="shared" si="509"/>
        <v>0</v>
      </c>
      <c r="AB265" s="152">
        <f t="shared" si="509"/>
        <v>0</v>
      </c>
      <c r="AC265" s="143"/>
      <c r="AD265" s="149">
        <v>2768598346</v>
      </c>
      <c r="AE265" s="150"/>
      <c r="AF265" s="148">
        <v>7500000</v>
      </c>
      <c r="AG265" s="155"/>
      <c r="AH265" s="143">
        <f t="shared" si="7"/>
        <v>0</v>
      </c>
      <c r="AI265" s="151"/>
      <c r="AJ265" s="151">
        <f t="shared" ref="AJ265:AL265" si="510">P265-AE265</f>
        <v>0</v>
      </c>
      <c r="AK265" s="151">
        <f t="shared" si="510"/>
        <v>0</v>
      </c>
      <c r="AL265" s="151">
        <f t="shared" si="510"/>
        <v>0</v>
      </c>
      <c r="AM265" s="145"/>
      <c r="AN265" s="139"/>
      <c r="AO265" s="139"/>
      <c r="AP265" s="139"/>
      <c r="AQ265" s="145"/>
      <c r="AR265" s="145"/>
    </row>
    <row r="266" spans="1:44" s="156" customFormat="1" ht="47.25" x14ac:dyDescent="0.25">
      <c r="A266" s="143" t="s">
        <v>46</v>
      </c>
      <c r="B266" s="144">
        <v>253</v>
      </c>
      <c r="C266" s="143" t="s">
        <v>1886</v>
      </c>
      <c r="D266" s="143" t="s">
        <v>2016</v>
      </c>
      <c r="E266" s="145"/>
      <c r="F266" s="146"/>
      <c r="G266" s="143" t="s">
        <v>2017</v>
      </c>
      <c r="H266" s="143"/>
      <c r="I266" s="143"/>
      <c r="J266" s="143"/>
      <c r="K266" s="143"/>
      <c r="L266" s="143" t="s">
        <v>2018</v>
      </c>
      <c r="M266" s="143" t="s">
        <v>43</v>
      </c>
      <c r="N266" s="143" t="s">
        <v>2019</v>
      </c>
      <c r="O266" s="147">
        <v>671801500</v>
      </c>
      <c r="P266" s="150"/>
      <c r="Q266" s="148">
        <v>7500000</v>
      </c>
      <c r="R266" s="150"/>
      <c r="S266" s="147">
        <f t="shared" si="5"/>
        <v>679301500</v>
      </c>
      <c r="T266" s="158">
        <v>671801500</v>
      </c>
      <c r="U266" s="143"/>
      <c r="V266" s="147">
        <v>7500000</v>
      </c>
      <c r="W266" s="143"/>
      <c r="X266" s="143"/>
      <c r="Y266" s="152">
        <f t="shared" ref="Y266:AB266" si="511">AD266-T266</f>
        <v>0</v>
      </c>
      <c r="Z266" s="151">
        <f t="shared" si="511"/>
        <v>0</v>
      </c>
      <c r="AA266" s="151">
        <f t="shared" si="511"/>
        <v>0</v>
      </c>
      <c r="AB266" s="151">
        <f t="shared" si="511"/>
        <v>0</v>
      </c>
      <c r="AC266" s="143"/>
      <c r="AD266" s="149">
        <v>671801500</v>
      </c>
      <c r="AE266" s="150"/>
      <c r="AF266" s="148">
        <v>7500000</v>
      </c>
      <c r="AG266" s="150"/>
      <c r="AH266" s="143">
        <f t="shared" si="7"/>
        <v>0</v>
      </c>
      <c r="AI266" s="151"/>
      <c r="AJ266" s="151">
        <f t="shared" ref="AJ266:AL266" si="512">P266-AE266</f>
        <v>0</v>
      </c>
      <c r="AK266" s="151">
        <f t="shared" si="512"/>
        <v>0</v>
      </c>
      <c r="AL266" s="151">
        <f t="shared" si="512"/>
        <v>0</v>
      </c>
      <c r="AM266" s="145"/>
      <c r="AN266" s="139"/>
      <c r="AO266" s="139"/>
      <c r="AP266" s="139"/>
      <c r="AQ266" s="145"/>
      <c r="AR266" s="145"/>
    </row>
    <row r="267" spans="1:44" s="156" customFormat="1" ht="47.25" x14ac:dyDescent="0.25">
      <c r="A267" s="143" t="s">
        <v>46</v>
      </c>
      <c r="B267" s="144">
        <v>254</v>
      </c>
      <c r="C267" s="143" t="s">
        <v>1886</v>
      </c>
      <c r="D267" s="143" t="s">
        <v>2020</v>
      </c>
      <c r="E267" s="145"/>
      <c r="F267" s="146"/>
      <c r="G267" s="143" t="s">
        <v>2021</v>
      </c>
      <c r="H267" s="143"/>
      <c r="I267" s="143"/>
      <c r="J267" s="143"/>
      <c r="K267" s="143"/>
      <c r="L267" s="143" t="s">
        <v>2022</v>
      </c>
      <c r="M267" s="143" t="s">
        <v>43</v>
      </c>
      <c r="N267" s="143" t="s">
        <v>2023</v>
      </c>
      <c r="O267" s="147">
        <v>691241261</v>
      </c>
      <c r="P267" s="150"/>
      <c r="Q267" s="148">
        <v>7500000</v>
      </c>
      <c r="R267" s="150"/>
      <c r="S267" s="147">
        <f t="shared" si="5"/>
        <v>698741261</v>
      </c>
      <c r="T267" s="158">
        <v>691241261</v>
      </c>
      <c r="U267" s="143"/>
      <c r="V267" s="147">
        <v>7500000</v>
      </c>
      <c r="W267" s="143"/>
      <c r="X267" s="143"/>
      <c r="Y267" s="152">
        <f t="shared" ref="Y267:AB267" si="513">AD267-T267</f>
        <v>0</v>
      </c>
      <c r="Z267" s="151">
        <f t="shared" si="513"/>
        <v>0</v>
      </c>
      <c r="AA267" s="151">
        <f t="shared" si="513"/>
        <v>0</v>
      </c>
      <c r="AB267" s="151">
        <f t="shared" si="513"/>
        <v>0</v>
      </c>
      <c r="AC267" s="143"/>
      <c r="AD267" s="149">
        <v>691241261</v>
      </c>
      <c r="AE267" s="150"/>
      <c r="AF267" s="148">
        <v>7500000</v>
      </c>
      <c r="AG267" s="150"/>
      <c r="AH267" s="143">
        <f t="shared" si="7"/>
        <v>0</v>
      </c>
      <c r="AI267" s="151"/>
      <c r="AJ267" s="151">
        <f t="shared" ref="AJ267:AL267" si="514">P267-AE267</f>
        <v>0</v>
      </c>
      <c r="AK267" s="151">
        <f t="shared" si="514"/>
        <v>0</v>
      </c>
      <c r="AL267" s="151">
        <f t="shared" si="514"/>
        <v>0</v>
      </c>
      <c r="AM267" s="145"/>
      <c r="AN267" s="139"/>
      <c r="AO267" s="139"/>
      <c r="AP267" s="139"/>
      <c r="AQ267" s="145"/>
      <c r="AR267" s="145"/>
    </row>
    <row r="268" spans="1:44" s="156" customFormat="1" ht="47.25" x14ac:dyDescent="0.25">
      <c r="A268" s="143" t="s">
        <v>35</v>
      </c>
      <c r="B268" s="144">
        <v>255</v>
      </c>
      <c r="C268" s="143" t="s">
        <v>1886</v>
      </c>
      <c r="D268" s="143" t="s">
        <v>2024</v>
      </c>
      <c r="E268" s="145"/>
      <c r="F268" s="146"/>
      <c r="G268" s="143" t="s">
        <v>2025</v>
      </c>
      <c r="H268" s="143"/>
      <c r="I268" s="143" t="s">
        <v>2026</v>
      </c>
      <c r="J268" s="143"/>
      <c r="K268" s="143"/>
      <c r="L268" s="143" t="s">
        <v>2027</v>
      </c>
      <c r="M268" s="143" t="s">
        <v>43</v>
      </c>
      <c r="N268" s="143" t="s">
        <v>2028</v>
      </c>
      <c r="O268" s="147">
        <v>6226631799</v>
      </c>
      <c r="P268" s="150"/>
      <c r="Q268" s="148">
        <v>15000000</v>
      </c>
      <c r="R268" s="150"/>
      <c r="S268" s="147">
        <f t="shared" si="5"/>
        <v>6241631799</v>
      </c>
      <c r="T268" s="158">
        <v>6226631799</v>
      </c>
      <c r="U268" s="143"/>
      <c r="V268" s="147">
        <v>15000000</v>
      </c>
      <c r="W268" s="143"/>
      <c r="X268" s="143"/>
      <c r="Y268" s="152">
        <f t="shared" ref="Y268:AB268" si="515">AD268-T268</f>
        <v>0</v>
      </c>
      <c r="Z268" s="151">
        <f t="shared" si="515"/>
        <v>0</v>
      </c>
      <c r="AA268" s="151">
        <f t="shared" si="515"/>
        <v>0</v>
      </c>
      <c r="AB268" s="152">
        <f t="shared" si="515"/>
        <v>0</v>
      </c>
      <c r="AC268" s="143"/>
      <c r="AD268" s="149">
        <v>6226631799</v>
      </c>
      <c r="AE268" s="150"/>
      <c r="AF268" s="148">
        <v>15000000</v>
      </c>
      <c r="AG268" s="155"/>
      <c r="AH268" s="143">
        <f t="shared" si="7"/>
        <v>0</v>
      </c>
      <c r="AI268" s="151"/>
      <c r="AJ268" s="151">
        <f t="shared" ref="AJ268:AL268" si="516">P268-AE268</f>
        <v>0</v>
      </c>
      <c r="AK268" s="151">
        <f t="shared" si="516"/>
        <v>0</v>
      </c>
      <c r="AL268" s="151">
        <f t="shared" si="516"/>
        <v>0</v>
      </c>
      <c r="AM268" s="145"/>
      <c r="AN268" s="139"/>
      <c r="AO268" s="139"/>
      <c r="AP268" s="139"/>
      <c r="AQ268" s="145"/>
      <c r="AR268" s="145"/>
    </row>
    <row r="269" spans="1:44" s="156" customFormat="1" ht="47.25" x14ac:dyDescent="0.25">
      <c r="A269" s="143" t="s">
        <v>46</v>
      </c>
      <c r="B269" s="175">
        <v>256</v>
      </c>
      <c r="C269" s="145" t="s">
        <v>1886</v>
      </c>
      <c r="D269" s="143" t="s">
        <v>1888</v>
      </c>
      <c r="E269" s="145"/>
      <c r="F269" s="145" t="s">
        <v>1685</v>
      </c>
      <c r="G269" s="145" t="s">
        <v>1890</v>
      </c>
      <c r="H269" s="145"/>
      <c r="I269" s="145" t="s">
        <v>1892</v>
      </c>
      <c r="J269" s="145"/>
      <c r="K269" s="146"/>
      <c r="L269" s="145" t="s">
        <v>1893</v>
      </c>
      <c r="M269" s="145" t="s">
        <v>43</v>
      </c>
      <c r="N269" s="145" t="s">
        <v>1894</v>
      </c>
      <c r="O269" s="147">
        <v>6294452378</v>
      </c>
      <c r="P269" s="150"/>
      <c r="Q269" s="148">
        <v>15000000</v>
      </c>
      <c r="R269" s="148">
        <v>84000000</v>
      </c>
      <c r="S269" s="147">
        <f t="shared" ref="S269:S523" si="517">O269+P269+Q269+R269</f>
        <v>6393452378</v>
      </c>
      <c r="T269" s="158">
        <v>6294452378</v>
      </c>
      <c r="U269" s="143"/>
      <c r="V269" s="147">
        <v>15000000</v>
      </c>
      <c r="W269" s="143"/>
      <c r="X269" s="143"/>
      <c r="Y269" s="152">
        <f t="shared" ref="Y269:AB269" si="518">AD269-T269</f>
        <v>0</v>
      </c>
      <c r="Z269" s="151">
        <f t="shared" si="518"/>
        <v>0</v>
      </c>
      <c r="AA269" s="151">
        <f t="shared" si="518"/>
        <v>0</v>
      </c>
      <c r="AB269" s="152">
        <f t="shared" si="518"/>
        <v>0</v>
      </c>
      <c r="AC269" s="165"/>
      <c r="AD269" s="149">
        <v>6294452378</v>
      </c>
      <c r="AE269" s="150"/>
      <c r="AF269" s="148">
        <v>15000000</v>
      </c>
      <c r="AG269" s="155"/>
      <c r="AH269" s="166">
        <f t="shared" ref="AH269:AH523" si="519">X269+AC269</f>
        <v>0</v>
      </c>
      <c r="AI269" s="151"/>
      <c r="AJ269" s="151">
        <f t="shared" ref="AJ269:AL269" si="520">P269-AE269</f>
        <v>0</v>
      </c>
      <c r="AK269" s="151">
        <f t="shared" si="520"/>
        <v>0</v>
      </c>
      <c r="AL269" s="150">
        <f t="shared" si="520"/>
        <v>84000000</v>
      </c>
      <c r="AM269" s="145"/>
      <c r="AN269" s="139"/>
      <c r="AO269" s="139"/>
      <c r="AP269" s="139"/>
      <c r="AQ269" s="145" t="s">
        <v>2645</v>
      </c>
      <c r="AR269" s="145"/>
    </row>
    <row r="270" spans="1:44" s="156" customFormat="1" ht="47.25" x14ac:dyDescent="0.25">
      <c r="A270" s="143" t="s">
        <v>46</v>
      </c>
      <c r="B270" s="144">
        <v>257</v>
      </c>
      <c r="C270" s="143" t="s">
        <v>1886</v>
      </c>
      <c r="D270" s="143" t="s">
        <v>2030</v>
      </c>
      <c r="E270" s="145"/>
      <c r="F270" s="146"/>
      <c r="G270" s="143" t="s">
        <v>2031</v>
      </c>
      <c r="H270" s="143"/>
      <c r="I270" s="143"/>
      <c r="J270" s="143"/>
      <c r="K270" s="143"/>
      <c r="L270" s="143" t="s">
        <v>2032</v>
      </c>
      <c r="M270" s="143" t="s">
        <v>43</v>
      </c>
      <c r="N270" s="143" t="s">
        <v>2033</v>
      </c>
      <c r="O270" s="147">
        <v>1052260732</v>
      </c>
      <c r="P270" s="150"/>
      <c r="Q270" s="148">
        <v>15000000</v>
      </c>
      <c r="R270" s="150"/>
      <c r="S270" s="147">
        <f t="shared" si="517"/>
        <v>1067260732</v>
      </c>
      <c r="T270" s="158">
        <v>1052260732</v>
      </c>
      <c r="U270" s="143"/>
      <c r="V270" s="147">
        <v>15000000</v>
      </c>
      <c r="W270" s="143"/>
      <c r="X270" s="143"/>
      <c r="Y270" s="152">
        <f t="shared" ref="Y270:AB270" si="521">AD270-T270</f>
        <v>0</v>
      </c>
      <c r="Z270" s="151">
        <f t="shared" si="521"/>
        <v>0</v>
      </c>
      <c r="AA270" s="151">
        <f t="shared" si="521"/>
        <v>0</v>
      </c>
      <c r="AB270" s="151">
        <f t="shared" si="521"/>
        <v>0</v>
      </c>
      <c r="AC270" s="143"/>
      <c r="AD270" s="149">
        <v>1052260732</v>
      </c>
      <c r="AE270" s="150"/>
      <c r="AF270" s="148">
        <v>15000000</v>
      </c>
      <c r="AG270" s="150"/>
      <c r="AH270" s="143">
        <f t="shared" si="519"/>
        <v>0</v>
      </c>
      <c r="AI270" s="151"/>
      <c r="AJ270" s="151">
        <f t="shared" ref="AJ270:AL270" si="522">P270-AE270</f>
        <v>0</v>
      </c>
      <c r="AK270" s="151">
        <f t="shared" si="522"/>
        <v>0</v>
      </c>
      <c r="AL270" s="151">
        <f t="shared" si="522"/>
        <v>0</v>
      </c>
      <c r="AM270" s="145"/>
      <c r="AN270" s="139"/>
      <c r="AO270" s="139"/>
      <c r="AP270" s="139"/>
      <c r="AQ270" s="145"/>
      <c r="AR270" s="145"/>
    </row>
    <row r="271" spans="1:44" s="156" customFormat="1" ht="47.25" x14ac:dyDescent="0.25">
      <c r="A271" s="143" t="s">
        <v>46</v>
      </c>
      <c r="B271" s="144">
        <v>258</v>
      </c>
      <c r="C271" s="143" t="s">
        <v>1886</v>
      </c>
      <c r="D271" s="143" t="s">
        <v>2034</v>
      </c>
      <c r="E271" s="145" t="s">
        <v>2035</v>
      </c>
      <c r="F271" s="146"/>
      <c r="G271" s="143" t="s">
        <v>2036</v>
      </c>
      <c r="H271" s="143"/>
      <c r="I271" s="143"/>
      <c r="J271" s="143"/>
      <c r="K271" s="143"/>
      <c r="L271" s="143" t="s">
        <v>2037</v>
      </c>
      <c r="M271" s="143" t="s">
        <v>43</v>
      </c>
      <c r="N271" s="143" t="s">
        <v>274</v>
      </c>
      <c r="O271" s="147">
        <v>10000000</v>
      </c>
      <c r="P271" s="148">
        <v>1123847280</v>
      </c>
      <c r="Q271" s="148">
        <v>15000000</v>
      </c>
      <c r="R271" s="150"/>
      <c r="S271" s="147">
        <f t="shared" si="517"/>
        <v>1148847280</v>
      </c>
      <c r="T271" s="158">
        <v>10000000</v>
      </c>
      <c r="U271" s="158">
        <v>1123847280</v>
      </c>
      <c r="V271" s="157"/>
      <c r="W271" s="143"/>
      <c r="X271" s="143"/>
      <c r="Y271" s="152">
        <f t="shared" ref="Y271:AB271" si="523">AD271-T271</f>
        <v>0</v>
      </c>
      <c r="Z271" s="151">
        <f t="shared" si="523"/>
        <v>0</v>
      </c>
      <c r="AA271" s="151">
        <f t="shared" si="523"/>
        <v>0</v>
      </c>
      <c r="AB271" s="151">
        <f t="shared" si="523"/>
        <v>0</v>
      </c>
      <c r="AC271" s="143"/>
      <c r="AD271" s="149">
        <v>10000000</v>
      </c>
      <c r="AE271" s="148">
        <v>1123847280</v>
      </c>
      <c r="AF271" s="150"/>
      <c r="AG271" s="150"/>
      <c r="AH271" s="143">
        <f t="shared" si="519"/>
        <v>0</v>
      </c>
      <c r="AI271" s="151"/>
      <c r="AJ271" s="151">
        <f t="shared" ref="AJ271:AL271" si="524">P271-AE271</f>
        <v>0</v>
      </c>
      <c r="AK271" s="151">
        <f t="shared" si="524"/>
        <v>15000000</v>
      </c>
      <c r="AL271" s="151">
        <f t="shared" si="524"/>
        <v>0</v>
      </c>
      <c r="AM271" s="145"/>
      <c r="AN271" s="139"/>
      <c r="AO271" s="139"/>
      <c r="AP271" s="162" t="s">
        <v>2129</v>
      </c>
      <c r="AQ271" s="145"/>
      <c r="AR271" s="145"/>
    </row>
    <row r="272" spans="1:44" s="156" customFormat="1" ht="47.25" x14ac:dyDescent="0.25">
      <c r="A272" s="143" t="s">
        <v>35</v>
      </c>
      <c r="B272" s="144">
        <v>259</v>
      </c>
      <c r="C272" s="143" t="s">
        <v>1886</v>
      </c>
      <c r="D272" s="143" t="s">
        <v>2038</v>
      </c>
      <c r="E272" s="145"/>
      <c r="F272" s="146"/>
      <c r="G272" s="143" t="s">
        <v>2039</v>
      </c>
      <c r="H272" s="143"/>
      <c r="I272" s="143"/>
      <c r="J272" s="143"/>
      <c r="K272" s="143"/>
      <c r="L272" s="143" t="s">
        <v>2040</v>
      </c>
      <c r="M272" s="143" t="s">
        <v>43</v>
      </c>
      <c r="N272" s="143" t="s">
        <v>2041</v>
      </c>
      <c r="O272" s="147">
        <v>2010547710</v>
      </c>
      <c r="P272" s="150"/>
      <c r="Q272" s="148">
        <v>7500000</v>
      </c>
      <c r="R272" s="150"/>
      <c r="S272" s="147">
        <f t="shared" si="517"/>
        <v>2018047710</v>
      </c>
      <c r="T272" s="158">
        <v>2010547710</v>
      </c>
      <c r="U272" s="143"/>
      <c r="V272" s="147">
        <v>7500000</v>
      </c>
      <c r="W272" s="143"/>
      <c r="X272" s="143"/>
      <c r="Y272" s="152">
        <f t="shared" ref="Y272:AB272" si="525">AD272-T272</f>
        <v>0</v>
      </c>
      <c r="Z272" s="151">
        <f t="shared" si="525"/>
        <v>0</v>
      </c>
      <c r="AA272" s="151">
        <f t="shared" si="525"/>
        <v>0</v>
      </c>
      <c r="AB272" s="151">
        <f t="shared" si="525"/>
        <v>0</v>
      </c>
      <c r="AC272" s="143"/>
      <c r="AD272" s="149">
        <v>2010547710</v>
      </c>
      <c r="AE272" s="150"/>
      <c r="AF272" s="148">
        <v>7500000</v>
      </c>
      <c r="AG272" s="150"/>
      <c r="AH272" s="143">
        <f t="shared" si="519"/>
        <v>0</v>
      </c>
      <c r="AI272" s="151"/>
      <c r="AJ272" s="151">
        <f t="shared" ref="AJ272:AL272" si="526">P272-AE272</f>
        <v>0</v>
      </c>
      <c r="AK272" s="151">
        <f t="shared" si="526"/>
        <v>0</v>
      </c>
      <c r="AL272" s="151">
        <f t="shared" si="526"/>
        <v>0</v>
      </c>
      <c r="AM272" s="145"/>
      <c r="AN272" s="139"/>
      <c r="AO272" s="139"/>
      <c r="AP272" s="139"/>
      <c r="AQ272" s="145"/>
      <c r="AR272" s="145"/>
    </row>
    <row r="273" spans="1:44" s="156" customFormat="1" ht="31.5" x14ac:dyDescent="0.25">
      <c r="A273" s="143" t="s">
        <v>52</v>
      </c>
      <c r="B273" s="144">
        <v>260</v>
      </c>
      <c r="C273" s="143" t="s">
        <v>2042</v>
      </c>
      <c r="D273" s="143" t="s">
        <v>2043</v>
      </c>
      <c r="E273" s="145"/>
      <c r="F273" s="146"/>
      <c r="G273" s="143" t="s">
        <v>2044</v>
      </c>
      <c r="H273" s="143"/>
      <c r="I273" s="143"/>
      <c r="J273" s="143"/>
      <c r="K273" s="143"/>
      <c r="L273" s="143" t="s">
        <v>2045</v>
      </c>
      <c r="M273" s="143" t="s">
        <v>43</v>
      </c>
      <c r="N273" s="143" t="s">
        <v>2046</v>
      </c>
      <c r="O273" s="147">
        <v>3081534920</v>
      </c>
      <c r="P273" s="150"/>
      <c r="Q273" s="148">
        <v>7500000</v>
      </c>
      <c r="R273" s="150"/>
      <c r="S273" s="147">
        <f t="shared" si="517"/>
        <v>3089034920</v>
      </c>
      <c r="T273" s="158">
        <v>3081534920</v>
      </c>
      <c r="U273" s="143"/>
      <c r="V273" s="157"/>
      <c r="W273" s="143"/>
      <c r="X273" s="143"/>
      <c r="Y273" s="152">
        <f t="shared" ref="Y273:AB273" si="527">AD273-T273</f>
        <v>0</v>
      </c>
      <c r="Z273" s="151">
        <f t="shared" si="527"/>
        <v>0</v>
      </c>
      <c r="AA273" s="151">
        <f t="shared" si="527"/>
        <v>0</v>
      </c>
      <c r="AB273" s="152">
        <f t="shared" si="527"/>
        <v>0</v>
      </c>
      <c r="AC273" s="143"/>
      <c r="AD273" s="149">
        <v>3081534920</v>
      </c>
      <c r="AE273" s="150"/>
      <c r="AF273" s="150"/>
      <c r="AG273" s="155"/>
      <c r="AH273" s="143">
        <f t="shared" si="519"/>
        <v>0</v>
      </c>
      <c r="AI273" s="151"/>
      <c r="AJ273" s="151">
        <f t="shared" ref="AJ273:AL273" si="528">P273-AE273</f>
        <v>0</v>
      </c>
      <c r="AK273" s="151">
        <f t="shared" si="528"/>
        <v>7500000</v>
      </c>
      <c r="AL273" s="151">
        <f t="shared" si="528"/>
        <v>0</v>
      </c>
      <c r="AM273" s="145"/>
      <c r="AN273" s="139"/>
      <c r="AO273" s="139"/>
      <c r="AP273" s="162" t="s">
        <v>394</v>
      </c>
      <c r="AQ273" s="145"/>
      <c r="AR273" s="145"/>
    </row>
    <row r="274" spans="1:44" s="156" customFormat="1" ht="126" x14ac:dyDescent="0.25">
      <c r="A274" s="143" t="s">
        <v>35</v>
      </c>
      <c r="B274" s="175">
        <v>261</v>
      </c>
      <c r="C274" s="145" t="s">
        <v>2042</v>
      </c>
      <c r="D274" s="143" t="s">
        <v>2047</v>
      </c>
      <c r="E274" s="145"/>
      <c r="F274" s="145" t="s">
        <v>2669</v>
      </c>
      <c r="G274" s="145" t="s">
        <v>2048</v>
      </c>
      <c r="H274" s="145"/>
      <c r="I274" s="145"/>
      <c r="J274" s="145"/>
      <c r="K274" s="145"/>
      <c r="L274" s="145" t="s">
        <v>2049</v>
      </c>
      <c r="M274" s="145" t="s">
        <v>43</v>
      </c>
      <c r="N274" s="145" t="s">
        <v>2050</v>
      </c>
      <c r="O274" s="147">
        <v>10000000</v>
      </c>
      <c r="P274" s="150"/>
      <c r="Q274" s="148">
        <v>15000000</v>
      </c>
      <c r="R274" s="148">
        <f>48000000+48000000</f>
        <v>96000000</v>
      </c>
      <c r="S274" s="147">
        <f t="shared" si="517"/>
        <v>121000000</v>
      </c>
      <c r="T274" s="158">
        <v>10000000</v>
      </c>
      <c r="U274" s="143"/>
      <c r="V274" s="147">
        <v>15000000</v>
      </c>
      <c r="W274" s="143"/>
      <c r="X274" s="143"/>
      <c r="Y274" s="152">
        <f t="shared" ref="Y274:AB274" si="529">AD274-T274</f>
        <v>0</v>
      </c>
      <c r="Z274" s="151">
        <f t="shared" si="529"/>
        <v>0</v>
      </c>
      <c r="AA274" s="151">
        <f t="shared" si="529"/>
        <v>0</v>
      </c>
      <c r="AB274" s="151">
        <f t="shared" si="529"/>
        <v>0</v>
      </c>
      <c r="AC274" s="165"/>
      <c r="AD274" s="149">
        <v>10000000</v>
      </c>
      <c r="AE274" s="150"/>
      <c r="AF274" s="148">
        <v>15000000</v>
      </c>
      <c r="AG274" s="150"/>
      <c r="AH274" s="166">
        <f t="shared" si="519"/>
        <v>0</v>
      </c>
      <c r="AI274" s="151"/>
      <c r="AJ274" s="151">
        <f t="shared" ref="AJ274:AL274" si="530">P274-AE274</f>
        <v>0</v>
      </c>
      <c r="AK274" s="151">
        <f t="shared" si="530"/>
        <v>0</v>
      </c>
      <c r="AL274" s="150">
        <f t="shared" si="530"/>
        <v>96000000</v>
      </c>
      <c r="AM274" s="145"/>
      <c r="AN274" s="139"/>
      <c r="AO274" s="139"/>
      <c r="AP274" s="139"/>
      <c r="AQ274" s="145" t="s">
        <v>2674</v>
      </c>
      <c r="AR274" s="145"/>
    </row>
    <row r="275" spans="1:44" s="156" customFormat="1" ht="31.5" x14ac:dyDescent="0.25">
      <c r="A275" s="143" t="s">
        <v>52</v>
      </c>
      <c r="B275" s="144">
        <v>262</v>
      </c>
      <c r="C275" s="143" t="s">
        <v>2042</v>
      </c>
      <c r="D275" s="143" t="s">
        <v>2051</v>
      </c>
      <c r="E275" s="145"/>
      <c r="F275" s="146"/>
      <c r="G275" s="143" t="s">
        <v>2052</v>
      </c>
      <c r="H275" s="143"/>
      <c r="I275" s="143"/>
      <c r="J275" s="143"/>
      <c r="K275" s="143"/>
      <c r="L275" s="143" t="s">
        <v>2053</v>
      </c>
      <c r="M275" s="143" t="s">
        <v>43</v>
      </c>
      <c r="N275" s="143" t="s">
        <v>2054</v>
      </c>
      <c r="O275" s="147">
        <v>3066157800</v>
      </c>
      <c r="P275" s="150"/>
      <c r="Q275" s="148">
        <v>7500000</v>
      </c>
      <c r="R275" s="150"/>
      <c r="S275" s="147">
        <f t="shared" si="517"/>
        <v>3073657800</v>
      </c>
      <c r="T275" s="158">
        <v>3066157800</v>
      </c>
      <c r="U275" s="143"/>
      <c r="V275" s="147">
        <v>7500000</v>
      </c>
      <c r="W275" s="143"/>
      <c r="X275" s="143"/>
      <c r="Y275" s="152">
        <f t="shared" ref="Y275:AB275" si="531">AD275-T275</f>
        <v>0</v>
      </c>
      <c r="Z275" s="151">
        <f t="shared" si="531"/>
        <v>0</v>
      </c>
      <c r="AA275" s="151">
        <f t="shared" si="531"/>
        <v>0</v>
      </c>
      <c r="AB275" s="152">
        <f t="shared" si="531"/>
        <v>0</v>
      </c>
      <c r="AC275" s="143"/>
      <c r="AD275" s="149">
        <v>3066157800</v>
      </c>
      <c r="AE275" s="150"/>
      <c r="AF275" s="148">
        <v>7500000</v>
      </c>
      <c r="AG275" s="155"/>
      <c r="AH275" s="143">
        <f t="shared" si="519"/>
        <v>0</v>
      </c>
      <c r="AI275" s="151"/>
      <c r="AJ275" s="151">
        <f t="shared" ref="AJ275:AL275" si="532">P275-AE275</f>
        <v>0</v>
      </c>
      <c r="AK275" s="151">
        <f t="shared" si="532"/>
        <v>0</v>
      </c>
      <c r="AL275" s="151">
        <f t="shared" si="532"/>
        <v>0</v>
      </c>
      <c r="AM275" s="145"/>
      <c r="AN275" s="139"/>
      <c r="AO275" s="139"/>
      <c r="AP275" s="139"/>
      <c r="AQ275" s="145"/>
      <c r="AR275" s="145"/>
    </row>
    <row r="276" spans="1:44" s="156" customFormat="1" ht="31.5" x14ac:dyDescent="0.25">
      <c r="A276" s="143" t="s">
        <v>52</v>
      </c>
      <c r="B276" s="144">
        <v>263</v>
      </c>
      <c r="C276" s="143" t="s">
        <v>2042</v>
      </c>
      <c r="D276" s="143" t="s">
        <v>2055</v>
      </c>
      <c r="E276" s="145"/>
      <c r="F276" s="146"/>
      <c r="G276" s="143" t="s">
        <v>2056</v>
      </c>
      <c r="H276" s="143"/>
      <c r="I276" s="143"/>
      <c r="J276" s="143"/>
      <c r="K276" s="143"/>
      <c r="L276" s="143" t="s">
        <v>2057</v>
      </c>
      <c r="M276" s="143" t="s">
        <v>43</v>
      </c>
      <c r="N276" s="143" t="s">
        <v>1469</v>
      </c>
      <c r="O276" s="147">
        <v>6936573600</v>
      </c>
      <c r="P276" s="150"/>
      <c r="Q276" s="148">
        <v>7500000</v>
      </c>
      <c r="R276" s="150"/>
      <c r="S276" s="147">
        <f t="shared" si="517"/>
        <v>6944073600</v>
      </c>
      <c r="T276" s="158">
        <v>6936573600</v>
      </c>
      <c r="U276" s="143"/>
      <c r="V276" s="157">
        <v>7500000</v>
      </c>
      <c r="W276" s="143"/>
      <c r="X276" s="143"/>
      <c r="Y276" s="152">
        <f t="shared" ref="Y276:AB276" si="533">AD276-T276</f>
        <v>0</v>
      </c>
      <c r="Z276" s="151">
        <f t="shared" si="533"/>
        <v>0</v>
      </c>
      <c r="AA276" s="151">
        <f t="shared" si="533"/>
        <v>0</v>
      </c>
      <c r="AB276" s="151">
        <f t="shared" si="533"/>
        <v>0</v>
      </c>
      <c r="AC276" s="143"/>
      <c r="AD276" s="149">
        <v>6936573600</v>
      </c>
      <c r="AE276" s="150"/>
      <c r="AF276" s="148">
        <v>7500000</v>
      </c>
      <c r="AG276" s="150"/>
      <c r="AH276" s="143">
        <f t="shared" si="519"/>
        <v>0</v>
      </c>
      <c r="AI276" s="151"/>
      <c r="AJ276" s="151">
        <f t="shared" ref="AJ276:AL276" si="534">P276-AE276</f>
        <v>0</v>
      </c>
      <c r="AK276" s="151">
        <f t="shared" si="534"/>
        <v>0</v>
      </c>
      <c r="AL276" s="151">
        <f t="shared" si="534"/>
        <v>0</v>
      </c>
      <c r="AM276" s="145"/>
      <c r="AN276" s="139"/>
      <c r="AO276" s="139"/>
      <c r="AP276" s="139"/>
      <c r="AQ276" s="145"/>
      <c r="AR276" s="145"/>
    </row>
    <row r="277" spans="1:44" s="156" customFormat="1" ht="63" x14ac:dyDescent="0.25">
      <c r="A277" s="143" t="s">
        <v>52</v>
      </c>
      <c r="B277" s="144">
        <v>264</v>
      </c>
      <c r="C277" s="143" t="s">
        <v>2042</v>
      </c>
      <c r="D277" s="143" t="s">
        <v>2058</v>
      </c>
      <c r="E277" s="145"/>
      <c r="F277" s="146"/>
      <c r="G277" s="143" t="s">
        <v>2059</v>
      </c>
      <c r="H277" s="143"/>
      <c r="I277" s="143"/>
      <c r="J277" s="143"/>
      <c r="K277" s="143"/>
      <c r="L277" s="143" t="s">
        <v>2060</v>
      </c>
      <c r="M277" s="143" t="s">
        <v>43</v>
      </c>
      <c r="N277" s="143" t="s">
        <v>2061</v>
      </c>
      <c r="O277" s="147">
        <v>3906644000</v>
      </c>
      <c r="P277" s="150"/>
      <c r="Q277" s="148">
        <v>7500000</v>
      </c>
      <c r="R277" s="150"/>
      <c r="S277" s="147">
        <f t="shared" si="517"/>
        <v>3914144000</v>
      </c>
      <c r="T277" s="158">
        <v>3906644000</v>
      </c>
      <c r="U277" s="143"/>
      <c r="V277" s="147">
        <v>7500000</v>
      </c>
      <c r="W277" s="143"/>
      <c r="X277" s="143"/>
      <c r="Y277" s="152">
        <f t="shared" ref="Y277:AB277" si="535">AD277-T277</f>
        <v>0</v>
      </c>
      <c r="Z277" s="151">
        <f t="shared" si="535"/>
        <v>0</v>
      </c>
      <c r="AA277" s="151">
        <f t="shared" si="535"/>
        <v>0</v>
      </c>
      <c r="AB277" s="151">
        <f t="shared" si="535"/>
        <v>0</v>
      </c>
      <c r="AC277" s="143"/>
      <c r="AD277" s="149">
        <v>3906644000</v>
      </c>
      <c r="AE277" s="150"/>
      <c r="AF277" s="148">
        <v>7500000</v>
      </c>
      <c r="AG277" s="150"/>
      <c r="AH277" s="143">
        <f t="shared" si="519"/>
        <v>0</v>
      </c>
      <c r="AI277" s="151"/>
      <c r="AJ277" s="151">
        <f t="shared" ref="AJ277:AL277" si="536">P277-AE277</f>
        <v>0</v>
      </c>
      <c r="AK277" s="151">
        <f t="shared" si="536"/>
        <v>0</v>
      </c>
      <c r="AL277" s="151">
        <f t="shared" si="536"/>
        <v>0</v>
      </c>
      <c r="AM277" s="145"/>
      <c r="AN277" s="139"/>
      <c r="AO277" s="139"/>
      <c r="AP277" s="139"/>
      <c r="AQ277" s="145"/>
      <c r="AR277" s="145"/>
    </row>
    <row r="278" spans="1:44" s="156" customFormat="1" ht="47.25" x14ac:dyDescent="0.25">
      <c r="A278" s="143" t="s">
        <v>52</v>
      </c>
      <c r="B278" s="144">
        <v>265</v>
      </c>
      <c r="C278" s="143" t="s">
        <v>2042</v>
      </c>
      <c r="D278" s="143" t="s">
        <v>2062</v>
      </c>
      <c r="E278" s="145" t="s">
        <v>156</v>
      </c>
      <c r="F278" s="146"/>
      <c r="G278" s="143" t="s">
        <v>2063</v>
      </c>
      <c r="H278" s="143" t="s">
        <v>2064</v>
      </c>
      <c r="I278" s="143"/>
      <c r="J278" s="143"/>
      <c r="K278" s="143"/>
      <c r="L278" s="143" t="s">
        <v>2065</v>
      </c>
      <c r="M278" s="143" t="s">
        <v>43</v>
      </c>
      <c r="N278" s="143" t="s">
        <v>2066</v>
      </c>
      <c r="O278" s="147">
        <v>1851531912</v>
      </c>
      <c r="P278" s="169">
        <v>220049280</v>
      </c>
      <c r="Q278" s="148">
        <v>15000000</v>
      </c>
      <c r="R278" s="150"/>
      <c r="S278" s="147">
        <f t="shared" si="517"/>
        <v>2086581192</v>
      </c>
      <c r="T278" s="158">
        <v>1851531912</v>
      </c>
      <c r="U278" s="158">
        <v>220049280</v>
      </c>
      <c r="V278" s="147">
        <v>15000000</v>
      </c>
      <c r="W278" s="143"/>
      <c r="X278" s="143"/>
      <c r="Y278" s="151">
        <f t="shared" ref="Y278:AB278" si="537">AD278-T278</f>
        <v>0</v>
      </c>
      <c r="Z278" s="151">
        <f t="shared" si="537"/>
        <v>0</v>
      </c>
      <c r="AA278" s="151">
        <f t="shared" si="537"/>
        <v>0</v>
      </c>
      <c r="AB278" s="151">
        <f t="shared" si="537"/>
        <v>0</v>
      </c>
      <c r="AC278" s="143"/>
      <c r="AD278" s="148">
        <f>2071581192-220049280</f>
        <v>1851531912</v>
      </c>
      <c r="AE278" s="169">
        <v>220049280</v>
      </c>
      <c r="AF278" s="148">
        <v>15000000</v>
      </c>
      <c r="AG278" s="170"/>
      <c r="AH278" s="143">
        <f t="shared" si="519"/>
        <v>0</v>
      </c>
      <c r="AI278" s="151"/>
      <c r="AJ278" s="151">
        <f t="shared" ref="AJ278:AL278" si="538">P278-AE278</f>
        <v>0</v>
      </c>
      <c r="AK278" s="151">
        <f t="shared" si="538"/>
        <v>0</v>
      </c>
      <c r="AL278" s="151">
        <f t="shared" si="538"/>
        <v>0</v>
      </c>
      <c r="AM278" s="145"/>
      <c r="AN278" s="139"/>
      <c r="AO278" s="139"/>
      <c r="AP278" s="139"/>
      <c r="AQ278" s="145"/>
      <c r="AR278" s="145"/>
    </row>
    <row r="279" spans="1:44" s="156" customFormat="1" ht="47.25" x14ac:dyDescent="0.25">
      <c r="A279" s="143" t="s">
        <v>52</v>
      </c>
      <c r="B279" s="144">
        <v>266</v>
      </c>
      <c r="C279" s="143" t="s">
        <v>2042</v>
      </c>
      <c r="D279" s="143" t="s">
        <v>2067</v>
      </c>
      <c r="E279" s="145" t="s">
        <v>604</v>
      </c>
      <c r="F279" s="146"/>
      <c r="G279" s="143" t="s">
        <v>2068</v>
      </c>
      <c r="H279" s="143" t="s">
        <v>1759</v>
      </c>
      <c r="I279" s="143"/>
      <c r="J279" s="143"/>
      <c r="K279" s="143"/>
      <c r="L279" s="143" t="s">
        <v>2069</v>
      </c>
      <c r="M279" s="143" t="s">
        <v>43</v>
      </c>
      <c r="N279" s="143" t="s">
        <v>2070</v>
      </c>
      <c r="O279" s="147">
        <v>4181618839</v>
      </c>
      <c r="P279" s="148">
        <f>764984052+896210</f>
        <v>765880262</v>
      </c>
      <c r="Q279" s="148">
        <v>15000000</v>
      </c>
      <c r="R279" s="150"/>
      <c r="S279" s="147">
        <f t="shared" si="517"/>
        <v>4962499101</v>
      </c>
      <c r="T279" s="158">
        <v>4181618839</v>
      </c>
      <c r="U279" s="158">
        <v>765880262</v>
      </c>
      <c r="V279" s="147">
        <v>15000000</v>
      </c>
      <c r="W279" s="143"/>
      <c r="X279" s="143"/>
      <c r="Y279" s="152">
        <f t="shared" ref="Y279:AB279" si="539">AD279-T279</f>
        <v>0</v>
      </c>
      <c r="Z279" s="151">
        <f t="shared" si="539"/>
        <v>0</v>
      </c>
      <c r="AA279" s="151">
        <f t="shared" si="539"/>
        <v>0</v>
      </c>
      <c r="AB279" s="152">
        <f t="shared" si="539"/>
        <v>0</v>
      </c>
      <c r="AC279" s="143"/>
      <c r="AD279" s="149">
        <v>4181618839</v>
      </c>
      <c r="AE279" s="148">
        <v>765880262</v>
      </c>
      <c r="AF279" s="148">
        <v>15000000</v>
      </c>
      <c r="AG279" s="155"/>
      <c r="AH279" s="143">
        <f t="shared" si="519"/>
        <v>0</v>
      </c>
      <c r="AI279" s="151"/>
      <c r="AJ279" s="151">
        <f t="shared" ref="AJ279:AL279" si="540">P279-AE279</f>
        <v>0</v>
      </c>
      <c r="AK279" s="151">
        <f t="shared" si="540"/>
        <v>0</v>
      </c>
      <c r="AL279" s="151">
        <f t="shared" si="540"/>
        <v>0</v>
      </c>
      <c r="AM279" s="145"/>
      <c r="AN279" s="139"/>
      <c r="AO279" s="139"/>
      <c r="AP279" s="139"/>
      <c r="AQ279" s="145"/>
      <c r="AR279" s="145"/>
    </row>
    <row r="280" spans="1:44" s="156" customFormat="1" ht="47.25" x14ac:dyDescent="0.25">
      <c r="A280" s="143" t="s">
        <v>52</v>
      </c>
      <c r="B280" s="144">
        <v>267</v>
      </c>
      <c r="C280" s="143" t="s">
        <v>2042</v>
      </c>
      <c r="D280" s="143" t="s">
        <v>2071</v>
      </c>
      <c r="E280" s="145" t="s">
        <v>156</v>
      </c>
      <c r="F280" s="146"/>
      <c r="G280" s="143" t="s">
        <v>2072</v>
      </c>
      <c r="H280" s="143" t="s">
        <v>2073</v>
      </c>
      <c r="I280" s="143"/>
      <c r="J280" s="143"/>
      <c r="K280" s="143"/>
      <c r="L280" s="143" t="s">
        <v>2074</v>
      </c>
      <c r="M280" s="143" t="s">
        <v>43</v>
      </c>
      <c r="N280" s="143" t="s">
        <v>2075</v>
      </c>
      <c r="O280" s="147">
        <v>1794046036</v>
      </c>
      <c r="P280" s="174">
        <v>186223104</v>
      </c>
      <c r="Q280" s="148">
        <v>15000000</v>
      </c>
      <c r="R280" s="150"/>
      <c r="S280" s="147">
        <f t="shared" si="517"/>
        <v>1995269140</v>
      </c>
      <c r="T280" s="158">
        <v>1794046036</v>
      </c>
      <c r="U280" s="158">
        <v>186223104</v>
      </c>
      <c r="V280" s="147">
        <v>15000000</v>
      </c>
      <c r="W280" s="143"/>
      <c r="X280" s="143"/>
      <c r="Y280" s="152">
        <f t="shared" ref="Y280:AB280" si="541">AD280-T280</f>
        <v>0</v>
      </c>
      <c r="Z280" s="151">
        <f t="shared" si="541"/>
        <v>0</v>
      </c>
      <c r="AA280" s="151">
        <f t="shared" si="541"/>
        <v>0</v>
      </c>
      <c r="AB280" s="151">
        <f t="shared" si="541"/>
        <v>0</v>
      </c>
      <c r="AC280" s="143"/>
      <c r="AD280" s="149">
        <v>1794046036</v>
      </c>
      <c r="AE280" s="174">
        <v>186223104</v>
      </c>
      <c r="AF280" s="148">
        <v>15000000</v>
      </c>
      <c r="AG280" s="160"/>
      <c r="AH280" s="143">
        <f t="shared" si="519"/>
        <v>0</v>
      </c>
      <c r="AI280" s="151"/>
      <c r="AJ280" s="151">
        <f t="shared" ref="AJ280:AL280" si="542">P280-AE280</f>
        <v>0</v>
      </c>
      <c r="AK280" s="151">
        <f t="shared" si="542"/>
        <v>0</v>
      </c>
      <c r="AL280" s="151">
        <f t="shared" si="542"/>
        <v>0</v>
      </c>
      <c r="AM280" s="145"/>
      <c r="AN280" s="139"/>
      <c r="AO280" s="139"/>
      <c r="AP280" s="139"/>
      <c r="AQ280" s="145"/>
      <c r="AR280" s="145"/>
    </row>
    <row r="281" spans="1:44" s="156" customFormat="1" ht="47.25" x14ac:dyDescent="0.25">
      <c r="A281" s="143" t="s">
        <v>52</v>
      </c>
      <c r="B281" s="144">
        <v>268</v>
      </c>
      <c r="C281" s="143" t="s">
        <v>1233</v>
      </c>
      <c r="D281" s="143" t="s">
        <v>1234</v>
      </c>
      <c r="E281" s="145"/>
      <c r="F281" s="145" t="s">
        <v>1227</v>
      </c>
      <c r="G281" s="143" t="s">
        <v>1235</v>
      </c>
      <c r="H281" s="143"/>
      <c r="I281" s="143"/>
      <c r="J281" s="143"/>
      <c r="K281" s="164"/>
      <c r="L281" s="143" t="s">
        <v>1236</v>
      </c>
      <c r="M281" s="143" t="s">
        <v>43</v>
      </c>
      <c r="N281" s="143" t="s">
        <v>1237</v>
      </c>
      <c r="O281" s="147">
        <v>7086142428</v>
      </c>
      <c r="P281" s="150"/>
      <c r="Q281" s="148">
        <v>7500000</v>
      </c>
      <c r="R281" s="148">
        <v>72000000</v>
      </c>
      <c r="S281" s="147">
        <f t="shared" si="517"/>
        <v>7165642428</v>
      </c>
      <c r="T281" s="158">
        <v>7086142428</v>
      </c>
      <c r="U281" s="143"/>
      <c r="V281" s="147">
        <v>7500000</v>
      </c>
      <c r="W281" s="158">
        <v>72000000</v>
      </c>
      <c r="X281" s="143"/>
      <c r="Y281" s="152">
        <f t="shared" ref="Y281:AB281" si="543">AD281-T281</f>
        <v>0</v>
      </c>
      <c r="Z281" s="151">
        <f t="shared" si="543"/>
        <v>0</v>
      </c>
      <c r="AA281" s="151">
        <f t="shared" si="543"/>
        <v>0</v>
      </c>
      <c r="AB281" s="152">
        <f t="shared" si="543"/>
        <v>0</v>
      </c>
      <c r="AC281" s="143"/>
      <c r="AD281" s="149">
        <v>7086142428</v>
      </c>
      <c r="AE281" s="150"/>
      <c r="AF281" s="148">
        <v>7500000</v>
      </c>
      <c r="AG281" s="149">
        <v>72000000</v>
      </c>
      <c r="AH281" s="143">
        <f t="shared" si="519"/>
        <v>0</v>
      </c>
      <c r="AI281" s="151"/>
      <c r="AJ281" s="151">
        <f t="shared" ref="AJ281:AL281" si="544">P281-AE281</f>
        <v>0</v>
      </c>
      <c r="AK281" s="151">
        <f t="shared" si="544"/>
        <v>0</v>
      </c>
      <c r="AL281" s="151">
        <f t="shared" si="544"/>
        <v>0</v>
      </c>
      <c r="AM281" s="145"/>
      <c r="AN281" s="139"/>
      <c r="AO281" s="139"/>
      <c r="AP281" s="139"/>
      <c r="AQ281" s="145"/>
      <c r="AR281" s="145"/>
    </row>
    <row r="282" spans="1:44" s="156" customFormat="1" ht="47.25" x14ac:dyDescent="0.25">
      <c r="A282" s="143" t="s">
        <v>46</v>
      </c>
      <c r="B282" s="144">
        <v>269</v>
      </c>
      <c r="C282" s="143" t="s">
        <v>37</v>
      </c>
      <c r="D282" s="143" t="s">
        <v>2076</v>
      </c>
      <c r="E282" s="145"/>
      <c r="F282" s="146"/>
      <c r="G282" s="143" t="s">
        <v>2077</v>
      </c>
      <c r="H282" s="143"/>
      <c r="I282" s="143"/>
      <c r="J282" s="143"/>
      <c r="K282" s="143"/>
      <c r="L282" s="143" t="s">
        <v>2078</v>
      </c>
      <c r="M282" s="143" t="s">
        <v>43</v>
      </c>
      <c r="N282" s="143" t="s">
        <v>2079</v>
      </c>
      <c r="O282" s="147">
        <v>6717999850</v>
      </c>
      <c r="P282" s="150"/>
      <c r="Q282" s="148">
        <v>15000000</v>
      </c>
      <c r="R282" s="150"/>
      <c r="S282" s="147">
        <f t="shared" si="517"/>
        <v>6732999850</v>
      </c>
      <c r="T282" s="158">
        <v>6717999850</v>
      </c>
      <c r="U282" s="143"/>
      <c r="V282" s="147">
        <v>15000000</v>
      </c>
      <c r="W282" s="143"/>
      <c r="X282" s="143"/>
      <c r="Y282" s="152">
        <f t="shared" ref="Y282:AB282" si="545">AD282-T282</f>
        <v>0</v>
      </c>
      <c r="Z282" s="151">
        <f t="shared" si="545"/>
        <v>0</v>
      </c>
      <c r="AA282" s="151">
        <f t="shared" si="545"/>
        <v>0</v>
      </c>
      <c r="AB282" s="152">
        <f t="shared" si="545"/>
        <v>0</v>
      </c>
      <c r="AC282" s="143"/>
      <c r="AD282" s="149">
        <v>6717999850</v>
      </c>
      <c r="AE282" s="150"/>
      <c r="AF282" s="148">
        <v>15000000</v>
      </c>
      <c r="AG282" s="155"/>
      <c r="AH282" s="143">
        <f t="shared" si="519"/>
        <v>0</v>
      </c>
      <c r="AI282" s="151"/>
      <c r="AJ282" s="151">
        <f t="shared" ref="AJ282:AL282" si="546">P282-AE282</f>
        <v>0</v>
      </c>
      <c r="AK282" s="151">
        <f t="shared" si="546"/>
        <v>0</v>
      </c>
      <c r="AL282" s="151">
        <f t="shared" si="546"/>
        <v>0</v>
      </c>
      <c r="AM282" s="145"/>
      <c r="AN282" s="139"/>
      <c r="AO282" s="139"/>
      <c r="AP282" s="139"/>
      <c r="AQ282" s="145"/>
      <c r="AR282" s="145"/>
    </row>
    <row r="283" spans="1:44" s="156" customFormat="1" ht="78.75" x14ac:dyDescent="0.25">
      <c r="A283" s="143" t="s">
        <v>52</v>
      </c>
      <c r="B283" s="144">
        <v>270</v>
      </c>
      <c r="C283" s="143" t="s">
        <v>37</v>
      </c>
      <c r="D283" s="143" t="s">
        <v>1187</v>
      </c>
      <c r="E283" s="145" t="s">
        <v>1188</v>
      </c>
      <c r="F283" s="145" t="s">
        <v>1189</v>
      </c>
      <c r="G283" s="143" t="s">
        <v>1190</v>
      </c>
      <c r="H283" s="143" t="s">
        <v>1191</v>
      </c>
      <c r="I283" s="143"/>
      <c r="J283" s="143"/>
      <c r="K283" s="164"/>
      <c r="L283" s="143" t="s">
        <v>1192</v>
      </c>
      <c r="M283" s="143" t="s">
        <v>43</v>
      </c>
      <c r="N283" s="143" t="s">
        <v>1193</v>
      </c>
      <c r="O283" s="147">
        <v>1418361365</v>
      </c>
      <c r="P283" s="148">
        <v>168075878</v>
      </c>
      <c r="Q283" s="148">
        <v>15000000</v>
      </c>
      <c r="R283" s="148">
        <f>48000000+48000000</f>
        <v>96000000</v>
      </c>
      <c r="S283" s="147">
        <f t="shared" si="517"/>
        <v>1697437243</v>
      </c>
      <c r="T283" s="158">
        <v>1418361365</v>
      </c>
      <c r="U283" s="158">
        <v>168075878</v>
      </c>
      <c r="V283" s="147">
        <v>15000000</v>
      </c>
      <c r="W283" s="158">
        <v>96000000</v>
      </c>
      <c r="X283" s="143"/>
      <c r="Y283" s="152">
        <f t="shared" ref="Y283:AB283" si="547">AD283-T283</f>
        <v>0</v>
      </c>
      <c r="Z283" s="151">
        <f t="shared" si="547"/>
        <v>0</v>
      </c>
      <c r="AA283" s="151">
        <f t="shared" si="547"/>
        <v>0</v>
      </c>
      <c r="AB283" s="151">
        <f t="shared" si="547"/>
        <v>0</v>
      </c>
      <c r="AC283" s="143"/>
      <c r="AD283" s="149">
        <v>1418361365</v>
      </c>
      <c r="AE283" s="148">
        <v>168075878</v>
      </c>
      <c r="AF283" s="148">
        <v>15000000</v>
      </c>
      <c r="AG283" s="148">
        <f>48000000+48000000</f>
        <v>96000000</v>
      </c>
      <c r="AH283" s="143">
        <f t="shared" si="519"/>
        <v>0</v>
      </c>
      <c r="AI283" s="151"/>
      <c r="AJ283" s="151">
        <f t="shared" ref="AJ283:AL283" si="548">P283-AE283</f>
        <v>0</v>
      </c>
      <c r="AK283" s="151">
        <f t="shared" si="548"/>
        <v>0</v>
      </c>
      <c r="AL283" s="151">
        <f t="shared" si="548"/>
        <v>0</v>
      </c>
      <c r="AM283" s="145"/>
      <c r="AN283" s="139"/>
      <c r="AO283" s="139"/>
      <c r="AP283" s="139"/>
      <c r="AQ283" s="145"/>
      <c r="AR283" s="145"/>
    </row>
    <row r="284" spans="1:44" s="156" customFormat="1" ht="47.25" x14ac:dyDescent="0.25">
      <c r="A284" s="143" t="s">
        <v>52</v>
      </c>
      <c r="B284" s="144">
        <v>271</v>
      </c>
      <c r="C284" s="143" t="s">
        <v>37</v>
      </c>
      <c r="D284" s="143" t="s">
        <v>2082</v>
      </c>
      <c r="E284" s="145"/>
      <c r="F284" s="146"/>
      <c r="G284" s="143" t="s">
        <v>2083</v>
      </c>
      <c r="H284" s="143"/>
      <c r="I284" s="143"/>
      <c r="J284" s="143"/>
      <c r="K284" s="143"/>
      <c r="L284" s="143" t="s">
        <v>2084</v>
      </c>
      <c r="M284" s="143" t="s">
        <v>43</v>
      </c>
      <c r="N284" s="143" t="s">
        <v>2085</v>
      </c>
      <c r="O284" s="147">
        <v>1566048680</v>
      </c>
      <c r="P284" s="150"/>
      <c r="Q284" s="148">
        <v>7500000</v>
      </c>
      <c r="R284" s="150"/>
      <c r="S284" s="147">
        <f t="shared" si="517"/>
        <v>1573548680</v>
      </c>
      <c r="T284" s="158">
        <v>1566048680</v>
      </c>
      <c r="U284" s="143"/>
      <c r="V284" s="147">
        <v>7500000</v>
      </c>
      <c r="W284" s="143"/>
      <c r="X284" s="143"/>
      <c r="Y284" s="152">
        <f t="shared" ref="Y284:AB284" si="549">AD284-T284</f>
        <v>0</v>
      </c>
      <c r="Z284" s="151">
        <f t="shared" si="549"/>
        <v>0</v>
      </c>
      <c r="AA284" s="151">
        <f t="shared" si="549"/>
        <v>0</v>
      </c>
      <c r="AB284" s="143">
        <f t="shared" si="549"/>
        <v>0</v>
      </c>
      <c r="AC284" s="143"/>
      <c r="AD284" s="149">
        <v>1566048680</v>
      </c>
      <c r="AE284" s="184"/>
      <c r="AF284" s="148">
        <v>7500000</v>
      </c>
      <c r="AH284" s="143">
        <f t="shared" si="519"/>
        <v>0</v>
      </c>
      <c r="AI284" s="151"/>
      <c r="AJ284" s="151">
        <f t="shared" ref="AJ284:AL284" si="550">P284-AE284</f>
        <v>0</v>
      </c>
      <c r="AK284" s="151">
        <f t="shared" si="550"/>
        <v>0</v>
      </c>
      <c r="AL284" s="151">
        <f t="shared" si="550"/>
        <v>0</v>
      </c>
      <c r="AM284" s="145"/>
      <c r="AN284" s="139"/>
      <c r="AO284" s="139"/>
      <c r="AP284" s="139"/>
      <c r="AQ284" s="145"/>
      <c r="AR284" s="145"/>
    </row>
    <row r="285" spans="1:44" s="156" customFormat="1" ht="47.25" x14ac:dyDescent="0.25">
      <c r="A285" s="143" t="s">
        <v>52</v>
      </c>
      <c r="B285" s="144">
        <v>272</v>
      </c>
      <c r="C285" s="143" t="s">
        <v>37</v>
      </c>
      <c r="D285" s="143" t="s">
        <v>2086</v>
      </c>
      <c r="E285" s="145"/>
      <c r="F285" s="146"/>
      <c r="G285" s="143" t="s">
        <v>2087</v>
      </c>
      <c r="H285" s="143"/>
      <c r="I285" s="143"/>
      <c r="J285" s="143"/>
      <c r="K285" s="143"/>
      <c r="L285" s="143" t="s">
        <v>2088</v>
      </c>
      <c r="M285" s="143" t="s">
        <v>43</v>
      </c>
      <c r="N285" s="143" t="s">
        <v>2089</v>
      </c>
      <c r="O285" s="147">
        <v>1991452760</v>
      </c>
      <c r="P285" s="150"/>
      <c r="Q285" s="148">
        <v>7500000</v>
      </c>
      <c r="R285" s="150"/>
      <c r="S285" s="147">
        <f t="shared" si="517"/>
        <v>1998952760</v>
      </c>
      <c r="T285" s="158">
        <v>1991452760</v>
      </c>
      <c r="U285" s="143"/>
      <c r="V285" s="147">
        <v>7500000</v>
      </c>
      <c r="W285" s="143"/>
      <c r="X285" s="143"/>
      <c r="Y285" s="152">
        <f t="shared" ref="Y285:AB285" si="551">AD285-T285</f>
        <v>0</v>
      </c>
      <c r="Z285" s="151">
        <f t="shared" si="551"/>
        <v>0</v>
      </c>
      <c r="AA285" s="151">
        <f t="shared" si="551"/>
        <v>0</v>
      </c>
      <c r="AB285" s="152">
        <f t="shared" si="551"/>
        <v>0</v>
      </c>
      <c r="AC285" s="143"/>
      <c r="AD285" s="149">
        <v>1991452760</v>
      </c>
      <c r="AE285" s="150"/>
      <c r="AF285" s="148">
        <v>7500000</v>
      </c>
      <c r="AG285" s="155"/>
      <c r="AH285" s="143">
        <f t="shared" si="519"/>
        <v>0</v>
      </c>
      <c r="AI285" s="151"/>
      <c r="AJ285" s="151">
        <f t="shared" ref="AJ285:AL285" si="552">P285-AE285</f>
        <v>0</v>
      </c>
      <c r="AK285" s="151">
        <f t="shared" si="552"/>
        <v>0</v>
      </c>
      <c r="AL285" s="151">
        <f t="shared" si="552"/>
        <v>0</v>
      </c>
      <c r="AM285" s="145"/>
      <c r="AN285" s="139"/>
      <c r="AO285" s="139"/>
      <c r="AP285" s="139"/>
      <c r="AQ285" s="145"/>
      <c r="AR285" s="145"/>
    </row>
    <row r="286" spans="1:44" s="156" customFormat="1" ht="78.75" x14ac:dyDescent="0.25">
      <c r="A286" s="143" t="s">
        <v>52</v>
      </c>
      <c r="B286" s="144">
        <v>273</v>
      </c>
      <c r="C286" s="143" t="s">
        <v>37</v>
      </c>
      <c r="D286" s="143" t="s">
        <v>2090</v>
      </c>
      <c r="E286" s="145"/>
      <c r="F286" s="146"/>
      <c r="G286" s="143" t="s">
        <v>2091</v>
      </c>
      <c r="H286" s="143"/>
      <c r="I286" s="143"/>
      <c r="J286" s="143"/>
      <c r="K286" s="143"/>
      <c r="L286" s="143" t="s">
        <v>2092</v>
      </c>
      <c r="M286" s="143" t="s">
        <v>43</v>
      </c>
      <c r="N286" s="143" t="s">
        <v>2093</v>
      </c>
      <c r="O286" s="147">
        <v>174451100</v>
      </c>
      <c r="P286" s="150"/>
      <c r="Q286" s="148">
        <v>7500000</v>
      </c>
      <c r="R286" s="150"/>
      <c r="S286" s="147">
        <f t="shared" si="517"/>
        <v>181951100</v>
      </c>
      <c r="T286" s="158">
        <v>174451100</v>
      </c>
      <c r="U286" s="143"/>
      <c r="V286" s="147">
        <v>7500000</v>
      </c>
      <c r="W286" s="143"/>
      <c r="X286" s="143"/>
      <c r="Y286" s="152">
        <f t="shared" ref="Y286:AB286" si="553">AD286-T286</f>
        <v>0</v>
      </c>
      <c r="Z286" s="151">
        <f t="shared" si="553"/>
        <v>0</v>
      </c>
      <c r="AA286" s="151">
        <f t="shared" si="553"/>
        <v>0</v>
      </c>
      <c r="AB286" s="151">
        <f t="shared" si="553"/>
        <v>0</v>
      </c>
      <c r="AC286" s="143"/>
      <c r="AD286" s="149">
        <v>174451100</v>
      </c>
      <c r="AE286" s="150"/>
      <c r="AF286" s="148">
        <v>7500000</v>
      </c>
      <c r="AG286" s="150"/>
      <c r="AH286" s="143">
        <f t="shared" si="519"/>
        <v>0</v>
      </c>
      <c r="AI286" s="151"/>
      <c r="AJ286" s="151">
        <f t="shared" ref="AJ286:AL286" si="554">P286-AE286</f>
        <v>0</v>
      </c>
      <c r="AK286" s="151">
        <f t="shared" si="554"/>
        <v>0</v>
      </c>
      <c r="AL286" s="151">
        <f t="shared" si="554"/>
        <v>0</v>
      </c>
      <c r="AM286" s="145"/>
      <c r="AN286" s="139"/>
      <c r="AO286" s="139"/>
      <c r="AP286" s="139"/>
      <c r="AQ286" s="145"/>
      <c r="AR286" s="145"/>
    </row>
    <row r="287" spans="1:44" s="156" customFormat="1" ht="47.25" x14ac:dyDescent="0.25">
      <c r="A287" s="143" t="s">
        <v>35</v>
      </c>
      <c r="B287" s="144">
        <v>274</v>
      </c>
      <c r="C287" s="143" t="s">
        <v>37</v>
      </c>
      <c r="D287" s="143" t="s">
        <v>2094</v>
      </c>
      <c r="E287" s="145"/>
      <c r="F287" s="146"/>
      <c r="G287" s="143" t="s">
        <v>2095</v>
      </c>
      <c r="H287" s="143"/>
      <c r="I287" s="143"/>
      <c r="J287" s="143"/>
      <c r="K287" s="143"/>
      <c r="L287" s="143" t="s">
        <v>2096</v>
      </c>
      <c r="M287" s="143" t="s">
        <v>43</v>
      </c>
      <c r="N287" s="143" t="s">
        <v>2097</v>
      </c>
      <c r="O287" s="147">
        <v>2784971220</v>
      </c>
      <c r="P287" s="150"/>
      <c r="Q287" s="148">
        <v>7500000</v>
      </c>
      <c r="R287" s="150"/>
      <c r="S287" s="147">
        <f t="shared" si="517"/>
        <v>2792471220</v>
      </c>
      <c r="T287" s="158">
        <v>2784971220</v>
      </c>
      <c r="U287" s="143"/>
      <c r="V287" s="147">
        <v>7500000</v>
      </c>
      <c r="W287" s="143"/>
      <c r="X287" s="143"/>
      <c r="Y287" s="152">
        <f t="shared" ref="Y287:AB287" si="555">AD287-T287</f>
        <v>0</v>
      </c>
      <c r="Z287" s="151">
        <f t="shared" si="555"/>
        <v>0</v>
      </c>
      <c r="AA287" s="151">
        <f t="shared" si="555"/>
        <v>0</v>
      </c>
      <c r="AB287" s="151">
        <f t="shared" si="555"/>
        <v>0</v>
      </c>
      <c r="AC287" s="143"/>
      <c r="AD287" s="149">
        <v>2784971220</v>
      </c>
      <c r="AE287" s="150"/>
      <c r="AF287" s="148">
        <v>7500000</v>
      </c>
      <c r="AG287" s="150"/>
      <c r="AH287" s="143">
        <f t="shared" si="519"/>
        <v>0</v>
      </c>
      <c r="AI287" s="151"/>
      <c r="AJ287" s="151">
        <f t="shared" ref="AJ287:AL287" si="556">P287-AE287</f>
        <v>0</v>
      </c>
      <c r="AK287" s="151">
        <f t="shared" si="556"/>
        <v>0</v>
      </c>
      <c r="AL287" s="151">
        <f t="shared" si="556"/>
        <v>0</v>
      </c>
      <c r="AM287" s="145"/>
      <c r="AN287" s="139"/>
      <c r="AO287" s="139"/>
      <c r="AP287" s="139"/>
      <c r="AQ287" s="145"/>
      <c r="AR287" s="145"/>
    </row>
    <row r="288" spans="1:44" s="156" customFormat="1" ht="47.25" x14ac:dyDescent="0.25">
      <c r="A288" s="143" t="s">
        <v>35</v>
      </c>
      <c r="B288" s="144">
        <v>275</v>
      </c>
      <c r="C288" s="143" t="s">
        <v>37</v>
      </c>
      <c r="D288" s="143" t="s">
        <v>2098</v>
      </c>
      <c r="E288" s="145" t="s">
        <v>2099</v>
      </c>
      <c r="F288" s="146"/>
      <c r="G288" s="143" t="s">
        <v>2100</v>
      </c>
      <c r="H288" s="143" t="s">
        <v>2101</v>
      </c>
      <c r="I288" s="143"/>
      <c r="J288" s="143"/>
      <c r="K288" s="143"/>
      <c r="L288" s="143" t="s">
        <v>2102</v>
      </c>
      <c r="M288" s="143" t="s">
        <v>43</v>
      </c>
      <c r="N288" s="143" t="s">
        <v>2103</v>
      </c>
      <c r="O288" s="147">
        <v>4232294940</v>
      </c>
      <c r="P288" s="148">
        <v>752539900</v>
      </c>
      <c r="Q288" s="148">
        <v>7500000</v>
      </c>
      <c r="R288" s="150"/>
      <c r="S288" s="147">
        <f t="shared" si="517"/>
        <v>4992334840</v>
      </c>
      <c r="T288" s="158">
        <v>4232294940</v>
      </c>
      <c r="U288" s="158">
        <v>752539900</v>
      </c>
      <c r="V288" s="147">
        <v>7500000</v>
      </c>
      <c r="W288" s="143"/>
      <c r="X288" s="143"/>
      <c r="Y288" s="152">
        <f t="shared" ref="Y288:AB288" si="557">AD288-T288</f>
        <v>0</v>
      </c>
      <c r="Z288" s="151">
        <f t="shared" si="557"/>
        <v>0</v>
      </c>
      <c r="AA288" s="151">
        <f t="shared" si="557"/>
        <v>0</v>
      </c>
      <c r="AB288" s="151">
        <f t="shared" si="557"/>
        <v>0</v>
      </c>
      <c r="AC288" s="143"/>
      <c r="AD288" s="149">
        <v>4232294940</v>
      </c>
      <c r="AE288" s="148">
        <v>752539900</v>
      </c>
      <c r="AF288" s="148">
        <v>7500000</v>
      </c>
      <c r="AG288" s="150"/>
      <c r="AH288" s="143">
        <f t="shared" si="519"/>
        <v>0</v>
      </c>
      <c r="AI288" s="151"/>
      <c r="AJ288" s="151">
        <f t="shared" ref="AJ288:AL288" si="558">P288-AE288</f>
        <v>0</v>
      </c>
      <c r="AK288" s="151">
        <f t="shared" si="558"/>
        <v>0</v>
      </c>
      <c r="AL288" s="151">
        <f t="shared" si="558"/>
        <v>0</v>
      </c>
      <c r="AM288" s="145"/>
      <c r="AN288" s="172"/>
      <c r="AO288" s="139"/>
      <c r="AP288" s="139"/>
      <c r="AQ288" s="145"/>
      <c r="AR288" s="145"/>
    </row>
    <row r="289" spans="1:44" s="156" customFormat="1" ht="47.25" x14ac:dyDescent="0.25">
      <c r="A289" s="143" t="s">
        <v>35</v>
      </c>
      <c r="B289" s="144">
        <v>276</v>
      </c>
      <c r="C289" s="143" t="s">
        <v>37</v>
      </c>
      <c r="D289" s="143" t="s">
        <v>2104</v>
      </c>
      <c r="E289" s="145"/>
      <c r="F289" s="146"/>
      <c r="G289" s="143" t="s">
        <v>2105</v>
      </c>
      <c r="H289" s="143"/>
      <c r="I289" s="143"/>
      <c r="J289" s="143"/>
      <c r="K289" s="143"/>
      <c r="L289" s="143" t="s">
        <v>2106</v>
      </c>
      <c r="M289" s="143" t="s">
        <v>43</v>
      </c>
      <c r="N289" s="143" t="s">
        <v>2107</v>
      </c>
      <c r="O289" s="147">
        <v>3383352800</v>
      </c>
      <c r="P289" s="150"/>
      <c r="Q289" s="148">
        <v>7500000</v>
      </c>
      <c r="R289" s="150"/>
      <c r="S289" s="147">
        <f t="shared" si="517"/>
        <v>3390852800</v>
      </c>
      <c r="T289" s="158">
        <v>3383352800</v>
      </c>
      <c r="U289" s="143"/>
      <c r="V289" s="147">
        <v>7500000</v>
      </c>
      <c r="W289" s="143"/>
      <c r="X289" s="143"/>
      <c r="Y289" s="152">
        <f t="shared" ref="Y289:AB289" si="559">AD289-T289</f>
        <v>0</v>
      </c>
      <c r="Z289" s="151">
        <f t="shared" si="559"/>
        <v>0</v>
      </c>
      <c r="AA289" s="151">
        <f t="shared" si="559"/>
        <v>0</v>
      </c>
      <c r="AB289" s="151">
        <f t="shared" si="559"/>
        <v>0</v>
      </c>
      <c r="AC289" s="143"/>
      <c r="AD289" s="149">
        <v>3383352800</v>
      </c>
      <c r="AE289" s="150"/>
      <c r="AF289" s="148">
        <v>7500000</v>
      </c>
      <c r="AG289" s="150"/>
      <c r="AH289" s="143">
        <f t="shared" si="519"/>
        <v>0</v>
      </c>
      <c r="AI289" s="151"/>
      <c r="AJ289" s="151">
        <f t="shared" ref="AJ289:AL289" si="560">P289-AE289</f>
        <v>0</v>
      </c>
      <c r="AK289" s="151">
        <f t="shared" si="560"/>
        <v>0</v>
      </c>
      <c r="AL289" s="151">
        <f t="shared" si="560"/>
        <v>0</v>
      </c>
      <c r="AM289" s="145"/>
      <c r="AN289" s="172"/>
      <c r="AO289" s="139"/>
      <c r="AP289" s="139"/>
      <c r="AQ289" s="145"/>
      <c r="AR289" s="145"/>
    </row>
    <row r="290" spans="1:44" s="156" customFormat="1" ht="141.75" x14ac:dyDescent="0.25">
      <c r="A290" s="143" t="s">
        <v>52</v>
      </c>
      <c r="B290" s="175">
        <v>277</v>
      </c>
      <c r="C290" s="145" t="s">
        <v>37</v>
      </c>
      <c r="D290" s="143" t="s">
        <v>1177</v>
      </c>
      <c r="E290" s="145"/>
      <c r="F290" s="145" t="s">
        <v>1178</v>
      </c>
      <c r="G290" s="145" t="s">
        <v>1179</v>
      </c>
      <c r="H290" s="145"/>
      <c r="I290" s="145"/>
      <c r="J290" s="145"/>
      <c r="K290" s="146"/>
      <c r="L290" s="145" t="s">
        <v>1180</v>
      </c>
      <c r="M290" s="145" t="s">
        <v>43</v>
      </c>
      <c r="N290" s="145" t="s">
        <v>1181</v>
      </c>
      <c r="O290" s="147">
        <v>4066100280</v>
      </c>
      <c r="P290" s="150"/>
      <c r="Q290" s="148">
        <v>15000000</v>
      </c>
      <c r="R290" s="148">
        <f>24000000+24000000+96000000</f>
        <v>144000000</v>
      </c>
      <c r="S290" s="147">
        <f t="shared" si="517"/>
        <v>4225100280</v>
      </c>
      <c r="T290" s="158">
        <v>4066100280</v>
      </c>
      <c r="U290" s="143"/>
      <c r="V290" s="147">
        <v>15000000</v>
      </c>
      <c r="W290" s="148">
        <v>48000000</v>
      </c>
      <c r="X290" s="143"/>
      <c r="Y290" s="152">
        <f t="shared" ref="Y290:AB290" si="561">AD290-T290</f>
        <v>0</v>
      </c>
      <c r="Z290" s="151">
        <f t="shared" si="561"/>
        <v>0</v>
      </c>
      <c r="AA290" s="151">
        <f t="shared" si="561"/>
        <v>0</v>
      </c>
      <c r="AB290" s="151">
        <f t="shared" si="561"/>
        <v>0</v>
      </c>
      <c r="AC290" s="165"/>
      <c r="AD290" s="149">
        <v>4066100280</v>
      </c>
      <c r="AE290" s="150"/>
      <c r="AF290" s="148">
        <v>15000000</v>
      </c>
      <c r="AG290" s="148">
        <f>24000000+24000000</f>
        <v>48000000</v>
      </c>
      <c r="AH290" s="166">
        <f t="shared" si="519"/>
        <v>0</v>
      </c>
      <c r="AI290" s="151"/>
      <c r="AJ290" s="151">
        <f t="shared" ref="AJ290:AL290" si="562">P290-AE290</f>
        <v>0</v>
      </c>
      <c r="AK290" s="151">
        <f t="shared" si="562"/>
        <v>0</v>
      </c>
      <c r="AL290" s="150">
        <f t="shared" si="562"/>
        <v>96000000</v>
      </c>
      <c r="AM290" s="145"/>
      <c r="AN290" s="139"/>
      <c r="AO290" s="139"/>
      <c r="AP290" s="139"/>
      <c r="AQ290" s="145" t="s">
        <v>2745</v>
      </c>
      <c r="AR290" s="145"/>
    </row>
    <row r="291" spans="1:44" s="156" customFormat="1" ht="78.75" x14ac:dyDescent="0.25">
      <c r="A291" s="143" t="s">
        <v>60</v>
      </c>
      <c r="B291" s="144">
        <v>278</v>
      </c>
      <c r="C291" s="143" t="s">
        <v>37</v>
      </c>
      <c r="D291" s="143" t="s">
        <v>2109</v>
      </c>
      <c r="E291" s="145"/>
      <c r="F291" s="146"/>
      <c r="G291" s="143" t="s">
        <v>2110</v>
      </c>
      <c r="H291" s="143"/>
      <c r="I291" s="143"/>
      <c r="J291" s="143"/>
      <c r="K291" s="143"/>
      <c r="L291" s="143" t="s">
        <v>2</v>
      </c>
      <c r="M291" s="143" t="s">
        <v>43</v>
      </c>
      <c r="N291" s="143" t="s">
        <v>2111</v>
      </c>
      <c r="O291" s="147">
        <v>7304980</v>
      </c>
      <c r="P291" s="150"/>
      <c r="Q291" s="148">
        <v>7500000</v>
      </c>
      <c r="R291" s="150"/>
      <c r="S291" s="147">
        <f t="shared" si="517"/>
        <v>14804980</v>
      </c>
      <c r="T291" s="143"/>
      <c r="U291" s="143"/>
      <c r="V291" s="157"/>
      <c r="W291" s="143"/>
      <c r="X291" s="143"/>
      <c r="Y291" s="152">
        <f t="shared" ref="Y291:AB291" si="563">AD291-T291</f>
        <v>0</v>
      </c>
      <c r="Z291" s="151">
        <f t="shared" si="563"/>
        <v>0</v>
      </c>
      <c r="AA291" s="151">
        <f t="shared" si="563"/>
        <v>0</v>
      </c>
      <c r="AB291" s="151">
        <f t="shared" si="563"/>
        <v>0</v>
      </c>
      <c r="AC291" s="143"/>
      <c r="AD291" s="155"/>
      <c r="AE291" s="150"/>
      <c r="AF291" s="150"/>
      <c r="AG291" s="150"/>
      <c r="AH291" s="143">
        <f t="shared" si="519"/>
        <v>0</v>
      </c>
      <c r="AI291" s="151">
        <v>7304980</v>
      </c>
      <c r="AJ291" s="151">
        <f t="shared" ref="AJ291:AL291" si="564">P291-AE291</f>
        <v>0</v>
      </c>
      <c r="AK291" s="151">
        <f t="shared" si="564"/>
        <v>7500000</v>
      </c>
      <c r="AL291" s="151">
        <f t="shared" si="564"/>
        <v>0</v>
      </c>
      <c r="AM291" s="148">
        <v>7304980</v>
      </c>
      <c r="AN291" s="159" t="s">
        <v>2750</v>
      </c>
      <c r="AO291" s="160"/>
      <c r="AP291" s="162" t="s">
        <v>2751</v>
      </c>
      <c r="AQ291" s="219"/>
      <c r="AR291" s="218"/>
    </row>
    <row r="292" spans="1:44" s="156" customFormat="1" ht="94.5" x14ac:dyDescent="0.25">
      <c r="A292" s="143" t="s">
        <v>46</v>
      </c>
      <c r="B292" s="144">
        <v>279</v>
      </c>
      <c r="C292" s="143" t="s">
        <v>37</v>
      </c>
      <c r="D292" s="143" t="s">
        <v>1795</v>
      </c>
      <c r="E292" s="145"/>
      <c r="F292" s="145" t="s">
        <v>2752</v>
      </c>
      <c r="G292" s="143" t="s">
        <v>1797</v>
      </c>
      <c r="H292" s="143"/>
      <c r="I292" s="143"/>
      <c r="J292" s="143"/>
      <c r="K292" s="164"/>
      <c r="L292" s="143" t="s">
        <v>1798</v>
      </c>
      <c r="M292" s="143" t="s">
        <v>43</v>
      </c>
      <c r="N292" s="143" t="s">
        <v>1799</v>
      </c>
      <c r="O292" s="147">
        <v>10000000</v>
      </c>
      <c r="P292" s="150"/>
      <c r="Q292" s="148">
        <v>15000000</v>
      </c>
      <c r="R292" s="148">
        <f>24000000+48000000</f>
        <v>72000000</v>
      </c>
      <c r="S292" s="147">
        <f t="shared" si="517"/>
        <v>97000000</v>
      </c>
      <c r="T292" s="151">
        <v>10000000</v>
      </c>
      <c r="U292" s="143"/>
      <c r="V292" s="157">
        <v>15000000</v>
      </c>
      <c r="W292" s="158">
        <v>72000000</v>
      </c>
      <c r="X292" s="143"/>
      <c r="Y292" s="152">
        <f t="shared" ref="Y292:AB292" si="565">AD292-T292</f>
        <v>0</v>
      </c>
      <c r="Z292" s="151">
        <f t="shared" si="565"/>
        <v>0</v>
      </c>
      <c r="AA292" s="151">
        <f t="shared" si="565"/>
        <v>0</v>
      </c>
      <c r="AB292" s="151">
        <f t="shared" si="565"/>
        <v>0</v>
      </c>
      <c r="AC292" s="143"/>
      <c r="AD292" s="155">
        <v>10000000</v>
      </c>
      <c r="AE292" s="150"/>
      <c r="AF292" s="148">
        <v>15000000</v>
      </c>
      <c r="AG292" s="148">
        <f>24000000+48000000</f>
        <v>72000000</v>
      </c>
      <c r="AH292" s="143">
        <f t="shared" si="519"/>
        <v>0</v>
      </c>
      <c r="AI292" s="151"/>
      <c r="AJ292" s="151">
        <f t="shared" ref="AJ292:AL292" si="566">P292-AE292</f>
        <v>0</v>
      </c>
      <c r="AK292" s="151">
        <f t="shared" si="566"/>
        <v>0</v>
      </c>
      <c r="AL292" s="151">
        <f t="shared" si="566"/>
        <v>0</v>
      </c>
      <c r="AM292" s="145"/>
      <c r="AN292" s="139"/>
      <c r="AO292" s="139"/>
      <c r="AP292" s="139"/>
      <c r="AQ292" s="145"/>
      <c r="AR292" s="145"/>
    </row>
    <row r="293" spans="1:44" s="156" customFormat="1" ht="47.25" x14ac:dyDescent="0.25">
      <c r="A293" s="143" t="s">
        <v>52</v>
      </c>
      <c r="B293" s="144">
        <v>280</v>
      </c>
      <c r="C293" s="143" t="s">
        <v>37</v>
      </c>
      <c r="D293" s="143" t="s">
        <v>2114</v>
      </c>
      <c r="E293" s="145"/>
      <c r="F293" s="146"/>
      <c r="G293" s="143" t="s">
        <v>2115</v>
      </c>
      <c r="H293" s="143"/>
      <c r="I293" s="143"/>
      <c r="J293" s="143"/>
      <c r="K293" s="143"/>
      <c r="L293" s="143" t="s">
        <v>2116</v>
      </c>
      <c r="M293" s="143" t="s">
        <v>43</v>
      </c>
      <c r="N293" s="143" t="s">
        <v>2117</v>
      </c>
      <c r="O293" s="147">
        <v>27024704</v>
      </c>
      <c r="P293" s="150"/>
      <c r="Q293" s="148">
        <v>7500000</v>
      </c>
      <c r="R293" s="150"/>
      <c r="S293" s="147">
        <f t="shared" si="517"/>
        <v>34524704</v>
      </c>
      <c r="T293" s="158">
        <v>27024704</v>
      </c>
      <c r="U293" s="143"/>
      <c r="V293" s="147">
        <v>7500000</v>
      </c>
      <c r="W293" s="143"/>
      <c r="X293" s="143"/>
      <c r="Y293" s="152">
        <f t="shared" ref="Y293:AB293" si="567">AD293-T293</f>
        <v>0</v>
      </c>
      <c r="Z293" s="151">
        <f t="shared" si="567"/>
        <v>0</v>
      </c>
      <c r="AA293" s="151">
        <f t="shared" si="567"/>
        <v>0</v>
      </c>
      <c r="AB293" s="152">
        <f t="shared" si="567"/>
        <v>0</v>
      </c>
      <c r="AC293" s="143"/>
      <c r="AD293" s="149">
        <v>27024704</v>
      </c>
      <c r="AE293" s="150"/>
      <c r="AF293" s="148">
        <v>7500000</v>
      </c>
      <c r="AG293" s="155"/>
      <c r="AH293" s="143">
        <f t="shared" si="519"/>
        <v>0</v>
      </c>
      <c r="AI293" s="151"/>
      <c r="AJ293" s="151">
        <f t="shared" ref="AJ293:AL293" si="568">P293-AE293</f>
        <v>0</v>
      </c>
      <c r="AK293" s="151">
        <f t="shared" si="568"/>
        <v>0</v>
      </c>
      <c r="AL293" s="151">
        <f t="shared" si="568"/>
        <v>0</v>
      </c>
      <c r="AM293" s="145"/>
      <c r="AN293" s="139"/>
      <c r="AO293" s="139"/>
      <c r="AP293" s="139"/>
      <c r="AQ293" s="145"/>
      <c r="AR293" s="145"/>
    </row>
    <row r="294" spans="1:44" s="156" customFormat="1" ht="47.25" x14ac:dyDescent="0.25">
      <c r="A294" s="143" t="s">
        <v>52</v>
      </c>
      <c r="B294" s="144">
        <v>281</v>
      </c>
      <c r="C294" s="143" t="s">
        <v>37</v>
      </c>
      <c r="D294" s="143" t="s">
        <v>2118</v>
      </c>
      <c r="E294" s="145"/>
      <c r="F294" s="146"/>
      <c r="G294" s="143" t="s">
        <v>2119</v>
      </c>
      <c r="H294" s="143"/>
      <c r="I294" s="143"/>
      <c r="J294" s="143"/>
      <c r="K294" s="143"/>
      <c r="L294" s="143" t="s">
        <v>2120</v>
      </c>
      <c r="M294" s="143" t="s">
        <v>43</v>
      </c>
      <c r="N294" s="143" t="s">
        <v>2121</v>
      </c>
      <c r="O294" s="147">
        <v>8038952368</v>
      </c>
      <c r="P294" s="150"/>
      <c r="Q294" s="148">
        <v>15000000</v>
      </c>
      <c r="R294" s="150"/>
      <c r="S294" s="147">
        <f t="shared" si="517"/>
        <v>8053952368</v>
      </c>
      <c r="T294" s="158">
        <v>8038952368</v>
      </c>
      <c r="U294" s="143"/>
      <c r="V294" s="147">
        <v>15000000</v>
      </c>
      <c r="W294" s="143"/>
      <c r="X294" s="143"/>
      <c r="Y294" s="152">
        <f t="shared" ref="Y294:AB294" si="569">AD294-T294</f>
        <v>0</v>
      </c>
      <c r="Z294" s="151">
        <f t="shared" si="569"/>
        <v>0</v>
      </c>
      <c r="AA294" s="151">
        <f t="shared" si="569"/>
        <v>0</v>
      </c>
      <c r="AB294" s="151">
        <f t="shared" si="569"/>
        <v>0</v>
      </c>
      <c r="AC294" s="143"/>
      <c r="AD294" s="149">
        <v>8038952368</v>
      </c>
      <c r="AE294" s="150"/>
      <c r="AF294" s="148">
        <v>15000000</v>
      </c>
      <c r="AG294" s="150"/>
      <c r="AH294" s="143">
        <f t="shared" si="519"/>
        <v>0</v>
      </c>
      <c r="AI294" s="151"/>
      <c r="AJ294" s="151">
        <f t="shared" ref="AJ294:AL294" si="570">P294-AE294</f>
        <v>0</v>
      </c>
      <c r="AK294" s="151">
        <f t="shared" si="570"/>
        <v>0</v>
      </c>
      <c r="AL294" s="151">
        <f t="shared" si="570"/>
        <v>0</v>
      </c>
      <c r="AM294" s="145"/>
      <c r="AN294" s="139"/>
      <c r="AO294" s="139"/>
      <c r="AP294" s="139"/>
      <c r="AQ294" s="145"/>
      <c r="AR294" s="145"/>
    </row>
    <row r="295" spans="1:44" s="156" customFormat="1" ht="47.25" x14ac:dyDescent="0.25">
      <c r="A295" s="143" t="s">
        <v>46</v>
      </c>
      <c r="B295" s="144">
        <v>282</v>
      </c>
      <c r="C295" s="143" t="s">
        <v>37</v>
      </c>
      <c r="D295" s="143" t="s">
        <v>1027</v>
      </c>
      <c r="E295" s="145" t="s">
        <v>1028</v>
      </c>
      <c r="F295" s="145" t="s">
        <v>1012</v>
      </c>
      <c r="G295" s="143" t="s">
        <v>1029</v>
      </c>
      <c r="H295" s="143" t="s">
        <v>1030</v>
      </c>
      <c r="I295" s="143"/>
      <c r="J295" s="143"/>
      <c r="K295" s="164"/>
      <c r="L295" s="143" t="s">
        <v>1031</v>
      </c>
      <c r="M295" s="143" t="s">
        <v>43</v>
      </c>
      <c r="N295" s="143" t="s">
        <v>1032</v>
      </c>
      <c r="O295" s="147">
        <v>1650170289</v>
      </c>
      <c r="P295" s="148">
        <v>191680384</v>
      </c>
      <c r="Q295" s="148">
        <v>15000000</v>
      </c>
      <c r="R295" s="148">
        <v>24000000</v>
      </c>
      <c r="S295" s="147">
        <f t="shared" si="517"/>
        <v>1880850673</v>
      </c>
      <c r="T295" s="158">
        <v>1650170289</v>
      </c>
      <c r="U295" s="158">
        <v>191680384</v>
      </c>
      <c r="V295" s="147">
        <v>15000000</v>
      </c>
      <c r="W295" s="158">
        <v>24000000</v>
      </c>
      <c r="X295" s="143"/>
      <c r="Y295" s="152">
        <f t="shared" ref="Y295:AB295" si="571">AD295-T295</f>
        <v>0</v>
      </c>
      <c r="Z295" s="151">
        <f t="shared" si="571"/>
        <v>0</v>
      </c>
      <c r="AA295" s="151">
        <f t="shared" si="571"/>
        <v>0</v>
      </c>
      <c r="AB295" s="151">
        <f t="shared" si="571"/>
        <v>0</v>
      </c>
      <c r="AC295" s="143"/>
      <c r="AD295" s="149">
        <v>1650170289</v>
      </c>
      <c r="AE295" s="148">
        <v>191680384</v>
      </c>
      <c r="AF295" s="148">
        <v>15000000</v>
      </c>
      <c r="AG295" s="148">
        <v>24000000</v>
      </c>
      <c r="AH295" s="143">
        <f t="shared" si="519"/>
        <v>0</v>
      </c>
      <c r="AI295" s="151"/>
      <c r="AJ295" s="151">
        <f t="shared" ref="AJ295:AL295" si="572">P295-AE295</f>
        <v>0</v>
      </c>
      <c r="AK295" s="151">
        <f t="shared" si="572"/>
        <v>0</v>
      </c>
      <c r="AL295" s="151">
        <f t="shared" si="572"/>
        <v>0</v>
      </c>
      <c r="AM295" s="145"/>
      <c r="AN295" s="139"/>
      <c r="AO295" s="139"/>
      <c r="AP295" s="139"/>
      <c r="AQ295" s="145"/>
      <c r="AR295" s="145"/>
    </row>
    <row r="296" spans="1:44" s="156" customFormat="1" ht="78.75" x14ac:dyDescent="0.25">
      <c r="A296" s="143" t="s">
        <v>46</v>
      </c>
      <c r="B296" s="144">
        <v>283</v>
      </c>
      <c r="C296" s="143" t="s">
        <v>37</v>
      </c>
      <c r="D296" s="143" t="s">
        <v>1559</v>
      </c>
      <c r="E296" s="145" t="s">
        <v>1395</v>
      </c>
      <c r="F296" s="145" t="s">
        <v>1561</v>
      </c>
      <c r="G296" s="143" t="s">
        <v>1562</v>
      </c>
      <c r="H296" s="143" t="s">
        <v>1564</v>
      </c>
      <c r="I296" s="143"/>
      <c r="J296" s="143"/>
      <c r="K296" s="164"/>
      <c r="L296" s="143" t="s">
        <v>1566</v>
      </c>
      <c r="M296" s="143" t="s">
        <v>43</v>
      </c>
      <c r="N296" s="143" t="s">
        <v>1568</v>
      </c>
      <c r="O296" s="147">
        <v>2351212760</v>
      </c>
      <c r="P296" s="148">
        <v>533938698</v>
      </c>
      <c r="Q296" s="148">
        <v>15000000</v>
      </c>
      <c r="R296" s="148">
        <f>30000000+60000000</f>
        <v>90000000</v>
      </c>
      <c r="S296" s="147">
        <f t="shared" si="517"/>
        <v>2990151458</v>
      </c>
      <c r="T296" s="158">
        <v>2351212760</v>
      </c>
      <c r="U296" s="158">
        <v>533938698</v>
      </c>
      <c r="V296" s="147">
        <v>15000000</v>
      </c>
      <c r="W296" s="158">
        <v>90000000</v>
      </c>
      <c r="X296" s="143"/>
      <c r="Y296" s="152">
        <f t="shared" ref="Y296:AB296" si="573">AD296-T296</f>
        <v>0</v>
      </c>
      <c r="Z296" s="151">
        <f t="shared" si="573"/>
        <v>0</v>
      </c>
      <c r="AA296" s="151">
        <f t="shared" si="573"/>
        <v>0</v>
      </c>
      <c r="AB296" s="151">
        <f t="shared" si="573"/>
        <v>0</v>
      </c>
      <c r="AC296" s="143"/>
      <c r="AD296" s="149">
        <v>2351212760</v>
      </c>
      <c r="AE296" s="148">
        <v>533938698</v>
      </c>
      <c r="AF296" s="148">
        <v>15000000</v>
      </c>
      <c r="AG296" s="148">
        <f>30000000+60000000</f>
        <v>90000000</v>
      </c>
      <c r="AH296" s="143">
        <f t="shared" si="519"/>
        <v>0</v>
      </c>
      <c r="AI296" s="151"/>
      <c r="AJ296" s="151">
        <f t="shared" ref="AJ296:AL296" si="574">P296-AE296</f>
        <v>0</v>
      </c>
      <c r="AK296" s="151">
        <f t="shared" si="574"/>
        <v>0</v>
      </c>
      <c r="AL296" s="151">
        <f t="shared" si="574"/>
        <v>0</v>
      </c>
      <c r="AM296" s="145"/>
      <c r="AN296" s="139"/>
      <c r="AO296" s="139"/>
      <c r="AP296" s="185"/>
      <c r="AQ296" s="145"/>
      <c r="AR296" s="145"/>
    </row>
    <row r="297" spans="1:44" s="156" customFormat="1" ht="47.25" x14ac:dyDescent="0.25">
      <c r="A297" s="143" t="s">
        <v>46</v>
      </c>
      <c r="B297" s="144">
        <v>284</v>
      </c>
      <c r="C297" s="143" t="s">
        <v>37</v>
      </c>
      <c r="D297" s="143" t="s">
        <v>2125</v>
      </c>
      <c r="E297" s="145" t="s">
        <v>857</v>
      </c>
      <c r="F297" s="146"/>
      <c r="G297" s="143" t="s">
        <v>2126</v>
      </c>
      <c r="H297" s="143" t="s">
        <v>2127</v>
      </c>
      <c r="I297" s="143"/>
      <c r="J297" s="143"/>
      <c r="K297" s="143"/>
      <c r="L297" s="143" t="s">
        <v>1434</v>
      </c>
      <c r="M297" s="143" t="s">
        <v>43</v>
      </c>
      <c r="N297" s="143" t="s">
        <v>2128</v>
      </c>
      <c r="O297" s="147">
        <v>8920129828</v>
      </c>
      <c r="P297" s="148">
        <v>80307072</v>
      </c>
      <c r="Q297" s="148">
        <v>15000000</v>
      </c>
      <c r="R297" s="150"/>
      <c r="S297" s="147">
        <f t="shared" si="517"/>
        <v>9015436900</v>
      </c>
      <c r="T297" s="158">
        <v>8920129828</v>
      </c>
      <c r="U297" s="158">
        <v>80307072</v>
      </c>
      <c r="V297" s="147">
        <v>15000000</v>
      </c>
      <c r="W297" s="143"/>
      <c r="X297" s="143"/>
      <c r="Y297" s="152">
        <f t="shared" ref="Y297:AB297" si="575">AD297-T297</f>
        <v>0</v>
      </c>
      <c r="Z297" s="151">
        <f t="shared" si="575"/>
        <v>0</v>
      </c>
      <c r="AA297" s="151">
        <f t="shared" si="575"/>
        <v>0</v>
      </c>
      <c r="AB297" s="151">
        <f t="shared" si="575"/>
        <v>0</v>
      </c>
      <c r="AC297" s="143"/>
      <c r="AD297" s="149">
        <v>8920129828</v>
      </c>
      <c r="AE297" s="148">
        <v>80307072</v>
      </c>
      <c r="AF297" s="148">
        <v>15000000</v>
      </c>
      <c r="AG297" s="150"/>
      <c r="AH297" s="143">
        <f t="shared" si="519"/>
        <v>0</v>
      </c>
      <c r="AI297" s="151"/>
      <c r="AJ297" s="151">
        <f t="shared" ref="AJ297:AL297" si="576">P297-AE297</f>
        <v>0</v>
      </c>
      <c r="AK297" s="151">
        <f t="shared" si="576"/>
        <v>0</v>
      </c>
      <c r="AL297" s="151">
        <f t="shared" si="576"/>
        <v>0</v>
      </c>
      <c r="AM297" s="145"/>
      <c r="AN297" s="139"/>
      <c r="AO297" s="139"/>
      <c r="AP297" s="139"/>
      <c r="AQ297" s="145"/>
      <c r="AR297" s="145"/>
    </row>
    <row r="298" spans="1:44" s="156" customFormat="1" ht="110.25" x14ac:dyDescent="0.25">
      <c r="A298" s="143" t="s">
        <v>35</v>
      </c>
      <c r="B298" s="175">
        <v>285</v>
      </c>
      <c r="C298" s="145" t="s">
        <v>37</v>
      </c>
      <c r="D298" s="143" t="s">
        <v>367</v>
      </c>
      <c r="E298" s="145" t="s">
        <v>2801</v>
      </c>
      <c r="F298" s="145" t="s">
        <v>2802</v>
      </c>
      <c r="G298" s="145" t="s">
        <v>370</v>
      </c>
      <c r="H298" s="145"/>
      <c r="I298" s="145"/>
      <c r="J298" s="145"/>
      <c r="K298" s="146"/>
      <c r="L298" s="145" t="s">
        <v>371</v>
      </c>
      <c r="M298" s="145" t="s">
        <v>43</v>
      </c>
      <c r="N298" s="145" t="s">
        <v>372</v>
      </c>
      <c r="O298" s="147">
        <v>10000000</v>
      </c>
      <c r="P298" s="148">
        <v>549345285</v>
      </c>
      <c r="Q298" s="148">
        <v>15000000</v>
      </c>
      <c r="R298" s="148">
        <f>30000000+60000000</f>
        <v>90000000</v>
      </c>
      <c r="S298" s="147">
        <f t="shared" si="517"/>
        <v>664345285</v>
      </c>
      <c r="T298" s="158">
        <v>10000000</v>
      </c>
      <c r="U298" s="158">
        <v>549345285</v>
      </c>
      <c r="V298" s="147">
        <v>15000000</v>
      </c>
      <c r="W298" s="158">
        <v>30000000</v>
      </c>
      <c r="X298" s="143"/>
      <c r="Y298" s="151">
        <f t="shared" ref="Y298:AB298" si="577">AD298-T298</f>
        <v>0</v>
      </c>
      <c r="Z298" s="151">
        <f t="shared" si="577"/>
        <v>0</v>
      </c>
      <c r="AA298" s="151">
        <f t="shared" si="577"/>
        <v>0</v>
      </c>
      <c r="AB298" s="151">
        <f t="shared" si="577"/>
        <v>0</v>
      </c>
      <c r="AC298" s="165"/>
      <c r="AD298" s="148">
        <v>10000000</v>
      </c>
      <c r="AE298" s="148">
        <v>549345285</v>
      </c>
      <c r="AF298" s="148">
        <v>15000000</v>
      </c>
      <c r="AG298" s="148">
        <v>30000000</v>
      </c>
      <c r="AH298" s="166">
        <f t="shared" si="519"/>
        <v>0</v>
      </c>
      <c r="AI298" s="151"/>
      <c r="AJ298" s="151">
        <f t="shared" ref="AJ298:AL298" si="578">P298-AE298</f>
        <v>0</v>
      </c>
      <c r="AK298" s="151">
        <f t="shared" si="578"/>
        <v>0</v>
      </c>
      <c r="AL298" s="150">
        <f t="shared" si="578"/>
        <v>60000000</v>
      </c>
      <c r="AM298" s="145"/>
      <c r="AN298" s="139"/>
      <c r="AO298" s="139"/>
      <c r="AP298" s="139"/>
      <c r="AQ298" s="145" t="s">
        <v>2808</v>
      </c>
      <c r="AR298" s="145"/>
    </row>
    <row r="299" spans="1:44" s="156" customFormat="1" ht="47.25" x14ac:dyDescent="0.25">
      <c r="A299" s="143" t="s">
        <v>35</v>
      </c>
      <c r="B299" s="144">
        <v>286</v>
      </c>
      <c r="C299" s="143" t="s">
        <v>37</v>
      </c>
      <c r="D299" s="143" t="s">
        <v>754</v>
      </c>
      <c r="E299" s="145" t="s">
        <v>756</v>
      </c>
      <c r="F299" s="145" t="s">
        <v>757</v>
      </c>
      <c r="G299" s="143" t="s">
        <v>759</v>
      </c>
      <c r="H299" s="143" t="s">
        <v>760</v>
      </c>
      <c r="I299" s="143"/>
      <c r="J299" s="143"/>
      <c r="K299" s="164"/>
      <c r="L299" s="143" t="s">
        <v>761</v>
      </c>
      <c r="M299" s="143" t="s">
        <v>43</v>
      </c>
      <c r="N299" s="143" t="s">
        <v>762</v>
      </c>
      <c r="O299" s="147">
        <v>2353030170</v>
      </c>
      <c r="P299" s="148">
        <v>56355840</v>
      </c>
      <c r="Q299" s="148">
        <v>15000000</v>
      </c>
      <c r="R299" s="148">
        <v>48000000</v>
      </c>
      <c r="S299" s="147">
        <f t="shared" si="517"/>
        <v>2472386010</v>
      </c>
      <c r="T299" s="158">
        <v>2353030170</v>
      </c>
      <c r="U299" s="158">
        <v>56355840</v>
      </c>
      <c r="V299" s="147">
        <v>15000000</v>
      </c>
      <c r="W299" s="151">
        <v>48000000</v>
      </c>
      <c r="X299" s="143"/>
      <c r="Y299" s="151">
        <f t="shared" ref="Y299:AB299" si="579">AD299-T299</f>
        <v>0</v>
      </c>
      <c r="Z299" s="151">
        <f t="shared" si="579"/>
        <v>0</v>
      </c>
      <c r="AA299" s="151">
        <f t="shared" si="579"/>
        <v>0</v>
      </c>
      <c r="AB299" s="151">
        <f t="shared" si="579"/>
        <v>0</v>
      </c>
      <c r="AC299" s="143"/>
      <c r="AD299" s="148">
        <v>2353030170</v>
      </c>
      <c r="AE299" s="148">
        <v>56355840</v>
      </c>
      <c r="AF299" s="148">
        <v>15000000</v>
      </c>
      <c r="AG299" s="148">
        <v>48000000</v>
      </c>
      <c r="AH299" s="143">
        <f t="shared" si="519"/>
        <v>0</v>
      </c>
      <c r="AI299" s="151"/>
      <c r="AJ299" s="151">
        <f t="shared" ref="AJ299:AL299" si="580">P299-AE299</f>
        <v>0</v>
      </c>
      <c r="AK299" s="151">
        <f t="shared" si="580"/>
        <v>0</v>
      </c>
      <c r="AL299" s="151">
        <f t="shared" si="580"/>
        <v>0</v>
      </c>
      <c r="AM299" s="145"/>
      <c r="AN299" s="139"/>
      <c r="AO299" s="139"/>
      <c r="AP299" s="139"/>
      <c r="AQ299" s="145"/>
      <c r="AR299" s="145"/>
    </row>
    <row r="300" spans="1:44" s="156" customFormat="1" ht="47.25" x14ac:dyDescent="0.25">
      <c r="A300" s="143" t="s">
        <v>35</v>
      </c>
      <c r="B300" s="144">
        <v>287</v>
      </c>
      <c r="C300" s="143" t="s">
        <v>37</v>
      </c>
      <c r="D300" s="143" t="s">
        <v>2130</v>
      </c>
      <c r="E300" s="145"/>
      <c r="F300" s="146"/>
      <c r="G300" s="143" t="s">
        <v>2131</v>
      </c>
      <c r="H300" s="143"/>
      <c r="I300" s="143"/>
      <c r="J300" s="143"/>
      <c r="K300" s="143"/>
      <c r="L300" s="143" t="s">
        <v>2132</v>
      </c>
      <c r="M300" s="143" t="s">
        <v>43</v>
      </c>
      <c r="N300" s="143" t="s">
        <v>2133</v>
      </c>
      <c r="O300" s="147">
        <v>2858621000</v>
      </c>
      <c r="P300" s="150"/>
      <c r="Q300" s="148">
        <v>15000000</v>
      </c>
      <c r="R300" s="150"/>
      <c r="S300" s="147">
        <f t="shared" si="517"/>
        <v>2873621000</v>
      </c>
      <c r="T300" s="158">
        <v>2858621000</v>
      </c>
      <c r="U300" s="143"/>
      <c r="V300" s="147">
        <v>15000000</v>
      </c>
      <c r="W300" s="143"/>
      <c r="X300" s="143"/>
      <c r="Y300" s="152">
        <f t="shared" ref="Y300:AB300" si="581">AD300-T300</f>
        <v>0</v>
      </c>
      <c r="Z300" s="151">
        <f t="shared" si="581"/>
        <v>0</v>
      </c>
      <c r="AA300" s="151">
        <f t="shared" si="581"/>
        <v>0</v>
      </c>
      <c r="AB300" s="152">
        <f t="shared" si="581"/>
        <v>0</v>
      </c>
      <c r="AC300" s="143"/>
      <c r="AD300" s="149">
        <v>2858621000</v>
      </c>
      <c r="AE300" s="150"/>
      <c r="AF300" s="148">
        <v>15000000</v>
      </c>
      <c r="AG300" s="155"/>
      <c r="AH300" s="143">
        <f t="shared" si="519"/>
        <v>0</v>
      </c>
      <c r="AI300" s="151"/>
      <c r="AJ300" s="151">
        <f t="shared" ref="AJ300:AL300" si="582">P300-AE300</f>
        <v>0</v>
      </c>
      <c r="AK300" s="151">
        <f t="shared" si="582"/>
        <v>0</v>
      </c>
      <c r="AL300" s="151">
        <f t="shared" si="582"/>
        <v>0</v>
      </c>
      <c r="AM300" s="145"/>
      <c r="AN300" s="139"/>
      <c r="AO300" s="139"/>
      <c r="AP300" s="139"/>
      <c r="AQ300" s="145"/>
      <c r="AR300" s="145"/>
    </row>
    <row r="301" spans="1:44" s="156" customFormat="1" ht="47.25" x14ac:dyDescent="0.25">
      <c r="A301" s="143" t="s">
        <v>46</v>
      </c>
      <c r="B301" s="144">
        <v>288</v>
      </c>
      <c r="C301" s="143" t="s">
        <v>37</v>
      </c>
      <c r="D301" s="143" t="s">
        <v>2134</v>
      </c>
      <c r="E301" s="145"/>
      <c r="F301" s="146"/>
      <c r="G301" s="143" t="s">
        <v>2135</v>
      </c>
      <c r="H301" s="143"/>
      <c r="I301" s="143"/>
      <c r="J301" s="143"/>
      <c r="K301" s="143"/>
      <c r="L301" s="143" t="s">
        <v>2136</v>
      </c>
      <c r="M301" s="143" t="s">
        <v>43</v>
      </c>
      <c r="N301" s="143" t="s">
        <v>2137</v>
      </c>
      <c r="O301" s="147">
        <v>1613980644</v>
      </c>
      <c r="P301" s="150"/>
      <c r="Q301" s="148">
        <v>7500000</v>
      </c>
      <c r="R301" s="150"/>
      <c r="S301" s="147">
        <f t="shared" si="517"/>
        <v>1621480644</v>
      </c>
      <c r="T301" s="158">
        <v>1613980644</v>
      </c>
      <c r="U301" s="143"/>
      <c r="V301" s="157"/>
      <c r="W301" s="143"/>
      <c r="X301" s="143"/>
      <c r="Y301" s="152">
        <f t="shared" ref="Y301:AB301" si="583">AD301-T301</f>
        <v>0</v>
      </c>
      <c r="Z301" s="151">
        <f t="shared" si="583"/>
        <v>0</v>
      </c>
      <c r="AA301" s="151">
        <f t="shared" si="583"/>
        <v>0</v>
      </c>
      <c r="AB301" s="152">
        <f t="shared" si="583"/>
        <v>0</v>
      </c>
      <c r="AC301" s="143"/>
      <c r="AD301" s="149">
        <v>1613980644</v>
      </c>
      <c r="AE301" s="150"/>
      <c r="AF301" s="150"/>
      <c r="AG301" s="155"/>
      <c r="AH301" s="143">
        <f t="shared" si="519"/>
        <v>0</v>
      </c>
      <c r="AI301" s="151"/>
      <c r="AJ301" s="151">
        <f t="shared" ref="AJ301:AL301" si="584">P301-AE301</f>
        <v>0</v>
      </c>
      <c r="AK301" s="151">
        <f t="shared" si="584"/>
        <v>7500000</v>
      </c>
      <c r="AL301" s="151">
        <f t="shared" si="584"/>
        <v>0</v>
      </c>
      <c r="AM301" s="145"/>
      <c r="AN301" s="139"/>
      <c r="AO301" s="139"/>
      <c r="AP301" s="162" t="s">
        <v>2832</v>
      </c>
      <c r="AQ301" s="145"/>
      <c r="AR301" s="145"/>
    </row>
    <row r="302" spans="1:44" s="156" customFormat="1" ht="47.25" x14ac:dyDescent="0.25">
      <c r="A302" s="143" t="s">
        <v>60</v>
      </c>
      <c r="B302" s="175">
        <v>289</v>
      </c>
      <c r="C302" s="145" t="s">
        <v>37</v>
      </c>
      <c r="D302" s="143" t="s">
        <v>1198</v>
      </c>
      <c r="E302" s="145"/>
      <c r="F302" s="145" t="s">
        <v>1199</v>
      </c>
      <c r="G302" s="145" t="s">
        <v>1200</v>
      </c>
      <c r="H302" s="145"/>
      <c r="I302" s="145"/>
      <c r="J302" s="145"/>
      <c r="K302" s="146"/>
      <c r="L302" s="145" t="s">
        <v>1201</v>
      </c>
      <c r="M302" s="145" t="s">
        <v>43</v>
      </c>
      <c r="N302" s="145" t="s">
        <v>1202</v>
      </c>
      <c r="O302" s="147">
        <v>20692684800</v>
      </c>
      <c r="P302" s="150"/>
      <c r="Q302" s="148">
        <v>15000000</v>
      </c>
      <c r="R302" s="148">
        <v>24000000</v>
      </c>
      <c r="S302" s="147">
        <f t="shared" si="517"/>
        <v>20731684800</v>
      </c>
      <c r="T302" s="158">
        <v>20692684800</v>
      </c>
      <c r="U302" s="143"/>
      <c r="V302" s="157"/>
      <c r="W302" s="143"/>
      <c r="X302" s="143"/>
      <c r="Y302" s="152">
        <f t="shared" ref="Y302:AB302" si="585">AD302-T302</f>
        <v>0</v>
      </c>
      <c r="Z302" s="151">
        <f t="shared" si="585"/>
        <v>0</v>
      </c>
      <c r="AA302" s="151">
        <f t="shared" si="585"/>
        <v>0</v>
      </c>
      <c r="AB302" s="152">
        <f t="shared" si="585"/>
        <v>0</v>
      </c>
      <c r="AC302" s="165"/>
      <c r="AD302" s="149">
        <v>20692684800</v>
      </c>
      <c r="AE302" s="150"/>
      <c r="AF302" s="150"/>
      <c r="AG302" s="155"/>
      <c r="AH302" s="166">
        <f t="shared" si="519"/>
        <v>0</v>
      </c>
      <c r="AI302" s="151"/>
      <c r="AJ302" s="151">
        <f t="shared" ref="AJ302:AL302" si="586">P302-AE302</f>
        <v>0</v>
      </c>
      <c r="AK302" s="151">
        <f t="shared" si="586"/>
        <v>15000000</v>
      </c>
      <c r="AL302" s="150">
        <f t="shared" si="586"/>
        <v>24000000</v>
      </c>
      <c r="AM302" s="145"/>
      <c r="AN302" s="139"/>
      <c r="AO302" s="139"/>
      <c r="AP302" s="168" t="s">
        <v>2838</v>
      </c>
      <c r="AQ302" s="145" t="s">
        <v>2839</v>
      </c>
      <c r="AR302" s="145"/>
    </row>
    <row r="303" spans="1:44" s="156" customFormat="1" ht="47.25" x14ac:dyDescent="0.25">
      <c r="A303" s="143" t="s">
        <v>46</v>
      </c>
      <c r="B303" s="144">
        <v>290</v>
      </c>
      <c r="C303" s="143" t="s">
        <v>37</v>
      </c>
      <c r="D303" s="143" t="s">
        <v>2138</v>
      </c>
      <c r="E303" s="145"/>
      <c r="F303" s="146"/>
      <c r="G303" s="143" t="s">
        <v>2139</v>
      </c>
      <c r="H303" s="143"/>
      <c r="I303" s="143"/>
      <c r="J303" s="143"/>
      <c r="K303" s="143"/>
      <c r="L303" s="143" t="s">
        <v>2140</v>
      </c>
      <c r="M303" s="143" t="s">
        <v>43</v>
      </c>
      <c r="N303" s="143" t="s">
        <v>2141</v>
      </c>
      <c r="O303" s="147">
        <v>7632590744</v>
      </c>
      <c r="P303" s="150"/>
      <c r="Q303" s="148">
        <v>15000000</v>
      </c>
      <c r="R303" s="150"/>
      <c r="S303" s="147">
        <f t="shared" si="517"/>
        <v>7647590744</v>
      </c>
      <c r="T303" s="158">
        <v>7632590744</v>
      </c>
      <c r="U303" s="143"/>
      <c r="V303" s="157"/>
      <c r="W303" s="143"/>
      <c r="X303" s="143"/>
      <c r="Y303" s="152">
        <f t="shared" ref="Y303:AB303" si="587">AD303-T303</f>
        <v>0</v>
      </c>
      <c r="Z303" s="151">
        <f t="shared" si="587"/>
        <v>0</v>
      </c>
      <c r="AA303" s="151">
        <f t="shared" si="587"/>
        <v>0</v>
      </c>
      <c r="AB303" s="152">
        <f t="shared" si="587"/>
        <v>0</v>
      </c>
      <c r="AC303" s="143"/>
      <c r="AD303" s="149">
        <v>7632590744</v>
      </c>
      <c r="AE303" s="150"/>
      <c r="AF303" s="150"/>
      <c r="AG303" s="155"/>
      <c r="AH303" s="143">
        <f t="shared" si="519"/>
        <v>0</v>
      </c>
      <c r="AI303" s="151"/>
      <c r="AJ303" s="151">
        <f t="shared" ref="AJ303:AL303" si="588">P303-AE303</f>
        <v>0</v>
      </c>
      <c r="AK303" s="151">
        <f t="shared" si="588"/>
        <v>15000000</v>
      </c>
      <c r="AL303" s="151">
        <f t="shared" si="588"/>
        <v>0</v>
      </c>
      <c r="AM303" s="145"/>
      <c r="AN303" s="139"/>
      <c r="AO303" s="139"/>
      <c r="AP303" s="162" t="s">
        <v>2842</v>
      </c>
      <c r="AQ303" s="145"/>
      <c r="AR303" s="145"/>
    </row>
    <row r="304" spans="1:44" s="156" customFormat="1" ht="47.25" x14ac:dyDescent="0.25">
      <c r="A304" s="143" t="s">
        <v>60</v>
      </c>
      <c r="B304" s="144">
        <v>291</v>
      </c>
      <c r="C304" s="143" t="s">
        <v>37</v>
      </c>
      <c r="D304" s="143" t="s">
        <v>2142</v>
      </c>
      <c r="E304" s="145" t="s">
        <v>1923</v>
      </c>
      <c r="F304" s="146"/>
      <c r="G304" s="143" t="s">
        <v>2143</v>
      </c>
      <c r="H304" s="143"/>
      <c r="I304" s="143"/>
      <c r="J304" s="143"/>
      <c r="K304" s="143"/>
      <c r="L304" s="143" t="s">
        <v>2144</v>
      </c>
      <c r="M304" s="143" t="s">
        <v>43</v>
      </c>
      <c r="N304" s="143" t="s">
        <v>2145</v>
      </c>
      <c r="O304" s="147">
        <v>1875268327</v>
      </c>
      <c r="P304" s="148">
        <v>352224000</v>
      </c>
      <c r="Q304" s="148">
        <v>15000000</v>
      </c>
      <c r="R304" s="150"/>
      <c r="S304" s="147">
        <f t="shared" si="517"/>
        <v>2242492327</v>
      </c>
      <c r="T304" s="158">
        <v>1875268327</v>
      </c>
      <c r="U304" s="158">
        <v>352224000</v>
      </c>
      <c r="V304" s="147">
        <v>15000000</v>
      </c>
      <c r="W304" s="143"/>
      <c r="X304" s="143"/>
      <c r="Y304" s="152">
        <f t="shared" ref="Y304:AB304" si="589">AD304-T304</f>
        <v>0</v>
      </c>
      <c r="Z304" s="151">
        <f t="shared" si="589"/>
        <v>0</v>
      </c>
      <c r="AA304" s="151">
        <f t="shared" si="589"/>
        <v>0</v>
      </c>
      <c r="AB304" s="152">
        <f t="shared" si="589"/>
        <v>0</v>
      </c>
      <c r="AC304" s="143"/>
      <c r="AD304" s="149">
        <v>1875268327</v>
      </c>
      <c r="AE304" s="148">
        <v>352224000</v>
      </c>
      <c r="AF304" s="148">
        <v>15000000</v>
      </c>
      <c r="AG304" s="155"/>
      <c r="AH304" s="143">
        <f t="shared" si="519"/>
        <v>0</v>
      </c>
      <c r="AI304" s="151"/>
      <c r="AJ304" s="151">
        <f t="shared" ref="AJ304:AL304" si="590">P304-AE304</f>
        <v>0</v>
      </c>
      <c r="AK304" s="151">
        <f t="shared" si="590"/>
        <v>0</v>
      </c>
      <c r="AL304" s="151">
        <f t="shared" si="590"/>
        <v>0</v>
      </c>
      <c r="AM304" s="145"/>
      <c r="AN304" s="139"/>
      <c r="AO304" s="139"/>
      <c r="AP304" s="139"/>
      <c r="AQ304" s="145"/>
      <c r="AR304" s="145"/>
    </row>
    <row r="305" spans="1:44" s="156" customFormat="1" ht="47.25" x14ac:dyDescent="0.25">
      <c r="A305" s="143" t="s">
        <v>60</v>
      </c>
      <c r="B305" s="144">
        <v>292</v>
      </c>
      <c r="C305" s="143" t="s">
        <v>37</v>
      </c>
      <c r="D305" s="143" t="s">
        <v>2146</v>
      </c>
      <c r="E305" s="145" t="s">
        <v>883</v>
      </c>
      <c r="F305" s="146"/>
      <c r="G305" s="143" t="s">
        <v>2147</v>
      </c>
      <c r="H305" s="143" t="s">
        <v>2148</v>
      </c>
      <c r="I305" s="143"/>
      <c r="J305" s="143"/>
      <c r="K305" s="143"/>
      <c r="L305" s="143" t="s">
        <v>2149</v>
      </c>
      <c r="M305" s="143" t="s">
        <v>43</v>
      </c>
      <c r="N305" s="143" t="s">
        <v>2150</v>
      </c>
      <c r="O305" s="147">
        <v>1054607500</v>
      </c>
      <c r="P305" s="148">
        <v>395612000</v>
      </c>
      <c r="Q305" s="148">
        <v>7500000</v>
      </c>
      <c r="R305" s="150"/>
      <c r="S305" s="147">
        <f t="shared" si="517"/>
        <v>1457719500</v>
      </c>
      <c r="T305" s="158">
        <v>1054607500</v>
      </c>
      <c r="U305" s="158">
        <v>395612000</v>
      </c>
      <c r="V305" s="147">
        <v>7500000</v>
      </c>
      <c r="W305" s="143"/>
      <c r="X305" s="143"/>
      <c r="Y305" s="152">
        <f t="shared" ref="Y305:AB305" si="591">AD305-T305</f>
        <v>0</v>
      </c>
      <c r="Z305" s="151">
        <f t="shared" si="591"/>
        <v>0</v>
      </c>
      <c r="AA305" s="151">
        <f t="shared" si="591"/>
        <v>0</v>
      </c>
      <c r="AB305" s="151">
        <f t="shared" si="591"/>
        <v>0</v>
      </c>
      <c r="AC305" s="143"/>
      <c r="AD305" s="149">
        <v>1054607500</v>
      </c>
      <c r="AE305" s="148">
        <v>395612000</v>
      </c>
      <c r="AF305" s="148">
        <v>7500000</v>
      </c>
      <c r="AG305" s="150"/>
      <c r="AH305" s="143">
        <f t="shared" si="519"/>
        <v>0</v>
      </c>
      <c r="AI305" s="151"/>
      <c r="AJ305" s="151">
        <f t="shared" ref="AJ305:AL305" si="592">P305-AE305</f>
        <v>0</v>
      </c>
      <c r="AK305" s="151">
        <f t="shared" si="592"/>
        <v>0</v>
      </c>
      <c r="AL305" s="151">
        <f t="shared" si="592"/>
        <v>0</v>
      </c>
      <c r="AM305" s="145"/>
      <c r="AN305" s="139"/>
      <c r="AO305" s="139"/>
      <c r="AP305" s="139"/>
      <c r="AQ305" s="145"/>
      <c r="AR305" s="145"/>
    </row>
    <row r="306" spans="1:44" s="156" customFormat="1" ht="47.25" x14ac:dyDescent="0.25">
      <c r="A306" s="143" t="s">
        <v>52</v>
      </c>
      <c r="B306" s="144">
        <v>293</v>
      </c>
      <c r="C306" s="143" t="s">
        <v>37</v>
      </c>
      <c r="D306" s="143" t="s">
        <v>2151</v>
      </c>
      <c r="E306" s="145"/>
      <c r="F306" s="146"/>
      <c r="G306" s="143" t="s">
        <v>2152</v>
      </c>
      <c r="H306" s="143"/>
      <c r="I306" s="143"/>
      <c r="J306" s="143"/>
      <c r="K306" s="143"/>
      <c r="L306" s="143" t="s">
        <v>2153</v>
      </c>
      <c r="M306" s="143" t="s">
        <v>43</v>
      </c>
      <c r="N306" s="143" t="s">
        <v>2154</v>
      </c>
      <c r="O306" s="147">
        <v>4707710338</v>
      </c>
      <c r="P306" s="150"/>
      <c r="Q306" s="148">
        <v>15000000</v>
      </c>
      <c r="R306" s="150"/>
      <c r="S306" s="147">
        <f t="shared" si="517"/>
        <v>4722710338</v>
      </c>
      <c r="T306" s="158">
        <v>4707710338</v>
      </c>
      <c r="U306" s="143"/>
      <c r="V306" s="147">
        <v>15000000</v>
      </c>
      <c r="W306" s="143"/>
      <c r="X306" s="143"/>
      <c r="Y306" s="152">
        <f t="shared" ref="Y306:AB306" si="593">AD306-T306</f>
        <v>0</v>
      </c>
      <c r="Z306" s="151">
        <f t="shared" si="593"/>
        <v>0</v>
      </c>
      <c r="AA306" s="151">
        <f t="shared" si="593"/>
        <v>0</v>
      </c>
      <c r="AB306" s="152">
        <f t="shared" si="593"/>
        <v>0</v>
      </c>
      <c r="AC306" s="143"/>
      <c r="AD306" s="149">
        <v>4707710338</v>
      </c>
      <c r="AE306" s="150"/>
      <c r="AF306" s="148">
        <v>15000000</v>
      </c>
      <c r="AG306" s="155"/>
      <c r="AH306" s="143">
        <f t="shared" si="519"/>
        <v>0</v>
      </c>
      <c r="AI306" s="151"/>
      <c r="AJ306" s="151">
        <f t="shared" ref="AJ306:AL306" si="594">P306-AE306</f>
        <v>0</v>
      </c>
      <c r="AK306" s="151">
        <f t="shared" si="594"/>
        <v>0</v>
      </c>
      <c r="AL306" s="151">
        <f t="shared" si="594"/>
        <v>0</v>
      </c>
      <c r="AM306" s="145"/>
      <c r="AN306" s="139"/>
      <c r="AO306" s="139"/>
      <c r="AP306" s="139"/>
      <c r="AQ306" s="145"/>
      <c r="AR306" s="145"/>
    </row>
    <row r="307" spans="1:44" s="156" customFormat="1" ht="47.25" x14ac:dyDescent="0.25">
      <c r="A307" s="143" t="s">
        <v>60</v>
      </c>
      <c r="B307" s="144">
        <v>294</v>
      </c>
      <c r="C307" s="143" t="s">
        <v>37</v>
      </c>
      <c r="D307" s="143" t="s">
        <v>2155</v>
      </c>
      <c r="E307" s="145"/>
      <c r="F307" s="146"/>
      <c r="G307" s="143" t="s">
        <v>2156</v>
      </c>
      <c r="H307" s="143"/>
      <c r="I307" s="143"/>
      <c r="J307" s="143"/>
      <c r="K307" s="143"/>
      <c r="L307" s="143" t="s">
        <v>2157</v>
      </c>
      <c r="M307" s="143" t="s">
        <v>43</v>
      </c>
      <c r="N307" s="143" t="s">
        <v>2158</v>
      </c>
      <c r="O307" s="147">
        <v>11923902764</v>
      </c>
      <c r="P307" s="150"/>
      <c r="Q307" s="148">
        <v>15000000</v>
      </c>
      <c r="R307" s="150"/>
      <c r="S307" s="147">
        <f t="shared" si="517"/>
        <v>11938902764</v>
      </c>
      <c r="T307" s="158">
        <v>11923902764</v>
      </c>
      <c r="U307" s="143"/>
      <c r="V307" s="147">
        <v>15000000</v>
      </c>
      <c r="W307" s="143"/>
      <c r="X307" s="143"/>
      <c r="Y307" s="152">
        <f t="shared" ref="Y307:AB307" si="595">AD307-T307</f>
        <v>0</v>
      </c>
      <c r="Z307" s="151">
        <f t="shared" si="595"/>
        <v>0</v>
      </c>
      <c r="AA307" s="151">
        <f t="shared" si="595"/>
        <v>0</v>
      </c>
      <c r="AB307" s="152">
        <f t="shared" si="595"/>
        <v>0</v>
      </c>
      <c r="AC307" s="143"/>
      <c r="AD307" s="149">
        <v>11923902764</v>
      </c>
      <c r="AE307" s="150"/>
      <c r="AF307" s="148">
        <v>15000000</v>
      </c>
      <c r="AG307" s="155"/>
      <c r="AH307" s="143">
        <f t="shared" si="519"/>
        <v>0</v>
      </c>
      <c r="AI307" s="151"/>
      <c r="AJ307" s="151">
        <f t="shared" ref="AJ307:AL307" si="596">P307-AE307</f>
        <v>0</v>
      </c>
      <c r="AK307" s="151">
        <f t="shared" si="596"/>
        <v>0</v>
      </c>
      <c r="AL307" s="151">
        <f t="shared" si="596"/>
        <v>0</v>
      </c>
      <c r="AM307" s="145"/>
      <c r="AN307" s="139"/>
      <c r="AO307" s="139"/>
      <c r="AP307" s="139"/>
      <c r="AQ307" s="145"/>
      <c r="AR307" s="145"/>
    </row>
    <row r="308" spans="1:44" s="156" customFormat="1" ht="78.75" x14ac:dyDescent="0.25">
      <c r="A308" s="143" t="s">
        <v>60</v>
      </c>
      <c r="B308" s="144">
        <v>295</v>
      </c>
      <c r="C308" s="143" t="s">
        <v>37</v>
      </c>
      <c r="D308" s="143" t="s">
        <v>1629</v>
      </c>
      <c r="E308" s="145"/>
      <c r="F308" s="145" t="s">
        <v>1630</v>
      </c>
      <c r="G308" s="143" t="s">
        <v>1631</v>
      </c>
      <c r="H308" s="143"/>
      <c r="I308" s="143"/>
      <c r="J308" s="143"/>
      <c r="K308" s="164"/>
      <c r="L308" s="143" t="s">
        <v>1632</v>
      </c>
      <c r="M308" s="143" t="s">
        <v>43</v>
      </c>
      <c r="N308" s="143" t="s">
        <v>1633</v>
      </c>
      <c r="O308" s="147">
        <v>10000000</v>
      </c>
      <c r="P308" s="150"/>
      <c r="Q308" s="148">
        <v>15000000</v>
      </c>
      <c r="R308" s="148">
        <f>30000000+60000000</f>
        <v>90000000</v>
      </c>
      <c r="S308" s="147">
        <f t="shared" si="517"/>
        <v>115000000</v>
      </c>
      <c r="T308" s="158">
        <v>10000000</v>
      </c>
      <c r="U308" s="143"/>
      <c r="V308" s="147">
        <v>15000000</v>
      </c>
      <c r="W308" s="158">
        <v>90000000</v>
      </c>
      <c r="X308" s="143"/>
      <c r="Y308" s="152">
        <f t="shared" ref="Y308:AB308" si="597">AD308-T308</f>
        <v>0</v>
      </c>
      <c r="Z308" s="151">
        <f t="shared" si="597"/>
        <v>0</v>
      </c>
      <c r="AA308" s="151">
        <f t="shared" si="597"/>
        <v>0</v>
      </c>
      <c r="AB308" s="152">
        <f t="shared" si="597"/>
        <v>0</v>
      </c>
      <c r="AC308" s="143"/>
      <c r="AD308" s="149">
        <v>10000000</v>
      </c>
      <c r="AE308" s="150"/>
      <c r="AF308" s="148">
        <v>15000000</v>
      </c>
      <c r="AG308" s="149">
        <f>30000000+60000000</f>
        <v>90000000</v>
      </c>
      <c r="AH308" s="143">
        <f t="shared" si="519"/>
        <v>0</v>
      </c>
      <c r="AI308" s="151"/>
      <c r="AJ308" s="151">
        <f t="shared" ref="AJ308:AL308" si="598">P308-AE308</f>
        <v>0</v>
      </c>
      <c r="AK308" s="151">
        <f t="shared" si="598"/>
        <v>0</v>
      </c>
      <c r="AL308" s="151">
        <f t="shared" si="598"/>
        <v>0</v>
      </c>
      <c r="AM308" s="145"/>
      <c r="AN308" s="139"/>
      <c r="AO308" s="139"/>
      <c r="AP308" s="139"/>
      <c r="AQ308" s="145"/>
      <c r="AR308" s="145"/>
    </row>
    <row r="309" spans="1:44" s="156" customFormat="1" ht="94.5" x14ac:dyDescent="0.25">
      <c r="A309" s="143" t="s">
        <v>52</v>
      </c>
      <c r="B309" s="175">
        <v>296</v>
      </c>
      <c r="C309" s="145" t="s">
        <v>37</v>
      </c>
      <c r="D309" s="143" t="s">
        <v>1820</v>
      </c>
      <c r="E309" s="145" t="s">
        <v>1821</v>
      </c>
      <c r="F309" s="145" t="s">
        <v>2865</v>
      </c>
      <c r="G309" s="145" t="s">
        <v>1823</v>
      </c>
      <c r="H309" s="145" t="s">
        <v>1824</v>
      </c>
      <c r="I309" s="145"/>
      <c r="J309" s="145"/>
      <c r="K309" s="146"/>
      <c r="L309" s="145" t="s">
        <v>1825</v>
      </c>
      <c r="M309" s="145" t="s">
        <v>43</v>
      </c>
      <c r="N309" s="145" t="s">
        <v>1826</v>
      </c>
      <c r="O309" s="147">
        <v>980624620</v>
      </c>
      <c r="P309" s="148">
        <v>7988680</v>
      </c>
      <c r="Q309" s="148">
        <v>15000000</v>
      </c>
      <c r="R309" s="148">
        <f>24000000+48000000</f>
        <v>72000000</v>
      </c>
      <c r="S309" s="147">
        <f t="shared" si="517"/>
        <v>1075613300</v>
      </c>
      <c r="T309" s="158">
        <v>980624620</v>
      </c>
      <c r="U309" s="158">
        <v>7988680</v>
      </c>
      <c r="V309" s="147">
        <v>15000000</v>
      </c>
      <c r="W309" s="158">
        <v>24000000</v>
      </c>
      <c r="X309" s="143"/>
      <c r="Y309" s="152">
        <f t="shared" ref="Y309:AB309" si="599">AD309-T309</f>
        <v>0</v>
      </c>
      <c r="Z309" s="151">
        <f t="shared" si="599"/>
        <v>0</v>
      </c>
      <c r="AA309" s="151">
        <f t="shared" si="599"/>
        <v>0</v>
      </c>
      <c r="AB309" s="152">
        <f t="shared" si="599"/>
        <v>0</v>
      </c>
      <c r="AC309" s="165"/>
      <c r="AD309" s="149">
        <v>980624620</v>
      </c>
      <c r="AE309" s="148">
        <v>7988680</v>
      </c>
      <c r="AF309" s="148">
        <v>15000000</v>
      </c>
      <c r="AG309" s="149">
        <v>24000000</v>
      </c>
      <c r="AH309" s="166">
        <f t="shared" si="519"/>
        <v>0</v>
      </c>
      <c r="AI309" s="151"/>
      <c r="AJ309" s="151">
        <f t="shared" ref="AJ309:AL309" si="600">P309-AE309</f>
        <v>0</v>
      </c>
      <c r="AK309" s="151">
        <f t="shared" si="600"/>
        <v>0</v>
      </c>
      <c r="AL309" s="150">
        <f t="shared" si="600"/>
        <v>48000000</v>
      </c>
      <c r="AM309" s="145"/>
      <c r="AN309" s="139"/>
      <c r="AO309" s="139"/>
      <c r="AP309" s="139"/>
      <c r="AQ309" s="145" t="s">
        <v>2867</v>
      </c>
      <c r="AR309" s="145"/>
    </row>
    <row r="310" spans="1:44" s="156" customFormat="1" ht="47.25" x14ac:dyDescent="0.25">
      <c r="A310" s="143" t="s">
        <v>35</v>
      </c>
      <c r="B310" s="144">
        <v>297</v>
      </c>
      <c r="C310" s="143" t="s">
        <v>37</v>
      </c>
      <c r="D310" s="143" t="s">
        <v>2161</v>
      </c>
      <c r="E310" s="145"/>
      <c r="F310" s="146"/>
      <c r="G310" s="143" t="s">
        <v>2163</v>
      </c>
      <c r="H310" s="143"/>
      <c r="I310" s="143"/>
      <c r="J310" s="143"/>
      <c r="K310" s="143"/>
      <c r="L310" s="143" t="s">
        <v>2164</v>
      </c>
      <c r="M310" s="143" t="s">
        <v>43</v>
      </c>
      <c r="N310" s="143" t="s">
        <v>2165</v>
      </c>
      <c r="O310" s="147"/>
      <c r="P310" s="150"/>
      <c r="Q310" s="148">
        <v>7500000</v>
      </c>
      <c r="R310" s="150"/>
      <c r="S310" s="147">
        <f t="shared" si="517"/>
        <v>7500000</v>
      </c>
      <c r="T310" s="144">
        <v>0</v>
      </c>
      <c r="U310" s="143"/>
      <c r="V310" s="157"/>
      <c r="W310" s="143"/>
      <c r="X310" s="143"/>
      <c r="Y310" s="143">
        <f t="shared" ref="Y310:AB310" si="601">AD310-T310</f>
        <v>0</v>
      </c>
      <c r="Z310" s="151">
        <f t="shared" si="601"/>
        <v>0</v>
      </c>
      <c r="AA310" s="151">
        <f t="shared" si="601"/>
        <v>0</v>
      </c>
      <c r="AB310" s="143">
        <f t="shared" si="601"/>
        <v>0</v>
      </c>
      <c r="AC310" s="143"/>
      <c r="AD310" s="175">
        <v>0</v>
      </c>
      <c r="AE310" s="150"/>
      <c r="AF310" s="150"/>
      <c r="AG310" s="145"/>
      <c r="AH310" s="143">
        <f t="shared" si="519"/>
        <v>0</v>
      </c>
      <c r="AI310" s="151"/>
      <c r="AJ310" s="151">
        <f t="shared" ref="AJ310:AL310" si="602">P310-AE310</f>
        <v>0</v>
      </c>
      <c r="AK310" s="151">
        <f t="shared" si="602"/>
        <v>7500000</v>
      </c>
      <c r="AL310" s="151">
        <f t="shared" si="602"/>
        <v>0</v>
      </c>
      <c r="AM310" s="145"/>
      <c r="AN310" s="139"/>
      <c r="AO310" s="139"/>
      <c r="AP310" s="162" t="s">
        <v>394</v>
      </c>
      <c r="AQ310" s="145"/>
      <c r="AR310" s="145"/>
    </row>
    <row r="311" spans="1:44" s="156" customFormat="1" ht="94.5" x14ac:dyDescent="0.25">
      <c r="A311" s="143" t="s">
        <v>35</v>
      </c>
      <c r="B311" s="144">
        <v>298</v>
      </c>
      <c r="C311" s="143" t="s">
        <v>37</v>
      </c>
      <c r="D311" s="143" t="s">
        <v>2166</v>
      </c>
      <c r="E311" s="145" t="s">
        <v>2167</v>
      </c>
      <c r="F311" s="146"/>
      <c r="G311" s="143" t="s">
        <v>2168</v>
      </c>
      <c r="H311" s="143" t="s">
        <v>2169</v>
      </c>
      <c r="I311" s="143"/>
      <c r="J311" s="143"/>
      <c r="K311" s="143"/>
      <c r="L311" s="143" t="s">
        <v>2170</v>
      </c>
      <c r="M311" s="143" t="s">
        <v>43</v>
      </c>
      <c r="N311" s="143" t="s">
        <v>2171</v>
      </c>
      <c r="O311" s="147">
        <v>2444325600</v>
      </c>
      <c r="P311" s="148">
        <f>109648800+8096173</f>
        <v>117744973</v>
      </c>
      <c r="Q311" s="148">
        <v>7500000</v>
      </c>
      <c r="R311" s="150"/>
      <c r="S311" s="147">
        <f t="shared" si="517"/>
        <v>2569570573</v>
      </c>
      <c r="T311" s="158">
        <v>2444325600</v>
      </c>
      <c r="U311" s="158">
        <v>117744973</v>
      </c>
      <c r="V311" s="147">
        <v>7500000</v>
      </c>
      <c r="W311" s="143"/>
      <c r="X311" s="143"/>
      <c r="Y311" s="152">
        <f t="shared" ref="Y311:AB311" si="603">AD311-T311</f>
        <v>0</v>
      </c>
      <c r="Z311" s="151">
        <f t="shared" si="603"/>
        <v>0</v>
      </c>
      <c r="AA311" s="151">
        <f t="shared" si="603"/>
        <v>0</v>
      </c>
      <c r="AB311" s="151">
        <f t="shared" si="603"/>
        <v>0</v>
      </c>
      <c r="AC311" s="143"/>
      <c r="AD311" s="149">
        <v>2444325600</v>
      </c>
      <c r="AE311" s="148">
        <f>109648800+8096173</f>
        <v>117744973</v>
      </c>
      <c r="AF311" s="148">
        <v>7500000</v>
      </c>
      <c r="AG311" s="150"/>
      <c r="AH311" s="143">
        <f t="shared" si="519"/>
        <v>0</v>
      </c>
      <c r="AI311" s="151"/>
      <c r="AJ311" s="151">
        <f t="shared" ref="AJ311:AL311" si="604">P311-AE311</f>
        <v>0</v>
      </c>
      <c r="AK311" s="151">
        <f t="shared" si="604"/>
        <v>0</v>
      </c>
      <c r="AL311" s="151">
        <f t="shared" si="604"/>
        <v>0</v>
      </c>
      <c r="AM311" s="145"/>
      <c r="AN311" s="139"/>
      <c r="AO311" s="139"/>
      <c r="AP311" s="139"/>
      <c r="AQ311" s="145"/>
      <c r="AR311" s="145"/>
    </row>
    <row r="312" spans="1:44" s="156" customFormat="1" ht="47.25" x14ac:dyDescent="0.25">
      <c r="A312" s="143" t="s">
        <v>46</v>
      </c>
      <c r="B312" s="144">
        <v>299</v>
      </c>
      <c r="C312" s="143" t="s">
        <v>37</v>
      </c>
      <c r="D312" s="143" t="s">
        <v>2172</v>
      </c>
      <c r="E312" s="145"/>
      <c r="F312" s="146"/>
      <c r="G312" s="143" t="s">
        <v>2173</v>
      </c>
      <c r="H312" s="143"/>
      <c r="I312" s="143"/>
      <c r="J312" s="143"/>
      <c r="K312" s="143"/>
      <c r="L312" s="143" t="s">
        <v>2174</v>
      </c>
      <c r="M312" s="143" t="s">
        <v>43</v>
      </c>
      <c r="N312" s="143" t="s">
        <v>2175</v>
      </c>
      <c r="O312" s="147">
        <v>5876123796</v>
      </c>
      <c r="P312" s="150"/>
      <c r="Q312" s="148">
        <v>7500000</v>
      </c>
      <c r="R312" s="150"/>
      <c r="S312" s="147">
        <f t="shared" si="517"/>
        <v>5883623796</v>
      </c>
      <c r="T312" s="158">
        <v>5876123796</v>
      </c>
      <c r="U312" s="143"/>
      <c r="V312" s="147">
        <v>7500000</v>
      </c>
      <c r="W312" s="143"/>
      <c r="X312" s="143"/>
      <c r="Y312" s="152">
        <f t="shared" ref="Y312:AB312" si="605">AD312-T312</f>
        <v>0</v>
      </c>
      <c r="Z312" s="151">
        <f t="shared" si="605"/>
        <v>0</v>
      </c>
      <c r="AA312" s="151">
        <f t="shared" si="605"/>
        <v>0</v>
      </c>
      <c r="AB312" s="143">
        <f t="shared" si="605"/>
        <v>0</v>
      </c>
      <c r="AC312" s="143"/>
      <c r="AD312" s="149">
        <v>5876123796</v>
      </c>
      <c r="AE312" s="150"/>
      <c r="AF312" s="148">
        <v>7500000</v>
      </c>
      <c r="AG312" s="145"/>
      <c r="AH312" s="143">
        <f t="shared" si="519"/>
        <v>0</v>
      </c>
      <c r="AI312" s="151"/>
      <c r="AJ312" s="151">
        <f t="shared" ref="AJ312:AL312" si="606">P312-AE312</f>
        <v>0</v>
      </c>
      <c r="AK312" s="151">
        <f t="shared" si="606"/>
        <v>0</v>
      </c>
      <c r="AL312" s="151">
        <f t="shared" si="606"/>
        <v>0</v>
      </c>
      <c r="AM312" s="145"/>
      <c r="AN312" s="139"/>
      <c r="AO312" s="139"/>
      <c r="AP312" s="139"/>
      <c r="AQ312" s="145"/>
      <c r="AR312" s="145"/>
    </row>
    <row r="313" spans="1:44" s="156" customFormat="1" ht="47.25" x14ac:dyDescent="0.25">
      <c r="A313" s="143" t="s">
        <v>46</v>
      </c>
      <c r="B313" s="144">
        <v>300</v>
      </c>
      <c r="C313" s="143" t="s">
        <v>37</v>
      </c>
      <c r="D313" s="143" t="s">
        <v>2176</v>
      </c>
      <c r="E313" s="145"/>
      <c r="F313" s="146"/>
      <c r="G313" s="143" t="s">
        <v>2177</v>
      </c>
      <c r="H313" s="143"/>
      <c r="I313" s="143"/>
      <c r="J313" s="143"/>
      <c r="K313" s="143"/>
      <c r="L313" s="143" t="s">
        <v>2178</v>
      </c>
      <c r="M313" s="143" t="s">
        <v>43</v>
      </c>
      <c r="N313" s="143" t="s">
        <v>2179</v>
      </c>
      <c r="O313" s="147">
        <v>2259157980</v>
      </c>
      <c r="P313" s="150"/>
      <c r="Q313" s="148">
        <v>15000000</v>
      </c>
      <c r="R313" s="150"/>
      <c r="S313" s="147">
        <f t="shared" si="517"/>
        <v>2274157980</v>
      </c>
      <c r="T313" s="158">
        <v>2259157980</v>
      </c>
      <c r="U313" s="143"/>
      <c r="V313" s="147">
        <v>15000000</v>
      </c>
      <c r="W313" s="143"/>
      <c r="X313" s="143"/>
      <c r="Y313" s="152">
        <f t="shared" ref="Y313:AB313" si="607">AD313-T313</f>
        <v>0</v>
      </c>
      <c r="Z313" s="151">
        <f t="shared" si="607"/>
        <v>0</v>
      </c>
      <c r="AA313" s="151">
        <f t="shared" si="607"/>
        <v>0</v>
      </c>
      <c r="AB313" s="152">
        <f t="shared" si="607"/>
        <v>0</v>
      </c>
      <c r="AC313" s="143"/>
      <c r="AD313" s="149">
        <v>2259157980</v>
      </c>
      <c r="AE313" s="150"/>
      <c r="AF313" s="148">
        <v>15000000</v>
      </c>
      <c r="AG313" s="155"/>
      <c r="AH313" s="143">
        <f t="shared" si="519"/>
        <v>0</v>
      </c>
      <c r="AI313" s="151"/>
      <c r="AJ313" s="151">
        <f t="shared" ref="AJ313:AL313" si="608">P313-AE313</f>
        <v>0</v>
      </c>
      <c r="AK313" s="151">
        <f t="shared" si="608"/>
        <v>0</v>
      </c>
      <c r="AL313" s="151">
        <f t="shared" si="608"/>
        <v>0</v>
      </c>
      <c r="AM313" s="145"/>
      <c r="AN313" s="139"/>
      <c r="AO313" s="139"/>
      <c r="AP313" s="139"/>
      <c r="AQ313" s="145"/>
      <c r="AR313" s="145"/>
    </row>
    <row r="314" spans="1:44" s="156" customFormat="1" ht="94.5" x14ac:dyDescent="0.25">
      <c r="A314" s="143" t="s">
        <v>52</v>
      </c>
      <c r="B314" s="144">
        <v>301</v>
      </c>
      <c r="C314" s="143" t="s">
        <v>37</v>
      </c>
      <c r="D314" s="143" t="s">
        <v>526</v>
      </c>
      <c r="E314" s="145" t="s">
        <v>527</v>
      </c>
      <c r="F314" s="145" t="s">
        <v>528</v>
      </c>
      <c r="G314" s="143" t="s">
        <v>529</v>
      </c>
      <c r="H314" s="143" t="s">
        <v>530</v>
      </c>
      <c r="I314" s="143"/>
      <c r="J314" s="143"/>
      <c r="K314" s="164"/>
      <c r="L314" s="143" t="s">
        <v>531</v>
      </c>
      <c r="M314" s="143" t="s">
        <v>43</v>
      </c>
      <c r="N314" s="143" t="s">
        <v>532</v>
      </c>
      <c r="O314" s="147">
        <v>3088919040</v>
      </c>
      <c r="P314" s="148">
        <f>278415360+186831360</f>
        <v>465246720</v>
      </c>
      <c r="Q314" s="148">
        <v>15000000</v>
      </c>
      <c r="R314" s="148">
        <v>36000000</v>
      </c>
      <c r="S314" s="147">
        <f t="shared" si="517"/>
        <v>3605165760</v>
      </c>
      <c r="T314" s="158">
        <v>3088919040</v>
      </c>
      <c r="U314" s="158">
        <v>465246720</v>
      </c>
      <c r="V314" s="147">
        <v>15000000</v>
      </c>
      <c r="W314" s="158">
        <v>36000000</v>
      </c>
      <c r="X314" s="143"/>
      <c r="Y314" s="152">
        <f t="shared" ref="Y314:AB314" si="609">AD314-T314</f>
        <v>0</v>
      </c>
      <c r="Z314" s="151">
        <f t="shared" si="609"/>
        <v>0</v>
      </c>
      <c r="AA314" s="151">
        <f t="shared" si="609"/>
        <v>0</v>
      </c>
      <c r="AB314" s="151">
        <f t="shared" si="609"/>
        <v>0</v>
      </c>
      <c r="AC314" s="143"/>
      <c r="AD314" s="149">
        <v>3088919040</v>
      </c>
      <c r="AE314" s="148">
        <f>278415360+186831360</f>
        <v>465246720</v>
      </c>
      <c r="AF314" s="148">
        <v>15000000</v>
      </c>
      <c r="AG314" s="148">
        <v>36000000</v>
      </c>
      <c r="AH314" s="143">
        <f t="shared" si="519"/>
        <v>0</v>
      </c>
      <c r="AI314" s="151"/>
      <c r="AJ314" s="151">
        <f t="shared" ref="AJ314:AL314" si="610">P314-AE314</f>
        <v>0</v>
      </c>
      <c r="AK314" s="151">
        <f t="shared" si="610"/>
        <v>0</v>
      </c>
      <c r="AL314" s="151">
        <f t="shared" si="610"/>
        <v>0</v>
      </c>
      <c r="AM314" s="145"/>
      <c r="AN314" s="139"/>
      <c r="AO314" s="139"/>
      <c r="AP314" s="139"/>
      <c r="AQ314" s="145"/>
      <c r="AR314" s="145"/>
    </row>
    <row r="315" spans="1:44" s="156" customFormat="1" ht="47.25" x14ac:dyDescent="0.25">
      <c r="A315" s="143" t="s">
        <v>35</v>
      </c>
      <c r="B315" s="144">
        <v>302</v>
      </c>
      <c r="C315" s="143" t="s">
        <v>37</v>
      </c>
      <c r="D315" s="143" t="s">
        <v>2180</v>
      </c>
      <c r="E315" s="145"/>
      <c r="F315" s="146"/>
      <c r="G315" s="143" t="s">
        <v>2181</v>
      </c>
      <c r="H315" s="143"/>
      <c r="I315" s="143"/>
      <c r="J315" s="143"/>
      <c r="K315" s="143"/>
      <c r="L315" s="143" t="s">
        <v>2182</v>
      </c>
      <c r="M315" s="143" t="s">
        <v>43</v>
      </c>
      <c r="N315" s="143" t="s">
        <v>2183</v>
      </c>
      <c r="O315" s="147">
        <v>3566485286</v>
      </c>
      <c r="P315" s="150"/>
      <c r="Q315" s="148">
        <v>15000000</v>
      </c>
      <c r="R315" s="150"/>
      <c r="S315" s="147">
        <f t="shared" si="517"/>
        <v>3581485286</v>
      </c>
      <c r="T315" s="158">
        <v>3566485286</v>
      </c>
      <c r="U315" s="143"/>
      <c r="V315" s="147">
        <v>15000000</v>
      </c>
      <c r="W315" s="143"/>
      <c r="X315" s="143"/>
      <c r="Y315" s="152">
        <f t="shared" ref="Y315:AB315" si="611">AD315-T315</f>
        <v>0</v>
      </c>
      <c r="Z315" s="151">
        <f t="shared" si="611"/>
        <v>0</v>
      </c>
      <c r="AA315" s="151">
        <f t="shared" si="611"/>
        <v>0</v>
      </c>
      <c r="AB315" s="152">
        <f t="shared" si="611"/>
        <v>0</v>
      </c>
      <c r="AC315" s="143"/>
      <c r="AD315" s="149">
        <v>3566485286</v>
      </c>
      <c r="AE315" s="150"/>
      <c r="AF315" s="148">
        <v>15000000</v>
      </c>
      <c r="AG315" s="155"/>
      <c r="AH315" s="143">
        <f t="shared" si="519"/>
        <v>0</v>
      </c>
      <c r="AI315" s="151"/>
      <c r="AJ315" s="151">
        <f t="shared" ref="AJ315:AL315" si="612">P315-AE315</f>
        <v>0</v>
      </c>
      <c r="AK315" s="151">
        <f t="shared" si="612"/>
        <v>0</v>
      </c>
      <c r="AL315" s="151">
        <f t="shared" si="612"/>
        <v>0</v>
      </c>
      <c r="AM315" s="145"/>
      <c r="AN315" s="139"/>
      <c r="AO315" s="139"/>
      <c r="AP315" s="139"/>
      <c r="AQ315" s="145"/>
      <c r="AR315" s="145"/>
    </row>
    <row r="316" spans="1:44" s="156" customFormat="1" ht="47.25" x14ac:dyDescent="0.25">
      <c r="A316" s="143" t="s">
        <v>52</v>
      </c>
      <c r="B316" s="144">
        <v>303</v>
      </c>
      <c r="C316" s="143" t="s">
        <v>37</v>
      </c>
      <c r="D316" s="143" t="s">
        <v>2184</v>
      </c>
      <c r="E316" s="145"/>
      <c r="F316" s="146"/>
      <c r="G316" s="143" t="s">
        <v>2185</v>
      </c>
      <c r="H316" s="143"/>
      <c r="I316" s="143"/>
      <c r="J316" s="143"/>
      <c r="K316" s="143"/>
      <c r="L316" s="143" t="s">
        <v>2186</v>
      </c>
      <c r="M316" s="143" t="s">
        <v>43</v>
      </c>
      <c r="N316" s="143" t="s">
        <v>2187</v>
      </c>
      <c r="O316" s="147">
        <v>861548648</v>
      </c>
      <c r="P316" s="150"/>
      <c r="Q316" s="148">
        <v>7500000</v>
      </c>
      <c r="R316" s="150"/>
      <c r="S316" s="147">
        <f t="shared" si="517"/>
        <v>869048648</v>
      </c>
      <c r="T316" s="158">
        <v>861548648</v>
      </c>
      <c r="U316" s="143"/>
      <c r="V316" s="147">
        <v>7500000</v>
      </c>
      <c r="W316" s="143"/>
      <c r="X316" s="143"/>
      <c r="Y316" s="152">
        <f t="shared" ref="Y316:AB316" si="613">AD316-T316</f>
        <v>0</v>
      </c>
      <c r="Z316" s="151">
        <f t="shared" si="613"/>
        <v>0</v>
      </c>
      <c r="AA316" s="151">
        <f t="shared" si="613"/>
        <v>0</v>
      </c>
      <c r="AB316" s="143">
        <f t="shared" si="613"/>
        <v>0</v>
      </c>
      <c r="AC316" s="143"/>
      <c r="AD316" s="149">
        <v>861548648</v>
      </c>
      <c r="AE316" s="150"/>
      <c r="AF316" s="148">
        <v>7500000</v>
      </c>
      <c r="AG316" s="145"/>
      <c r="AH316" s="143">
        <f t="shared" si="519"/>
        <v>0</v>
      </c>
      <c r="AI316" s="151"/>
      <c r="AJ316" s="151">
        <f t="shared" ref="AJ316:AL316" si="614">P316-AE316</f>
        <v>0</v>
      </c>
      <c r="AK316" s="151">
        <f t="shared" si="614"/>
        <v>0</v>
      </c>
      <c r="AL316" s="151">
        <f t="shared" si="614"/>
        <v>0</v>
      </c>
      <c r="AM316" s="145"/>
      <c r="AN316" s="139"/>
      <c r="AO316" s="139"/>
      <c r="AP316" s="139"/>
      <c r="AQ316" s="145"/>
      <c r="AR316" s="145"/>
    </row>
    <row r="317" spans="1:44" s="156" customFormat="1" ht="47.25" x14ac:dyDescent="0.25">
      <c r="A317" s="143" t="s">
        <v>52</v>
      </c>
      <c r="B317" s="144">
        <v>304</v>
      </c>
      <c r="C317" s="143" t="s">
        <v>37</v>
      </c>
      <c r="D317" s="143" t="s">
        <v>1766</v>
      </c>
      <c r="E317" s="145" t="s">
        <v>857</v>
      </c>
      <c r="F317" s="145" t="s">
        <v>1767</v>
      </c>
      <c r="G317" s="143" t="s">
        <v>1769</v>
      </c>
      <c r="H317" s="143" t="s">
        <v>1480</v>
      </c>
      <c r="I317" s="143"/>
      <c r="J317" s="143"/>
      <c r="K317" s="164"/>
      <c r="L317" s="143" t="s">
        <v>1772</v>
      </c>
      <c r="M317" s="143" t="s">
        <v>43</v>
      </c>
      <c r="N317" s="143" t="s">
        <v>1774</v>
      </c>
      <c r="O317" s="147">
        <v>5592906642</v>
      </c>
      <c r="P317" s="148">
        <v>713725056</v>
      </c>
      <c r="Q317" s="148">
        <v>15000000</v>
      </c>
      <c r="R317" s="148">
        <v>24000000</v>
      </c>
      <c r="S317" s="147">
        <f t="shared" si="517"/>
        <v>6345631698</v>
      </c>
      <c r="T317" s="158">
        <v>5592906642</v>
      </c>
      <c r="U317" s="158">
        <v>713725056</v>
      </c>
      <c r="V317" s="147">
        <v>15000000</v>
      </c>
      <c r="W317" s="158">
        <v>24000000</v>
      </c>
      <c r="X317" s="143"/>
      <c r="Y317" s="152">
        <f t="shared" ref="Y317:AB317" si="615">AD317-T317</f>
        <v>0</v>
      </c>
      <c r="Z317" s="151">
        <f t="shared" si="615"/>
        <v>0</v>
      </c>
      <c r="AA317" s="151">
        <f t="shared" si="615"/>
        <v>0</v>
      </c>
      <c r="AB317" s="151">
        <f t="shared" si="615"/>
        <v>0</v>
      </c>
      <c r="AC317" s="143"/>
      <c r="AD317" s="149">
        <v>5592906642</v>
      </c>
      <c r="AE317" s="148">
        <v>713725056</v>
      </c>
      <c r="AF317" s="148">
        <v>15000000</v>
      </c>
      <c r="AG317" s="148">
        <v>24000000</v>
      </c>
      <c r="AH317" s="143">
        <f t="shared" si="519"/>
        <v>0</v>
      </c>
      <c r="AI317" s="151"/>
      <c r="AJ317" s="151">
        <f t="shared" ref="AJ317:AL317" si="616">P317-AE317</f>
        <v>0</v>
      </c>
      <c r="AK317" s="151">
        <f t="shared" si="616"/>
        <v>0</v>
      </c>
      <c r="AL317" s="151">
        <f t="shared" si="616"/>
        <v>0</v>
      </c>
      <c r="AM317" s="145"/>
      <c r="AN317" s="139"/>
      <c r="AO317" s="139"/>
      <c r="AP317" s="139"/>
      <c r="AQ317" s="145"/>
      <c r="AR317" s="145"/>
    </row>
    <row r="318" spans="1:44" s="156" customFormat="1" ht="47.25" x14ac:dyDescent="0.25">
      <c r="A318" s="143" t="s">
        <v>52</v>
      </c>
      <c r="B318" s="144">
        <v>305</v>
      </c>
      <c r="C318" s="143" t="s">
        <v>37</v>
      </c>
      <c r="D318" s="143" t="s">
        <v>2188</v>
      </c>
      <c r="E318" s="145"/>
      <c r="F318" s="146"/>
      <c r="G318" s="143" t="s">
        <v>2189</v>
      </c>
      <c r="H318" s="143"/>
      <c r="I318" s="143"/>
      <c r="J318" s="143"/>
      <c r="K318" s="143"/>
      <c r="L318" s="143" t="s">
        <v>2190</v>
      </c>
      <c r="M318" s="143" t="s">
        <v>43</v>
      </c>
      <c r="N318" s="143" t="s">
        <v>2191</v>
      </c>
      <c r="O318" s="147">
        <v>454606610</v>
      </c>
      <c r="P318" s="150"/>
      <c r="Q318" s="148">
        <v>15000000</v>
      </c>
      <c r="R318" s="150"/>
      <c r="S318" s="147">
        <f t="shared" si="517"/>
        <v>469606610</v>
      </c>
      <c r="T318" s="158">
        <v>454606610</v>
      </c>
      <c r="U318" s="143"/>
      <c r="V318" s="147">
        <v>15000000</v>
      </c>
      <c r="W318" s="143"/>
      <c r="X318" s="143"/>
      <c r="Y318" s="152">
        <f t="shared" ref="Y318:AB318" si="617">AD318-T318</f>
        <v>0</v>
      </c>
      <c r="Z318" s="151">
        <f t="shared" si="617"/>
        <v>0</v>
      </c>
      <c r="AA318" s="151">
        <f t="shared" si="617"/>
        <v>0</v>
      </c>
      <c r="AB318" s="152">
        <f t="shared" si="617"/>
        <v>0</v>
      </c>
      <c r="AC318" s="143"/>
      <c r="AD318" s="149">
        <v>454606610</v>
      </c>
      <c r="AE318" s="150"/>
      <c r="AF318" s="148">
        <v>15000000</v>
      </c>
      <c r="AG318" s="155"/>
      <c r="AH318" s="143">
        <f t="shared" si="519"/>
        <v>0</v>
      </c>
      <c r="AI318" s="151"/>
      <c r="AJ318" s="151">
        <f t="shared" ref="AJ318:AL318" si="618">P318-AE318</f>
        <v>0</v>
      </c>
      <c r="AK318" s="151">
        <f t="shared" si="618"/>
        <v>0</v>
      </c>
      <c r="AL318" s="151">
        <f t="shared" si="618"/>
        <v>0</v>
      </c>
      <c r="AM318" s="145"/>
      <c r="AN318" s="139"/>
      <c r="AO318" s="139"/>
      <c r="AP318" s="139"/>
      <c r="AQ318" s="145"/>
      <c r="AR318" s="145"/>
    </row>
    <row r="319" spans="1:44" s="156" customFormat="1" ht="47.25" x14ac:dyDescent="0.25">
      <c r="A319" s="143" t="s">
        <v>35</v>
      </c>
      <c r="B319" s="144">
        <v>306</v>
      </c>
      <c r="C319" s="143" t="s">
        <v>37</v>
      </c>
      <c r="D319" s="143" t="s">
        <v>2192</v>
      </c>
      <c r="E319" s="145"/>
      <c r="F319" s="146"/>
      <c r="G319" s="143" t="s">
        <v>2193</v>
      </c>
      <c r="H319" s="143"/>
      <c r="I319" s="143"/>
      <c r="J319" s="143"/>
      <c r="K319" s="143"/>
      <c r="L319" s="143" t="s">
        <v>2102</v>
      </c>
      <c r="M319" s="143" t="s">
        <v>43</v>
      </c>
      <c r="N319" s="143" t="s">
        <v>2194</v>
      </c>
      <c r="O319" s="147">
        <v>2354986700</v>
      </c>
      <c r="P319" s="150"/>
      <c r="Q319" s="148">
        <v>15000000</v>
      </c>
      <c r="R319" s="150"/>
      <c r="S319" s="147">
        <f t="shared" si="517"/>
        <v>2369986700</v>
      </c>
      <c r="T319" s="158">
        <v>2354986700</v>
      </c>
      <c r="U319" s="143"/>
      <c r="V319" s="147">
        <v>15000000</v>
      </c>
      <c r="W319" s="143"/>
      <c r="X319" s="143"/>
      <c r="Y319" s="152">
        <f t="shared" ref="Y319:AB319" si="619">AD319-T319</f>
        <v>0</v>
      </c>
      <c r="Z319" s="151">
        <f t="shared" si="619"/>
        <v>0</v>
      </c>
      <c r="AA319" s="151">
        <f t="shared" si="619"/>
        <v>0</v>
      </c>
      <c r="AB319" s="151">
        <f t="shared" si="619"/>
        <v>0</v>
      </c>
      <c r="AC319" s="143"/>
      <c r="AD319" s="149">
        <v>2354986700</v>
      </c>
      <c r="AE319" s="150"/>
      <c r="AF319" s="148">
        <v>15000000</v>
      </c>
      <c r="AG319" s="150"/>
      <c r="AH319" s="143">
        <f t="shared" si="519"/>
        <v>0</v>
      </c>
      <c r="AI319" s="151"/>
      <c r="AJ319" s="151">
        <f t="shared" ref="AJ319:AL319" si="620">P319-AE319</f>
        <v>0</v>
      </c>
      <c r="AK319" s="151">
        <f t="shared" si="620"/>
        <v>0</v>
      </c>
      <c r="AL319" s="151">
        <f t="shared" si="620"/>
        <v>0</v>
      </c>
      <c r="AM319" s="145"/>
      <c r="AN319" s="139"/>
      <c r="AO319" s="139"/>
      <c r="AP319" s="139"/>
      <c r="AQ319" s="145"/>
      <c r="AR319" s="145"/>
    </row>
    <row r="320" spans="1:44" s="156" customFormat="1" ht="94.5" x14ac:dyDescent="0.25">
      <c r="A320" s="143" t="s">
        <v>52</v>
      </c>
      <c r="B320" s="144">
        <v>307</v>
      </c>
      <c r="C320" s="143" t="s">
        <v>37</v>
      </c>
      <c r="D320" s="143" t="s">
        <v>2195</v>
      </c>
      <c r="E320" s="145" t="s">
        <v>2926</v>
      </c>
      <c r="F320" s="146"/>
      <c r="G320" s="143" t="s">
        <v>2196</v>
      </c>
      <c r="H320" s="143" t="s">
        <v>2197</v>
      </c>
      <c r="I320" s="143"/>
      <c r="J320" s="143"/>
      <c r="K320" s="143"/>
      <c r="L320" s="143" t="s">
        <v>2198</v>
      </c>
      <c r="M320" s="143" t="s">
        <v>43</v>
      </c>
      <c r="N320" s="143" t="s">
        <v>2199</v>
      </c>
      <c r="O320" s="147">
        <v>3187632080</v>
      </c>
      <c r="P320" s="148">
        <f>304242048+245689805</f>
        <v>549931853</v>
      </c>
      <c r="Q320" s="148">
        <v>7500000</v>
      </c>
      <c r="R320" s="150"/>
      <c r="S320" s="147">
        <f t="shared" si="517"/>
        <v>3745063933</v>
      </c>
      <c r="T320" s="158">
        <v>3187632080</v>
      </c>
      <c r="U320" s="158">
        <v>304242048</v>
      </c>
      <c r="V320" s="147">
        <v>7500000</v>
      </c>
      <c r="W320" s="143"/>
      <c r="X320" s="143"/>
      <c r="Y320" s="152">
        <f t="shared" ref="Y320:AB320" si="621">AD320-T320</f>
        <v>0</v>
      </c>
      <c r="Z320" s="151">
        <f t="shared" si="621"/>
        <v>0</v>
      </c>
      <c r="AA320" s="151">
        <f t="shared" si="621"/>
        <v>0</v>
      </c>
      <c r="AB320" s="151">
        <f t="shared" si="621"/>
        <v>0</v>
      </c>
      <c r="AC320" s="143"/>
      <c r="AD320" s="149">
        <v>3187632080</v>
      </c>
      <c r="AE320" s="148">
        <v>304242048</v>
      </c>
      <c r="AF320" s="148">
        <v>7500000</v>
      </c>
      <c r="AG320" s="150"/>
      <c r="AH320" s="143">
        <f t="shared" si="519"/>
        <v>0</v>
      </c>
      <c r="AI320" s="151"/>
      <c r="AJ320" s="151">
        <f t="shared" ref="AJ320:AL320" si="622">P320-AE320</f>
        <v>245689805</v>
      </c>
      <c r="AK320" s="151">
        <f t="shared" si="622"/>
        <v>0</v>
      </c>
      <c r="AL320" s="151">
        <f t="shared" si="622"/>
        <v>0</v>
      </c>
      <c r="AM320" s="145"/>
      <c r="AN320" s="139"/>
      <c r="AO320" s="139" t="s">
        <v>2129</v>
      </c>
      <c r="AP320" s="139"/>
      <c r="AQ320" s="145"/>
      <c r="AR320" s="145"/>
    </row>
    <row r="321" spans="1:44" s="156" customFormat="1" ht="47.25" x14ac:dyDescent="0.25">
      <c r="A321" s="143" t="s">
        <v>46</v>
      </c>
      <c r="B321" s="144">
        <v>308</v>
      </c>
      <c r="C321" s="143" t="s">
        <v>37</v>
      </c>
      <c r="D321" s="143" t="s">
        <v>2200</v>
      </c>
      <c r="E321" s="145"/>
      <c r="F321" s="146"/>
      <c r="G321" s="143" t="s">
        <v>2201</v>
      </c>
      <c r="H321" s="143"/>
      <c r="I321" s="143"/>
      <c r="J321" s="143"/>
      <c r="K321" s="143"/>
      <c r="L321" s="143" t="s">
        <v>2202</v>
      </c>
      <c r="M321" s="143" t="s">
        <v>43</v>
      </c>
      <c r="N321" s="143" t="s">
        <v>2203</v>
      </c>
      <c r="O321" s="147">
        <v>1759567324</v>
      </c>
      <c r="P321" s="150"/>
      <c r="Q321" s="148">
        <v>7500000</v>
      </c>
      <c r="R321" s="150"/>
      <c r="S321" s="147">
        <f t="shared" si="517"/>
        <v>1767067324</v>
      </c>
      <c r="T321" s="158">
        <v>1759567324</v>
      </c>
      <c r="U321" s="143"/>
      <c r="V321" s="147">
        <v>7500000</v>
      </c>
      <c r="W321" s="143"/>
      <c r="X321" s="143"/>
      <c r="Y321" s="152">
        <f t="shared" ref="Y321:AB321" si="623">AD321-T321</f>
        <v>0</v>
      </c>
      <c r="Z321" s="151">
        <f t="shared" si="623"/>
        <v>0</v>
      </c>
      <c r="AA321" s="151">
        <f t="shared" si="623"/>
        <v>0</v>
      </c>
      <c r="AB321" s="152">
        <f t="shared" si="623"/>
        <v>0</v>
      </c>
      <c r="AC321" s="143"/>
      <c r="AD321" s="149">
        <v>1759567324</v>
      </c>
      <c r="AE321" s="150"/>
      <c r="AF321" s="148">
        <v>7500000</v>
      </c>
      <c r="AG321" s="155"/>
      <c r="AH321" s="143">
        <f t="shared" si="519"/>
        <v>0</v>
      </c>
      <c r="AI321" s="151"/>
      <c r="AJ321" s="151">
        <f t="shared" ref="AJ321:AL321" si="624">P321-AE321</f>
        <v>0</v>
      </c>
      <c r="AK321" s="151">
        <f t="shared" si="624"/>
        <v>0</v>
      </c>
      <c r="AL321" s="151">
        <f t="shared" si="624"/>
        <v>0</v>
      </c>
      <c r="AM321" s="145"/>
      <c r="AN321" s="139"/>
      <c r="AO321" s="139"/>
      <c r="AP321" s="139"/>
      <c r="AQ321" s="145"/>
      <c r="AR321" s="145"/>
    </row>
    <row r="322" spans="1:44" s="156" customFormat="1" ht="47.25" x14ac:dyDescent="0.25">
      <c r="A322" s="143" t="s">
        <v>46</v>
      </c>
      <c r="B322" s="144">
        <v>309</v>
      </c>
      <c r="C322" s="143" t="s">
        <v>37</v>
      </c>
      <c r="D322" s="143" t="s">
        <v>1734</v>
      </c>
      <c r="E322" s="145" t="s">
        <v>1735</v>
      </c>
      <c r="F322" s="145" t="s">
        <v>1736</v>
      </c>
      <c r="G322" s="143" t="s">
        <v>1737</v>
      </c>
      <c r="H322" s="143"/>
      <c r="I322" s="143"/>
      <c r="J322" s="143"/>
      <c r="K322" s="164"/>
      <c r="L322" s="143" t="s">
        <v>1738</v>
      </c>
      <c r="M322" s="143" t="s">
        <v>43</v>
      </c>
      <c r="N322" s="143" t="s">
        <v>1739</v>
      </c>
      <c r="O322" s="147">
        <v>1344327673</v>
      </c>
      <c r="P322" s="148">
        <v>262193501</v>
      </c>
      <c r="Q322" s="148">
        <v>15000000</v>
      </c>
      <c r="R322" s="148">
        <v>16000000</v>
      </c>
      <c r="S322" s="147">
        <f t="shared" si="517"/>
        <v>1637521174</v>
      </c>
      <c r="T322" s="158">
        <v>1344327673</v>
      </c>
      <c r="U322" s="158">
        <v>262193501</v>
      </c>
      <c r="V322" s="147">
        <v>15000000</v>
      </c>
      <c r="W322" s="158">
        <v>16000000</v>
      </c>
      <c r="X322" s="143"/>
      <c r="Y322" s="152">
        <f t="shared" ref="Y322:AB322" si="625">AD322-T322</f>
        <v>0</v>
      </c>
      <c r="Z322" s="151">
        <f t="shared" si="625"/>
        <v>0</v>
      </c>
      <c r="AA322" s="151">
        <f t="shared" si="625"/>
        <v>0</v>
      </c>
      <c r="AB322" s="151">
        <f t="shared" si="625"/>
        <v>0</v>
      </c>
      <c r="AC322" s="143"/>
      <c r="AD322" s="149">
        <v>1344327673</v>
      </c>
      <c r="AE322" s="148">
        <v>262193501</v>
      </c>
      <c r="AF322" s="148">
        <v>15000000</v>
      </c>
      <c r="AG322" s="148">
        <v>16000000</v>
      </c>
      <c r="AH322" s="143">
        <f t="shared" si="519"/>
        <v>0</v>
      </c>
      <c r="AI322" s="151"/>
      <c r="AJ322" s="151">
        <f t="shared" ref="AJ322:AL322" si="626">P322-AE322</f>
        <v>0</v>
      </c>
      <c r="AK322" s="151">
        <f t="shared" si="626"/>
        <v>0</v>
      </c>
      <c r="AL322" s="151">
        <f t="shared" si="626"/>
        <v>0</v>
      </c>
      <c r="AM322" s="145"/>
      <c r="AN322" s="139"/>
      <c r="AO322" s="139"/>
      <c r="AP322" s="139"/>
      <c r="AQ322" s="145"/>
      <c r="AR322" s="145"/>
    </row>
    <row r="323" spans="1:44" s="156" customFormat="1" ht="47.25" x14ac:dyDescent="0.25">
      <c r="A323" s="143" t="s">
        <v>52</v>
      </c>
      <c r="B323" s="144">
        <v>310</v>
      </c>
      <c r="C323" s="143" t="s">
        <v>37</v>
      </c>
      <c r="D323" s="143" t="s">
        <v>2204</v>
      </c>
      <c r="E323" s="145" t="s">
        <v>2205</v>
      </c>
      <c r="F323" s="146"/>
      <c r="G323" s="143" t="s">
        <v>2206</v>
      </c>
      <c r="H323" s="143" t="s">
        <v>2207</v>
      </c>
      <c r="I323" s="143"/>
      <c r="J323" s="143"/>
      <c r="K323" s="143"/>
      <c r="L323" s="143" t="s">
        <v>2208</v>
      </c>
      <c r="M323" s="143" t="s">
        <v>43</v>
      </c>
      <c r="N323" s="143" t="s">
        <v>2209</v>
      </c>
      <c r="O323" s="147">
        <v>4651993608</v>
      </c>
      <c r="P323" s="148">
        <v>1194625056</v>
      </c>
      <c r="Q323" s="148">
        <v>15000000</v>
      </c>
      <c r="R323" s="150"/>
      <c r="S323" s="147">
        <f t="shared" si="517"/>
        <v>5861618664</v>
      </c>
      <c r="T323" s="158">
        <v>4651993608</v>
      </c>
      <c r="U323" s="158">
        <v>1194625056</v>
      </c>
      <c r="V323" s="157">
        <v>15000000</v>
      </c>
      <c r="W323" s="143"/>
      <c r="X323" s="143"/>
      <c r="Y323" s="152">
        <f t="shared" ref="Y323:AB323" si="627">AD323-T323</f>
        <v>0</v>
      </c>
      <c r="Z323" s="151">
        <f t="shared" si="627"/>
        <v>0</v>
      </c>
      <c r="AA323" s="151">
        <f t="shared" si="627"/>
        <v>0</v>
      </c>
      <c r="AB323" s="151">
        <f t="shared" si="627"/>
        <v>0</v>
      </c>
      <c r="AC323" s="143"/>
      <c r="AD323" s="149">
        <v>4651993608</v>
      </c>
      <c r="AE323" s="148">
        <v>1194625056</v>
      </c>
      <c r="AF323" s="148">
        <v>15000000</v>
      </c>
      <c r="AG323" s="150"/>
      <c r="AH323" s="143">
        <f t="shared" si="519"/>
        <v>0</v>
      </c>
      <c r="AI323" s="151"/>
      <c r="AJ323" s="151">
        <f t="shared" ref="AJ323:AL323" si="628">P323-AE323</f>
        <v>0</v>
      </c>
      <c r="AK323" s="151">
        <f t="shared" si="628"/>
        <v>0</v>
      </c>
      <c r="AL323" s="151">
        <f t="shared" si="628"/>
        <v>0</v>
      </c>
      <c r="AM323" s="145"/>
      <c r="AN323" s="139"/>
      <c r="AO323" s="139"/>
      <c r="AP323" s="139"/>
      <c r="AQ323" s="145"/>
      <c r="AR323" s="145"/>
    </row>
    <row r="324" spans="1:44" s="156" customFormat="1" ht="110.25" x14ac:dyDescent="0.25">
      <c r="A324" s="143" t="s">
        <v>60</v>
      </c>
      <c r="B324" s="144">
        <v>311</v>
      </c>
      <c r="C324" s="143" t="s">
        <v>37</v>
      </c>
      <c r="D324" s="143" t="s">
        <v>2210</v>
      </c>
      <c r="E324" s="145"/>
      <c r="F324" s="146"/>
      <c r="G324" s="143" t="s">
        <v>2211</v>
      </c>
      <c r="H324" s="143" t="s">
        <v>2212</v>
      </c>
      <c r="I324" s="143"/>
      <c r="J324" s="143"/>
      <c r="K324" s="143"/>
      <c r="L324" s="143" t="s">
        <v>2213</v>
      </c>
      <c r="M324" s="143" t="s">
        <v>43</v>
      </c>
      <c r="N324" s="143" t="s">
        <v>2214</v>
      </c>
      <c r="O324" s="147">
        <v>7228048500</v>
      </c>
      <c r="P324" s="150"/>
      <c r="Q324" s="148">
        <v>7500000</v>
      </c>
      <c r="R324" s="150"/>
      <c r="S324" s="147">
        <f t="shared" si="517"/>
        <v>7235548500</v>
      </c>
      <c r="T324" s="143"/>
      <c r="U324" s="143"/>
      <c r="V324" s="157"/>
      <c r="W324" s="143"/>
      <c r="X324" s="143"/>
      <c r="Y324" s="152">
        <f t="shared" ref="Y324:AB324" si="629">AD324-T324</f>
        <v>0</v>
      </c>
      <c r="Z324" s="151">
        <f t="shared" si="629"/>
        <v>0</v>
      </c>
      <c r="AA324" s="151">
        <f t="shared" si="629"/>
        <v>0</v>
      </c>
      <c r="AB324" s="151">
        <f t="shared" si="629"/>
        <v>0</v>
      </c>
      <c r="AC324" s="143"/>
      <c r="AD324" s="155"/>
      <c r="AE324" s="150"/>
      <c r="AF324" s="150"/>
      <c r="AG324" s="150"/>
      <c r="AH324" s="143">
        <f t="shared" si="519"/>
        <v>0</v>
      </c>
      <c r="AI324" s="151">
        <v>7228048500</v>
      </c>
      <c r="AJ324" s="151">
        <f t="shared" ref="AJ324:AL324" si="630">P324-AE324</f>
        <v>0</v>
      </c>
      <c r="AK324" s="151">
        <f t="shared" si="630"/>
        <v>7500000</v>
      </c>
      <c r="AL324" s="151">
        <f t="shared" si="630"/>
        <v>0</v>
      </c>
      <c r="AM324" s="148">
        <v>7228048500</v>
      </c>
      <c r="AN324" s="159" t="s">
        <v>2965</v>
      </c>
      <c r="AO324" s="160"/>
      <c r="AP324" s="168" t="s">
        <v>2965</v>
      </c>
      <c r="AQ324" s="219"/>
      <c r="AR324" s="218"/>
    </row>
    <row r="325" spans="1:44" s="156" customFormat="1" ht="63" x14ac:dyDescent="0.25">
      <c r="A325" s="143" t="s">
        <v>60</v>
      </c>
      <c r="B325" s="144">
        <v>312</v>
      </c>
      <c r="C325" s="143" t="s">
        <v>37</v>
      </c>
      <c r="D325" s="143" t="s">
        <v>2215</v>
      </c>
      <c r="E325" s="145"/>
      <c r="F325" s="146"/>
      <c r="G325" s="143" t="s">
        <v>2216</v>
      </c>
      <c r="H325" s="143"/>
      <c r="I325" s="143"/>
      <c r="J325" s="143"/>
      <c r="K325" s="143"/>
      <c r="L325" s="143" t="s">
        <v>2217</v>
      </c>
      <c r="M325" s="143" t="s">
        <v>43</v>
      </c>
      <c r="N325" s="143" t="s">
        <v>2218</v>
      </c>
      <c r="O325" s="147"/>
      <c r="P325" s="150"/>
      <c r="Q325" s="148">
        <v>7500000</v>
      </c>
      <c r="R325" s="150"/>
      <c r="S325" s="147">
        <f t="shared" si="517"/>
        <v>7500000</v>
      </c>
      <c r="T325" s="144">
        <v>0</v>
      </c>
      <c r="U325" s="143"/>
      <c r="V325" s="157"/>
      <c r="W325" s="143"/>
      <c r="X325" s="143"/>
      <c r="Y325" s="143">
        <f t="shared" ref="Y325:AB325" si="631">AD325-T325</f>
        <v>0</v>
      </c>
      <c r="Z325" s="151">
        <f t="shared" si="631"/>
        <v>0</v>
      </c>
      <c r="AA325" s="151">
        <f t="shared" si="631"/>
        <v>0</v>
      </c>
      <c r="AB325" s="152">
        <f t="shared" si="631"/>
        <v>0</v>
      </c>
      <c r="AC325" s="143"/>
      <c r="AD325" s="175">
        <v>0</v>
      </c>
      <c r="AE325" s="150"/>
      <c r="AF325" s="150"/>
      <c r="AG325" s="155"/>
      <c r="AH325" s="143">
        <f t="shared" si="519"/>
        <v>0</v>
      </c>
      <c r="AI325" s="151"/>
      <c r="AJ325" s="151">
        <f t="shared" ref="AJ325:AL325" si="632">P325-AE325</f>
        <v>0</v>
      </c>
      <c r="AK325" s="151">
        <f t="shared" si="632"/>
        <v>7500000</v>
      </c>
      <c r="AL325" s="151">
        <f t="shared" si="632"/>
        <v>0</v>
      </c>
      <c r="AM325" s="145"/>
      <c r="AN325" s="139"/>
      <c r="AO325" s="139"/>
      <c r="AP325" s="162" t="s">
        <v>2972</v>
      </c>
      <c r="AQ325" s="145"/>
      <c r="AR325" s="145"/>
    </row>
    <row r="326" spans="1:44" s="156" customFormat="1" ht="47.25" x14ac:dyDescent="0.25">
      <c r="A326" s="143" t="s">
        <v>52</v>
      </c>
      <c r="B326" s="144">
        <v>313</v>
      </c>
      <c r="C326" s="143" t="s">
        <v>37</v>
      </c>
      <c r="D326" s="143" t="s">
        <v>2219</v>
      </c>
      <c r="E326" s="145" t="s">
        <v>604</v>
      </c>
      <c r="F326" s="146"/>
      <c r="G326" s="143" t="s">
        <v>2220</v>
      </c>
      <c r="H326" s="143" t="s">
        <v>1585</v>
      </c>
      <c r="I326" s="143"/>
      <c r="J326" s="143"/>
      <c r="K326" s="143"/>
      <c r="L326" s="143" t="s">
        <v>2221</v>
      </c>
      <c r="M326" s="143" t="s">
        <v>43</v>
      </c>
      <c r="N326" s="143" t="s">
        <v>2222</v>
      </c>
      <c r="O326" s="147">
        <v>1181168502</v>
      </c>
      <c r="P326" s="148">
        <v>283193856</v>
      </c>
      <c r="Q326" s="148">
        <v>7500000</v>
      </c>
      <c r="R326" s="150"/>
      <c r="S326" s="147">
        <f t="shared" si="517"/>
        <v>1471862358</v>
      </c>
      <c r="T326" s="158">
        <v>1181168502</v>
      </c>
      <c r="U326" s="158">
        <v>283193856</v>
      </c>
      <c r="V326" s="157"/>
      <c r="W326" s="143"/>
      <c r="X326" s="143"/>
      <c r="Y326" s="151">
        <f t="shared" ref="Y326:AB326" si="633">AD326-T326</f>
        <v>0</v>
      </c>
      <c r="Z326" s="151">
        <f t="shared" si="633"/>
        <v>0</v>
      </c>
      <c r="AA326" s="151">
        <f t="shared" si="633"/>
        <v>0</v>
      </c>
      <c r="AB326" s="151">
        <f t="shared" si="633"/>
        <v>0</v>
      </c>
      <c r="AC326" s="143"/>
      <c r="AD326" s="148">
        <f>1464362358-283193856</f>
        <v>1181168502</v>
      </c>
      <c r="AE326" s="148">
        <v>283193856</v>
      </c>
      <c r="AF326" s="150"/>
      <c r="AG326" s="150"/>
      <c r="AH326" s="143">
        <f t="shared" si="519"/>
        <v>0</v>
      </c>
      <c r="AI326" s="151"/>
      <c r="AJ326" s="151">
        <f t="shared" ref="AJ326:AL326" si="634">P326-AE326</f>
        <v>0</v>
      </c>
      <c r="AK326" s="151">
        <f t="shared" si="634"/>
        <v>7500000</v>
      </c>
      <c r="AL326" s="151">
        <f t="shared" si="634"/>
        <v>0</v>
      </c>
      <c r="AM326" s="145"/>
      <c r="AN326" s="139"/>
      <c r="AO326" s="139"/>
      <c r="AP326" s="168" t="s">
        <v>1579</v>
      </c>
      <c r="AQ326" s="145"/>
      <c r="AR326" s="145"/>
    </row>
    <row r="327" spans="1:44" s="156" customFormat="1" ht="47.25" x14ac:dyDescent="0.25">
      <c r="A327" s="143" t="s">
        <v>52</v>
      </c>
      <c r="B327" s="144">
        <v>314</v>
      </c>
      <c r="C327" s="143" t="s">
        <v>37</v>
      </c>
      <c r="D327" s="143" t="s">
        <v>2223</v>
      </c>
      <c r="E327" s="145"/>
      <c r="F327" s="146"/>
      <c r="G327" s="143" t="s">
        <v>2224</v>
      </c>
      <c r="H327" s="143"/>
      <c r="I327" s="143"/>
      <c r="J327" s="143"/>
      <c r="K327" s="143"/>
      <c r="L327" s="143" t="s">
        <v>2225</v>
      </c>
      <c r="M327" s="143" t="s">
        <v>43</v>
      </c>
      <c r="N327" s="143" t="s">
        <v>2226</v>
      </c>
      <c r="O327" s="147">
        <v>1634644894</v>
      </c>
      <c r="P327" s="150"/>
      <c r="Q327" s="148">
        <v>7500000</v>
      </c>
      <c r="R327" s="150"/>
      <c r="S327" s="147">
        <f t="shared" si="517"/>
        <v>1642144894</v>
      </c>
      <c r="T327" s="158">
        <v>1634644894</v>
      </c>
      <c r="U327" s="143"/>
      <c r="V327" s="147">
        <v>7500000</v>
      </c>
      <c r="W327" s="143"/>
      <c r="X327" s="143"/>
      <c r="Y327" s="152">
        <f t="shared" ref="Y327:AB327" si="635">AD327-T327</f>
        <v>0</v>
      </c>
      <c r="Z327" s="151">
        <f t="shared" si="635"/>
        <v>0</v>
      </c>
      <c r="AA327" s="151">
        <f t="shared" si="635"/>
        <v>0</v>
      </c>
      <c r="AB327" s="152">
        <f t="shared" si="635"/>
        <v>0</v>
      </c>
      <c r="AC327" s="143"/>
      <c r="AD327" s="149">
        <v>1634644894</v>
      </c>
      <c r="AE327" s="150"/>
      <c r="AF327" s="148">
        <v>7500000</v>
      </c>
      <c r="AG327" s="155"/>
      <c r="AH327" s="143">
        <f t="shared" si="519"/>
        <v>0</v>
      </c>
      <c r="AI327" s="151"/>
      <c r="AJ327" s="151">
        <f t="shared" ref="AJ327:AL327" si="636">P327-AE327</f>
        <v>0</v>
      </c>
      <c r="AK327" s="151">
        <f t="shared" si="636"/>
        <v>0</v>
      </c>
      <c r="AL327" s="151">
        <f t="shared" si="636"/>
        <v>0</v>
      </c>
      <c r="AM327" s="145"/>
      <c r="AN327" s="139"/>
      <c r="AO327" s="139"/>
      <c r="AP327" s="139"/>
      <c r="AQ327" s="145"/>
      <c r="AR327" s="145"/>
    </row>
    <row r="328" spans="1:44" s="156" customFormat="1" ht="47.25" x14ac:dyDescent="0.25">
      <c r="A328" s="143" t="s">
        <v>60</v>
      </c>
      <c r="B328" s="144">
        <v>315</v>
      </c>
      <c r="C328" s="143" t="s">
        <v>37</v>
      </c>
      <c r="D328" s="143" t="s">
        <v>2227</v>
      </c>
      <c r="E328" s="145"/>
      <c r="F328" s="146"/>
      <c r="G328" s="143" t="s">
        <v>2228</v>
      </c>
      <c r="H328" s="143"/>
      <c r="I328" s="143"/>
      <c r="J328" s="143"/>
      <c r="K328" s="143"/>
      <c r="L328" s="143" t="s">
        <v>2229</v>
      </c>
      <c r="M328" s="143" t="s">
        <v>43</v>
      </c>
      <c r="N328" s="143" t="s">
        <v>2230</v>
      </c>
      <c r="O328" s="147">
        <v>2916899139</v>
      </c>
      <c r="P328" s="150"/>
      <c r="Q328" s="148">
        <v>7500000</v>
      </c>
      <c r="R328" s="150"/>
      <c r="S328" s="147">
        <f t="shared" si="517"/>
        <v>2924399139</v>
      </c>
      <c r="T328" s="158">
        <v>2916899139</v>
      </c>
      <c r="U328" s="143"/>
      <c r="V328" s="147">
        <v>7500000</v>
      </c>
      <c r="W328" s="143"/>
      <c r="X328" s="143"/>
      <c r="Y328" s="152">
        <f t="shared" ref="Y328:AB328" si="637">AD328-T328</f>
        <v>0</v>
      </c>
      <c r="Z328" s="151">
        <f t="shared" si="637"/>
        <v>0</v>
      </c>
      <c r="AA328" s="151">
        <f t="shared" si="637"/>
        <v>0</v>
      </c>
      <c r="AB328" s="152">
        <f t="shared" si="637"/>
        <v>0</v>
      </c>
      <c r="AC328" s="143"/>
      <c r="AD328" s="149">
        <v>2916899139</v>
      </c>
      <c r="AE328" s="150"/>
      <c r="AF328" s="148">
        <v>7500000</v>
      </c>
      <c r="AG328" s="155"/>
      <c r="AH328" s="143">
        <f t="shared" si="519"/>
        <v>0</v>
      </c>
      <c r="AI328" s="151"/>
      <c r="AJ328" s="151">
        <f t="shared" ref="AJ328:AL328" si="638">P328-AE328</f>
        <v>0</v>
      </c>
      <c r="AK328" s="151">
        <f t="shared" si="638"/>
        <v>0</v>
      </c>
      <c r="AL328" s="151">
        <f t="shared" si="638"/>
        <v>0</v>
      </c>
      <c r="AM328" s="145"/>
      <c r="AN328" s="139"/>
      <c r="AO328" s="139"/>
      <c r="AP328" s="139"/>
      <c r="AQ328" s="145"/>
      <c r="AR328" s="145"/>
    </row>
    <row r="329" spans="1:44" s="156" customFormat="1" ht="47.25" x14ac:dyDescent="0.25">
      <c r="A329" s="143" t="s">
        <v>35</v>
      </c>
      <c r="B329" s="144">
        <v>316</v>
      </c>
      <c r="C329" s="143" t="s">
        <v>37</v>
      </c>
      <c r="D329" s="143" t="s">
        <v>2231</v>
      </c>
      <c r="E329" s="145"/>
      <c r="F329" s="146"/>
      <c r="G329" s="143" t="s">
        <v>2232</v>
      </c>
      <c r="H329" s="143"/>
      <c r="I329" s="143"/>
      <c r="J329" s="143"/>
      <c r="K329" s="143"/>
      <c r="L329" s="143" t="s">
        <v>2233</v>
      </c>
      <c r="M329" s="143" t="s">
        <v>43</v>
      </c>
      <c r="N329" s="143" t="s">
        <v>2234</v>
      </c>
      <c r="O329" s="147">
        <v>2045718784</v>
      </c>
      <c r="P329" s="150"/>
      <c r="Q329" s="148">
        <v>15000000</v>
      </c>
      <c r="R329" s="150"/>
      <c r="S329" s="147">
        <f t="shared" si="517"/>
        <v>2060718784</v>
      </c>
      <c r="T329" s="158">
        <v>2045718784</v>
      </c>
      <c r="U329" s="143"/>
      <c r="V329" s="147">
        <v>15000000</v>
      </c>
      <c r="W329" s="143"/>
      <c r="X329" s="143"/>
      <c r="Y329" s="152">
        <f t="shared" ref="Y329:AB329" si="639">AD329-T329</f>
        <v>0</v>
      </c>
      <c r="Z329" s="151">
        <f t="shared" si="639"/>
        <v>0</v>
      </c>
      <c r="AA329" s="151">
        <f t="shared" si="639"/>
        <v>0</v>
      </c>
      <c r="AB329" s="151">
        <f t="shared" si="639"/>
        <v>0</v>
      </c>
      <c r="AC329" s="143"/>
      <c r="AD329" s="149">
        <v>2045718784</v>
      </c>
      <c r="AE329" s="150"/>
      <c r="AF329" s="148">
        <v>15000000</v>
      </c>
      <c r="AG329" s="150"/>
      <c r="AH329" s="143">
        <f t="shared" si="519"/>
        <v>0</v>
      </c>
      <c r="AI329" s="151"/>
      <c r="AJ329" s="151">
        <f t="shared" ref="AJ329:AL329" si="640">P329-AE329</f>
        <v>0</v>
      </c>
      <c r="AK329" s="151">
        <f t="shared" si="640"/>
        <v>0</v>
      </c>
      <c r="AL329" s="151">
        <f t="shared" si="640"/>
        <v>0</v>
      </c>
      <c r="AM329" s="145"/>
      <c r="AN329" s="139"/>
      <c r="AO329" s="139"/>
      <c r="AP329" s="139"/>
      <c r="AQ329" s="145"/>
      <c r="AR329" s="145"/>
    </row>
    <row r="330" spans="1:44" s="156" customFormat="1" ht="47.25" x14ac:dyDescent="0.25">
      <c r="A330" s="143" t="s">
        <v>35</v>
      </c>
      <c r="B330" s="144">
        <v>317</v>
      </c>
      <c r="C330" s="143" t="s">
        <v>37</v>
      </c>
      <c r="D330" s="143" t="s">
        <v>1242</v>
      </c>
      <c r="E330" s="186" t="s">
        <v>409</v>
      </c>
      <c r="F330" s="145" t="s">
        <v>1227</v>
      </c>
      <c r="G330" s="143" t="s">
        <v>1243</v>
      </c>
      <c r="H330" s="143" t="s">
        <v>1244</v>
      </c>
      <c r="I330" s="143"/>
      <c r="J330" s="143"/>
      <c r="K330" s="164"/>
      <c r="L330" s="143" t="s">
        <v>1245</v>
      </c>
      <c r="M330" s="143" t="s">
        <v>43</v>
      </c>
      <c r="N330" s="143" t="s">
        <v>1246</v>
      </c>
      <c r="O330" s="147">
        <v>2002133194</v>
      </c>
      <c r="P330" s="148">
        <v>247965696</v>
      </c>
      <c r="Q330" s="148">
        <v>15000000</v>
      </c>
      <c r="R330" s="148">
        <v>30000000</v>
      </c>
      <c r="S330" s="147">
        <f t="shared" si="517"/>
        <v>2295098890</v>
      </c>
      <c r="T330" s="158">
        <v>2002133194</v>
      </c>
      <c r="U330" s="143"/>
      <c r="V330" s="147">
        <v>15000000</v>
      </c>
      <c r="W330" s="158">
        <v>30000000</v>
      </c>
      <c r="X330" s="143"/>
      <c r="Y330" s="151">
        <f t="shared" ref="Y330:AB330" si="641">AD330-T330</f>
        <v>0</v>
      </c>
      <c r="Z330" s="151">
        <f t="shared" si="641"/>
        <v>0</v>
      </c>
      <c r="AA330" s="151">
        <f t="shared" si="641"/>
        <v>0</v>
      </c>
      <c r="AB330" s="151">
        <f t="shared" si="641"/>
        <v>0</v>
      </c>
      <c r="AC330" s="143"/>
      <c r="AD330" s="148">
        <v>2002133194</v>
      </c>
      <c r="AE330" s="150"/>
      <c r="AF330" s="148">
        <v>15000000</v>
      </c>
      <c r="AG330" s="148">
        <v>30000000</v>
      </c>
      <c r="AH330" s="143">
        <f t="shared" si="519"/>
        <v>0</v>
      </c>
      <c r="AI330" s="151"/>
      <c r="AJ330" s="151">
        <f t="shared" ref="AJ330:AL330" si="642">P330-AE330</f>
        <v>247965696</v>
      </c>
      <c r="AK330" s="151">
        <f t="shared" si="642"/>
        <v>0</v>
      </c>
      <c r="AL330" s="151">
        <f t="shared" si="642"/>
        <v>0</v>
      </c>
      <c r="AM330" s="145"/>
      <c r="AN330" s="139"/>
      <c r="AO330" s="162" t="s">
        <v>3009</v>
      </c>
      <c r="AP330" s="139"/>
      <c r="AQ330" s="145"/>
      <c r="AR330" s="145"/>
    </row>
    <row r="331" spans="1:44" s="156" customFormat="1" ht="47.25" x14ac:dyDescent="0.25">
      <c r="A331" s="143" t="s">
        <v>60</v>
      </c>
      <c r="B331" s="144">
        <v>318</v>
      </c>
      <c r="C331" s="143" t="s">
        <v>37</v>
      </c>
      <c r="D331" s="143" t="s">
        <v>2235</v>
      </c>
      <c r="E331" s="145"/>
      <c r="F331" s="146"/>
      <c r="G331" s="143" t="s">
        <v>2236</v>
      </c>
      <c r="H331" s="143"/>
      <c r="I331" s="143"/>
      <c r="J331" s="143"/>
      <c r="K331" s="143"/>
      <c r="L331" s="143" t="s">
        <v>2237</v>
      </c>
      <c r="M331" s="143" t="s">
        <v>43</v>
      </c>
      <c r="N331" s="143" t="s">
        <v>2238</v>
      </c>
      <c r="O331" s="147">
        <v>698692632</v>
      </c>
      <c r="P331" s="150"/>
      <c r="Q331" s="148">
        <v>7500000</v>
      </c>
      <c r="R331" s="150"/>
      <c r="S331" s="147">
        <f t="shared" si="517"/>
        <v>706192632</v>
      </c>
      <c r="T331" s="158">
        <v>698692632</v>
      </c>
      <c r="U331" s="143"/>
      <c r="V331" s="157">
        <v>7500000</v>
      </c>
      <c r="W331" s="143"/>
      <c r="X331" s="143"/>
      <c r="Y331" s="152">
        <f t="shared" ref="Y331:AB331" si="643">AD331-T331</f>
        <v>0</v>
      </c>
      <c r="Z331" s="151">
        <f t="shared" si="643"/>
        <v>0</v>
      </c>
      <c r="AA331" s="151">
        <f t="shared" si="643"/>
        <v>0</v>
      </c>
      <c r="AB331" s="152">
        <f t="shared" si="643"/>
        <v>0</v>
      </c>
      <c r="AC331" s="143"/>
      <c r="AD331" s="149">
        <v>698692632</v>
      </c>
      <c r="AE331" s="150"/>
      <c r="AF331" s="148">
        <v>7500000</v>
      </c>
      <c r="AG331" s="155"/>
      <c r="AH331" s="143">
        <f t="shared" si="519"/>
        <v>0</v>
      </c>
      <c r="AI331" s="151"/>
      <c r="AJ331" s="151">
        <f t="shared" ref="AJ331:AL331" si="644">P331-AE331</f>
        <v>0</v>
      </c>
      <c r="AK331" s="151">
        <f t="shared" si="644"/>
        <v>0</v>
      </c>
      <c r="AL331" s="151">
        <f t="shared" si="644"/>
        <v>0</v>
      </c>
      <c r="AM331" s="145"/>
      <c r="AN331" s="139"/>
      <c r="AO331" s="139"/>
      <c r="AP331" s="139"/>
      <c r="AQ331" s="145"/>
      <c r="AR331" s="145"/>
    </row>
    <row r="332" spans="1:44" s="156" customFormat="1" ht="78.75" x14ac:dyDescent="0.25">
      <c r="A332" s="143" t="s">
        <v>35</v>
      </c>
      <c r="B332" s="175">
        <v>319</v>
      </c>
      <c r="C332" s="145" t="s">
        <v>37</v>
      </c>
      <c r="D332" s="143" t="s">
        <v>1602</v>
      </c>
      <c r="E332" s="145"/>
      <c r="F332" s="145" t="s">
        <v>1603</v>
      </c>
      <c r="G332" s="145" t="s">
        <v>1604</v>
      </c>
      <c r="H332" s="145"/>
      <c r="I332" s="145"/>
      <c r="J332" s="145"/>
      <c r="K332" s="146"/>
      <c r="L332" s="145" t="s">
        <v>1605</v>
      </c>
      <c r="M332" s="145" t="s">
        <v>43</v>
      </c>
      <c r="N332" s="145" t="s">
        <v>1606</v>
      </c>
      <c r="O332" s="147">
        <v>10000000</v>
      </c>
      <c r="P332" s="150"/>
      <c r="Q332" s="148">
        <v>15000000</v>
      </c>
      <c r="R332" s="148">
        <f>24000000+48000000</f>
        <v>72000000</v>
      </c>
      <c r="S332" s="147">
        <f t="shared" si="517"/>
        <v>97000000</v>
      </c>
      <c r="T332" s="158">
        <v>10000000</v>
      </c>
      <c r="U332" s="143"/>
      <c r="V332" s="147">
        <v>15000000</v>
      </c>
      <c r="W332" s="158">
        <v>24000000</v>
      </c>
      <c r="X332" s="143"/>
      <c r="Y332" s="152">
        <f t="shared" ref="Y332:AB332" si="645">AD332-T332</f>
        <v>0</v>
      </c>
      <c r="Z332" s="151">
        <f t="shared" si="645"/>
        <v>0</v>
      </c>
      <c r="AA332" s="151">
        <f t="shared" si="645"/>
        <v>0</v>
      </c>
      <c r="AB332" s="151">
        <f t="shared" si="645"/>
        <v>0</v>
      </c>
      <c r="AC332" s="165"/>
      <c r="AD332" s="149">
        <v>10000000</v>
      </c>
      <c r="AE332" s="150"/>
      <c r="AF332" s="148">
        <v>15000000</v>
      </c>
      <c r="AG332" s="148">
        <v>24000000</v>
      </c>
      <c r="AH332" s="166">
        <f t="shared" si="519"/>
        <v>0</v>
      </c>
      <c r="AI332" s="151"/>
      <c r="AJ332" s="151">
        <f t="shared" ref="AJ332:AL332" si="646">P332-AE332</f>
        <v>0</v>
      </c>
      <c r="AK332" s="151">
        <f t="shared" si="646"/>
        <v>0</v>
      </c>
      <c r="AL332" s="150">
        <f t="shared" si="646"/>
        <v>48000000</v>
      </c>
      <c r="AM332" s="145"/>
      <c r="AN332" s="139"/>
      <c r="AO332" s="139"/>
      <c r="AP332" s="139"/>
      <c r="AQ332" s="145" t="s">
        <v>3023</v>
      </c>
      <c r="AR332" s="145"/>
    </row>
    <row r="333" spans="1:44" s="156" customFormat="1" ht="47.25" x14ac:dyDescent="0.25">
      <c r="A333" s="143" t="s">
        <v>52</v>
      </c>
      <c r="B333" s="144">
        <v>320</v>
      </c>
      <c r="C333" s="143" t="s">
        <v>37</v>
      </c>
      <c r="D333" s="143" t="s">
        <v>2239</v>
      </c>
      <c r="E333" s="145"/>
      <c r="F333" s="146"/>
      <c r="G333" s="143" t="s">
        <v>2240</v>
      </c>
      <c r="H333" s="143"/>
      <c r="I333" s="143"/>
      <c r="J333" s="143"/>
      <c r="K333" s="143"/>
      <c r="L333" s="143" t="s">
        <v>2241</v>
      </c>
      <c r="M333" s="143" t="s">
        <v>43</v>
      </c>
      <c r="N333" s="143" t="s">
        <v>2242</v>
      </c>
      <c r="O333" s="147">
        <v>5629237075</v>
      </c>
      <c r="P333" s="150"/>
      <c r="Q333" s="148">
        <v>15000000</v>
      </c>
      <c r="R333" s="150"/>
      <c r="S333" s="147">
        <f t="shared" si="517"/>
        <v>5644237075</v>
      </c>
      <c r="T333" s="158">
        <v>5629237075</v>
      </c>
      <c r="U333" s="143"/>
      <c r="V333" s="147">
        <v>15000000</v>
      </c>
      <c r="W333" s="143"/>
      <c r="X333" s="143"/>
      <c r="Y333" s="152">
        <f t="shared" ref="Y333:AB333" si="647">AD333-T333</f>
        <v>0</v>
      </c>
      <c r="Z333" s="151">
        <f t="shared" si="647"/>
        <v>0</v>
      </c>
      <c r="AA333" s="151">
        <f t="shared" si="647"/>
        <v>0</v>
      </c>
      <c r="AB333" s="143">
        <f t="shared" si="647"/>
        <v>0</v>
      </c>
      <c r="AC333" s="143"/>
      <c r="AD333" s="149">
        <v>5629237075</v>
      </c>
      <c r="AE333" s="184"/>
      <c r="AF333" s="148">
        <v>15000000</v>
      </c>
      <c r="AH333" s="143">
        <f t="shared" si="519"/>
        <v>0</v>
      </c>
      <c r="AI333" s="151"/>
      <c r="AJ333" s="151">
        <f t="shared" ref="AJ333:AL333" si="648">P333-AE333</f>
        <v>0</v>
      </c>
      <c r="AK333" s="151">
        <f t="shared" si="648"/>
        <v>0</v>
      </c>
      <c r="AL333" s="151">
        <f t="shared" si="648"/>
        <v>0</v>
      </c>
      <c r="AM333" s="145"/>
      <c r="AN333" s="139"/>
      <c r="AO333" s="139"/>
      <c r="AP333" s="139"/>
      <c r="AQ333" s="145"/>
      <c r="AR333" s="145"/>
    </row>
    <row r="334" spans="1:44" s="156" customFormat="1" ht="63" x14ac:dyDescent="0.25">
      <c r="A334" s="143" t="s">
        <v>60</v>
      </c>
      <c r="B334" s="144">
        <v>321</v>
      </c>
      <c r="C334" s="143" t="s">
        <v>37</v>
      </c>
      <c r="D334" s="143" t="s">
        <v>2243</v>
      </c>
      <c r="E334" s="145"/>
      <c r="F334" s="146"/>
      <c r="G334" s="143" t="s">
        <v>2244</v>
      </c>
      <c r="H334" s="143"/>
      <c r="I334" s="143"/>
      <c r="J334" s="143"/>
      <c r="K334" s="143"/>
      <c r="L334" s="143" t="s">
        <v>2245</v>
      </c>
      <c r="M334" s="143" t="s">
        <v>43</v>
      </c>
      <c r="N334" s="143" t="s">
        <v>2246</v>
      </c>
      <c r="O334" s="147"/>
      <c r="P334" s="150"/>
      <c r="Q334" s="148">
        <v>7500000</v>
      </c>
      <c r="R334" s="150"/>
      <c r="S334" s="147">
        <f t="shared" si="517"/>
        <v>7500000</v>
      </c>
      <c r="T334" s="144">
        <v>0</v>
      </c>
      <c r="U334" s="143"/>
      <c r="V334" s="157"/>
      <c r="W334" s="143"/>
      <c r="X334" s="143"/>
      <c r="Y334" s="143">
        <f t="shared" ref="Y334:AB334" si="649">AD334-T334</f>
        <v>0</v>
      </c>
      <c r="Z334" s="151">
        <f t="shared" si="649"/>
        <v>0</v>
      </c>
      <c r="AA334" s="151">
        <f t="shared" si="649"/>
        <v>0</v>
      </c>
      <c r="AB334" s="152">
        <f t="shared" si="649"/>
        <v>0</v>
      </c>
      <c r="AC334" s="143"/>
      <c r="AD334" s="175">
        <v>0</v>
      </c>
      <c r="AE334" s="150"/>
      <c r="AF334" s="150"/>
      <c r="AG334" s="155"/>
      <c r="AH334" s="143">
        <f t="shared" si="519"/>
        <v>0</v>
      </c>
      <c r="AI334" s="151"/>
      <c r="AJ334" s="151">
        <f t="shared" ref="AJ334:AL334" si="650">P334-AE334</f>
        <v>0</v>
      </c>
      <c r="AK334" s="151">
        <f t="shared" si="650"/>
        <v>7500000</v>
      </c>
      <c r="AL334" s="151">
        <f t="shared" si="650"/>
        <v>0</v>
      </c>
      <c r="AM334" s="145"/>
      <c r="AN334" s="139"/>
      <c r="AO334" s="139"/>
      <c r="AP334" s="162" t="s">
        <v>2972</v>
      </c>
      <c r="AQ334" s="145"/>
      <c r="AR334" s="145"/>
    </row>
    <row r="335" spans="1:44" s="156" customFormat="1" ht="47.25" x14ac:dyDescent="0.25">
      <c r="A335" s="143" t="s">
        <v>52</v>
      </c>
      <c r="B335" s="144">
        <v>322</v>
      </c>
      <c r="C335" s="143" t="s">
        <v>37</v>
      </c>
      <c r="D335" s="143" t="s">
        <v>2247</v>
      </c>
      <c r="E335" s="145"/>
      <c r="F335" s="146"/>
      <c r="G335" s="143" t="s">
        <v>2248</v>
      </c>
      <c r="H335" s="143"/>
      <c r="I335" s="143"/>
      <c r="J335" s="143"/>
      <c r="K335" s="143"/>
      <c r="L335" s="143" t="s">
        <v>2249</v>
      </c>
      <c r="M335" s="143" t="s">
        <v>43</v>
      </c>
      <c r="N335" s="143" t="s">
        <v>2250</v>
      </c>
      <c r="O335" s="147">
        <v>1119302208</v>
      </c>
      <c r="P335" s="150"/>
      <c r="Q335" s="148">
        <v>15000000</v>
      </c>
      <c r="R335" s="150"/>
      <c r="S335" s="147">
        <f t="shared" si="517"/>
        <v>1134302208</v>
      </c>
      <c r="T335" s="158">
        <v>1119302208</v>
      </c>
      <c r="U335" s="143"/>
      <c r="V335" s="147">
        <v>15000000</v>
      </c>
      <c r="W335" s="143"/>
      <c r="X335" s="143"/>
      <c r="Y335" s="152">
        <f t="shared" ref="Y335:AB335" si="651">AD335-T335</f>
        <v>0</v>
      </c>
      <c r="Z335" s="151">
        <f t="shared" si="651"/>
        <v>0</v>
      </c>
      <c r="AA335" s="151">
        <f t="shared" si="651"/>
        <v>0</v>
      </c>
      <c r="AB335" s="151">
        <f t="shared" si="651"/>
        <v>0</v>
      </c>
      <c r="AC335" s="143"/>
      <c r="AD335" s="149">
        <v>1119302208</v>
      </c>
      <c r="AE335" s="150"/>
      <c r="AF335" s="148">
        <v>15000000</v>
      </c>
      <c r="AG335" s="150"/>
      <c r="AH335" s="143">
        <f t="shared" si="519"/>
        <v>0</v>
      </c>
      <c r="AI335" s="151"/>
      <c r="AJ335" s="151">
        <f t="shared" ref="AJ335:AL335" si="652">P335-AE335</f>
        <v>0</v>
      </c>
      <c r="AK335" s="151">
        <f t="shared" si="652"/>
        <v>0</v>
      </c>
      <c r="AL335" s="151">
        <f t="shared" si="652"/>
        <v>0</v>
      </c>
      <c r="AM335" s="145"/>
      <c r="AN335" s="139"/>
      <c r="AO335" s="139"/>
      <c r="AP335" s="139"/>
      <c r="AQ335" s="145"/>
      <c r="AR335" s="145"/>
    </row>
    <row r="336" spans="1:44" s="156" customFormat="1" ht="47.25" x14ac:dyDescent="0.25">
      <c r="A336" s="143" t="s">
        <v>46</v>
      </c>
      <c r="B336" s="175">
        <v>323</v>
      </c>
      <c r="C336" s="145" t="s">
        <v>37</v>
      </c>
      <c r="D336" s="143" t="s">
        <v>1296</v>
      </c>
      <c r="E336" s="145" t="s">
        <v>450</v>
      </c>
      <c r="F336" s="145" t="s">
        <v>464</v>
      </c>
      <c r="G336" s="145" t="s">
        <v>1297</v>
      </c>
      <c r="H336" s="145" t="s">
        <v>1298</v>
      </c>
      <c r="I336" s="145"/>
      <c r="J336" s="145"/>
      <c r="K336" s="146"/>
      <c r="L336" s="145" t="s">
        <v>1299</v>
      </c>
      <c r="M336" s="145" t="s">
        <v>43</v>
      </c>
      <c r="N336" s="145" t="s">
        <v>1300</v>
      </c>
      <c r="O336" s="147">
        <v>31787585620</v>
      </c>
      <c r="P336" s="148">
        <v>1149412000</v>
      </c>
      <c r="Q336" s="148">
        <v>15000000</v>
      </c>
      <c r="R336" s="148">
        <v>60000000</v>
      </c>
      <c r="S336" s="147">
        <f t="shared" si="517"/>
        <v>33011997620</v>
      </c>
      <c r="T336" s="158">
        <v>31787585620</v>
      </c>
      <c r="U336" s="158">
        <v>1149412000</v>
      </c>
      <c r="V336" s="147">
        <v>15000000</v>
      </c>
      <c r="W336" s="143"/>
      <c r="X336" s="143"/>
      <c r="Y336" s="152">
        <f t="shared" ref="Y336:AB336" si="653">AD336-T336</f>
        <v>0</v>
      </c>
      <c r="Z336" s="151">
        <f t="shared" si="653"/>
        <v>0</v>
      </c>
      <c r="AA336" s="151">
        <f t="shared" si="653"/>
        <v>0</v>
      </c>
      <c r="AB336" s="151">
        <f t="shared" si="653"/>
        <v>0</v>
      </c>
      <c r="AC336" s="165"/>
      <c r="AD336" s="149">
        <v>31787585620</v>
      </c>
      <c r="AE336" s="148">
        <v>1149412000</v>
      </c>
      <c r="AF336" s="148">
        <v>15000000</v>
      </c>
      <c r="AG336" s="150"/>
      <c r="AH336" s="166">
        <f t="shared" si="519"/>
        <v>0</v>
      </c>
      <c r="AI336" s="151"/>
      <c r="AJ336" s="151">
        <f t="shared" ref="AJ336:AL336" si="654">P336-AE336</f>
        <v>0</v>
      </c>
      <c r="AK336" s="151">
        <f t="shared" si="654"/>
        <v>0</v>
      </c>
      <c r="AL336" s="150">
        <f t="shared" si="654"/>
        <v>60000000</v>
      </c>
      <c r="AM336" s="145"/>
      <c r="AN336" s="139"/>
      <c r="AO336" s="139"/>
      <c r="AP336" s="139"/>
      <c r="AQ336" s="145" t="s">
        <v>2520</v>
      </c>
      <c r="AR336" s="145"/>
    </row>
    <row r="337" spans="1:44" s="156" customFormat="1" ht="47.25" x14ac:dyDescent="0.25">
      <c r="A337" s="143" t="s">
        <v>35</v>
      </c>
      <c r="B337" s="144">
        <v>324</v>
      </c>
      <c r="C337" s="143" t="s">
        <v>37</v>
      </c>
      <c r="D337" s="143" t="s">
        <v>2252</v>
      </c>
      <c r="E337" s="145"/>
      <c r="F337" s="146"/>
      <c r="G337" s="143" t="s">
        <v>2253</v>
      </c>
      <c r="H337" s="143"/>
      <c r="I337" s="143"/>
      <c r="J337" s="143"/>
      <c r="K337" s="143"/>
      <c r="L337" s="143" t="s">
        <v>2254</v>
      </c>
      <c r="M337" s="143" t="s">
        <v>43</v>
      </c>
      <c r="N337" s="143" t="s">
        <v>2255</v>
      </c>
      <c r="O337" s="147">
        <v>11003820410</v>
      </c>
      <c r="P337" s="150"/>
      <c r="Q337" s="148">
        <v>15000000</v>
      </c>
      <c r="R337" s="150"/>
      <c r="S337" s="147">
        <f t="shared" si="517"/>
        <v>11018820410</v>
      </c>
      <c r="T337" s="158">
        <v>11003820410</v>
      </c>
      <c r="U337" s="143"/>
      <c r="V337" s="147">
        <v>15000000</v>
      </c>
      <c r="W337" s="143"/>
      <c r="X337" s="143"/>
      <c r="Y337" s="152">
        <f t="shared" ref="Y337:AB337" si="655">AD337-T337</f>
        <v>0</v>
      </c>
      <c r="Z337" s="151">
        <f t="shared" si="655"/>
        <v>0</v>
      </c>
      <c r="AA337" s="151">
        <f t="shared" si="655"/>
        <v>0</v>
      </c>
      <c r="AB337" s="152">
        <f t="shared" si="655"/>
        <v>0</v>
      </c>
      <c r="AC337" s="143"/>
      <c r="AD337" s="149">
        <v>11003820410</v>
      </c>
      <c r="AE337" s="150"/>
      <c r="AF337" s="148">
        <v>15000000</v>
      </c>
      <c r="AG337" s="155"/>
      <c r="AH337" s="143">
        <f t="shared" si="519"/>
        <v>0</v>
      </c>
      <c r="AI337" s="151"/>
      <c r="AJ337" s="151">
        <f t="shared" ref="AJ337:AL337" si="656">P337-AE337</f>
        <v>0</v>
      </c>
      <c r="AK337" s="151">
        <f t="shared" si="656"/>
        <v>0</v>
      </c>
      <c r="AL337" s="151">
        <f t="shared" si="656"/>
        <v>0</v>
      </c>
      <c r="AM337" s="145"/>
      <c r="AN337" s="139"/>
      <c r="AO337" s="139"/>
      <c r="AP337" s="139"/>
      <c r="AQ337" s="145"/>
      <c r="AR337" s="145"/>
    </row>
    <row r="338" spans="1:44" s="156" customFormat="1" ht="47.25" x14ac:dyDescent="0.25">
      <c r="A338" s="143" t="s">
        <v>60</v>
      </c>
      <c r="B338" s="144">
        <v>325</v>
      </c>
      <c r="C338" s="143" t="s">
        <v>37</v>
      </c>
      <c r="D338" s="143" t="s">
        <v>1036</v>
      </c>
      <c r="E338" s="145"/>
      <c r="F338" s="145" t="s">
        <v>1012</v>
      </c>
      <c r="G338" s="143" t="s">
        <v>1037</v>
      </c>
      <c r="H338" s="143"/>
      <c r="I338" s="143"/>
      <c r="J338" s="143"/>
      <c r="K338" s="164"/>
      <c r="L338" s="143" t="s">
        <v>1038</v>
      </c>
      <c r="M338" s="143" t="s">
        <v>43</v>
      </c>
      <c r="N338" s="143" t="s">
        <v>1039</v>
      </c>
      <c r="O338" s="147">
        <v>5365012540</v>
      </c>
      <c r="P338" s="150"/>
      <c r="Q338" s="148">
        <v>15000000</v>
      </c>
      <c r="R338" s="148">
        <v>24000000</v>
      </c>
      <c r="S338" s="147">
        <f t="shared" si="517"/>
        <v>5404012540</v>
      </c>
      <c r="T338" s="158">
        <v>5365012540</v>
      </c>
      <c r="U338" s="143"/>
      <c r="V338" s="147">
        <v>15000000</v>
      </c>
      <c r="W338" s="158">
        <v>24000000</v>
      </c>
      <c r="X338" s="143"/>
      <c r="Y338" s="152">
        <f t="shared" ref="Y338:AB338" si="657">AD338-T338</f>
        <v>0</v>
      </c>
      <c r="Z338" s="151">
        <f t="shared" si="657"/>
        <v>0</v>
      </c>
      <c r="AA338" s="151">
        <f t="shared" si="657"/>
        <v>0</v>
      </c>
      <c r="AB338" s="152">
        <f t="shared" si="657"/>
        <v>0</v>
      </c>
      <c r="AC338" s="143"/>
      <c r="AD338" s="149">
        <v>5365012540</v>
      </c>
      <c r="AE338" s="150"/>
      <c r="AF338" s="148">
        <v>15000000</v>
      </c>
      <c r="AG338" s="149">
        <v>24000000</v>
      </c>
      <c r="AH338" s="143">
        <f t="shared" si="519"/>
        <v>0</v>
      </c>
      <c r="AI338" s="151"/>
      <c r="AJ338" s="151">
        <f t="shared" ref="AJ338:AL338" si="658">P338-AE338</f>
        <v>0</v>
      </c>
      <c r="AK338" s="151">
        <f t="shared" si="658"/>
        <v>0</v>
      </c>
      <c r="AL338" s="151">
        <f t="shared" si="658"/>
        <v>0</v>
      </c>
      <c r="AM338" s="145"/>
      <c r="AN338" s="139"/>
      <c r="AO338" s="139"/>
      <c r="AP338" s="139"/>
      <c r="AQ338" s="145"/>
      <c r="AR338" s="145"/>
    </row>
    <row r="339" spans="1:44" s="156" customFormat="1" ht="47.25" x14ac:dyDescent="0.25">
      <c r="A339" s="143" t="s">
        <v>60</v>
      </c>
      <c r="B339" s="144">
        <v>326</v>
      </c>
      <c r="C339" s="143" t="s">
        <v>37</v>
      </c>
      <c r="D339" s="143" t="s">
        <v>2256</v>
      </c>
      <c r="E339" s="145"/>
      <c r="F339" s="146"/>
      <c r="G339" s="143" t="s">
        <v>2257</v>
      </c>
      <c r="H339" s="143"/>
      <c r="I339" s="143"/>
      <c r="J339" s="143"/>
      <c r="K339" s="143"/>
      <c r="L339" s="143" t="s">
        <v>2258</v>
      </c>
      <c r="M339" s="143" t="s">
        <v>43</v>
      </c>
      <c r="N339" s="143" t="s">
        <v>2259</v>
      </c>
      <c r="O339" s="147">
        <v>8078620056</v>
      </c>
      <c r="P339" s="150"/>
      <c r="Q339" s="148">
        <v>15000000</v>
      </c>
      <c r="R339" s="150"/>
      <c r="S339" s="147">
        <f t="shared" si="517"/>
        <v>8093620056</v>
      </c>
      <c r="T339" s="158">
        <v>8078620056</v>
      </c>
      <c r="U339" s="143"/>
      <c r="V339" s="147">
        <v>15000000</v>
      </c>
      <c r="W339" s="143"/>
      <c r="X339" s="143"/>
      <c r="Y339" s="152">
        <f t="shared" ref="Y339:AB339" si="659">AD339-T339</f>
        <v>0</v>
      </c>
      <c r="Z339" s="151">
        <f t="shared" si="659"/>
        <v>0</v>
      </c>
      <c r="AA339" s="151">
        <f t="shared" si="659"/>
        <v>0</v>
      </c>
      <c r="AB339" s="151">
        <f t="shared" si="659"/>
        <v>0</v>
      </c>
      <c r="AC339" s="143"/>
      <c r="AD339" s="149">
        <v>8078620056</v>
      </c>
      <c r="AE339" s="150"/>
      <c r="AF339" s="148">
        <v>15000000</v>
      </c>
      <c r="AG339" s="150"/>
      <c r="AH339" s="143">
        <f t="shared" si="519"/>
        <v>0</v>
      </c>
      <c r="AI339" s="151"/>
      <c r="AJ339" s="151">
        <f t="shared" ref="AJ339:AL339" si="660">P339-AE339</f>
        <v>0</v>
      </c>
      <c r="AK339" s="151">
        <f t="shared" si="660"/>
        <v>0</v>
      </c>
      <c r="AL339" s="151">
        <f t="shared" si="660"/>
        <v>0</v>
      </c>
      <c r="AM339" s="145"/>
      <c r="AN339" s="139"/>
      <c r="AO339" s="139"/>
      <c r="AP339" s="139"/>
      <c r="AQ339" s="145"/>
      <c r="AR339" s="145"/>
    </row>
    <row r="340" spans="1:44" s="156" customFormat="1" ht="47.25" x14ac:dyDescent="0.25">
      <c r="A340" s="143" t="s">
        <v>60</v>
      </c>
      <c r="B340" s="144">
        <v>327</v>
      </c>
      <c r="C340" s="143" t="s">
        <v>37</v>
      </c>
      <c r="D340" s="143" t="s">
        <v>2260</v>
      </c>
      <c r="E340" s="145" t="s">
        <v>1132</v>
      </c>
      <c r="F340" s="146"/>
      <c r="G340" s="143" t="s">
        <v>2261</v>
      </c>
      <c r="H340" s="143"/>
      <c r="I340" s="143"/>
      <c r="J340" s="143"/>
      <c r="K340" s="143"/>
      <c r="L340" s="143" t="s">
        <v>2262</v>
      </c>
      <c r="M340" s="143" t="s">
        <v>43</v>
      </c>
      <c r="N340" s="143" t="s">
        <v>2263</v>
      </c>
      <c r="O340" s="147">
        <v>2028942168</v>
      </c>
      <c r="P340" s="148">
        <v>396202200</v>
      </c>
      <c r="Q340" s="148">
        <v>7500000</v>
      </c>
      <c r="R340" s="150"/>
      <c r="S340" s="147">
        <f t="shared" si="517"/>
        <v>2432644368</v>
      </c>
      <c r="T340" s="158">
        <v>2028942168</v>
      </c>
      <c r="U340" s="158">
        <v>396202200</v>
      </c>
      <c r="V340" s="157"/>
      <c r="W340" s="143"/>
      <c r="X340" s="143"/>
      <c r="Y340" s="152">
        <f t="shared" ref="Y340:AB340" si="661">AD340-T340</f>
        <v>0</v>
      </c>
      <c r="Z340" s="151">
        <f t="shared" si="661"/>
        <v>0</v>
      </c>
      <c r="AA340" s="151">
        <f t="shared" si="661"/>
        <v>0</v>
      </c>
      <c r="AB340" s="151">
        <f t="shared" si="661"/>
        <v>0</v>
      </c>
      <c r="AC340" s="143"/>
      <c r="AD340" s="149">
        <v>2028942168</v>
      </c>
      <c r="AE340" s="148">
        <v>396202200</v>
      </c>
      <c r="AF340" s="150"/>
      <c r="AG340" s="150"/>
      <c r="AH340" s="143">
        <f t="shared" si="519"/>
        <v>0</v>
      </c>
      <c r="AI340" s="151"/>
      <c r="AJ340" s="151">
        <f t="shared" ref="AJ340:AL340" si="662">P340-AE340</f>
        <v>0</v>
      </c>
      <c r="AK340" s="151">
        <f t="shared" si="662"/>
        <v>7500000</v>
      </c>
      <c r="AL340" s="151">
        <f t="shared" si="662"/>
        <v>0</v>
      </c>
      <c r="AM340" s="145"/>
      <c r="AN340" s="139"/>
      <c r="AO340" s="139"/>
      <c r="AP340" s="168" t="s">
        <v>1579</v>
      </c>
      <c r="AQ340" s="145"/>
      <c r="AR340" s="145"/>
    </row>
    <row r="341" spans="1:44" s="156" customFormat="1" ht="47.25" x14ac:dyDescent="0.25">
      <c r="A341" s="143" t="s">
        <v>60</v>
      </c>
      <c r="B341" s="144">
        <v>328</v>
      </c>
      <c r="C341" s="143" t="s">
        <v>37</v>
      </c>
      <c r="D341" s="143" t="s">
        <v>2264</v>
      </c>
      <c r="E341" s="145"/>
      <c r="F341" s="146"/>
      <c r="G341" s="143" t="s">
        <v>2265</v>
      </c>
      <c r="H341" s="143"/>
      <c r="I341" s="143" t="s">
        <v>2266</v>
      </c>
      <c r="J341" s="143"/>
      <c r="K341" s="143"/>
      <c r="L341" s="143" t="s">
        <v>2267</v>
      </c>
      <c r="M341" s="143" t="s">
        <v>43</v>
      </c>
      <c r="N341" s="143" t="s">
        <v>2268</v>
      </c>
      <c r="O341" s="147">
        <v>2166823187</v>
      </c>
      <c r="P341" s="150"/>
      <c r="Q341" s="148">
        <v>15000000</v>
      </c>
      <c r="R341" s="150"/>
      <c r="S341" s="147">
        <f t="shared" si="517"/>
        <v>2181823187</v>
      </c>
      <c r="T341" s="158">
        <v>2166823187</v>
      </c>
      <c r="U341" s="143"/>
      <c r="V341" s="147">
        <v>15000000</v>
      </c>
      <c r="W341" s="143"/>
      <c r="X341" s="143"/>
      <c r="Y341" s="152">
        <f t="shared" ref="Y341:AB341" si="663">AD341-T341</f>
        <v>0</v>
      </c>
      <c r="Z341" s="151">
        <f t="shared" si="663"/>
        <v>0</v>
      </c>
      <c r="AA341" s="151">
        <f t="shared" si="663"/>
        <v>0</v>
      </c>
      <c r="AB341" s="152">
        <f t="shared" si="663"/>
        <v>0</v>
      </c>
      <c r="AC341" s="143"/>
      <c r="AD341" s="149">
        <v>2166823187</v>
      </c>
      <c r="AE341" s="150"/>
      <c r="AF341" s="148">
        <v>15000000</v>
      </c>
      <c r="AG341" s="155"/>
      <c r="AH341" s="143">
        <f t="shared" si="519"/>
        <v>0</v>
      </c>
      <c r="AI341" s="151"/>
      <c r="AJ341" s="151">
        <f t="shared" ref="AJ341:AL341" si="664">P341-AE341</f>
        <v>0</v>
      </c>
      <c r="AK341" s="151">
        <f t="shared" si="664"/>
        <v>0</v>
      </c>
      <c r="AL341" s="151">
        <f t="shared" si="664"/>
        <v>0</v>
      </c>
      <c r="AM341" s="145"/>
      <c r="AN341" s="139"/>
      <c r="AO341" s="139"/>
      <c r="AP341" s="139"/>
      <c r="AQ341" s="145"/>
      <c r="AR341" s="145"/>
    </row>
    <row r="342" spans="1:44" s="156" customFormat="1" ht="47.25" x14ac:dyDescent="0.25">
      <c r="A342" s="143" t="s">
        <v>46</v>
      </c>
      <c r="B342" s="144">
        <v>329</v>
      </c>
      <c r="C342" s="143" t="s">
        <v>37</v>
      </c>
      <c r="D342" s="143" t="s">
        <v>2269</v>
      </c>
      <c r="E342" s="145"/>
      <c r="F342" s="146"/>
      <c r="G342" s="143" t="s">
        <v>2270</v>
      </c>
      <c r="H342" s="143"/>
      <c r="I342" s="143"/>
      <c r="J342" s="143"/>
      <c r="K342" s="143"/>
      <c r="L342" s="143" t="s">
        <v>2271</v>
      </c>
      <c r="M342" s="143" t="s">
        <v>43</v>
      </c>
      <c r="N342" s="143" t="s">
        <v>2272</v>
      </c>
      <c r="O342" s="147">
        <v>5427333000</v>
      </c>
      <c r="P342" s="150"/>
      <c r="Q342" s="148">
        <v>7500000</v>
      </c>
      <c r="R342" s="150"/>
      <c r="S342" s="147">
        <f t="shared" si="517"/>
        <v>5434833000</v>
      </c>
      <c r="T342" s="158">
        <v>5427333000</v>
      </c>
      <c r="U342" s="143"/>
      <c r="V342" s="147">
        <v>7500000</v>
      </c>
      <c r="W342" s="143"/>
      <c r="X342" s="143"/>
      <c r="Y342" s="151">
        <f t="shared" ref="Y342:AB342" si="665">AD342-T342</f>
        <v>0</v>
      </c>
      <c r="Z342" s="151">
        <f t="shared" si="665"/>
        <v>0</v>
      </c>
      <c r="AA342" s="151">
        <f t="shared" si="665"/>
        <v>0</v>
      </c>
      <c r="AB342" s="151">
        <f t="shared" si="665"/>
        <v>0</v>
      </c>
      <c r="AC342" s="143"/>
      <c r="AD342" s="148">
        <v>5427333000</v>
      </c>
      <c r="AE342" s="150"/>
      <c r="AF342" s="148">
        <v>7500000</v>
      </c>
      <c r="AG342" s="150"/>
      <c r="AH342" s="143">
        <f t="shared" si="519"/>
        <v>0</v>
      </c>
      <c r="AI342" s="151"/>
      <c r="AJ342" s="151">
        <f t="shared" ref="AJ342:AL342" si="666">P342-AE342</f>
        <v>0</v>
      </c>
      <c r="AK342" s="151">
        <f t="shared" si="666"/>
        <v>0</v>
      </c>
      <c r="AL342" s="151">
        <f t="shared" si="666"/>
        <v>0</v>
      </c>
      <c r="AM342" s="145"/>
      <c r="AN342" s="139"/>
      <c r="AO342" s="139"/>
      <c r="AP342" s="139"/>
      <c r="AQ342" s="145"/>
      <c r="AR342" s="145"/>
    </row>
    <row r="343" spans="1:44" s="156" customFormat="1" ht="47.25" x14ac:dyDescent="0.25">
      <c r="A343" s="143" t="s">
        <v>46</v>
      </c>
      <c r="B343" s="144">
        <v>330</v>
      </c>
      <c r="C343" s="143" t="s">
        <v>37</v>
      </c>
      <c r="D343" s="143" t="s">
        <v>2273</v>
      </c>
      <c r="E343" s="145"/>
      <c r="F343" s="146"/>
      <c r="G343" s="143" t="s">
        <v>2274</v>
      </c>
      <c r="H343" s="143"/>
      <c r="I343" s="143"/>
      <c r="J343" s="143"/>
      <c r="K343" s="143"/>
      <c r="L343" s="143" t="s">
        <v>2275</v>
      </c>
      <c r="M343" s="143" t="s">
        <v>43</v>
      </c>
      <c r="N343" s="143" t="s">
        <v>2276</v>
      </c>
      <c r="O343" s="147">
        <v>1292171692</v>
      </c>
      <c r="P343" s="150"/>
      <c r="Q343" s="148">
        <v>7500000</v>
      </c>
      <c r="R343" s="150"/>
      <c r="S343" s="147">
        <f t="shared" si="517"/>
        <v>1299671692</v>
      </c>
      <c r="T343" s="158">
        <v>1292171692</v>
      </c>
      <c r="U343" s="143"/>
      <c r="V343" s="147">
        <v>7500000</v>
      </c>
      <c r="W343" s="143"/>
      <c r="X343" s="143"/>
      <c r="Y343" s="152">
        <f t="shared" ref="Y343:AB343" si="667">AD343-T343</f>
        <v>0</v>
      </c>
      <c r="Z343" s="151">
        <f t="shared" si="667"/>
        <v>0</v>
      </c>
      <c r="AA343" s="151">
        <f t="shared" si="667"/>
        <v>0</v>
      </c>
      <c r="AB343" s="152">
        <f t="shared" si="667"/>
        <v>0</v>
      </c>
      <c r="AC343" s="143"/>
      <c r="AD343" s="149">
        <v>1292171692</v>
      </c>
      <c r="AE343" s="150"/>
      <c r="AF343" s="148">
        <v>7500000</v>
      </c>
      <c r="AG343" s="155"/>
      <c r="AH343" s="143">
        <f t="shared" si="519"/>
        <v>0</v>
      </c>
      <c r="AI343" s="151"/>
      <c r="AJ343" s="151">
        <f t="shared" ref="AJ343:AL343" si="668">P343-AE343</f>
        <v>0</v>
      </c>
      <c r="AK343" s="151">
        <f t="shared" si="668"/>
        <v>0</v>
      </c>
      <c r="AL343" s="151">
        <f t="shared" si="668"/>
        <v>0</v>
      </c>
      <c r="AM343" s="145"/>
      <c r="AN343" s="139"/>
      <c r="AO343" s="139"/>
      <c r="AP343" s="139"/>
      <c r="AQ343" s="145"/>
      <c r="AR343" s="145"/>
    </row>
    <row r="344" spans="1:44" s="156" customFormat="1" ht="47.25" x14ac:dyDescent="0.25">
      <c r="A344" s="143" t="s">
        <v>46</v>
      </c>
      <c r="B344" s="144">
        <v>331</v>
      </c>
      <c r="C344" s="143" t="s">
        <v>37</v>
      </c>
      <c r="D344" s="143" t="s">
        <v>2277</v>
      </c>
      <c r="E344" s="145" t="s">
        <v>1923</v>
      </c>
      <c r="F344" s="146"/>
      <c r="G344" s="143" t="s">
        <v>2278</v>
      </c>
      <c r="H344" s="143"/>
      <c r="I344" s="143"/>
      <c r="J344" s="143"/>
      <c r="K344" s="143"/>
      <c r="L344" s="143" t="s">
        <v>2279</v>
      </c>
      <c r="M344" s="143" t="s">
        <v>43</v>
      </c>
      <c r="N344" s="143" t="s">
        <v>2280</v>
      </c>
      <c r="O344" s="147">
        <v>6687219200</v>
      </c>
      <c r="P344" s="148">
        <v>415250000</v>
      </c>
      <c r="Q344" s="148">
        <v>7500000</v>
      </c>
      <c r="R344" s="150"/>
      <c r="S344" s="147">
        <f t="shared" si="517"/>
        <v>7109969200</v>
      </c>
      <c r="T344" s="158">
        <v>6687219200</v>
      </c>
      <c r="U344" s="158">
        <v>415250000</v>
      </c>
      <c r="V344" s="147">
        <v>7500000</v>
      </c>
      <c r="W344" s="143"/>
      <c r="X344" s="143"/>
      <c r="Y344" s="152">
        <f t="shared" ref="Y344:AB344" si="669">AD344-T344</f>
        <v>0</v>
      </c>
      <c r="Z344" s="151">
        <f t="shared" si="669"/>
        <v>0</v>
      </c>
      <c r="AA344" s="151">
        <f t="shared" si="669"/>
        <v>0</v>
      </c>
      <c r="AB344" s="152">
        <f t="shared" si="669"/>
        <v>0</v>
      </c>
      <c r="AC344" s="143"/>
      <c r="AD344" s="149">
        <v>6687219200</v>
      </c>
      <c r="AE344" s="148">
        <v>415250000</v>
      </c>
      <c r="AF344" s="148">
        <v>7500000</v>
      </c>
      <c r="AG344" s="155"/>
      <c r="AH344" s="143">
        <f t="shared" si="519"/>
        <v>0</v>
      </c>
      <c r="AI344" s="151"/>
      <c r="AJ344" s="151">
        <f t="shared" ref="AJ344:AL344" si="670">P344-AE344</f>
        <v>0</v>
      </c>
      <c r="AK344" s="151">
        <f t="shared" si="670"/>
        <v>0</v>
      </c>
      <c r="AL344" s="151">
        <f t="shared" si="670"/>
        <v>0</v>
      </c>
      <c r="AM344" s="145"/>
      <c r="AN344" s="139"/>
      <c r="AO344" s="139"/>
      <c r="AP344" s="139"/>
      <c r="AQ344" s="145"/>
      <c r="AR344" s="145"/>
    </row>
    <row r="345" spans="1:44" s="156" customFormat="1" ht="47.25" x14ac:dyDescent="0.25">
      <c r="A345" s="143" t="s">
        <v>60</v>
      </c>
      <c r="B345" s="144">
        <v>332</v>
      </c>
      <c r="C345" s="143" t="s">
        <v>37</v>
      </c>
      <c r="D345" s="143" t="s">
        <v>2281</v>
      </c>
      <c r="E345" s="145"/>
      <c r="F345" s="146"/>
      <c r="G345" s="143" t="s">
        <v>2282</v>
      </c>
      <c r="H345" s="143"/>
      <c r="I345" s="143"/>
      <c r="J345" s="143"/>
      <c r="K345" s="143"/>
      <c r="L345" s="143" t="s">
        <v>2283</v>
      </c>
      <c r="M345" s="143" t="s">
        <v>43</v>
      </c>
      <c r="N345" s="143" t="s">
        <v>2284</v>
      </c>
      <c r="O345" s="147">
        <v>1954058966</v>
      </c>
      <c r="P345" s="150"/>
      <c r="Q345" s="148">
        <v>15000000</v>
      </c>
      <c r="R345" s="150"/>
      <c r="S345" s="147">
        <f t="shared" si="517"/>
        <v>1969058966</v>
      </c>
      <c r="T345" s="158">
        <v>1954058966</v>
      </c>
      <c r="U345" s="143"/>
      <c r="V345" s="147">
        <v>15000000</v>
      </c>
      <c r="W345" s="143"/>
      <c r="X345" s="143"/>
      <c r="Y345" s="152">
        <f t="shared" ref="Y345:AB345" si="671">AD345-T345</f>
        <v>0</v>
      </c>
      <c r="Z345" s="151">
        <f t="shared" si="671"/>
        <v>0</v>
      </c>
      <c r="AA345" s="151">
        <f t="shared" si="671"/>
        <v>0</v>
      </c>
      <c r="AB345" s="151">
        <f t="shared" si="671"/>
        <v>0</v>
      </c>
      <c r="AC345" s="143"/>
      <c r="AD345" s="149">
        <v>1954058966</v>
      </c>
      <c r="AE345" s="150"/>
      <c r="AF345" s="148">
        <v>15000000</v>
      </c>
      <c r="AG345" s="150"/>
      <c r="AH345" s="143">
        <f t="shared" si="519"/>
        <v>0</v>
      </c>
      <c r="AI345" s="151"/>
      <c r="AJ345" s="151">
        <f t="shared" ref="AJ345:AL345" si="672">P345-AE345</f>
        <v>0</v>
      </c>
      <c r="AK345" s="151">
        <f t="shared" si="672"/>
        <v>0</v>
      </c>
      <c r="AL345" s="151">
        <f t="shared" si="672"/>
        <v>0</v>
      </c>
      <c r="AM345" s="145"/>
      <c r="AN345" s="139"/>
      <c r="AO345" s="139"/>
      <c r="AP345" s="139"/>
      <c r="AQ345" s="145"/>
      <c r="AR345" s="145"/>
    </row>
    <row r="346" spans="1:44" s="156" customFormat="1" ht="47.25" x14ac:dyDescent="0.25">
      <c r="A346" s="143" t="s">
        <v>46</v>
      </c>
      <c r="B346" s="144">
        <v>333</v>
      </c>
      <c r="C346" s="143" t="s">
        <v>37</v>
      </c>
      <c r="D346" s="143" t="s">
        <v>2285</v>
      </c>
      <c r="E346" s="145"/>
      <c r="F346" s="146"/>
      <c r="G346" s="143" t="s">
        <v>2286</v>
      </c>
      <c r="H346" s="143"/>
      <c r="I346" s="143"/>
      <c r="J346" s="143"/>
      <c r="K346" s="143"/>
      <c r="L346" s="143" t="s">
        <v>2287</v>
      </c>
      <c r="M346" s="143" t="s">
        <v>43</v>
      </c>
      <c r="N346" s="143" t="s">
        <v>2288</v>
      </c>
      <c r="O346" s="147">
        <v>2411362824</v>
      </c>
      <c r="P346" s="150"/>
      <c r="Q346" s="148">
        <v>7500000</v>
      </c>
      <c r="R346" s="150"/>
      <c r="S346" s="147">
        <f t="shared" si="517"/>
        <v>2418862824</v>
      </c>
      <c r="T346" s="158">
        <v>2411362824</v>
      </c>
      <c r="U346" s="143"/>
      <c r="V346" s="147">
        <v>7500000</v>
      </c>
      <c r="W346" s="143"/>
      <c r="X346" s="143"/>
      <c r="Y346" s="152">
        <f t="shared" ref="Y346:AB346" si="673">AD346-T346</f>
        <v>0</v>
      </c>
      <c r="Z346" s="151">
        <f t="shared" si="673"/>
        <v>0</v>
      </c>
      <c r="AA346" s="151">
        <f t="shared" si="673"/>
        <v>0</v>
      </c>
      <c r="AB346" s="151">
        <f t="shared" si="673"/>
        <v>0</v>
      </c>
      <c r="AC346" s="143"/>
      <c r="AD346" s="149">
        <v>2411362824</v>
      </c>
      <c r="AE346" s="150"/>
      <c r="AF346" s="148">
        <v>7500000</v>
      </c>
      <c r="AG346" s="150"/>
      <c r="AH346" s="143">
        <f t="shared" si="519"/>
        <v>0</v>
      </c>
      <c r="AI346" s="151"/>
      <c r="AJ346" s="151">
        <f t="shared" ref="AJ346:AL346" si="674">P346-AE346</f>
        <v>0</v>
      </c>
      <c r="AK346" s="151">
        <f t="shared" si="674"/>
        <v>0</v>
      </c>
      <c r="AL346" s="151">
        <f t="shared" si="674"/>
        <v>0</v>
      </c>
      <c r="AM346" s="145"/>
      <c r="AN346" s="139"/>
      <c r="AO346" s="139"/>
      <c r="AP346" s="139"/>
      <c r="AQ346" s="145"/>
      <c r="AR346" s="145"/>
    </row>
    <row r="347" spans="1:44" s="156" customFormat="1" ht="47.25" x14ac:dyDescent="0.25">
      <c r="A347" s="143" t="s">
        <v>46</v>
      </c>
      <c r="B347" s="144">
        <v>334</v>
      </c>
      <c r="C347" s="143" t="s">
        <v>37</v>
      </c>
      <c r="D347" s="143" t="s">
        <v>2289</v>
      </c>
      <c r="E347" s="145"/>
      <c r="F347" s="146"/>
      <c r="G347" s="143" t="s">
        <v>2290</v>
      </c>
      <c r="H347" s="143"/>
      <c r="I347" s="143"/>
      <c r="J347" s="143"/>
      <c r="K347" s="143"/>
      <c r="L347" s="143" t="s">
        <v>2291</v>
      </c>
      <c r="M347" s="143" t="s">
        <v>43</v>
      </c>
      <c r="N347" s="143" t="s">
        <v>2292</v>
      </c>
      <c r="O347" s="147">
        <v>1176308218</v>
      </c>
      <c r="P347" s="150"/>
      <c r="Q347" s="148">
        <v>7500000</v>
      </c>
      <c r="R347" s="150"/>
      <c r="S347" s="147">
        <f t="shared" si="517"/>
        <v>1183808218</v>
      </c>
      <c r="T347" s="158">
        <v>1176308218</v>
      </c>
      <c r="U347" s="143"/>
      <c r="V347" s="147">
        <v>7500000</v>
      </c>
      <c r="W347" s="143"/>
      <c r="X347" s="143"/>
      <c r="Y347" s="152">
        <f t="shared" ref="Y347:AB347" si="675">AD347-T347</f>
        <v>0</v>
      </c>
      <c r="Z347" s="151">
        <f t="shared" si="675"/>
        <v>0</v>
      </c>
      <c r="AA347" s="151">
        <f t="shared" si="675"/>
        <v>0</v>
      </c>
      <c r="AB347" s="152">
        <f t="shared" si="675"/>
        <v>0</v>
      </c>
      <c r="AC347" s="143"/>
      <c r="AD347" s="149">
        <v>1176308218</v>
      </c>
      <c r="AE347" s="150"/>
      <c r="AF347" s="148">
        <v>7500000</v>
      </c>
      <c r="AG347" s="155"/>
      <c r="AH347" s="143">
        <f t="shared" si="519"/>
        <v>0</v>
      </c>
      <c r="AI347" s="151"/>
      <c r="AJ347" s="151">
        <f t="shared" ref="AJ347:AL347" si="676">P347-AE347</f>
        <v>0</v>
      </c>
      <c r="AK347" s="151">
        <f t="shared" si="676"/>
        <v>0</v>
      </c>
      <c r="AL347" s="151">
        <f t="shared" si="676"/>
        <v>0</v>
      </c>
      <c r="AM347" s="145"/>
      <c r="AN347" s="139"/>
      <c r="AO347" s="139"/>
      <c r="AP347" s="139"/>
      <c r="AQ347" s="145"/>
      <c r="AR347" s="145"/>
    </row>
    <row r="348" spans="1:44" s="156" customFormat="1" ht="47.25" x14ac:dyDescent="0.25">
      <c r="A348" s="143" t="s">
        <v>35</v>
      </c>
      <c r="B348" s="144">
        <v>335</v>
      </c>
      <c r="C348" s="143" t="s">
        <v>37</v>
      </c>
      <c r="D348" s="143" t="s">
        <v>2293</v>
      </c>
      <c r="E348" s="145" t="s">
        <v>2294</v>
      </c>
      <c r="F348" s="146"/>
      <c r="G348" s="143" t="s">
        <v>2295</v>
      </c>
      <c r="H348" s="143" t="s">
        <v>2296</v>
      </c>
      <c r="I348" s="143"/>
      <c r="J348" s="143"/>
      <c r="K348" s="143"/>
      <c r="L348" s="143" t="s">
        <v>2297</v>
      </c>
      <c r="M348" s="143" t="s">
        <v>43</v>
      </c>
      <c r="N348" s="143" t="s">
        <v>2298</v>
      </c>
      <c r="O348" s="147">
        <v>768083200</v>
      </c>
      <c r="P348" s="148">
        <v>1230901182</v>
      </c>
      <c r="Q348" s="148">
        <v>15000000</v>
      </c>
      <c r="R348" s="150"/>
      <c r="S348" s="147">
        <f t="shared" si="517"/>
        <v>2013984382</v>
      </c>
      <c r="T348" s="158">
        <v>768083200</v>
      </c>
      <c r="U348" s="158">
        <v>1230901182</v>
      </c>
      <c r="V348" s="147">
        <v>15000000</v>
      </c>
      <c r="W348" s="143"/>
      <c r="X348" s="143"/>
      <c r="Y348" s="152">
        <f t="shared" ref="Y348:AB348" si="677">AD348-T348</f>
        <v>0</v>
      </c>
      <c r="Z348" s="151">
        <f t="shared" si="677"/>
        <v>0</v>
      </c>
      <c r="AA348" s="151">
        <f t="shared" si="677"/>
        <v>0</v>
      </c>
      <c r="AB348" s="151">
        <f t="shared" si="677"/>
        <v>0</v>
      </c>
      <c r="AC348" s="143"/>
      <c r="AD348" s="149">
        <v>768083200</v>
      </c>
      <c r="AE348" s="148">
        <v>1230901182</v>
      </c>
      <c r="AF348" s="148">
        <v>15000000</v>
      </c>
      <c r="AG348" s="150"/>
      <c r="AH348" s="143">
        <f t="shared" si="519"/>
        <v>0</v>
      </c>
      <c r="AI348" s="151"/>
      <c r="AJ348" s="151">
        <f t="shared" ref="AJ348:AL348" si="678">P348-AE348</f>
        <v>0</v>
      </c>
      <c r="AK348" s="151">
        <f t="shared" si="678"/>
        <v>0</v>
      </c>
      <c r="AL348" s="151">
        <f t="shared" si="678"/>
        <v>0</v>
      </c>
      <c r="AM348" s="145"/>
      <c r="AN348" s="139"/>
      <c r="AO348" s="139"/>
      <c r="AP348" s="139"/>
      <c r="AQ348" s="145"/>
      <c r="AR348" s="145"/>
    </row>
    <row r="349" spans="1:44" s="156" customFormat="1" ht="47.25" x14ac:dyDescent="0.25">
      <c r="A349" s="143" t="s">
        <v>52</v>
      </c>
      <c r="B349" s="144">
        <v>336</v>
      </c>
      <c r="C349" s="143" t="s">
        <v>37</v>
      </c>
      <c r="D349" s="143" t="s">
        <v>2299</v>
      </c>
      <c r="E349" s="145"/>
      <c r="F349" s="146"/>
      <c r="G349" s="143" t="s">
        <v>2300</v>
      </c>
      <c r="H349" s="143"/>
      <c r="I349" s="143"/>
      <c r="J349" s="143"/>
      <c r="K349" s="143"/>
      <c r="L349" s="143" t="s">
        <v>2301</v>
      </c>
      <c r="M349" s="143" t="s">
        <v>43</v>
      </c>
      <c r="N349" s="143" t="s">
        <v>2302</v>
      </c>
      <c r="O349" s="147"/>
      <c r="P349" s="150"/>
      <c r="Q349" s="148">
        <v>7500000</v>
      </c>
      <c r="R349" s="150"/>
      <c r="S349" s="147">
        <f t="shared" si="517"/>
        <v>7500000</v>
      </c>
      <c r="T349" s="144">
        <v>0</v>
      </c>
      <c r="U349" s="143"/>
      <c r="V349" s="147">
        <v>7500000</v>
      </c>
      <c r="W349" s="143"/>
      <c r="X349" s="143"/>
      <c r="Y349" s="143">
        <f t="shared" ref="Y349:AB349" si="679">AD349-T349</f>
        <v>0</v>
      </c>
      <c r="Z349" s="151">
        <f t="shared" si="679"/>
        <v>0</v>
      </c>
      <c r="AA349" s="151">
        <f t="shared" si="679"/>
        <v>0</v>
      </c>
      <c r="AB349" s="152">
        <f t="shared" si="679"/>
        <v>0</v>
      </c>
      <c r="AC349" s="143"/>
      <c r="AD349" s="175">
        <v>0</v>
      </c>
      <c r="AE349" s="150"/>
      <c r="AF349" s="148">
        <v>7500000</v>
      </c>
      <c r="AG349" s="155"/>
      <c r="AH349" s="143">
        <f t="shared" si="519"/>
        <v>0</v>
      </c>
      <c r="AI349" s="151"/>
      <c r="AJ349" s="151">
        <f t="shared" ref="AJ349:AL349" si="680">P349-AE349</f>
        <v>0</v>
      </c>
      <c r="AK349" s="151">
        <f t="shared" si="680"/>
        <v>0</v>
      </c>
      <c r="AL349" s="151">
        <f t="shared" si="680"/>
        <v>0</v>
      </c>
      <c r="AM349" s="145"/>
      <c r="AN349" s="139"/>
      <c r="AO349" s="139"/>
      <c r="AP349" s="139"/>
      <c r="AQ349" s="145"/>
      <c r="AR349" s="145"/>
    </row>
    <row r="350" spans="1:44" s="156" customFormat="1" ht="47.25" x14ac:dyDescent="0.25">
      <c r="A350" s="143" t="s">
        <v>35</v>
      </c>
      <c r="B350" s="144">
        <v>337</v>
      </c>
      <c r="C350" s="143" t="s">
        <v>37</v>
      </c>
      <c r="D350" s="143" t="s">
        <v>2303</v>
      </c>
      <c r="E350" s="145"/>
      <c r="F350" s="146"/>
      <c r="G350" s="143" t="s">
        <v>2304</v>
      </c>
      <c r="H350" s="143"/>
      <c r="I350" s="143"/>
      <c r="J350" s="143"/>
      <c r="K350" s="143"/>
      <c r="L350" s="143" t="s">
        <v>2305</v>
      </c>
      <c r="M350" s="143" t="s">
        <v>43</v>
      </c>
      <c r="N350" s="143" t="s">
        <v>2306</v>
      </c>
      <c r="O350" s="147">
        <v>486048836</v>
      </c>
      <c r="P350" s="150"/>
      <c r="Q350" s="148">
        <v>7500000</v>
      </c>
      <c r="R350" s="150"/>
      <c r="S350" s="147">
        <f t="shared" si="517"/>
        <v>493548836</v>
      </c>
      <c r="T350" s="158">
        <v>486048836</v>
      </c>
      <c r="U350" s="143"/>
      <c r="V350" s="147">
        <v>7500000</v>
      </c>
      <c r="W350" s="143"/>
      <c r="X350" s="143"/>
      <c r="Y350" s="152">
        <f t="shared" ref="Y350:AB350" si="681">AD350-T350</f>
        <v>0</v>
      </c>
      <c r="Z350" s="151">
        <f t="shared" si="681"/>
        <v>0</v>
      </c>
      <c r="AA350" s="151">
        <f t="shared" si="681"/>
        <v>0</v>
      </c>
      <c r="AB350" s="151">
        <f t="shared" si="681"/>
        <v>0</v>
      </c>
      <c r="AC350" s="143"/>
      <c r="AD350" s="149">
        <v>486048836</v>
      </c>
      <c r="AE350" s="150"/>
      <c r="AF350" s="148">
        <v>7500000</v>
      </c>
      <c r="AG350" s="150"/>
      <c r="AH350" s="143">
        <f t="shared" si="519"/>
        <v>0</v>
      </c>
      <c r="AI350" s="151"/>
      <c r="AJ350" s="151">
        <f t="shared" ref="AJ350:AL350" si="682">P350-AE350</f>
        <v>0</v>
      </c>
      <c r="AK350" s="151">
        <f t="shared" si="682"/>
        <v>0</v>
      </c>
      <c r="AL350" s="151">
        <f t="shared" si="682"/>
        <v>0</v>
      </c>
      <c r="AM350" s="145"/>
      <c r="AN350" s="139"/>
      <c r="AO350" s="139"/>
      <c r="AP350" s="139"/>
      <c r="AQ350" s="145"/>
      <c r="AR350" s="145"/>
    </row>
    <row r="351" spans="1:44" s="156" customFormat="1" ht="110.25" x14ac:dyDescent="0.25">
      <c r="A351" s="143" t="s">
        <v>60</v>
      </c>
      <c r="B351" s="175">
        <v>338</v>
      </c>
      <c r="C351" s="145" t="s">
        <v>37</v>
      </c>
      <c r="D351" s="143" t="s">
        <v>818</v>
      </c>
      <c r="E351" s="145" t="s">
        <v>821</v>
      </c>
      <c r="F351" s="145" t="s">
        <v>3115</v>
      </c>
      <c r="G351" s="145" t="s">
        <v>824</v>
      </c>
      <c r="H351" s="145" t="s">
        <v>825</v>
      </c>
      <c r="I351" s="145"/>
      <c r="J351" s="145"/>
      <c r="K351" s="146"/>
      <c r="L351" s="145" t="s">
        <v>826</v>
      </c>
      <c r="M351" s="145" t="s">
        <v>43</v>
      </c>
      <c r="N351" s="145" t="s">
        <v>827</v>
      </c>
      <c r="O351" s="147">
        <v>6891800904</v>
      </c>
      <c r="P351" s="148">
        <f>24484800+366262190</f>
        <v>390746990</v>
      </c>
      <c r="Q351" s="148">
        <f>7500000+7500000</f>
        <v>15000000</v>
      </c>
      <c r="R351" s="148">
        <f>48000000+48000000</f>
        <v>96000000</v>
      </c>
      <c r="S351" s="147">
        <f t="shared" si="517"/>
        <v>7393547894</v>
      </c>
      <c r="T351" s="158">
        <v>6891800904</v>
      </c>
      <c r="U351" s="158">
        <v>390746990</v>
      </c>
      <c r="V351" s="157"/>
      <c r="W351" s="151">
        <v>48000000</v>
      </c>
      <c r="X351" s="143"/>
      <c r="Y351" s="152">
        <f t="shared" ref="Y351:AB351" si="683">AD351-T351</f>
        <v>0</v>
      </c>
      <c r="Z351" s="151">
        <f t="shared" si="683"/>
        <v>0</v>
      </c>
      <c r="AA351" s="151">
        <f t="shared" si="683"/>
        <v>0</v>
      </c>
      <c r="AB351" s="151">
        <f t="shared" si="683"/>
        <v>0</v>
      </c>
      <c r="AC351" s="165"/>
      <c r="AD351" s="149">
        <v>6891800904</v>
      </c>
      <c r="AE351" s="148">
        <f>24484800+366262190</f>
        <v>390746990</v>
      </c>
      <c r="AF351" s="150"/>
      <c r="AG351" s="148">
        <v>48000000</v>
      </c>
      <c r="AH351" s="166">
        <f t="shared" si="519"/>
        <v>0</v>
      </c>
      <c r="AI351" s="151"/>
      <c r="AJ351" s="151">
        <f t="shared" ref="AJ351:AL351" si="684">P351-AE351</f>
        <v>0</v>
      </c>
      <c r="AK351" s="151">
        <f t="shared" si="684"/>
        <v>15000000</v>
      </c>
      <c r="AL351" s="150">
        <f t="shared" si="684"/>
        <v>48000000</v>
      </c>
      <c r="AM351" s="145"/>
      <c r="AN351" s="139"/>
      <c r="AO351" s="139"/>
      <c r="AP351" s="168" t="s">
        <v>3123</v>
      </c>
      <c r="AQ351" s="145" t="s">
        <v>3124</v>
      </c>
      <c r="AR351" s="145"/>
    </row>
    <row r="352" spans="1:44" s="156" customFormat="1" ht="47.25" x14ac:dyDescent="0.25">
      <c r="A352" s="143" t="s">
        <v>35</v>
      </c>
      <c r="B352" s="144">
        <v>339</v>
      </c>
      <c r="C352" s="143" t="s">
        <v>37</v>
      </c>
      <c r="D352" s="143" t="s">
        <v>2307</v>
      </c>
      <c r="E352" s="145"/>
      <c r="F352" s="146"/>
      <c r="G352" s="143" t="s">
        <v>2308</v>
      </c>
      <c r="H352" s="143"/>
      <c r="I352" s="143"/>
      <c r="J352" s="143"/>
      <c r="K352" s="143"/>
      <c r="L352" s="143" t="s">
        <v>2309</v>
      </c>
      <c r="M352" s="143" t="s">
        <v>43</v>
      </c>
      <c r="N352" s="143" t="s">
        <v>2310</v>
      </c>
      <c r="O352" s="147">
        <v>1514795152</v>
      </c>
      <c r="P352" s="150"/>
      <c r="Q352" s="148">
        <v>15000000</v>
      </c>
      <c r="R352" s="150"/>
      <c r="S352" s="147">
        <f t="shared" si="517"/>
        <v>1529795152</v>
      </c>
      <c r="T352" s="158">
        <v>1514795152</v>
      </c>
      <c r="U352" s="143"/>
      <c r="V352" s="147">
        <v>15000000</v>
      </c>
      <c r="W352" s="143"/>
      <c r="X352" s="143"/>
      <c r="Y352" s="152">
        <f t="shared" ref="Y352:AB352" si="685">AD352-T352</f>
        <v>0</v>
      </c>
      <c r="Z352" s="151">
        <f t="shared" si="685"/>
        <v>0</v>
      </c>
      <c r="AA352" s="151">
        <f t="shared" si="685"/>
        <v>0</v>
      </c>
      <c r="AB352" s="151">
        <f t="shared" si="685"/>
        <v>0</v>
      </c>
      <c r="AC352" s="143"/>
      <c r="AD352" s="149">
        <v>1514795152</v>
      </c>
      <c r="AE352" s="150"/>
      <c r="AF352" s="148">
        <v>15000000</v>
      </c>
      <c r="AG352" s="150"/>
      <c r="AH352" s="143">
        <f t="shared" si="519"/>
        <v>0</v>
      </c>
      <c r="AI352" s="151"/>
      <c r="AJ352" s="151">
        <f t="shared" ref="AJ352:AL352" si="686">P352-AE352</f>
        <v>0</v>
      </c>
      <c r="AK352" s="151">
        <f t="shared" si="686"/>
        <v>0</v>
      </c>
      <c r="AL352" s="151">
        <f t="shared" si="686"/>
        <v>0</v>
      </c>
      <c r="AM352" s="145"/>
      <c r="AN352" s="139"/>
      <c r="AO352" s="139"/>
      <c r="AP352" s="139"/>
      <c r="AQ352" s="145"/>
      <c r="AR352" s="145"/>
    </row>
    <row r="353" spans="1:44" s="156" customFormat="1" ht="47.25" x14ac:dyDescent="0.25">
      <c r="A353" s="143" t="s">
        <v>46</v>
      </c>
      <c r="B353" s="144">
        <v>340</v>
      </c>
      <c r="C353" s="143" t="s">
        <v>37</v>
      </c>
      <c r="D353" s="143" t="s">
        <v>2311</v>
      </c>
      <c r="E353" s="145"/>
      <c r="F353" s="146"/>
      <c r="G353" s="143" t="s">
        <v>2312</v>
      </c>
      <c r="H353" s="143"/>
      <c r="I353" s="143"/>
      <c r="J353" s="143"/>
      <c r="K353" s="143"/>
      <c r="L353" s="143" t="s">
        <v>2313</v>
      </c>
      <c r="M353" s="143" t="s">
        <v>43</v>
      </c>
      <c r="N353" s="143" t="s">
        <v>2314</v>
      </c>
      <c r="O353" s="147"/>
      <c r="P353" s="150"/>
      <c r="Q353" s="148">
        <v>7500000</v>
      </c>
      <c r="R353" s="150"/>
      <c r="S353" s="147">
        <f t="shared" si="517"/>
        <v>7500000</v>
      </c>
      <c r="T353" s="144">
        <v>0</v>
      </c>
      <c r="U353" s="143"/>
      <c r="V353" s="157"/>
      <c r="W353" s="143"/>
      <c r="X353" s="143"/>
      <c r="Y353" s="143">
        <f t="shared" ref="Y353:AB353" si="687">AD353-T353</f>
        <v>0</v>
      </c>
      <c r="Z353" s="151">
        <f t="shared" si="687"/>
        <v>0</v>
      </c>
      <c r="AA353" s="151">
        <f t="shared" si="687"/>
        <v>0</v>
      </c>
      <c r="AB353" s="152">
        <f t="shared" si="687"/>
        <v>0</v>
      </c>
      <c r="AC353" s="143"/>
      <c r="AD353" s="175">
        <v>0</v>
      </c>
      <c r="AE353" s="150"/>
      <c r="AF353" s="150"/>
      <c r="AG353" s="155"/>
      <c r="AH353" s="143">
        <f t="shared" si="519"/>
        <v>0</v>
      </c>
      <c r="AI353" s="151"/>
      <c r="AJ353" s="151">
        <f t="shared" ref="AJ353:AL353" si="688">P353-AE353</f>
        <v>0</v>
      </c>
      <c r="AK353" s="151">
        <f t="shared" si="688"/>
        <v>7500000</v>
      </c>
      <c r="AL353" s="151">
        <f t="shared" si="688"/>
        <v>0</v>
      </c>
      <c r="AM353" s="145"/>
      <c r="AN353" s="139"/>
      <c r="AO353" s="139"/>
      <c r="AP353" s="168" t="s">
        <v>1026</v>
      </c>
      <c r="AQ353" s="145"/>
      <c r="AR353" s="145"/>
    </row>
    <row r="354" spans="1:44" s="156" customFormat="1" ht="47.25" x14ac:dyDescent="0.25">
      <c r="A354" s="143" t="s">
        <v>52</v>
      </c>
      <c r="B354" s="144">
        <v>341</v>
      </c>
      <c r="C354" s="143" t="s">
        <v>37</v>
      </c>
      <c r="D354" s="143" t="s">
        <v>200</v>
      </c>
      <c r="E354" s="145"/>
      <c r="F354" s="145" t="s">
        <v>201</v>
      </c>
      <c r="G354" s="143" t="s">
        <v>202</v>
      </c>
      <c r="H354" s="143"/>
      <c r="I354" s="143"/>
      <c r="J354" s="143"/>
      <c r="K354" s="164"/>
      <c r="L354" s="143" t="s">
        <v>203</v>
      </c>
      <c r="M354" s="143" t="s">
        <v>43</v>
      </c>
      <c r="N354" s="143" t="s">
        <v>205</v>
      </c>
      <c r="O354" s="147">
        <v>15179235900</v>
      </c>
      <c r="P354" s="150"/>
      <c r="Q354" s="148">
        <v>15000000</v>
      </c>
      <c r="R354" s="148">
        <v>96000000</v>
      </c>
      <c r="S354" s="147">
        <f t="shared" si="517"/>
        <v>15290235900</v>
      </c>
      <c r="T354" s="158">
        <v>15179235900</v>
      </c>
      <c r="U354" s="143"/>
      <c r="V354" s="147">
        <v>15000000</v>
      </c>
      <c r="W354" s="158">
        <v>96000000</v>
      </c>
      <c r="X354" s="143"/>
      <c r="Y354" s="152">
        <f t="shared" ref="Y354:AB354" si="689">AD354-T354</f>
        <v>0</v>
      </c>
      <c r="Z354" s="151">
        <f t="shared" si="689"/>
        <v>0</v>
      </c>
      <c r="AA354" s="151">
        <f t="shared" si="689"/>
        <v>0</v>
      </c>
      <c r="AB354" s="151">
        <f t="shared" si="689"/>
        <v>0</v>
      </c>
      <c r="AC354" s="143"/>
      <c r="AD354" s="149">
        <v>15179235900</v>
      </c>
      <c r="AE354" s="150"/>
      <c r="AF354" s="148">
        <v>15000000</v>
      </c>
      <c r="AG354" s="148">
        <v>96000000</v>
      </c>
      <c r="AH354" s="143">
        <f t="shared" si="519"/>
        <v>0</v>
      </c>
      <c r="AI354" s="151"/>
      <c r="AJ354" s="151">
        <f t="shared" ref="AJ354:AL354" si="690">P354-AE354</f>
        <v>0</v>
      </c>
      <c r="AK354" s="151">
        <f t="shared" si="690"/>
        <v>0</v>
      </c>
      <c r="AL354" s="151">
        <f t="shared" si="690"/>
        <v>0</v>
      </c>
      <c r="AM354" s="145"/>
      <c r="AN354" s="139"/>
      <c r="AO354" s="139"/>
      <c r="AP354" s="139"/>
      <c r="AQ354" s="145"/>
      <c r="AR354" s="145"/>
    </row>
    <row r="355" spans="1:44" s="156" customFormat="1" ht="47.25" x14ac:dyDescent="0.25">
      <c r="A355" s="143" t="s">
        <v>46</v>
      </c>
      <c r="B355" s="144">
        <v>342</v>
      </c>
      <c r="C355" s="143" t="s">
        <v>37</v>
      </c>
      <c r="D355" s="143" t="s">
        <v>2315</v>
      </c>
      <c r="E355" s="145"/>
      <c r="F355" s="146"/>
      <c r="G355" s="143" t="s">
        <v>2316</v>
      </c>
      <c r="H355" s="143"/>
      <c r="I355" s="143"/>
      <c r="J355" s="143"/>
      <c r="K355" s="143"/>
      <c r="L355" s="143" t="s">
        <v>2317</v>
      </c>
      <c r="M355" s="143" t="s">
        <v>43</v>
      </c>
      <c r="N355" s="143" t="s">
        <v>2318</v>
      </c>
      <c r="O355" s="147">
        <v>938372032</v>
      </c>
      <c r="P355" s="150"/>
      <c r="Q355" s="148">
        <v>15000000</v>
      </c>
      <c r="R355" s="150"/>
      <c r="S355" s="147">
        <f t="shared" si="517"/>
        <v>953372032</v>
      </c>
      <c r="T355" s="158">
        <v>938372032</v>
      </c>
      <c r="U355" s="143"/>
      <c r="V355" s="147">
        <v>15000000</v>
      </c>
      <c r="W355" s="143"/>
      <c r="X355" s="143"/>
      <c r="Y355" s="152">
        <f t="shared" ref="Y355:AB355" si="691">AD355-T355</f>
        <v>0</v>
      </c>
      <c r="Z355" s="151">
        <f t="shared" si="691"/>
        <v>0</v>
      </c>
      <c r="AA355" s="151">
        <f t="shared" si="691"/>
        <v>0</v>
      </c>
      <c r="AB355" s="152">
        <f t="shared" si="691"/>
        <v>0</v>
      </c>
      <c r="AC355" s="143"/>
      <c r="AD355" s="149">
        <v>938372032</v>
      </c>
      <c r="AE355" s="150"/>
      <c r="AF355" s="148">
        <v>15000000</v>
      </c>
      <c r="AG355" s="155"/>
      <c r="AH355" s="143">
        <f t="shared" si="519"/>
        <v>0</v>
      </c>
      <c r="AI355" s="151"/>
      <c r="AJ355" s="151">
        <f t="shared" ref="AJ355:AL355" si="692">P355-AE355</f>
        <v>0</v>
      </c>
      <c r="AK355" s="151">
        <f t="shared" si="692"/>
        <v>0</v>
      </c>
      <c r="AL355" s="151">
        <f t="shared" si="692"/>
        <v>0</v>
      </c>
      <c r="AM355" s="145"/>
      <c r="AN355" s="139"/>
      <c r="AO355" s="139"/>
      <c r="AP355" s="139"/>
      <c r="AQ355" s="145"/>
      <c r="AR355" s="145"/>
    </row>
    <row r="356" spans="1:44" s="156" customFormat="1" ht="47.25" x14ac:dyDescent="0.25">
      <c r="A356" s="143" t="s">
        <v>35</v>
      </c>
      <c r="B356" s="144">
        <v>343</v>
      </c>
      <c r="C356" s="143" t="s">
        <v>37</v>
      </c>
      <c r="D356" s="143" t="s">
        <v>2319</v>
      </c>
      <c r="E356" s="145"/>
      <c r="F356" s="146"/>
      <c r="G356" s="143" t="s">
        <v>2320</v>
      </c>
      <c r="H356" s="143"/>
      <c r="I356" s="143"/>
      <c r="J356" s="143"/>
      <c r="K356" s="143"/>
      <c r="L356" s="143" t="s">
        <v>2321</v>
      </c>
      <c r="M356" s="143" t="s">
        <v>43</v>
      </c>
      <c r="N356" s="143" t="s">
        <v>2322</v>
      </c>
      <c r="O356" s="147">
        <v>296069312</v>
      </c>
      <c r="P356" s="150"/>
      <c r="Q356" s="148">
        <v>7500000</v>
      </c>
      <c r="R356" s="150"/>
      <c r="S356" s="147">
        <f t="shared" si="517"/>
        <v>303569312</v>
      </c>
      <c r="T356" s="158">
        <v>296069312</v>
      </c>
      <c r="U356" s="143"/>
      <c r="V356" s="147">
        <v>7500000</v>
      </c>
      <c r="W356" s="143"/>
      <c r="X356" s="143"/>
      <c r="Y356" s="152">
        <f t="shared" ref="Y356:AB356" si="693">AD356-T356</f>
        <v>0</v>
      </c>
      <c r="Z356" s="151">
        <f t="shared" si="693"/>
        <v>0</v>
      </c>
      <c r="AA356" s="151">
        <f t="shared" si="693"/>
        <v>0</v>
      </c>
      <c r="AB356" s="151">
        <f t="shared" si="693"/>
        <v>0</v>
      </c>
      <c r="AC356" s="143"/>
      <c r="AD356" s="149">
        <v>296069312</v>
      </c>
      <c r="AE356" s="150"/>
      <c r="AF356" s="148">
        <v>7500000</v>
      </c>
      <c r="AG356" s="150"/>
      <c r="AH356" s="143">
        <f t="shared" si="519"/>
        <v>0</v>
      </c>
      <c r="AI356" s="151"/>
      <c r="AJ356" s="151">
        <f t="shared" ref="AJ356:AL356" si="694">P356-AE356</f>
        <v>0</v>
      </c>
      <c r="AK356" s="151">
        <f t="shared" si="694"/>
        <v>0</v>
      </c>
      <c r="AL356" s="151">
        <f t="shared" si="694"/>
        <v>0</v>
      </c>
      <c r="AM356" s="145"/>
      <c r="AN356" s="139"/>
      <c r="AO356" s="139"/>
      <c r="AP356" s="139"/>
      <c r="AQ356" s="145"/>
      <c r="AR356" s="145"/>
    </row>
    <row r="357" spans="1:44" s="156" customFormat="1" ht="47.25" x14ac:dyDescent="0.25">
      <c r="A357" s="143" t="s">
        <v>46</v>
      </c>
      <c r="B357" s="144">
        <v>344</v>
      </c>
      <c r="C357" s="143" t="s">
        <v>37</v>
      </c>
      <c r="D357" s="143" t="s">
        <v>714</v>
      </c>
      <c r="E357" s="145"/>
      <c r="F357" s="145" t="s">
        <v>715</v>
      </c>
      <c r="G357" s="143" t="s">
        <v>716</v>
      </c>
      <c r="H357" s="143"/>
      <c r="I357" s="143"/>
      <c r="J357" s="143"/>
      <c r="K357" s="164"/>
      <c r="L357" s="143" t="s">
        <v>717</v>
      </c>
      <c r="M357" s="143" t="s">
        <v>43</v>
      </c>
      <c r="N357" s="143" t="s">
        <v>718</v>
      </c>
      <c r="O357" s="147">
        <v>1585255168</v>
      </c>
      <c r="P357" s="150"/>
      <c r="Q357" s="148">
        <v>15000000</v>
      </c>
      <c r="R357" s="148">
        <v>48000000</v>
      </c>
      <c r="S357" s="147">
        <f t="shared" si="517"/>
        <v>1648255168</v>
      </c>
      <c r="T357" s="158">
        <v>1585255168</v>
      </c>
      <c r="U357" s="143"/>
      <c r="V357" s="147">
        <v>15000000</v>
      </c>
      <c r="W357" s="151">
        <v>48000000</v>
      </c>
      <c r="X357" s="143"/>
      <c r="Y357" s="152">
        <f t="shared" ref="Y357:AB357" si="695">AD357-T357</f>
        <v>0</v>
      </c>
      <c r="Z357" s="151">
        <f t="shared" si="695"/>
        <v>0</v>
      </c>
      <c r="AA357" s="151">
        <f t="shared" si="695"/>
        <v>0</v>
      </c>
      <c r="AB357" s="151">
        <f t="shared" si="695"/>
        <v>0</v>
      </c>
      <c r="AC357" s="143"/>
      <c r="AD357" s="149">
        <v>1585255168</v>
      </c>
      <c r="AE357" s="150"/>
      <c r="AF357" s="148">
        <v>15000000</v>
      </c>
      <c r="AG357" s="148">
        <v>48000000</v>
      </c>
      <c r="AH357" s="143">
        <f t="shared" si="519"/>
        <v>0</v>
      </c>
      <c r="AI357" s="151"/>
      <c r="AJ357" s="151">
        <f t="shared" ref="AJ357:AL357" si="696">P357-AE357</f>
        <v>0</v>
      </c>
      <c r="AK357" s="151">
        <f t="shared" si="696"/>
        <v>0</v>
      </c>
      <c r="AL357" s="151">
        <f t="shared" si="696"/>
        <v>0</v>
      </c>
      <c r="AM357" s="145"/>
      <c r="AN357" s="139"/>
      <c r="AO357" s="139"/>
      <c r="AP357" s="139"/>
      <c r="AQ357" s="145"/>
      <c r="AR357" s="145"/>
    </row>
    <row r="358" spans="1:44" s="156" customFormat="1" ht="47.25" x14ac:dyDescent="0.25">
      <c r="A358" s="143" t="s">
        <v>60</v>
      </c>
      <c r="B358" s="144">
        <v>345</v>
      </c>
      <c r="C358" s="143" t="s">
        <v>37</v>
      </c>
      <c r="D358" s="143" t="s">
        <v>2324</v>
      </c>
      <c r="E358" s="145"/>
      <c r="F358" s="146"/>
      <c r="G358" s="143" t="s">
        <v>2325</v>
      </c>
      <c r="H358" s="143"/>
      <c r="I358" s="143"/>
      <c r="J358" s="143"/>
      <c r="K358" s="143"/>
      <c r="L358" s="143" t="s">
        <v>2326</v>
      </c>
      <c r="M358" s="143" t="s">
        <v>43</v>
      </c>
      <c r="N358" s="143" t="s">
        <v>137</v>
      </c>
      <c r="O358" s="147">
        <v>10000000</v>
      </c>
      <c r="P358" s="150"/>
      <c r="Q358" s="148">
        <v>15000000</v>
      </c>
      <c r="R358" s="150"/>
      <c r="S358" s="147">
        <f t="shared" si="517"/>
        <v>25000000</v>
      </c>
      <c r="T358" s="143"/>
      <c r="U358" s="143"/>
      <c r="V358" s="157"/>
      <c r="W358" s="143"/>
      <c r="X358" s="143"/>
      <c r="Y358" s="152">
        <f t="shared" ref="Y358:AB358" si="697">AD358-T358</f>
        <v>0</v>
      </c>
      <c r="Z358" s="151">
        <f t="shared" si="697"/>
        <v>0</v>
      </c>
      <c r="AA358" s="151">
        <f t="shared" si="697"/>
        <v>0</v>
      </c>
      <c r="AB358" s="151">
        <f t="shared" si="697"/>
        <v>0</v>
      </c>
      <c r="AC358" s="143"/>
      <c r="AD358" s="155"/>
      <c r="AE358" s="150"/>
      <c r="AF358" s="150"/>
      <c r="AG358" s="150"/>
      <c r="AH358" s="143">
        <f t="shared" si="519"/>
        <v>0</v>
      </c>
      <c r="AI358" s="151">
        <v>10000000</v>
      </c>
      <c r="AJ358" s="151">
        <f t="shared" ref="AJ358:AL358" si="698">P358-AE358</f>
        <v>0</v>
      </c>
      <c r="AK358" s="151">
        <f t="shared" si="698"/>
        <v>15000000</v>
      </c>
      <c r="AL358" s="151">
        <f t="shared" si="698"/>
        <v>0</v>
      </c>
      <c r="AM358" s="148">
        <v>10000000</v>
      </c>
      <c r="AN358" s="159" t="s">
        <v>2160</v>
      </c>
      <c r="AO358" s="160"/>
      <c r="AP358" s="168" t="s">
        <v>2160</v>
      </c>
      <c r="AQ358" s="219"/>
      <c r="AR358" s="218"/>
    </row>
    <row r="359" spans="1:44" s="156" customFormat="1" ht="47.25" x14ac:dyDescent="0.25">
      <c r="A359" s="143" t="s">
        <v>35</v>
      </c>
      <c r="B359" s="144">
        <v>346</v>
      </c>
      <c r="C359" s="143" t="s">
        <v>37</v>
      </c>
      <c r="D359" s="143" t="s">
        <v>2327</v>
      </c>
      <c r="E359" s="145" t="s">
        <v>857</v>
      </c>
      <c r="F359" s="146"/>
      <c r="G359" s="143" t="s">
        <v>2328</v>
      </c>
      <c r="H359" s="143" t="s">
        <v>2329</v>
      </c>
      <c r="I359" s="143"/>
      <c r="J359" s="143"/>
      <c r="K359" s="143"/>
      <c r="L359" s="143" t="s">
        <v>2330</v>
      </c>
      <c r="M359" s="143" t="s">
        <v>43</v>
      </c>
      <c r="N359" s="143" t="s">
        <v>2331</v>
      </c>
      <c r="O359" s="147">
        <v>11061492360</v>
      </c>
      <c r="P359" s="148">
        <v>127192000</v>
      </c>
      <c r="Q359" s="148">
        <v>15000000</v>
      </c>
      <c r="R359" s="150"/>
      <c r="S359" s="147">
        <f t="shared" si="517"/>
        <v>11203684360</v>
      </c>
      <c r="T359" s="158">
        <v>11061492360</v>
      </c>
      <c r="U359" s="158">
        <v>127192000</v>
      </c>
      <c r="V359" s="147">
        <v>15000000</v>
      </c>
      <c r="W359" s="143"/>
      <c r="X359" s="143"/>
      <c r="Y359" s="152">
        <f t="shared" ref="Y359:AB359" si="699">AD359-T359</f>
        <v>0</v>
      </c>
      <c r="Z359" s="151">
        <f t="shared" si="699"/>
        <v>0</v>
      </c>
      <c r="AA359" s="151">
        <f t="shared" si="699"/>
        <v>0</v>
      </c>
      <c r="AB359" s="151">
        <f t="shared" si="699"/>
        <v>0</v>
      </c>
      <c r="AC359" s="143"/>
      <c r="AD359" s="149">
        <v>11061492360</v>
      </c>
      <c r="AE359" s="148">
        <v>127192000</v>
      </c>
      <c r="AF359" s="148">
        <v>15000000</v>
      </c>
      <c r="AG359" s="150"/>
      <c r="AH359" s="143">
        <f t="shared" si="519"/>
        <v>0</v>
      </c>
      <c r="AI359" s="151"/>
      <c r="AJ359" s="151">
        <f t="shared" ref="AJ359:AL359" si="700">P359-AE359</f>
        <v>0</v>
      </c>
      <c r="AK359" s="151">
        <f t="shared" si="700"/>
        <v>0</v>
      </c>
      <c r="AL359" s="151">
        <f t="shared" si="700"/>
        <v>0</v>
      </c>
      <c r="AM359" s="145"/>
      <c r="AN359" s="139"/>
      <c r="AO359" s="139"/>
      <c r="AP359" s="139"/>
      <c r="AQ359" s="145"/>
      <c r="AR359" s="145"/>
    </row>
    <row r="360" spans="1:44" s="156" customFormat="1" ht="47.25" x14ac:dyDescent="0.25">
      <c r="A360" s="143" t="s">
        <v>60</v>
      </c>
      <c r="B360" s="144">
        <v>347</v>
      </c>
      <c r="C360" s="143" t="s">
        <v>37</v>
      </c>
      <c r="D360" s="143" t="s">
        <v>2332</v>
      </c>
      <c r="E360" s="145"/>
      <c r="F360" s="146"/>
      <c r="G360" s="143" t="s">
        <v>2333</v>
      </c>
      <c r="H360" s="143"/>
      <c r="I360" s="143"/>
      <c r="J360" s="143"/>
      <c r="K360" s="143"/>
      <c r="L360" s="143" t="s">
        <v>2334</v>
      </c>
      <c r="M360" s="143" t="s">
        <v>43</v>
      </c>
      <c r="N360" s="143" t="s">
        <v>2335</v>
      </c>
      <c r="O360" s="147">
        <v>551324800</v>
      </c>
      <c r="P360" s="150"/>
      <c r="Q360" s="148">
        <v>15000000</v>
      </c>
      <c r="R360" s="150"/>
      <c r="S360" s="147">
        <f t="shared" si="517"/>
        <v>566324800</v>
      </c>
      <c r="T360" s="158">
        <v>551324800</v>
      </c>
      <c r="U360" s="143"/>
      <c r="V360" s="147">
        <v>15000000</v>
      </c>
      <c r="W360" s="143"/>
      <c r="X360" s="143"/>
      <c r="Y360" s="152">
        <f t="shared" ref="Y360:AB360" si="701">AD360-T360</f>
        <v>0</v>
      </c>
      <c r="Z360" s="151">
        <f t="shared" si="701"/>
        <v>0</v>
      </c>
      <c r="AA360" s="151">
        <f t="shared" si="701"/>
        <v>0</v>
      </c>
      <c r="AB360" s="151">
        <f t="shared" si="701"/>
        <v>0</v>
      </c>
      <c r="AC360" s="143"/>
      <c r="AD360" s="149">
        <v>551324800</v>
      </c>
      <c r="AE360" s="150"/>
      <c r="AF360" s="148">
        <v>15000000</v>
      </c>
      <c r="AG360" s="150"/>
      <c r="AH360" s="143">
        <f t="shared" si="519"/>
        <v>0</v>
      </c>
      <c r="AI360" s="151"/>
      <c r="AJ360" s="151">
        <f t="shared" ref="AJ360:AL360" si="702">P360-AE360</f>
        <v>0</v>
      </c>
      <c r="AK360" s="151">
        <f t="shared" si="702"/>
        <v>0</v>
      </c>
      <c r="AL360" s="151">
        <f t="shared" si="702"/>
        <v>0</v>
      </c>
      <c r="AM360" s="145"/>
      <c r="AN360" s="139"/>
      <c r="AO360" s="139"/>
      <c r="AP360" s="139"/>
      <c r="AQ360" s="145"/>
      <c r="AR360" s="145"/>
    </row>
    <row r="361" spans="1:44" s="156" customFormat="1" ht="47.25" x14ac:dyDescent="0.25">
      <c r="A361" s="143" t="s">
        <v>52</v>
      </c>
      <c r="B361" s="144">
        <v>348</v>
      </c>
      <c r="C361" s="143" t="s">
        <v>37</v>
      </c>
      <c r="D361" s="143" t="s">
        <v>2336</v>
      </c>
      <c r="E361" s="145"/>
      <c r="F361" s="146"/>
      <c r="G361" s="143" t="s">
        <v>2337</v>
      </c>
      <c r="H361" s="143"/>
      <c r="I361" s="143"/>
      <c r="J361" s="143"/>
      <c r="K361" s="143"/>
      <c r="L361" s="143" t="s">
        <v>2338</v>
      </c>
      <c r="M361" s="143" t="s">
        <v>43</v>
      </c>
      <c r="N361" s="143" t="s">
        <v>2339</v>
      </c>
      <c r="O361" s="147">
        <v>4341330000</v>
      </c>
      <c r="P361" s="150"/>
      <c r="Q361" s="148">
        <v>7500000</v>
      </c>
      <c r="R361" s="150"/>
      <c r="S361" s="147">
        <f t="shared" si="517"/>
        <v>4348830000</v>
      </c>
      <c r="T361" s="158">
        <v>4341330000</v>
      </c>
      <c r="U361" s="143"/>
      <c r="V361" s="147">
        <v>7500000</v>
      </c>
      <c r="W361" s="143"/>
      <c r="X361" s="143"/>
      <c r="Y361" s="152">
        <f t="shared" ref="Y361:AB361" si="703">AD361-T361</f>
        <v>0</v>
      </c>
      <c r="Z361" s="151">
        <f t="shared" si="703"/>
        <v>0</v>
      </c>
      <c r="AA361" s="151">
        <f t="shared" si="703"/>
        <v>0</v>
      </c>
      <c r="AB361" s="143">
        <f t="shared" si="703"/>
        <v>0</v>
      </c>
      <c r="AC361" s="143"/>
      <c r="AD361" s="149">
        <v>4341330000</v>
      </c>
      <c r="AE361" s="150"/>
      <c r="AF361" s="148">
        <v>7500000</v>
      </c>
      <c r="AG361" s="145"/>
      <c r="AH361" s="143">
        <f t="shared" si="519"/>
        <v>0</v>
      </c>
      <c r="AI361" s="151"/>
      <c r="AJ361" s="151">
        <f t="shared" ref="AJ361:AL361" si="704">P361-AE361</f>
        <v>0</v>
      </c>
      <c r="AK361" s="151">
        <f t="shared" si="704"/>
        <v>0</v>
      </c>
      <c r="AL361" s="151">
        <f t="shared" si="704"/>
        <v>0</v>
      </c>
      <c r="AM361" s="145"/>
      <c r="AN361" s="139"/>
      <c r="AO361" s="139"/>
      <c r="AP361" s="139"/>
      <c r="AQ361" s="145"/>
      <c r="AR361" s="145"/>
    </row>
    <row r="362" spans="1:44" s="156" customFormat="1" ht="47.25" x14ac:dyDescent="0.25">
      <c r="A362" s="143" t="s">
        <v>46</v>
      </c>
      <c r="B362" s="144">
        <v>349</v>
      </c>
      <c r="C362" s="143" t="s">
        <v>37</v>
      </c>
      <c r="D362" s="143" t="s">
        <v>2340</v>
      </c>
      <c r="E362" s="145"/>
      <c r="F362" s="146"/>
      <c r="G362" s="143" t="s">
        <v>2341</v>
      </c>
      <c r="H362" s="143"/>
      <c r="I362" s="143"/>
      <c r="J362" s="143"/>
      <c r="K362" s="143"/>
      <c r="L362" s="143" t="s">
        <v>2342</v>
      </c>
      <c r="M362" s="143" t="s">
        <v>43</v>
      </c>
      <c r="N362" s="143" t="s">
        <v>2343</v>
      </c>
      <c r="O362" s="147">
        <v>674476192</v>
      </c>
      <c r="P362" s="150"/>
      <c r="Q362" s="148">
        <v>15000000</v>
      </c>
      <c r="R362" s="150"/>
      <c r="S362" s="147">
        <f t="shared" si="517"/>
        <v>689476192</v>
      </c>
      <c r="T362" s="158">
        <v>674476192</v>
      </c>
      <c r="U362" s="143"/>
      <c r="V362" s="147">
        <v>15000000</v>
      </c>
      <c r="W362" s="143"/>
      <c r="X362" s="143"/>
      <c r="Y362" s="152">
        <f t="shared" ref="Y362:AB362" si="705">AD362-T362</f>
        <v>0</v>
      </c>
      <c r="Z362" s="151">
        <f t="shared" si="705"/>
        <v>0</v>
      </c>
      <c r="AA362" s="151">
        <f t="shared" si="705"/>
        <v>0</v>
      </c>
      <c r="AB362" s="151">
        <f t="shared" si="705"/>
        <v>0</v>
      </c>
      <c r="AC362" s="143"/>
      <c r="AD362" s="149">
        <v>674476192</v>
      </c>
      <c r="AE362" s="150"/>
      <c r="AF362" s="148">
        <v>15000000</v>
      </c>
      <c r="AG362" s="150"/>
      <c r="AH362" s="143">
        <f t="shared" si="519"/>
        <v>0</v>
      </c>
      <c r="AI362" s="151"/>
      <c r="AJ362" s="151">
        <f t="shared" ref="AJ362:AL362" si="706">P362-AE362</f>
        <v>0</v>
      </c>
      <c r="AK362" s="151">
        <f t="shared" si="706"/>
        <v>0</v>
      </c>
      <c r="AL362" s="151">
        <f t="shared" si="706"/>
        <v>0</v>
      </c>
      <c r="AM362" s="145"/>
      <c r="AN362" s="139"/>
      <c r="AO362" s="139"/>
      <c r="AP362" s="139"/>
      <c r="AQ362" s="145"/>
      <c r="AR362" s="145"/>
    </row>
    <row r="363" spans="1:44" s="156" customFormat="1" ht="47.25" x14ac:dyDescent="0.25">
      <c r="A363" s="143" t="s">
        <v>60</v>
      </c>
      <c r="B363" s="144">
        <v>350</v>
      </c>
      <c r="C363" s="143" t="s">
        <v>37</v>
      </c>
      <c r="D363" s="143" t="s">
        <v>2344</v>
      </c>
      <c r="E363" s="145"/>
      <c r="F363" s="146"/>
      <c r="G363" s="143" t="s">
        <v>2345</v>
      </c>
      <c r="H363" s="143"/>
      <c r="I363" s="143"/>
      <c r="J363" s="143"/>
      <c r="K363" s="143"/>
      <c r="L363" s="143" t="s">
        <v>2346</v>
      </c>
      <c r="M363" s="143" t="s">
        <v>43</v>
      </c>
      <c r="N363" s="143" t="s">
        <v>2347</v>
      </c>
      <c r="O363" s="147">
        <v>65141933</v>
      </c>
      <c r="P363" s="150"/>
      <c r="Q363" s="148">
        <v>7500000</v>
      </c>
      <c r="R363" s="150"/>
      <c r="S363" s="147">
        <f t="shared" si="517"/>
        <v>72641933</v>
      </c>
      <c r="T363" s="158">
        <v>65141933</v>
      </c>
      <c r="U363" s="143"/>
      <c r="V363" s="147">
        <v>7500000</v>
      </c>
      <c r="W363" s="143"/>
      <c r="X363" s="143"/>
      <c r="Y363" s="152">
        <f t="shared" ref="Y363:AB363" si="707">AD363-T363</f>
        <v>0</v>
      </c>
      <c r="Z363" s="151">
        <f t="shared" si="707"/>
        <v>0</v>
      </c>
      <c r="AA363" s="151">
        <f t="shared" si="707"/>
        <v>0</v>
      </c>
      <c r="AB363" s="151">
        <f t="shared" si="707"/>
        <v>0</v>
      </c>
      <c r="AC363" s="143"/>
      <c r="AD363" s="149">
        <v>65141933</v>
      </c>
      <c r="AE363" s="150"/>
      <c r="AF363" s="148">
        <v>7500000</v>
      </c>
      <c r="AG363" s="150"/>
      <c r="AH363" s="143">
        <f t="shared" si="519"/>
        <v>0</v>
      </c>
      <c r="AI363" s="151"/>
      <c r="AJ363" s="151">
        <f t="shared" ref="AJ363:AL363" si="708">P363-AE363</f>
        <v>0</v>
      </c>
      <c r="AK363" s="151">
        <f t="shared" si="708"/>
        <v>0</v>
      </c>
      <c r="AL363" s="151">
        <f t="shared" si="708"/>
        <v>0</v>
      </c>
      <c r="AM363" s="145"/>
      <c r="AN363" s="139"/>
      <c r="AO363" s="139"/>
      <c r="AP363" s="139"/>
      <c r="AQ363" s="145"/>
      <c r="AR363" s="145"/>
    </row>
    <row r="364" spans="1:44" s="156" customFormat="1" ht="47.25" x14ac:dyDescent="0.25">
      <c r="A364" s="143" t="s">
        <v>46</v>
      </c>
      <c r="B364" s="144">
        <v>351</v>
      </c>
      <c r="C364" s="143" t="s">
        <v>37</v>
      </c>
      <c r="D364" s="143" t="s">
        <v>2348</v>
      </c>
      <c r="E364" s="145"/>
      <c r="F364" s="146"/>
      <c r="G364" s="143" t="s">
        <v>2349</v>
      </c>
      <c r="H364" s="143"/>
      <c r="I364" s="143"/>
      <c r="J364" s="143"/>
      <c r="K364" s="143"/>
      <c r="L364" s="143" t="s">
        <v>2350</v>
      </c>
      <c r="M364" s="143" t="s">
        <v>43</v>
      </c>
      <c r="N364" s="143" t="s">
        <v>2351</v>
      </c>
      <c r="O364" s="147">
        <v>2508309760</v>
      </c>
      <c r="P364" s="150"/>
      <c r="Q364" s="148">
        <v>15000000</v>
      </c>
      <c r="R364" s="150"/>
      <c r="S364" s="147">
        <f t="shared" si="517"/>
        <v>2523309760</v>
      </c>
      <c r="T364" s="158">
        <v>2508309760</v>
      </c>
      <c r="U364" s="143"/>
      <c r="V364" s="147">
        <v>15000000</v>
      </c>
      <c r="W364" s="143"/>
      <c r="X364" s="143"/>
      <c r="Y364" s="152">
        <f t="shared" ref="Y364:AB364" si="709">AD364-T364</f>
        <v>0</v>
      </c>
      <c r="Z364" s="151">
        <f t="shared" si="709"/>
        <v>0</v>
      </c>
      <c r="AA364" s="151">
        <f t="shared" si="709"/>
        <v>0</v>
      </c>
      <c r="AB364" s="151">
        <f t="shared" si="709"/>
        <v>0</v>
      </c>
      <c r="AC364" s="143"/>
      <c r="AD364" s="149">
        <v>2508309760</v>
      </c>
      <c r="AE364" s="150"/>
      <c r="AF364" s="148">
        <v>15000000</v>
      </c>
      <c r="AG364" s="150"/>
      <c r="AH364" s="143">
        <f t="shared" si="519"/>
        <v>0</v>
      </c>
      <c r="AI364" s="151"/>
      <c r="AJ364" s="151">
        <f t="shared" ref="AJ364:AL364" si="710">P364-AE364</f>
        <v>0</v>
      </c>
      <c r="AK364" s="151">
        <f t="shared" si="710"/>
        <v>0</v>
      </c>
      <c r="AL364" s="151">
        <f t="shared" si="710"/>
        <v>0</v>
      </c>
      <c r="AM364" s="145"/>
      <c r="AN364" s="139"/>
      <c r="AO364" s="139"/>
      <c r="AP364" s="139"/>
      <c r="AQ364" s="145"/>
      <c r="AR364" s="145"/>
    </row>
    <row r="365" spans="1:44" s="156" customFormat="1" ht="63" x14ac:dyDescent="0.25">
      <c r="A365" s="143" t="s">
        <v>35</v>
      </c>
      <c r="B365" s="144">
        <v>352</v>
      </c>
      <c r="C365" s="143" t="s">
        <v>37</v>
      </c>
      <c r="D365" s="143" t="s">
        <v>2352</v>
      </c>
      <c r="E365" s="145"/>
      <c r="F365" s="146"/>
      <c r="G365" s="143" t="s">
        <v>2353</v>
      </c>
      <c r="H365" s="143"/>
      <c r="I365" s="143"/>
      <c r="J365" s="143"/>
      <c r="K365" s="143"/>
      <c r="L365" s="143" t="s">
        <v>2354</v>
      </c>
      <c r="M365" s="143" t="s">
        <v>43</v>
      </c>
      <c r="N365" s="143" t="s">
        <v>2355</v>
      </c>
      <c r="O365" s="147"/>
      <c r="P365" s="150"/>
      <c r="Q365" s="148">
        <v>7500000</v>
      </c>
      <c r="R365" s="150"/>
      <c r="S365" s="147">
        <f t="shared" si="517"/>
        <v>7500000</v>
      </c>
      <c r="T365" s="144">
        <v>0</v>
      </c>
      <c r="U365" s="143"/>
      <c r="V365" s="157"/>
      <c r="W365" s="143"/>
      <c r="X365" s="143"/>
      <c r="Y365" s="143">
        <f t="shared" ref="Y365:AB365" si="711">AD365-T365</f>
        <v>0</v>
      </c>
      <c r="Z365" s="151">
        <f t="shared" si="711"/>
        <v>0</v>
      </c>
      <c r="AA365" s="151">
        <f t="shared" si="711"/>
        <v>0</v>
      </c>
      <c r="AB365" s="152">
        <f t="shared" si="711"/>
        <v>0</v>
      </c>
      <c r="AC365" s="143"/>
      <c r="AD365" s="175">
        <v>0</v>
      </c>
      <c r="AE365" s="150"/>
      <c r="AF365" s="150"/>
      <c r="AG365" s="155"/>
      <c r="AH365" s="143">
        <f t="shared" si="519"/>
        <v>0</v>
      </c>
      <c r="AI365" s="151"/>
      <c r="AJ365" s="151">
        <f t="shared" ref="AJ365:AL365" si="712">P365-AE365</f>
        <v>0</v>
      </c>
      <c r="AK365" s="151">
        <f t="shared" si="712"/>
        <v>7500000</v>
      </c>
      <c r="AL365" s="151">
        <f t="shared" si="712"/>
        <v>0</v>
      </c>
      <c r="AM365" s="145"/>
      <c r="AN365" s="139"/>
      <c r="AO365" s="139"/>
      <c r="AP365" s="162" t="s">
        <v>3184</v>
      </c>
      <c r="AQ365" s="145"/>
      <c r="AR365" s="145"/>
    </row>
    <row r="366" spans="1:44" s="156" customFormat="1" ht="47.25" x14ac:dyDescent="0.25">
      <c r="A366" s="143" t="s">
        <v>35</v>
      </c>
      <c r="B366" s="144">
        <v>353</v>
      </c>
      <c r="C366" s="143" t="s">
        <v>37</v>
      </c>
      <c r="D366" s="143" t="s">
        <v>2356</v>
      </c>
      <c r="E366" s="145"/>
      <c r="F366" s="146"/>
      <c r="G366" s="143" t="s">
        <v>2357</v>
      </c>
      <c r="H366" s="143"/>
      <c r="I366" s="143"/>
      <c r="J366" s="143"/>
      <c r="K366" s="143"/>
      <c r="L366" s="143" t="s">
        <v>2358</v>
      </c>
      <c r="M366" s="143" t="s">
        <v>43</v>
      </c>
      <c r="N366" s="143" t="s">
        <v>2359</v>
      </c>
      <c r="O366" s="147">
        <v>3137001240</v>
      </c>
      <c r="P366" s="150"/>
      <c r="Q366" s="148">
        <v>15000000</v>
      </c>
      <c r="R366" s="150"/>
      <c r="S366" s="147">
        <f t="shared" si="517"/>
        <v>3152001240</v>
      </c>
      <c r="T366" s="158">
        <v>3137001240</v>
      </c>
      <c r="U366" s="143"/>
      <c r="V366" s="147">
        <v>15000000</v>
      </c>
      <c r="W366" s="143"/>
      <c r="X366" s="143"/>
      <c r="Y366" s="152">
        <f t="shared" ref="Y366:AB366" si="713">AD366-T366</f>
        <v>0</v>
      </c>
      <c r="Z366" s="151">
        <f t="shared" si="713"/>
        <v>0</v>
      </c>
      <c r="AA366" s="151">
        <f t="shared" si="713"/>
        <v>0</v>
      </c>
      <c r="AB366" s="151">
        <f t="shared" si="713"/>
        <v>0</v>
      </c>
      <c r="AC366" s="143"/>
      <c r="AD366" s="149">
        <v>3137001240</v>
      </c>
      <c r="AE366" s="150"/>
      <c r="AF366" s="148">
        <v>15000000</v>
      </c>
      <c r="AG366" s="150"/>
      <c r="AH366" s="143">
        <f t="shared" si="519"/>
        <v>0</v>
      </c>
      <c r="AI366" s="151"/>
      <c r="AJ366" s="151">
        <f t="shared" ref="AJ366:AL366" si="714">P366-AE366</f>
        <v>0</v>
      </c>
      <c r="AK366" s="151">
        <f t="shared" si="714"/>
        <v>0</v>
      </c>
      <c r="AL366" s="151">
        <f t="shared" si="714"/>
        <v>0</v>
      </c>
      <c r="AM366" s="145"/>
      <c r="AN366" s="139"/>
      <c r="AO366" s="139"/>
      <c r="AP366" s="139"/>
      <c r="AQ366" s="145"/>
      <c r="AR366" s="145"/>
    </row>
    <row r="367" spans="1:44" s="156" customFormat="1" ht="47.25" x14ac:dyDescent="0.25">
      <c r="A367" s="143" t="s">
        <v>35</v>
      </c>
      <c r="B367" s="144">
        <v>354</v>
      </c>
      <c r="C367" s="143" t="s">
        <v>37</v>
      </c>
      <c r="D367" s="143" t="s">
        <v>2360</v>
      </c>
      <c r="E367" s="145"/>
      <c r="F367" s="146"/>
      <c r="G367" s="143" t="s">
        <v>2361</v>
      </c>
      <c r="H367" s="143"/>
      <c r="I367" s="143"/>
      <c r="J367" s="143"/>
      <c r="K367" s="143"/>
      <c r="L367" s="143" t="s">
        <v>2362</v>
      </c>
      <c r="M367" s="143" t="s">
        <v>43</v>
      </c>
      <c r="N367" s="143" t="s">
        <v>2363</v>
      </c>
      <c r="O367" s="147">
        <v>2986318488</v>
      </c>
      <c r="P367" s="150"/>
      <c r="Q367" s="148">
        <v>15000000</v>
      </c>
      <c r="R367" s="150"/>
      <c r="S367" s="147">
        <f t="shared" si="517"/>
        <v>3001318488</v>
      </c>
      <c r="T367" s="158">
        <v>2986318488</v>
      </c>
      <c r="U367" s="143"/>
      <c r="V367" s="147">
        <v>15000000</v>
      </c>
      <c r="W367" s="143"/>
      <c r="X367" s="143"/>
      <c r="Y367" s="152">
        <f t="shared" ref="Y367:AB367" si="715">AD367-T367</f>
        <v>0</v>
      </c>
      <c r="Z367" s="151">
        <f t="shared" si="715"/>
        <v>0</v>
      </c>
      <c r="AA367" s="151">
        <f t="shared" si="715"/>
        <v>0</v>
      </c>
      <c r="AB367" s="151">
        <f t="shared" si="715"/>
        <v>0</v>
      </c>
      <c r="AC367" s="143"/>
      <c r="AD367" s="149">
        <v>2986318488</v>
      </c>
      <c r="AE367" s="150"/>
      <c r="AF367" s="148">
        <v>15000000</v>
      </c>
      <c r="AG367" s="150"/>
      <c r="AH367" s="143">
        <f t="shared" si="519"/>
        <v>0</v>
      </c>
      <c r="AI367" s="151"/>
      <c r="AJ367" s="151">
        <f t="shared" ref="AJ367:AL367" si="716">P367-AE367</f>
        <v>0</v>
      </c>
      <c r="AK367" s="151">
        <f t="shared" si="716"/>
        <v>0</v>
      </c>
      <c r="AL367" s="151">
        <f t="shared" si="716"/>
        <v>0</v>
      </c>
      <c r="AM367" s="145"/>
      <c r="AN367" s="139"/>
      <c r="AO367" s="139"/>
      <c r="AP367" s="139"/>
      <c r="AQ367" s="145"/>
      <c r="AR367" s="145"/>
    </row>
    <row r="368" spans="1:44" s="156" customFormat="1" ht="47.25" x14ac:dyDescent="0.25">
      <c r="A368" s="143" t="s">
        <v>52</v>
      </c>
      <c r="B368" s="144">
        <v>355</v>
      </c>
      <c r="C368" s="143" t="s">
        <v>37</v>
      </c>
      <c r="D368" s="143" t="s">
        <v>2364</v>
      </c>
      <c r="E368" s="145"/>
      <c r="F368" s="146"/>
      <c r="G368" s="143" t="s">
        <v>2365</v>
      </c>
      <c r="H368" s="143"/>
      <c r="I368" s="143"/>
      <c r="J368" s="143"/>
      <c r="K368" s="143"/>
      <c r="L368" s="143" t="s">
        <v>2366</v>
      </c>
      <c r="M368" s="143" t="s">
        <v>43</v>
      </c>
      <c r="N368" s="143" t="s">
        <v>2367</v>
      </c>
      <c r="O368" s="147">
        <v>124614064</v>
      </c>
      <c r="P368" s="150"/>
      <c r="Q368" s="148">
        <v>7500000</v>
      </c>
      <c r="R368" s="150"/>
      <c r="S368" s="147">
        <f t="shared" si="517"/>
        <v>132114064</v>
      </c>
      <c r="T368" s="158">
        <v>124614064</v>
      </c>
      <c r="U368" s="143"/>
      <c r="V368" s="147">
        <v>7500000</v>
      </c>
      <c r="W368" s="143"/>
      <c r="X368" s="143"/>
      <c r="Y368" s="152">
        <f t="shared" ref="Y368:AB368" si="717">AD368-T368</f>
        <v>0</v>
      </c>
      <c r="Z368" s="151">
        <f t="shared" si="717"/>
        <v>0</v>
      </c>
      <c r="AA368" s="151">
        <f t="shared" si="717"/>
        <v>0</v>
      </c>
      <c r="AB368" s="143">
        <f t="shared" si="717"/>
        <v>0</v>
      </c>
      <c r="AC368" s="143"/>
      <c r="AD368" s="149">
        <v>124614064</v>
      </c>
      <c r="AE368" s="150"/>
      <c r="AF368" s="148">
        <v>7500000</v>
      </c>
      <c r="AG368" s="145"/>
      <c r="AH368" s="143">
        <f t="shared" si="519"/>
        <v>0</v>
      </c>
      <c r="AI368" s="151"/>
      <c r="AJ368" s="151">
        <f t="shared" ref="AJ368:AL368" si="718">P368-AE368</f>
        <v>0</v>
      </c>
      <c r="AK368" s="151">
        <f t="shared" si="718"/>
        <v>0</v>
      </c>
      <c r="AL368" s="151">
        <f t="shared" si="718"/>
        <v>0</v>
      </c>
      <c r="AM368" s="145"/>
      <c r="AN368" s="139"/>
      <c r="AO368" s="139"/>
      <c r="AP368" s="139"/>
      <c r="AQ368" s="145"/>
      <c r="AR368" s="145"/>
    </row>
    <row r="369" spans="1:44" s="156" customFormat="1" ht="47.25" x14ac:dyDescent="0.25">
      <c r="A369" s="143" t="s">
        <v>60</v>
      </c>
      <c r="B369" s="144">
        <v>356</v>
      </c>
      <c r="C369" s="143" t="s">
        <v>37</v>
      </c>
      <c r="D369" s="143" t="s">
        <v>2368</v>
      </c>
      <c r="E369" s="145"/>
      <c r="F369" s="146"/>
      <c r="G369" s="143" t="s">
        <v>2369</v>
      </c>
      <c r="H369" s="143"/>
      <c r="I369" s="143"/>
      <c r="J369" s="143"/>
      <c r="K369" s="143"/>
      <c r="L369" s="143" t="s">
        <v>2370</v>
      </c>
      <c r="M369" s="143" t="s">
        <v>43</v>
      </c>
      <c r="N369" s="143" t="s">
        <v>2371</v>
      </c>
      <c r="O369" s="147">
        <v>2246345440</v>
      </c>
      <c r="P369" s="150"/>
      <c r="Q369" s="148">
        <v>15000000</v>
      </c>
      <c r="R369" s="150"/>
      <c r="S369" s="147">
        <f t="shared" si="517"/>
        <v>2261345440</v>
      </c>
      <c r="T369" s="158">
        <v>2246345440</v>
      </c>
      <c r="U369" s="143"/>
      <c r="V369" s="147">
        <v>15000000</v>
      </c>
      <c r="W369" s="143"/>
      <c r="X369" s="143"/>
      <c r="Y369" s="152">
        <f t="shared" ref="Y369:AB369" si="719">AD369-T369</f>
        <v>0</v>
      </c>
      <c r="Z369" s="151">
        <f t="shared" si="719"/>
        <v>0</v>
      </c>
      <c r="AA369" s="151">
        <f t="shared" si="719"/>
        <v>0</v>
      </c>
      <c r="AB369" s="152">
        <f t="shared" si="719"/>
        <v>0</v>
      </c>
      <c r="AC369" s="143"/>
      <c r="AD369" s="149">
        <v>2246345440</v>
      </c>
      <c r="AE369" s="150"/>
      <c r="AF369" s="148">
        <v>15000000</v>
      </c>
      <c r="AG369" s="155"/>
      <c r="AH369" s="143">
        <f t="shared" si="519"/>
        <v>0</v>
      </c>
      <c r="AI369" s="151"/>
      <c r="AJ369" s="151">
        <f t="shared" ref="AJ369:AL369" si="720">P369-AE369</f>
        <v>0</v>
      </c>
      <c r="AK369" s="151">
        <f t="shared" si="720"/>
        <v>0</v>
      </c>
      <c r="AL369" s="151">
        <f t="shared" si="720"/>
        <v>0</v>
      </c>
      <c r="AM369" s="145"/>
      <c r="AN369" s="139"/>
      <c r="AO369" s="139"/>
      <c r="AP369" s="139"/>
      <c r="AQ369" s="145"/>
      <c r="AR369" s="145"/>
    </row>
    <row r="370" spans="1:44" s="156" customFormat="1" ht="47.25" x14ac:dyDescent="0.25">
      <c r="A370" s="143" t="s">
        <v>35</v>
      </c>
      <c r="B370" s="144">
        <v>357</v>
      </c>
      <c r="C370" s="143" t="s">
        <v>37</v>
      </c>
      <c r="D370" s="143" t="s">
        <v>2372</v>
      </c>
      <c r="E370" s="145"/>
      <c r="F370" s="146"/>
      <c r="G370" s="143" t="s">
        <v>2373</v>
      </c>
      <c r="H370" s="143"/>
      <c r="I370" s="143"/>
      <c r="J370" s="143"/>
      <c r="K370" s="143"/>
      <c r="L370" s="143" t="s">
        <v>2374</v>
      </c>
      <c r="M370" s="143" t="s">
        <v>43</v>
      </c>
      <c r="N370" s="143" t="s">
        <v>2375</v>
      </c>
      <c r="O370" s="147">
        <v>693893100</v>
      </c>
      <c r="P370" s="150"/>
      <c r="Q370" s="148">
        <v>15000000</v>
      </c>
      <c r="R370" s="150"/>
      <c r="S370" s="147">
        <f t="shared" si="517"/>
        <v>708893100</v>
      </c>
      <c r="T370" s="158">
        <v>693893100</v>
      </c>
      <c r="U370" s="143"/>
      <c r="V370" s="147">
        <v>15000000</v>
      </c>
      <c r="W370" s="143"/>
      <c r="X370" s="143"/>
      <c r="Y370" s="152">
        <f t="shared" ref="Y370:AB370" si="721">AD370-T370</f>
        <v>0</v>
      </c>
      <c r="Z370" s="151">
        <f t="shared" si="721"/>
        <v>0</v>
      </c>
      <c r="AA370" s="151">
        <f t="shared" si="721"/>
        <v>0</v>
      </c>
      <c r="AB370" s="151">
        <f t="shared" si="721"/>
        <v>0</v>
      </c>
      <c r="AC370" s="143"/>
      <c r="AD370" s="149">
        <v>693893100</v>
      </c>
      <c r="AE370" s="150"/>
      <c r="AF370" s="148">
        <v>15000000</v>
      </c>
      <c r="AG370" s="150"/>
      <c r="AH370" s="143">
        <f t="shared" si="519"/>
        <v>0</v>
      </c>
      <c r="AI370" s="151"/>
      <c r="AJ370" s="151">
        <f t="shared" ref="AJ370:AL370" si="722">P370-AE370</f>
        <v>0</v>
      </c>
      <c r="AK370" s="151">
        <f t="shared" si="722"/>
        <v>0</v>
      </c>
      <c r="AL370" s="151">
        <f t="shared" si="722"/>
        <v>0</v>
      </c>
      <c r="AM370" s="145"/>
      <c r="AN370" s="139"/>
      <c r="AO370" s="139"/>
      <c r="AP370" s="139"/>
      <c r="AQ370" s="145"/>
      <c r="AR370" s="145"/>
    </row>
    <row r="371" spans="1:44" s="156" customFormat="1" ht="110.25" x14ac:dyDescent="0.25">
      <c r="A371" s="143" t="s">
        <v>60</v>
      </c>
      <c r="B371" s="175">
        <v>358</v>
      </c>
      <c r="C371" s="145" t="s">
        <v>37</v>
      </c>
      <c r="D371" s="143" t="s">
        <v>133</v>
      </c>
      <c r="E371" s="145"/>
      <c r="F371" s="145" t="s">
        <v>3205</v>
      </c>
      <c r="G371" s="145" t="s">
        <v>135</v>
      </c>
      <c r="H371" s="145"/>
      <c r="I371" s="145"/>
      <c r="J371" s="145"/>
      <c r="K371" s="146"/>
      <c r="L371" s="145" t="s">
        <v>136</v>
      </c>
      <c r="M371" s="145" t="s">
        <v>43</v>
      </c>
      <c r="N371" s="145" t="s">
        <v>137</v>
      </c>
      <c r="O371" s="147">
        <v>10000000</v>
      </c>
      <c r="P371" s="150"/>
      <c r="Q371" s="148">
        <v>15000000</v>
      </c>
      <c r="R371" s="148">
        <f>30000000+60000000</f>
        <v>90000000</v>
      </c>
      <c r="S371" s="147">
        <f t="shared" si="517"/>
        <v>115000000</v>
      </c>
      <c r="T371" s="158">
        <v>10000000</v>
      </c>
      <c r="U371" s="143"/>
      <c r="V371" s="147">
        <v>15000000</v>
      </c>
      <c r="W371" s="158">
        <v>30000000</v>
      </c>
      <c r="X371" s="143"/>
      <c r="Y371" s="152">
        <f t="shared" ref="Y371:AB371" si="723">AD371-T371</f>
        <v>0</v>
      </c>
      <c r="Z371" s="151">
        <f t="shared" si="723"/>
        <v>0</v>
      </c>
      <c r="AA371" s="151">
        <f t="shared" si="723"/>
        <v>0</v>
      </c>
      <c r="AB371" s="151">
        <f t="shared" si="723"/>
        <v>0</v>
      </c>
      <c r="AC371" s="165"/>
      <c r="AD371" s="149">
        <v>10000000</v>
      </c>
      <c r="AE371" s="150"/>
      <c r="AF371" s="148">
        <v>15000000</v>
      </c>
      <c r="AG371" s="148">
        <v>30000000</v>
      </c>
      <c r="AH371" s="166">
        <f t="shared" si="519"/>
        <v>0</v>
      </c>
      <c r="AI371" s="151"/>
      <c r="AJ371" s="151">
        <f t="shared" ref="AJ371:AL371" si="724">P371-AE371</f>
        <v>0</v>
      </c>
      <c r="AK371" s="151">
        <f t="shared" si="724"/>
        <v>0</v>
      </c>
      <c r="AL371" s="150">
        <f t="shared" si="724"/>
        <v>60000000</v>
      </c>
      <c r="AM371" s="145"/>
      <c r="AN371" s="139"/>
      <c r="AO371" s="139"/>
      <c r="AP371" s="139"/>
      <c r="AQ371" s="145" t="s">
        <v>3124</v>
      </c>
      <c r="AR371" s="145"/>
    </row>
    <row r="372" spans="1:44" s="156" customFormat="1" ht="47.25" x14ac:dyDescent="0.25">
      <c r="A372" s="143" t="s">
        <v>60</v>
      </c>
      <c r="B372" s="144">
        <v>359</v>
      </c>
      <c r="C372" s="143" t="s">
        <v>37</v>
      </c>
      <c r="D372" s="143" t="s">
        <v>2376</v>
      </c>
      <c r="E372" s="145"/>
      <c r="F372" s="146"/>
      <c r="G372" s="143" t="s">
        <v>2377</v>
      </c>
      <c r="H372" s="143"/>
      <c r="I372" s="143"/>
      <c r="J372" s="143"/>
      <c r="K372" s="143"/>
      <c r="L372" s="143" t="s">
        <v>2378</v>
      </c>
      <c r="M372" s="143" t="s">
        <v>43</v>
      </c>
      <c r="N372" s="143" t="s">
        <v>2379</v>
      </c>
      <c r="O372" s="147">
        <v>1333962300</v>
      </c>
      <c r="P372" s="150"/>
      <c r="Q372" s="148">
        <v>7500000</v>
      </c>
      <c r="R372" s="150"/>
      <c r="S372" s="147">
        <f t="shared" si="517"/>
        <v>1341462300</v>
      </c>
      <c r="T372" s="158">
        <v>1333962300</v>
      </c>
      <c r="U372" s="143"/>
      <c r="V372" s="157"/>
      <c r="W372" s="143"/>
      <c r="X372" s="143"/>
      <c r="Y372" s="152">
        <f t="shared" ref="Y372:AB372" si="725">AD372-T372</f>
        <v>0</v>
      </c>
      <c r="Z372" s="151">
        <f t="shared" si="725"/>
        <v>0</v>
      </c>
      <c r="AA372" s="151">
        <f t="shared" si="725"/>
        <v>0</v>
      </c>
      <c r="AB372" s="151">
        <f t="shared" si="725"/>
        <v>0</v>
      </c>
      <c r="AC372" s="143"/>
      <c r="AD372" s="149">
        <v>1333962300</v>
      </c>
      <c r="AE372" s="150"/>
      <c r="AF372" s="150"/>
      <c r="AG372" s="150"/>
      <c r="AH372" s="143">
        <f t="shared" si="519"/>
        <v>0</v>
      </c>
      <c r="AI372" s="151"/>
      <c r="AJ372" s="151">
        <f t="shared" ref="AJ372:AL372" si="726">P372-AE372</f>
        <v>0</v>
      </c>
      <c r="AK372" s="151">
        <f t="shared" si="726"/>
        <v>7500000</v>
      </c>
      <c r="AL372" s="151">
        <f t="shared" si="726"/>
        <v>0</v>
      </c>
      <c r="AM372" s="145"/>
      <c r="AN372" s="139"/>
      <c r="AO372" s="139"/>
      <c r="AP372" s="162" t="s">
        <v>394</v>
      </c>
      <c r="AQ372" s="145"/>
      <c r="AR372" s="145"/>
    </row>
    <row r="373" spans="1:44" s="156" customFormat="1" ht="47.25" x14ac:dyDescent="0.25">
      <c r="A373" s="143" t="s">
        <v>60</v>
      </c>
      <c r="B373" s="144">
        <v>360</v>
      </c>
      <c r="C373" s="143" t="s">
        <v>37</v>
      </c>
      <c r="D373" s="143" t="s">
        <v>2380</v>
      </c>
      <c r="E373" s="145"/>
      <c r="F373" s="146"/>
      <c r="G373" s="143" t="s">
        <v>2381</v>
      </c>
      <c r="H373" s="143" t="s">
        <v>2212</v>
      </c>
      <c r="I373" s="143"/>
      <c r="J373" s="143"/>
      <c r="K373" s="143"/>
      <c r="L373" s="143" t="s">
        <v>2382</v>
      </c>
      <c r="M373" s="143" t="s">
        <v>43</v>
      </c>
      <c r="N373" s="143" t="s">
        <v>2383</v>
      </c>
      <c r="O373" s="147">
        <v>1884646500</v>
      </c>
      <c r="P373" s="150"/>
      <c r="Q373" s="148">
        <v>7500000</v>
      </c>
      <c r="R373" s="150"/>
      <c r="S373" s="147">
        <f t="shared" si="517"/>
        <v>1892146500</v>
      </c>
      <c r="T373" s="158">
        <v>1884646500</v>
      </c>
      <c r="U373" s="143"/>
      <c r="V373" s="147">
        <v>7500000</v>
      </c>
      <c r="W373" s="143"/>
      <c r="X373" s="143"/>
      <c r="Y373" s="152">
        <f t="shared" ref="Y373:AB373" si="727">AD373-T373</f>
        <v>0</v>
      </c>
      <c r="Z373" s="151">
        <f t="shared" si="727"/>
        <v>0</v>
      </c>
      <c r="AA373" s="151">
        <f t="shared" si="727"/>
        <v>0</v>
      </c>
      <c r="AB373" s="151">
        <f t="shared" si="727"/>
        <v>0</v>
      </c>
      <c r="AC373" s="143"/>
      <c r="AD373" s="149">
        <v>1884646500</v>
      </c>
      <c r="AE373" s="150"/>
      <c r="AF373" s="148">
        <v>7500000</v>
      </c>
      <c r="AG373" s="150"/>
      <c r="AH373" s="143">
        <f t="shared" si="519"/>
        <v>0</v>
      </c>
      <c r="AI373" s="151"/>
      <c r="AJ373" s="151">
        <f t="shared" ref="AJ373:AL373" si="728">P373-AE373</f>
        <v>0</v>
      </c>
      <c r="AK373" s="151">
        <f t="shared" si="728"/>
        <v>0</v>
      </c>
      <c r="AL373" s="151">
        <f t="shared" si="728"/>
        <v>0</v>
      </c>
      <c r="AM373" s="145"/>
      <c r="AN373" s="139"/>
      <c r="AO373" s="139"/>
      <c r="AP373" s="139"/>
      <c r="AQ373" s="145"/>
      <c r="AR373" s="145"/>
    </row>
    <row r="374" spans="1:44" s="156" customFormat="1" ht="63" x14ac:dyDescent="0.25">
      <c r="A374" s="143" t="s">
        <v>60</v>
      </c>
      <c r="B374" s="144">
        <v>361</v>
      </c>
      <c r="C374" s="143" t="s">
        <v>37</v>
      </c>
      <c r="D374" s="143" t="s">
        <v>2384</v>
      </c>
      <c r="E374" s="145"/>
      <c r="F374" s="146"/>
      <c r="G374" s="143" t="s">
        <v>2385</v>
      </c>
      <c r="H374" s="143"/>
      <c r="I374" s="143"/>
      <c r="J374" s="143"/>
      <c r="K374" s="143"/>
      <c r="L374" s="143" t="s">
        <v>2386</v>
      </c>
      <c r="M374" s="143" t="s">
        <v>43</v>
      </c>
      <c r="N374" s="143" t="s">
        <v>2387</v>
      </c>
      <c r="O374" s="147">
        <v>827738776</v>
      </c>
      <c r="P374" s="150"/>
      <c r="Q374" s="148">
        <v>15000000</v>
      </c>
      <c r="R374" s="150"/>
      <c r="S374" s="147">
        <f t="shared" si="517"/>
        <v>842738776</v>
      </c>
      <c r="T374" s="158">
        <v>827738776</v>
      </c>
      <c r="U374" s="143"/>
      <c r="V374" s="147">
        <v>15000000</v>
      </c>
      <c r="W374" s="143"/>
      <c r="X374" s="143"/>
      <c r="Y374" s="152">
        <f t="shared" ref="Y374:AB374" si="729">AD374-T374</f>
        <v>0</v>
      </c>
      <c r="Z374" s="151">
        <f t="shared" si="729"/>
        <v>0</v>
      </c>
      <c r="AA374" s="151">
        <f t="shared" si="729"/>
        <v>0</v>
      </c>
      <c r="AB374" s="151">
        <f t="shared" si="729"/>
        <v>0</v>
      </c>
      <c r="AC374" s="143"/>
      <c r="AD374" s="149">
        <v>827738776</v>
      </c>
      <c r="AE374" s="150"/>
      <c r="AF374" s="148">
        <v>15000000</v>
      </c>
      <c r="AG374" s="150"/>
      <c r="AH374" s="143">
        <f t="shared" si="519"/>
        <v>0</v>
      </c>
      <c r="AI374" s="151"/>
      <c r="AJ374" s="151">
        <f t="shared" ref="AJ374:AL374" si="730">P374-AE374</f>
        <v>0</v>
      </c>
      <c r="AK374" s="151">
        <f t="shared" si="730"/>
        <v>0</v>
      </c>
      <c r="AL374" s="151">
        <f t="shared" si="730"/>
        <v>0</v>
      </c>
      <c r="AM374" s="145"/>
      <c r="AN374" s="139"/>
      <c r="AO374" s="139"/>
      <c r="AP374" s="139"/>
      <c r="AQ374" s="145"/>
      <c r="AR374" s="145"/>
    </row>
    <row r="375" spans="1:44" s="156" customFormat="1" ht="47.25" x14ac:dyDescent="0.25">
      <c r="A375" s="143" t="s">
        <v>46</v>
      </c>
      <c r="B375" s="144">
        <v>362</v>
      </c>
      <c r="C375" s="143" t="s">
        <v>37</v>
      </c>
      <c r="D375" s="143" t="s">
        <v>2388</v>
      </c>
      <c r="E375" s="145"/>
      <c r="F375" s="146"/>
      <c r="G375" s="143" t="s">
        <v>2389</v>
      </c>
      <c r="H375" s="143"/>
      <c r="I375" s="143"/>
      <c r="J375" s="143"/>
      <c r="K375" s="143"/>
      <c r="L375" s="143" t="s">
        <v>2390</v>
      </c>
      <c r="M375" s="143" t="s">
        <v>43</v>
      </c>
      <c r="N375" s="143" t="s">
        <v>2391</v>
      </c>
      <c r="O375" s="147">
        <v>3291977680</v>
      </c>
      <c r="P375" s="150"/>
      <c r="Q375" s="148">
        <v>15000000</v>
      </c>
      <c r="R375" s="150"/>
      <c r="S375" s="147">
        <f t="shared" si="517"/>
        <v>3306977680</v>
      </c>
      <c r="T375" s="158">
        <v>3291977680</v>
      </c>
      <c r="U375" s="143"/>
      <c r="V375" s="157">
        <v>15000000</v>
      </c>
      <c r="W375" s="143"/>
      <c r="X375" s="143"/>
      <c r="Y375" s="152">
        <f t="shared" ref="Y375:AB375" si="731">AD375-T375</f>
        <v>0</v>
      </c>
      <c r="Z375" s="151">
        <f t="shared" si="731"/>
        <v>0</v>
      </c>
      <c r="AA375" s="151">
        <f t="shared" si="731"/>
        <v>0</v>
      </c>
      <c r="AB375" s="151">
        <f t="shared" si="731"/>
        <v>0</v>
      </c>
      <c r="AC375" s="143"/>
      <c r="AD375" s="149">
        <v>3291977680</v>
      </c>
      <c r="AE375" s="150"/>
      <c r="AF375" s="148">
        <v>15000000</v>
      </c>
      <c r="AG375" s="150"/>
      <c r="AH375" s="143">
        <f t="shared" si="519"/>
        <v>0</v>
      </c>
      <c r="AI375" s="151"/>
      <c r="AJ375" s="151">
        <f t="shared" ref="AJ375:AL375" si="732">P375-AE375</f>
        <v>0</v>
      </c>
      <c r="AK375" s="151">
        <f t="shared" si="732"/>
        <v>0</v>
      </c>
      <c r="AL375" s="151">
        <f t="shared" si="732"/>
        <v>0</v>
      </c>
      <c r="AM375" s="145"/>
      <c r="AN375" s="139"/>
      <c r="AO375" s="139"/>
      <c r="AP375" s="139"/>
      <c r="AQ375" s="145"/>
      <c r="AR375" s="145"/>
    </row>
    <row r="376" spans="1:44" s="156" customFormat="1" ht="47.25" x14ac:dyDescent="0.25">
      <c r="A376" s="143" t="s">
        <v>46</v>
      </c>
      <c r="B376" s="144">
        <v>363</v>
      </c>
      <c r="C376" s="143" t="s">
        <v>37</v>
      </c>
      <c r="D376" s="143" t="s">
        <v>2392</v>
      </c>
      <c r="E376" s="145"/>
      <c r="F376" s="146"/>
      <c r="G376" s="143" t="s">
        <v>2393</v>
      </c>
      <c r="H376" s="143"/>
      <c r="I376" s="143"/>
      <c r="J376" s="143"/>
      <c r="K376" s="143"/>
      <c r="L376" s="143" t="s">
        <v>2321</v>
      </c>
      <c r="M376" s="143" t="s">
        <v>43</v>
      </c>
      <c r="N376" s="143" t="s">
        <v>2394</v>
      </c>
      <c r="O376" s="147">
        <v>937421750</v>
      </c>
      <c r="P376" s="150"/>
      <c r="Q376" s="148">
        <v>7500000</v>
      </c>
      <c r="R376" s="150"/>
      <c r="S376" s="147">
        <f t="shared" si="517"/>
        <v>944921750</v>
      </c>
      <c r="T376" s="158">
        <v>937421750</v>
      </c>
      <c r="U376" s="143"/>
      <c r="V376" s="147">
        <v>7500000</v>
      </c>
      <c r="W376" s="143"/>
      <c r="X376" s="143"/>
      <c r="Y376" s="152">
        <f t="shared" ref="Y376:AB376" si="733">AD376-T376</f>
        <v>0</v>
      </c>
      <c r="Z376" s="151">
        <f t="shared" si="733"/>
        <v>0</v>
      </c>
      <c r="AA376" s="151">
        <f t="shared" si="733"/>
        <v>0</v>
      </c>
      <c r="AB376" s="151">
        <f t="shared" si="733"/>
        <v>0</v>
      </c>
      <c r="AC376" s="143"/>
      <c r="AD376" s="149">
        <v>937421750</v>
      </c>
      <c r="AE376" s="150"/>
      <c r="AF376" s="148">
        <v>7500000</v>
      </c>
      <c r="AG376" s="150"/>
      <c r="AH376" s="143">
        <f t="shared" si="519"/>
        <v>0</v>
      </c>
      <c r="AI376" s="151"/>
      <c r="AJ376" s="151">
        <f t="shared" ref="AJ376:AL376" si="734">P376-AE376</f>
        <v>0</v>
      </c>
      <c r="AK376" s="151">
        <f t="shared" si="734"/>
        <v>0</v>
      </c>
      <c r="AL376" s="151">
        <f t="shared" si="734"/>
        <v>0</v>
      </c>
      <c r="AM376" s="145"/>
      <c r="AN376" s="139"/>
      <c r="AO376" s="139"/>
      <c r="AP376" s="139"/>
      <c r="AQ376" s="145"/>
      <c r="AR376" s="145"/>
    </row>
    <row r="377" spans="1:44" s="156" customFormat="1" ht="47.25" x14ac:dyDescent="0.25">
      <c r="A377" s="143" t="s">
        <v>52</v>
      </c>
      <c r="B377" s="144">
        <v>364</v>
      </c>
      <c r="C377" s="143" t="s">
        <v>37</v>
      </c>
      <c r="D377" s="143" t="s">
        <v>2395</v>
      </c>
      <c r="E377" s="145" t="s">
        <v>2396</v>
      </c>
      <c r="F377" s="146"/>
      <c r="G377" s="143" t="s">
        <v>2397</v>
      </c>
      <c r="H377" s="143" t="s">
        <v>2398</v>
      </c>
      <c r="I377" s="143"/>
      <c r="J377" s="143"/>
      <c r="K377" s="143"/>
      <c r="L377" s="143" t="s">
        <v>2399</v>
      </c>
      <c r="M377" s="143" t="s">
        <v>43</v>
      </c>
      <c r="N377" s="143" t="s">
        <v>2400</v>
      </c>
      <c r="O377" s="147">
        <v>10000000</v>
      </c>
      <c r="P377" s="148">
        <v>762996660</v>
      </c>
      <c r="Q377" s="148">
        <v>15000000</v>
      </c>
      <c r="R377" s="150"/>
      <c r="S377" s="147">
        <f t="shared" si="517"/>
        <v>787996660</v>
      </c>
      <c r="T377" s="158">
        <v>10000000</v>
      </c>
      <c r="U377" s="158">
        <v>762996660</v>
      </c>
      <c r="V377" s="147">
        <v>15000000</v>
      </c>
      <c r="W377" s="143"/>
      <c r="X377" s="143"/>
      <c r="Y377" s="151">
        <f t="shared" ref="Y377:AB377" si="735">AD377-T377</f>
        <v>0</v>
      </c>
      <c r="Z377" s="151">
        <f t="shared" si="735"/>
        <v>0</v>
      </c>
      <c r="AA377" s="151">
        <f t="shared" si="735"/>
        <v>0</v>
      </c>
      <c r="AB377" s="151">
        <f t="shared" si="735"/>
        <v>0</v>
      </c>
      <c r="AC377" s="143"/>
      <c r="AD377" s="148">
        <v>10000000</v>
      </c>
      <c r="AE377" s="148">
        <v>762996660</v>
      </c>
      <c r="AF377" s="148">
        <v>15000000</v>
      </c>
      <c r="AG377" s="150"/>
      <c r="AH377" s="143">
        <f t="shared" si="519"/>
        <v>0</v>
      </c>
      <c r="AI377" s="151"/>
      <c r="AJ377" s="151">
        <f t="shared" ref="AJ377:AL377" si="736">P377-AE377</f>
        <v>0</v>
      </c>
      <c r="AK377" s="151">
        <f t="shared" si="736"/>
        <v>0</v>
      </c>
      <c r="AL377" s="151">
        <f t="shared" si="736"/>
        <v>0</v>
      </c>
      <c r="AM377" s="145"/>
      <c r="AN377" s="139"/>
      <c r="AO377" s="139"/>
      <c r="AP377" s="139"/>
      <c r="AQ377" s="145"/>
      <c r="AR377" s="145"/>
    </row>
    <row r="378" spans="1:44" s="156" customFormat="1" ht="47.25" x14ac:dyDescent="0.25">
      <c r="A378" s="143" t="s">
        <v>35</v>
      </c>
      <c r="B378" s="144">
        <v>365</v>
      </c>
      <c r="C378" s="143" t="s">
        <v>37</v>
      </c>
      <c r="D378" s="143" t="s">
        <v>2401</v>
      </c>
      <c r="E378" s="145" t="s">
        <v>2402</v>
      </c>
      <c r="F378" s="146"/>
      <c r="G378" s="143" t="s">
        <v>2403</v>
      </c>
      <c r="H378" s="143" t="s">
        <v>2404</v>
      </c>
      <c r="I378" s="143"/>
      <c r="J378" s="143"/>
      <c r="K378" s="143"/>
      <c r="L378" s="143" t="s">
        <v>479</v>
      </c>
      <c r="M378" s="143" t="s">
        <v>43</v>
      </c>
      <c r="N378" s="143" t="s">
        <v>2405</v>
      </c>
      <c r="O378" s="147">
        <v>1975869376</v>
      </c>
      <c r="P378" s="148">
        <v>579124224</v>
      </c>
      <c r="Q378" s="148">
        <v>15000000</v>
      </c>
      <c r="R378" s="150"/>
      <c r="S378" s="147">
        <f t="shared" si="517"/>
        <v>2569993600</v>
      </c>
      <c r="T378" s="158">
        <v>1975869376</v>
      </c>
      <c r="U378" s="158">
        <v>579124224</v>
      </c>
      <c r="V378" s="147">
        <v>15000000</v>
      </c>
      <c r="W378" s="143"/>
      <c r="X378" s="143"/>
      <c r="Y378" s="152">
        <f t="shared" ref="Y378:AB378" si="737">AD378-T378</f>
        <v>0</v>
      </c>
      <c r="Z378" s="151">
        <f t="shared" si="737"/>
        <v>0</v>
      </c>
      <c r="AA378" s="151">
        <f t="shared" si="737"/>
        <v>0</v>
      </c>
      <c r="AB378" s="151">
        <f t="shared" si="737"/>
        <v>0</v>
      </c>
      <c r="AC378" s="143"/>
      <c r="AD378" s="149">
        <v>1975869376</v>
      </c>
      <c r="AE378" s="148">
        <v>579124224</v>
      </c>
      <c r="AF378" s="148">
        <v>15000000</v>
      </c>
      <c r="AG378" s="150"/>
      <c r="AH378" s="143">
        <f t="shared" si="519"/>
        <v>0</v>
      </c>
      <c r="AI378" s="151"/>
      <c r="AJ378" s="151">
        <f t="shared" ref="AJ378:AL378" si="738">P378-AE378</f>
        <v>0</v>
      </c>
      <c r="AK378" s="151">
        <f t="shared" si="738"/>
        <v>0</v>
      </c>
      <c r="AL378" s="151">
        <f t="shared" si="738"/>
        <v>0</v>
      </c>
      <c r="AM378" s="145"/>
      <c r="AN378" s="139"/>
      <c r="AO378" s="139"/>
      <c r="AP378" s="139"/>
      <c r="AQ378" s="145"/>
      <c r="AR378" s="145"/>
    </row>
    <row r="379" spans="1:44" s="156" customFormat="1" ht="47.25" x14ac:dyDescent="0.25">
      <c r="A379" s="143" t="s">
        <v>46</v>
      </c>
      <c r="B379" s="144">
        <v>366</v>
      </c>
      <c r="C379" s="143" t="s">
        <v>37</v>
      </c>
      <c r="D379" s="143" t="s">
        <v>2406</v>
      </c>
      <c r="E379" s="145" t="s">
        <v>1923</v>
      </c>
      <c r="F379" s="146"/>
      <c r="G379" s="143" t="s">
        <v>2407</v>
      </c>
      <c r="H379" s="143"/>
      <c r="I379" s="143"/>
      <c r="J379" s="143"/>
      <c r="K379" s="143"/>
      <c r="L379" s="143" t="s">
        <v>2408</v>
      </c>
      <c r="M379" s="143" t="s">
        <v>43</v>
      </c>
      <c r="N379" s="143" t="s">
        <v>2409</v>
      </c>
      <c r="O379" s="147">
        <v>1715172160</v>
      </c>
      <c r="P379" s="148">
        <f>203524320-7500000</f>
        <v>196024320</v>
      </c>
      <c r="Q379" s="148">
        <v>15000000</v>
      </c>
      <c r="R379" s="150"/>
      <c r="S379" s="147">
        <f t="shared" si="517"/>
        <v>1926196480</v>
      </c>
      <c r="T379" s="158">
        <v>1715172160</v>
      </c>
      <c r="U379" s="158">
        <v>196024320</v>
      </c>
      <c r="V379" s="147">
        <v>15000000</v>
      </c>
      <c r="W379" s="143"/>
      <c r="X379" s="143"/>
      <c r="Y379" s="152">
        <f t="shared" ref="Y379:AB379" si="739">AD379-T379</f>
        <v>0</v>
      </c>
      <c r="Z379" s="151">
        <f t="shared" si="739"/>
        <v>0</v>
      </c>
      <c r="AA379" s="151">
        <f t="shared" si="739"/>
        <v>0</v>
      </c>
      <c r="AB379" s="143">
        <f t="shared" si="739"/>
        <v>0</v>
      </c>
      <c r="AC379" s="143"/>
      <c r="AD379" s="149">
        <v>1715172160</v>
      </c>
      <c r="AE379" s="148">
        <v>196024320</v>
      </c>
      <c r="AF379" s="148">
        <v>15000000</v>
      </c>
      <c r="AG379" s="145"/>
      <c r="AH379" s="143">
        <f t="shared" si="519"/>
        <v>0</v>
      </c>
      <c r="AI379" s="151"/>
      <c r="AJ379" s="151">
        <f t="shared" ref="AJ379:AL379" si="740">P379-AE379</f>
        <v>0</v>
      </c>
      <c r="AK379" s="151">
        <f t="shared" si="740"/>
        <v>0</v>
      </c>
      <c r="AL379" s="151">
        <f t="shared" si="740"/>
        <v>0</v>
      </c>
      <c r="AM379" s="145"/>
      <c r="AN379" s="139"/>
      <c r="AO379" s="139"/>
      <c r="AP379" s="139"/>
      <c r="AQ379" s="145"/>
      <c r="AR379" s="145"/>
    </row>
    <row r="380" spans="1:44" s="156" customFormat="1" ht="47.25" x14ac:dyDescent="0.25">
      <c r="A380" s="143" t="s">
        <v>35</v>
      </c>
      <c r="B380" s="144">
        <v>367</v>
      </c>
      <c r="C380" s="143" t="s">
        <v>37</v>
      </c>
      <c r="D380" s="143" t="s">
        <v>2410</v>
      </c>
      <c r="E380" s="145"/>
      <c r="F380" s="146"/>
      <c r="G380" s="143" t="s">
        <v>2411</v>
      </c>
      <c r="H380" s="143"/>
      <c r="I380" s="143"/>
      <c r="J380" s="143"/>
      <c r="K380" s="143"/>
      <c r="L380" s="143" t="s">
        <v>2412</v>
      </c>
      <c r="M380" s="143" t="s">
        <v>43</v>
      </c>
      <c r="N380" s="143" t="s">
        <v>2413</v>
      </c>
      <c r="O380" s="147">
        <v>1139494794</v>
      </c>
      <c r="P380" s="150"/>
      <c r="Q380" s="148">
        <v>7500000</v>
      </c>
      <c r="R380" s="150"/>
      <c r="S380" s="147">
        <f t="shared" si="517"/>
        <v>1146994794</v>
      </c>
      <c r="T380" s="158">
        <v>1139494794</v>
      </c>
      <c r="U380" s="143"/>
      <c r="V380" s="147">
        <v>7500000</v>
      </c>
      <c r="W380" s="143"/>
      <c r="X380" s="143"/>
      <c r="Y380" s="152">
        <f t="shared" ref="Y380:AB380" si="741">AD380-T380</f>
        <v>0</v>
      </c>
      <c r="Z380" s="151">
        <f t="shared" si="741"/>
        <v>0</v>
      </c>
      <c r="AA380" s="151">
        <f t="shared" si="741"/>
        <v>0</v>
      </c>
      <c r="AB380" s="151">
        <f t="shared" si="741"/>
        <v>0</v>
      </c>
      <c r="AC380" s="143"/>
      <c r="AD380" s="149">
        <v>1139494794</v>
      </c>
      <c r="AE380" s="150"/>
      <c r="AF380" s="148">
        <v>7500000</v>
      </c>
      <c r="AG380" s="150"/>
      <c r="AH380" s="143">
        <f t="shared" si="519"/>
        <v>0</v>
      </c>
      <c r="AI380" s="151"/>
      <c r="AJ380" s="151">
        <f t="shared" ref="AJ380:AL380" si="742">P380-AE380</f>
        <v>0</v>
      </c>
      <c r="AK380" s="151">
        <f t="shared" si="742"/>
        <v>0</v>
      </c>
      <c r="AL380" s="151">
        <f t="shared" si="742"/>
        <v>0</v>
      </c>
      <c r="AM380" s="145"/>
      <c r="AN380" s="139"/>
      <c r="AO380" s="139"/>
      <c r="AP380" s="139"/>
      <c r="AQ380" s="145"/>
      <c r="AR380" s="145"/>
    </row>
    <row r="381" spans="1:44" s="156" customFormat="1" ht="47.25" x14ac:dyDescent="0.25">
      <c r="A381" s="143" t="s">
        <v>52</v>
      </c>
      <c r="B381" s="144">
        <v>368</v>
      </c>
      <c r="C381" s="143" t="s">
        <v>37</v>
      </c>
      <c r="D381" s="143" t="s">
        <v>2414</v>
      </c>
      <c r="E381" s="145"/>
      <c r="F381" s="146"/>
      <c r="G381" s="143" t="s">
        <v>2415</v>
      </c>
      <c r="H381" s="143"/>
      <c r="I381" s="143"/>
      <c r="J381" s="143"/>
      <c r="K381" s="143"/>
      <c r="L381" s="143" t="s">
        <v>2416</v>
      </c>
      <c r="M381" s="143" t="s">
        <v>43</v>
      </c>
      <c r="N381" s="143" t="s">
        <v>2417</v>
      </c>
      <c r="O381" s="147">
        <v>3291977680</v>
      </c>
      <c r="P381" s="150"/>
      <c r="Q381" s="148">
        <v>15000000</v>
      </c>
      <c r="R381" s="150"/>
      <c r="S381" s="147">
        <f t="shared" si="517"/>
        <v>3306977680</v>
      </c>
      <c r="T381" s="158">
        <v>3291977680</v>
      </c>
      <c r="U381" s="143"/>
      <c r="V381" s="147">
        <v>15000000</v>
      </c>
      <c r="W381" s="143"/>
      <c r="X381" s="143"/>
      <c r="Y381" s="152">
        <f t="shared" ref="Y381:AB381" si="743">AD381-T381</f>
        <v>0</v>
      </c>
      <c r="Z381" s="151">
        <f t="shared" si="743"/>
        <v>0</v>
      </c>
      <c r="AA381" s="151">
        <f t="shared" si="743"/>
        <v>0</v>
      </c>
      <c r="AB381" s="143">
        <f t="shared" si="743"/>
        <v>0</v>
      </c>
      <c r="AC381" s="143"/>
      <c r="AD381" s="149">
        <v>3291977680</v>
      </c>
      <c r="AE381" s="150"/>
      <c r="AF381" s="148">
        <v>15000000</v>
      </c>
      <c r="AG381" s="145"/>
      <c r="AH381" s="143">
        <f t="shared" si="519"/>
        <v>0</v>
      </c>
      <c r="AI381" s="151"/>
      <c r="AJ381" s="151">
        <f t="shared" ref="AJ381:AL381" si="744">P381-AE381</f>
        <v>0</v>
      </c>
      <c r="AK381" s="151">
        <f t="shared" si="744"/>
        <v>0</v>
      </c>
      <c r="AL381" s="151">
        <f t="shared" si="744"/>
        <v>0</v>
      </c>
      <c r="AM381" s="145"/>
      <c r="AN381" s="139"/>
      <c r="AO381" s="139"/>
      <c r="AP381" s="139"/>
      <c r="AQ381" s="145"/>
      <c r="AR381" s="145"/>
    </row>
    <row r="382" spans="1:44" s="156" customFormat="1" ht="63" x14ac:dyDescent="0.25">
      <c r="A382" s="143" t="s">
        <v>60</v>
      </c>
      <c r="B382" s="144">
        <v>369</v>
      </c>
      <c r="C382" s="143" t="s">
        <v>37</v>
      </c>
      <c r="D382" s="143" t="s">
        <v>2418</v>
      </c>
      <c r="E382" s="145"/>
      <c r="F382" s="146"/>
      <c r="G382" s="143" t="s">
        <v>2419</v>
      </c>
      <c r="H382" s="143"/>
      <c r="I382" s="143"/>
      <c r="J382" s="143"/>
      <c r="K382" s="143"/>
      <c r="L382" s="143" t="s">
        <v>2420</v>
      </c>
      <c r="M382" s="143" t="s">
        <v>43</v>
      </c>
      <c r="N382" s="143" t="s">
        <v>2421</v>
      </c>
      <c r="O382" s="147">
        <v>923485600</v>
      </c>
      <c r="P382" s="150"/>
      <c r="Q382" s="148">
        <v>15000000</v>
      </c>
      <c r="R382" s="150"/>
      <c r="S382" s="147">
        <f t="shared" si="517"/>
        <v>938485600</v>
      </c>
      <c r="T382" s="158">
        <v>923485600</v>
      </c>
      <c r="U382" s="143"/>
      <c r="V382" s="147">
        <v>15000000</v>
      </c>
      <c r="W382" s="143"/>
      <c r="X382" s="143"/>
      <c r="Y382" s="152">
        <f t="shared" ref="Y382:AB382" si="745">AD382-T382</f>
        <v>0</v>
      </c>
      <c r="Z382" s="151">
        <f t="shared" si="745"/>
        <v>0</v>
      </c>
      <c r="AA382" s="151">
        <f t="shared" si="745"/>
        <v>0</v>
      </c>
      <c r="AB382" s="152">
        <f t="shared" si="745"/>
        <v>0</v>
      </c>
      <c r="AC382" s="143"/>
      <c r="AD382" s="149">
        <v>923485600</v>
      </c>
      <c r="AE382" s="150"/>
      <c r="AF382" s="148">
        <v>15000000</v>
      </c>
      <c r="AG382" s="155"/>
      <c r="AH382" s="143">
        <f t="shared" si="519"/>
        <v>0</v>
      </c>
      <c r="AI382" s="151"/>
      <c r="AJ382" s="151">
        <f t="shared" ref="AJ382:AL382" si="746">P382-AE382</f>
        <v>0</v>
      </c>
      <c r="AK382" s="151">
        <f t="shared" si="746"/>
        <v>0</v>
      </c>
      <c r="AL382" s="151">
        <f t="shared" si="746"/>
        <v>0</v>
      </c>
      <c r="AM382" s="145"/>
      <c r="AN382" s="139"/>
      <c r="AO382" s="139"/>
      <c r="AP382" s="139"/>
      <c r="AQ382" s="145"/>
      <c r="AR382" s="145"/>
    </row>
    <row r="383" spans="1:44" s="156" customFormat="1" ht="94.5" x14ac:dyDescent="0.25">
      <c r="A383" s="143" t="s">
        <v>35</v>
      </c>
      <c r="B383" s="144">
        <v>370</v>
      </c>
      <c r="C383" s="143" t="s">
        <v>37</v>
      </c>
      <c r="D383" s="143" t="s">
        <v>2422</v>
      </c>
      <c r="E383" s="145" t="s">
        <v>3145</v>
      </c>
      <c r="F383" s="146"/>
      <c r="G383" s="143" t="s">
        <v>2424</v>
      </c>
      <c r="H383" s="143" t="s">
        <v>3146</v>
      </c>
      <c r="I383" s="143"/>
      <c r="J383" s="143"/>
      <c r="K383" s="143"/>
      <c r="L383" s="143" t="s">
        <v>1064</v>
      </c>
      <c r="M383" s="143" t="s">
        <v>43</v>
      </c>
      <c r="N383" s="143" t="s">
        <v>2426</v>
      </c>
      <c r="O383" s="147">
        <v>2060615056</v>
      </c>
      <c r="P383" s="148">
        <f>207933110+545721680</f>
        <v>753654790</v>
      </c>
      <c r="Q383" s="148">
        <v>15000000</v>
      </c>
      <c r="R383" s="150"/>
      <c r="S383" s="147">
        <f t="shared" si="517"/>
        <v>2829269846</v>
      </c>
      <c r="T383" s="158">
        <v>2060615056</v>
      </c>
      <c r="U383" s="158">
        <v>753654790</v>
      </c>
      <c r="V383" s="147">
        <v>15000000</v>
      </c>
      <c r="W383" s="143"/>
      <c r="X383" s="143"/>
      <c r="Y383" s="152">
        <f t="shared" ref="Y383:AB383" si="747">AD383-T383</f>
        <v>0</v>
      </c>
      <c r="Z383" s="151">
        <f t="shared" si="747"/>
        <v>0</v>
      </c>
      <c r="AA383" s="151">
        <f t="shared" si="747"/>
        <v>0</v>
      </c>
      <c r="AB383" s="151">
        <f t="shared" si="747"/>
        <v>0</v>
      </c>
      <c r="AC383" s="143"/>
      <c r="AD383" s="149">
        <v>2060615056</v>
      </c>
      <c r="AE383" s="148">
        <f>207933110+545721680</f>
        <v>753654790</v>
      </c>
      <c r="AF383" s="148">
        <v>15000000</v>
      </c>
      <c r="AG383" s="150"/>
      <c r="AH383" s="143">
        <f t="shared" si="519"/>
        <v>0</v>
      </c>
      <c r="AI383" s="151"/>
      <c r="AJ383" s="151">
        <f t="shared" ref="AJ383:AL383" si="748">P383-AE383</f>
        <v>0</v>
      </c>
      <c r="AK383" s="151">
        <f t="shared" si="748"/>
        <v>0</v>
      </c>
      <c r="AL383" s="151">
        <f t="shared" si="748"/>
        <v>0</v>
      </c>
      <c r="AM383" s="145"/>
      <c r="AN383" s="139"/>
      <c r="AO383" s="139"/>
      <c r="AP383" s="139"/>
      <c r="AQ383" s="145"/>
      <c r="AR383" s="145"/>
    </row>
    <row r="384" spans="1:44" s="156" customFormat="1" ht="47.25" x14ac:dyDescent="0.25">
      <c r="A384" s="143" t="s">
        <v>35</v>
      </c>
      <c r="B384" s="144">
        <v>371</v>
      </c>
      <c r="C384" s="143" t="s">
        <v>37</v>
      </c>
      <c r="D384" s="143" t="s">
        <v>2427</v>
      </c>
      <c r="E384" s="145"/>
      <c r="F384" s="146"/>
      <c r="G384" s="143" t="s">
        <v>2428</v>
      </c>
      <c r="H384" s="143"/>
      <c r="I384" s="143"/>
      <c r="J384" s="143"/>
      <c r="K384" s="143"/>
      <c r="L384" s="143" t="s">
        <v>2429</v>
      </c>
      <c r="M384" s="143" t="s">
        <v>43</v>
      </c>
      <c r="N384" s="143" t="s">
        <v>2430</v>
      </c>
      <c r="O384" s="147"/>
      <c r="P384" s="150"/>
      <c r="Q384" s="148">
        <v>7500000</v>
      </c>
      <c r="R384" s="150"/>
      <c r="S384" s="147">
        <f t="shared" si="517"/>
        <v>7500000</v>
      </c>
      <c r="T384" s="144">
        <v>0</v>
      </c>
      <c r="U384" s="143"/>
      <c r="V384" s="157">
        <v>7500000</v>
      </c>
      <c r="W384" s="143"/>
      <c r="X384" s="143"/>
      <c r="Y384" s="143">
        <f t="shared" ref="Y384:AB384" si="749">AD384-T384</f>
        <v>0</v>
      </c>
      <c r="Z384" s="151">
        <f t="shared" si="749"/>
        <v>0</v>
      </c>
      <c r="AA384" s="151">
        <f t="shared" si="749"/>
        <v>0</v>
      </c>
      <c r="AB384" s="152">
        <f t="shared" si="749"/>
        <v>0</v>
      </c>
      <c r="AC384" s="143"/>
      <c r="AD384" s="175">
        <v>0</v>
      </c>
      <c r="AE384" s="150"/>
      <c r="AF384" s="148">
        <v>7500000</v>
      </c>
      <c r="AG384" s="155"/>
      <c r="AH384" s="143">
        <f t="shared" si="519"/>
        <v>0</v>
      </c>
      <c r="AI384" s="151"/>
      <c r="AJ384" s="151">
        <f t="shared" ref="AJ384:AL384" si="750">P384-AE384</f>
        <v>0</v>
      </c>
      <c r="AK384" s="151">
        <f t="shared" si="750"/>
        <v>0</v>
      </c>
      <c r="AL384" s="151">
        <f t="shared" si="750"/>
        <v>0</v>
      </c>
      <c r="AM384" s="145"/>
      <c r="AN384" s="139"/>
      <c r="AO384" s="139"/>
      <c r="AP384" s="139"/>
      <c r="AQ384" s="145"/>
      <c r="AR384" s="145"/>
    </row>
    <row r="385" spans="1:44" s="156" customFormat="1" ht="47.25" x14ac:dyDescent="0.25">
      <c r="A385" s="143" t="s">
        <v>46</v>
      </c>
      <c r="B385" s="144">
        <v>372</v>
      </c>
      <c r="C385" s="143" t="s">
        <v>37</v>
      </c>
      <c r="D385" s="143" t="s">
        <v>2431</v>
      </c>
      <c r="E385" s="145"/>
      <c r="F385" s="146"/>
      <c r="G385" s="143" t="s">
        <v>2432</v>
      </c>
      <c r="H385" s="143"/>
      <c r="I385" s="143"/>
      <c r="J385" s="143"/>
      <c r="K385" s="143"/>
      <c r="L385" s="143" t="s">
        <v>2321</v>
      </c>
      <c r="M385" s="143" t="s">
        <v>43</v>
      </c>
      <c r="N385" s="143" t="s">
        <v>2433</v>
      </c>
      <c r="O385" s="147">
        <v>921360322</v>
      </c>
      <c r="P385" s="150"/>
      <c r="Q385" s="148">
        <v>7500000</v>
      </c>
      <c r="R385" s="150"/>
      <c r="S385" s="147">
        <f t="shared" si="517"/>
        <v>928860322</v>
      </c>
      <c r="T385" s="158">
        <v>921360322</v>
      </c>
      <c r="U385" s="143"/>
      <c r="V385" s="147">
        <v>7500000</v>
      </c>
      <c r="W385" s="143"/>
      <c r="X385" s="143"/>
      <c r="Y385" s="152">
        <f t="shared" ref="Y385:AB385" si="751">AD385-T385</f>
        <v>0</v>
      </c>
      <c r="Z385" s="151">
        <f t="shared" si="751"/>
        <v>0</v>
      </c>
      <c r="AA385" s="151">
        <f t="shared" si="751"/>
        <v>0</v>
      </c>
      <c r="AB385" s="151">
        <f t="shared" si="751"/>
        <v>0</v>
      </c>
      <c r="AC385" s="143"/>
      <c r="AD385" s="149">
        <v>921360322</v>
      </c>
      <c r="AE385" s="150"/>
      <c r="AF385" s="148">
        <v>7500000</v>
      </c>
      <c r="AG385" s="150"/>
      <c r="AH385" s="143">
        <f t="shared" si="519"/>
        <v>0</v>
      </c>
      <c r="AI385" s="151"/>
      <c r="AJ385" s="151">
        <f t="shared" ref="AJ385:AL385" si="752">P385-AE385</f>
        <v>0</v>
      </c>
      <c r="AK385" s="151">
        <f t="shared" si="752"/>
        <v>0</v>
      </c>
      <c r="AL385" s="151">
        <f t="shared" si="752"/>
        <v>0</v>
      </c>
      <c r="AM385" s="145"/>
      <c r="AN385" s="139"/>
      <c r="AO385" s="139"/>
      <c r="AP385" s="139"/>
      <c r="AQ385" s="145"/>
      <c r="AR385" s="145"/>
    </row>
    <row r="386" spans="1:44" s="156" customFormat="1" ht="47.25" x14ac:dyDescent="0.25">
      <c r="A386" s="143" t="s">
        <v>60</v>
      </c>
      <c r="B386" s="175">
        <v>373</v>
      </c>
      <c r="C386" s="145" t="s">
        <v>37</v>
      </c>
      <c r="D386" s="143" t="s">
        <v>852</v>
      </c>
      <c r="E386" s="145"/>
      <c r="F386" s="145" t="s">
        <v>853</v>
      </c>
      <c r="G386" s="145" t="s">
        <v>854</v>
      </c>
      <c r="H386" s="145"/>
      <c r="I386" s="145"/>
      <c r="J386" s="145"/>
      <c r="K386" s="146"/>
      <c r="L386" s="145" t="s">
        <v>855</v>
      </c>
      <c r="M386" s="145" t="s">
        <v>43</v>
      </c>
      <c r="N386" s="145" t="s">
        <v>856</v>
      </c>
      <c r="O386" s="147">
        <v>3862052810</v>
      </c>
      <c r="P386" s="150"/>
      <c r="Q386" s="148">
        <v>15000000</v>
      </c>
      <c r="R386" s="148">
        <v>56000000</v>
      </c>
      <c r="S386" s="147">
        <f t="shared" si="517"/>
        <v>3933052810</v>
      </c>
      <c r="T386" s="158">
        <v>3862052810</v>
      </c>
      <c r="U386" s="143"/>
      <c r="V386" s="147">
        <v>15000000</v>
      </c>
      <c r="W386" s="143"/>
      <c r="X386" s="143"/>
      <c r="Y386" s="152">
        <f t="shared" ref="Y386:AB386" si="753">AD386-T386</f>
        <v>0</v>
      </c>
      <c r="Z386" s="151">
        <f t="shared" si="753"/>
        <v>0</v>
      </c>
      <c r="AA386" s="151">
        <f t="shared" si="753"/>
        <v>0</v>
      </c>
      <c r="AB386" s="152">
        <f t="shared" si="753"/>
        <v>0</v>
      </c>
      <c r="AC386" s="165"/>
      <c r="AD386" s="149">
        <v>3862052810</v>
      </c>
      <c r="AE386" s="150"/>
      <c r="AF386" s="148">
        <v>15000000</v>
      </c>
      <c r="AG386" s="155"/>
      <c r="AH386" s="166">
        <f t="shared" si="519"/>
        <v>0</v>
      </c>
      <c r="AI386" s="151"/>
      <c r="AJ386" s="151">
        <f t="shared" ref="AJ386:AL386" si="754">P386-AE386</f>
        <v>0</v>
      </c>
      <c r="AK386" s="151">
        <f t="shared" si="754"/>
        <v>0</v>
      </c>
      <c r="AL386" s="150">
        <f t="shared" si="754"/>
        <v>56000000</v>
      </c>
      <c r="AM386" s="145"/>
      <c r="AN386" s="139"/>
      <c r="AO386" s="139"/>
      <c r="AP386" s="139"/>
      <c r="AQ386" s="145" t="s">
        <v>3285</v>
      </c>
      <c r="AR386" s="145"/>
    </row>
    <row r="387" spans="1:44" s="156" customFormat="1" ht="47.25" x14ac:dyDescent="0.25">
      <c r="A387" s="143" t="s">
        <v>60</v>
      </c>
      <c r="B387" s="144">
        <v>374</v>
      </c>
      <c r="C387" s="143" t="s">
        <v>37</v>
      </c>
      <c r="D387" s="143" t="s">
        <v>2434</v>
      </c>
      <c r="E387" s="145" t="s">
        <v>2294</v>
      </c>
      <c r="F387" s="146"/>
      <c r="G387" s="143" t="s">
        <v>2435</v>
      </c>
      <c r="H387" s="143"/>
      <c r="I387" s="143"/>
      <c r="J387" s="143"/>
      <c r="K387" s="143"/>
      <c r="L387" s="143" t="s">
        <v>2436</v>
      </c>
      <c r="M387" s="143" t="s">
        <v>43</v>
      </c>
      <c r="N387" s="143" t="s">
        <v>2437</v>
      </c>
      <c r="O387" s="147">
        <v>1332855184</v>
      </c>
      <c r="P387" s="148">
        <v>1083625992</v>
      </c>
      <c r="Q387" s="148">
        <v>15000000</v>
      </c>
      <c r="R387" s="150"/>
      <c r="S387" s="147">
        <f t="shared" si="517"/>
        <v>2431481176</v>
      </c>
      <c r="T387" s="158">
        <v>1332855184</v>
      </c>
      <c r="U387" s="158">
        <v>1083625992</v>
      </c>
      <c r="V387" s="147">
        <v>15000000</v>
      </c>
      <c r="W387" s="143"/>
      <c r="X387" s="143"/>
      <c r="Y387" s="151">
        <f t="shared" ref="Y387:AB387" si="755">AD387-T387</f>
        <v>0</v>
      </c>
      <c r="Z387" s="151">
        <f t="shared" si="755"/>
        <v>0</v>
      </c>
      <c r="AA387" s="151">
        <f t="shared" si="755"/>
        <v>0</v>
      </c>
      <c r="AB387" s="151">
        <f t="shared" si="755"/>
        <v>0</v>
      </c>
      <c r="AC387" s="143"/>
      <c r="AD387" s="148">
        <v>1332855184</v>
      </c>
      <c r="AE387" s="148">
        <v>1083625992</v>
      </c>
      <c r="AF387" s="148">
        <v>15000000</v>
      </c>
      <c r="AG387" s="150"/>
      <c r="AH387" s="143">
        <f t="shared" si="519"/>
        <v>0</v>
      </c>
      <c r="AI387" s="151"/>
      <c r="AJ387" s="151">
        <f t="shared" ref="AJ387:AL387" si="756">P387-AE387</f>
        <v>0</v>
      </c>
      <c r="AK387" s="151">
        <f t="shared" si="756"/>
        <v>0</v>
      </c>
      <c r="AL387" s="151">
        <f t="shared" si="756"/>
        <v>0</v>
      </c>
      <c r="AM387" s="145"/>
      <c r="AN387" s="139"/>
      <c r="AO387" s="139"/>
      <c r="AP387" s="139"/>
      <c r="AQ387" s="145"/>
      <c r="AR387" s="145"/>
    </row>
    <row r="388" spans="1:44" s="156" customFormat="1" ht="47.25" x14ac:dyDescent="0.25">
      <c r="A388" s="143" t="s">
        <v>52</v>
      </c>
      <c r="B388" s="144">
        <v>375</v>
      </c>
      <c r="C388" s="143" t="s">
        <v>37</v>
      </c>
      <c r="D388" s="143" t="s">
        <v>2438</v>
      </c>
      <c r="E388" s="145"/>
      <c r="F388" s="146"/>
      <c r="G388" s="143" t="s">
        <v>2439</v>
      </c>
      <c r="H388" s="143"/>
      <c r="I388" s="143"/>
      <c r="J388" s="143"/>
      <c r="K388" s="143"/>
      <c r="L388" s="143" t="s">
        <v>2440</v>
      </c>
      <c r="M388" s="143" t="s">
        <v>43</v>
      </c>
      <c r="N388" s="143" t="s">
        <v>2441</v>
      </c>
      <c r="O388" s="147">
        <v>1438986832</v>
      </c>
      <c r="P388" s="150"/>
      <c r="Q388" s="148">
        <v>15000000</v>
      </c>
      <c r="R388" s="150"/>
      <c r="S388" s="147">
        <f t="shared" si="517"/>
        <v>1453986832</v>
      </c>
      <c r="T388" s="158">
        <v>1438986832</v>
      </c>
      <c r="U388" s="143"/>
      <c r="V388" s="147">
        <v>15000000</v>
      </c>
      <c r="W388" s="143"/>
      <c r="X388" s="143"/>
      <c r="Y388" s="152">
        <f t="shared" ref="Y388:AB388" si="757">AD388-T388</f>
        <v>0</v>
      </c>
      <c r="Z388" s="151">
        <f t="shared" si="757"/>
        <v>0</v>
      </c>
      <c r="AA388" s="151">
        <f t="shared" si="757"/>
        <v>0</v>
      </c>
      <c r="AB388" s="151">
        <f t="shared" si="757"/>
        <v>0</v>
      </c>
      <c r="AC388" s="143"/>
      <c r="AD388" s="149">
        <v>1438986832</v>
      </c>
      <c r="AE388" s="150"/>
      <c r="AF388" s="148">
        <v>15000000</v>
      </c>
      <c r="AG388" s="150"/>
      <c r="AH388" s="143">
        <f t="shared" si="519"/>
        <v>0</v>
      </c>
      <c r="AI388" s="151"/>
      <c r="AJ388" s="151">
        <f t="shared" ref="AJ388:AL388" si="758">P388-AE388</f>
        <v>0</v>
      </c>
      <c r="AK388" s="151">
        <f t="shared" si="758"/>
        <v>0</v>
      </c>
      <c r="AL388" s="151">
        <f t="shared" si="758"/>
        <v>0</v>
      </c>
      <c r="AM388" s="145"/>
      <c r="AN388" s="139"/>
      <c r="AO388" s="139"/>
      <c r="AP388" s="139"/>
      <c r="AQ388" s="145"/>
      <c r="AR388" s="145"/>
    </row>
    <row r="389" spans="1:44" s="156" customFormat="1" ht="47.25" x14ac:dyDescent="0.25">
      <c r="A389" s="143" t="s">
        <v>35</v>
      </c>
      <c r="B389" s="175">
        <v>376</v>
      </c>
      <c r="C389" s="145" t="s">
        <v>37</v>
      </c>
      <c r="D389" s="143" t="s">
        <v>38</v>
      </c>
      <c r="E389" s="145"/>
      <c r="F389" s="145" t="s">
        <v>39</v>
      </c>
      <c r="G389" s="145" t="s">
        <v>40</v>
      </c>
      <c r="H389" s="145"/>
      <c r="I389" s="145"/>
      <c r="J389" s="145"/>
      <c r="K389" s="146"/>
      <c r="L389" s="145" t="s">
        <v>41</v>
      </c>
      <c r="M389" s="145" t="s">
        <v>43</v>
      </c>
      <c r="N389" s="145" t="s">
        <v>44</v>
      </c>
      <c r="O389" s="147">
        <v>544448656</v>
      </c>
      <c r="P389" s="150"/>
      <c r="Q389" s="148">
        <v>15000000</v>
      </c>
      <c r="R389" s="148">
        <v>72000000</v>
      </c>
      <c r="S389" s="147">
        <f t="shared" si="517"/>
        <v>631448656</v>
      </c>
      <c r="T389" s="158">
        <v>544448656</v>
      </c>
      <c r="U389" s="143"/>
      <c r="V389" s="147">
        <v>15000000</v>
      </c>
      <c r="W389" s="143"/>
      <c r="X389" s="143"/>
      <c r="Y389" s="152">
        <f t="shared" ref="Y389:AB389" si="759">AD389-T389</f>
        <v>0</v>
      </c>
      <c r="Z389" s="151">
        <f t="shared" si="759"/>
        <v>0</v>
      </c>
      <c r="AA389" s="151">
        <f t="shared" si="759"/>
        <v>0</v>
      </c>
      <c r="AB389" s="151">
        <f t="shared" si="759"/>
        <v>0</v>
      </c>
      <c r="AC389" s="165"/>
      <c r="AD389" s="149">
        <v>544448656</v>
      </c>
      <c r="AE389" s="150"/>
      <c r="AF389" s="148">
        <v>15000000</v>
      </c>
      <c r="AG389" s="150"/>
      <c r="AH389" s="166">
        <f t="shared" si="519"/>
        <v>0</v>
      </c>
      <c r="AI389" s="151"/>
      <c r="AJ389" s="151">
        <f t="shared" ref="AJ389:AL389" si="760">P389-AE389</f>
        <v>0</v>
      </c>
      <c r="AK389" s="151">
        <f t="shared" si="760"/>
        <v>0</v>
      </c>
      <c r="AL389" s="150">
        <f t="shared" si="760"/>
        <v>72000000</v>
      </c>
      <c r="AM389" s="145"/>
      <c r="AN389" s="139"/>
      <c r="AO389" s="139"/>
      <c r="AP389" s="139"/>
      <c r="AQ389" s="145" t="s">
        <v>3293</v>
      </c>
      <c r="AR389" s="145"/>
    </row>
    <row r="390" spans="1:44" s="156" customFormat="1" ht="47.25" x14ac:dyDescent="0.25">
      <c r="A390" s="143" t="s">
        <v>52</v>
      </c>
      <c r="B390" s="144">
        <v>377</v>
      </c>
      <c r="C390" s="143" t="s">
        <v>37</v>
      </c>
      <c r="D390" s="143" t="s">
        <v>2442</v>
      </c>
      <c r="E390" s="145" t="s">
        <v>2443</v>
      </c>
      <c r="F390" s="146"/>
      <c r="G390" s="143" t="s">
        <v>2444</v>
      </c>
      <c r="H390" s="143" t="s">
        <v>2445</v>
      </c>
      <c r="I390" s="143"/>
      <c r="J390" s="143"/>
      <c r="K390" s="143"/>
      <c r="L390" s="143" t="s">
        <v>2446</v>
      </c>
      <c r="M390" s="143" t="s">
        <v>43</v>
      </c>
      <c r="N390" s="143" t="s">
        <v>2310</v>
      </c>
      <c r="O390" s="147">
        <v>1565965768</v>
      </c>
      <c r="P390" s="148">
        <v>410266836</v>
      </c>
      <c r="Q390" s="148">
        <v>15000000</v>
      </c>
      <c r="R390" s="150"/>
      <c r="S390" s="147">
        <f t="shared" si="517"/>
        <v>1991232604</v>
      </c>
      <c r="T390" s="158">
        <v>1565965768</v>
      </c>
      <c r="U390" s="151">
        <v>410266836</v>
      </c>
      <c r="V390" s="147">
        <v>15000000</v>
      </c>
      <c r="W390" s="143"/>
      <c r="X390" s="143"/>
      <c r="Y390" s="152">
        <f t="shared" ref="Y390:AB390" si="761">AD390-T390</f>
        <v>0</v>
      </c>
      <c r="Z390" s="151">
        <f t="shared" si="761"/>
        <v>0</v>
      </c>
      <c r="AA390" s="151">
        <f t="shared" si="761"/>
        <v>0</v>
      </c>
      <c r="AB390" s="151">
        <f t="shared" si="761"/>
        <v>0</v>
      </c>
      <c r="AC390" s="143"/>
      <c r="AD390" s="149">
        <v>1565965768</v>
      </c>
      <c r="AE390" s="148">
        <v>410266836</v>
      </c>
      <c r="AF390" s="148">
        <v>15000000</v>
      </c>
      <c r="AG390" s="150"/>
      <c r="AH390" s="143">
        <f t="shared" si="519"/>
        <v>0</v>
      </c>
      <c r="AI390" s="151"/>
      <c r="AJ390" s="151">
        <f t="shared" ref="AJ390:AL390" si="762">P390-AE390</f>
        <v>0</v>
      </c>
      <c r="AK390" s="151">
        <f t="shared" si="762"/>
        <v>0</v>
      </c>
      <c r="AL390" s="151">
        <f t="shared" si="762"/>
        <v>0</v>
      </c>
      <c r="AM390" s="145"/>
      <c r="AN390" s="139"/>
      <c r="AO390" s="139"/>
      <c r="AP390" s="139"/>
      <c r="AQ390" s="145"/>
      <c r="AR390" s="145"/>
    </row>
    <row r="391" spans="1:44" s="156" customFormat="1" ht="47.25" x14ac:dyDescent="0.25">
      <c r="A391" s="143" t="s">
        <v>52</v>
      </c>
      <c r="B391" s="144">
        <v>378</v>
      </c>
      <c r="C391" s="143" t="s">
        <v>37</v>
      </c>
      <c r="D391" s="143" t="s">
        <v>2447</v>
      </c>
      <c r="E391" s="145"/>
      <c r="F391" s="146"/>
      <c r="G391" s="143" t="s">
        <v>2448</v>
      </c>
      <c r="H391" s="143"/>
      <c r="I391" s="143"/>
      <c r="J391" s="143"/>
      <c r="K391" s="143"/>
      <c r="L391" s="143" t="s">
        <v>2449</v>
      </c>
      <c r="M391" s="143" t="s">
        <v>43</v>
      </c>
      <c r="N391" s="143" t="s">
        <v>2450</v>
      </c>
      <c r="O391" s="147">
        <v>1173810916</v>
      </c>
      <c r="P391" s="150"/>
      <c r="Q391" s="148">
        <v>15000000</v>
      </c>
      <c r="R391" s="150"/>
      <c r="S391" s="147">
        <f t="shared" si="517"/>
        <v>1188810916</v>
      </c>
      <c r="T391" s="158">
        <v>1173810916</v>
      </c>
      <c r="U391" s="143"/>
      <c r="V391" s="147">
        <v>15000000</v>
      </c>
      <c r="W391" s="143"/>
      <c r="X391" s="143"/>
      <c r="Y391" s="152">
        <f t="shared" ref="Y391:AB391" si="763">AD391-T391</f>
        <v>0</v>
      </c>
      <c r="Z391" s="151">
        <f t="shared" si="763"/>
        <v>0</v>
      </c>
      <c r="AA391" s="151">
        <f t="shared" si="763"/>
        <v>0</v>
      </c>
      <c r="AB391" s="151">
        <f t="shared" si="763"/>
        <v>0</v>
      </c>
      <c r="AC391" s="143"/>
      <c r="AD391" s="149">
        <v>1173810916</v>
      </c>
      <c r="AE391" s="150"/>
      <c r="AF391" s="148">
        <v>15000000</v>
      </c>
      <c r="AG391" s="150"/>
      <c r="AH391" s="143">
        <f t="shared" si="519"/>
        <v>0</v>
      </c>
      <c r="AI391" s="151"/>
      <c r="AJ391" s="151">
        <f t="shared" ref="AJ391:AL391" si="764">P391-AE391</f>
        <v>0</v>
      </c>
      <c r="AK391" s="151">
        <f t="shared" si="764"/>
        <v>0</v>
      </c>
      <c r="AL391" s="151">
        <f t="shared" si="764"/>
        <v>0</v>
      </c>
      <c r="AM391" s="145"/>
      <c r="AN391" s="139"/>
      <c r="AO391" s="139"/>
      <c r="AP391" s="139"/>
      <c r="AQ391" s="145"/>
      <c r="AR391" s="145"/>
    </row>
    <row r="392" spans="1:44" s="156" customFormat="1" ht="63" x14ac:dyDescent="0.25">
      <c r="A392" s="143" t="s">
        <v>52</v>
      </c>
      <c r="B392" s="144">
        <v>379</v>
      </c>
      <c r="C392" s="143" t="s">
        <v>37</v>
      </c>
      <c r="D392" s="143" t="s">
        <v>2451</v>
      </c>
      <c r="E392" s="145"/>
      <c r="F392" s="146"/>
      <c r="G392" s="143" t="s">
        <v>2452</v>
      </c>
      <c r="H392" s="143"/>
      <c r="I392" s="143"/>
      <c r="J392" s="143"/>
      <c r="K392" s="143"/>
      <c r="L392" s="143" t="s">
        <v>2453</v>
      </c>
      <c r="M392" s="143" t="s">
        <v>43</v>
      </c>
      <c r="N392" s="143" t="s">
        <v>2454</v>
      </c>
      <c r="O392" s="147">
        <v>1932455460</v>
      </c>
      <c r="P392" s="150"/>
      <c r="Q392" s="148">
        <v>7500000</v>
      </c>
      <c r="R392" s="150"/>
      <c r="S392" s="147">
        <f t="shared" si="517"/>
        <v>1939955460</v>
      </c>
      <c r="T392" s="158">
        <v>1932455460</v>
      </c>
      <c r="U392" s="143"/>
      <c r="V392" s="157"/>
      <c r="W392" s="143"/>
      <c r="X392" s="143"/>
      <c r="Y392" s="152">
        <f t="shared" ref="Y392:AB392" si="765">AD392-T392</f>
        <v>0</v>
      </c>
      <c r="Z392" s="151">
        <f t="shared" si="765"/>
        <v>0</v>
      </c>
      <c r="AA392" s="151">
        <f t="shared" si="765"/>
        <v>0</v>
      </c>
      <c r="AB392" s="152">
        <f t="shared" si="765"/>
        <v>0</v>
      </c>
      <c r="AC392" s="143"/>
      <c r="AD392" s="149">
        <v>1932455460</v>
      </c>
      <c r="AE392" s="150"/>
      <c r="AF392" s="150"/>
      <c r="AG392" s="155"/>
      <c r="AH392" s="143">
        <f t="shared" si="519"/>
        <v>0</v>
      </c>
      <c r="AI392" s="151"/>
      <c r="AJ392" s="151">
        <f t="shared" ref="AJ392:AL392" si="766">P392-AE392</f>
        <v>0</v>
      </c>
      <c r="AK392" s="151">
        <f t="shared" si="766"/>
        <v>7500000</v>
      </c>
      <c r="AL392" s="151">
        <f t="shared" si="766"/>
        <v>0</v>
      </c>
      <c r="AM392" s="145"/>
      <c r="AN392" s="139"/>
      <c r="AO392" s="139"/>
      <c r="AP392" s="162" t="s">
        <v>3308</v>
      </c>
      <c r="AQ392" s="145"/>
      <c r="AR392" s="145"/>
    </row>
    <row r="393" spans="1:44" s="156" customFormat="1" ht="47.25" x14ac:dyDescent="0.25">
      <c r="A393" s="143" t="s">
        <v>60</v>
      </c>
      <c r="B393" s="144">
        <v>380</v>
      </c>
      <c r="C393" s="143" t="s">
        <v>37</v>
      </c>
      <c r="D393" s="143" t="s">
        <v>2455</v>
      </c>
      <c r="E393" s="145" t="s">
        <v>2402</v>
      </c>
      <c r="F393" s="146"/>
      <c r="G393" s="143" t="s">
        <v>2456</v>
      </c>
      <c r="H393" s="143" t="s">
        <v>2457</v>
      </c>
      <c r="I393" s="143"/>
      <c r="J393" s="143"/>
      <c r="K393" s="143"/>
      <c r="L393" s="143" t="s">
        <v>2458</v>
      </c>
      <c r="M393" s="143" t="s">
        <v>43</v>
      </c>
      <c r="N393" s="143" t="s">
        <v>2459</v>
      </c>
      <c r="O393" s="147">
        <v>7987138183</v>
      </c>
      <c r="P393" s="148">
        <v>674307533</v>
      </c>
      <c r="Q393" s="148">
        <v>15000000</v>
      </c>
      <c r="R393" s="150"/>
      <c r="S393" s="147">
        <f t="shared" si="517"/>
        <v>8676445716</v>
      </c>
      <c r="T393" s="158">
        <v>7987138183</v>
      </c>
      <c r="U393" s="158">
        <v>674307533</v>
      </c>
      <c r="V393" s="147">
        <v>15000000</v>
      </c>
      <c r="W393" s="143"/>
      <c r="X393" s="143"/>
      <c r="Y393" s="152">
        <f t="shared" ref="Y393:AB393" si="767">AD393-T393</f>
        <v>0</v>
      </c>
      <c r="Z393" s="151">
        <f t="shared" si="767"/>
        <v>0</v>
      </c>
      <c r="AA393" s="151">
        <f t="shared" si="767"/>
        <v>0</v>
      </c>
      <c r="AB393" s="151">
        <f t="shared" si="767"/>
        <v>0</v>
      </c>
      <c r="AC393" s="143"/>
      <c r="AD393" s="149">
        <v>7987138183</v>
      </c>
      <c r="AE393" s="148">
        <v>674307533</v>
      </c>
      <c r="AF393" s="148">
        <v>15000000</v>
      </c>
      <c r="AG393" s="150"/>
      <c r="AH393" s="143">
        <f t="shared" si="519"/>
        <v>0</v>
      </c>
      <c r="AI393" s="151"/>
      <c r="AJ393" s="151">
        <f t="shared" ref="AJ393:AL393" si="768">P393-AE393</f>
        <v>0</v>
      </c>
      <c r="AK393" s="151">
        <f t="shared" si="768"/>
        <v>0</v>
      </c>
      <c r="AL393" s="151">
        <f t="shared" si="768"/>
        <v>0</v>
      </c>
      <c r="AM393" s="145"/>
      <c r="AN393" s="139"/>
      <c r="AO393" s="139"/>
      <c r="AP393" s="139"/>
      <c r="AQ393" s="145"/>
      <c r="AR393" s="145"/>
    </row>
    <row r="394" spans="1:44" s="156" customFormat="1" ht="47.25" x14ac:dyDescent="0.25">
      <c r="A394" s="143" t="s">
        <v>60</v>
      </c>
      <c r="B394" s="144">
        <v>381</v>
      </c>
      <c r="C394" s="143" t="s">
        <v>37</v>
      </c>
      <c r="D394" s="143" t="s">
        <v>2461</v>
      </c>
      <c r="E394" s="145" t="s">
        <v>2462</v>
      </c>
      <c r="F394" s="146"/>
      <c r="G394" s="143" t="s">
        <v>2463</v>
      </c>
      <c r="H394" s="143" t="s">
        <v>2464</v>
      </c>
      <c r="I394" s="143"/>
      <c r="J394" s="143"/>
      <c r="K394" s="143"/>
      <c r="L394" s="143" t="s">
        <v>2465</v>
      </c>
      <c r="M394" s="143" t="s">
        <v>43</v>
      </c>
      <c r="N394" s="143" t="s">
        <v>2466</v>
      </c>
      <c r="O394" s="147">
        <v>3114350704</v>
      </c>
      <c r="P394" s="148">
        <v>818534808</v>
      </c>
      <c r="Q394" s="148">
        <v>15000000</v>
      </c>
      <c r="R394" s="150"/>
      <c r="S394" s="147">
        <f t="shared" si="517"/>
        <v>3947885512</v>
      </c>
      <c r="T394" s="158">
        <v>3114350704</v>
      </c>
      <c r="U394" s="158">
        <v>818534808</v>
      </c>
      <c r="V394" s="147">
        <v>15000000</v>
      </c>
      <c r="W394" s="143"/>
      <c r="X394" s="143"/>
      <c r="Y394" s="152">
        <f t="shared" ref="Y394:AB394" si="769">AD394-T394</f>
        <v>0</v>
      </c>
      <c r="Z394" s="151">
        <f t="shared" si="769"/>
        <v>0</v>
      </c>
      <c r="AA394" s="151">
        <f t="shared" si="769"/>
        <v>0</v>
      </c>
      <c r="AB394" s="151">
        <f t="shared" si="769"/>
        <v>0</v>
      </c>
      <c r="AC394" s="143"/>
      <c r="AD394" s="149">
        <v>3114350704</v>
      </c>
      <c r="AE394" s="148">
        <v>818534808</v>
      </c>
      <c r="AF394" s="148">
        <v>15000000</v>
      </c>
      <c r="AG394" s="150"/>
      <c r="AH394" s="143">
        <f t="shared" si="519"/>
        <v>0</v>
      </c>
      <c r="AI394" s="151"/>
      <c r="AJ394" s="151">
        <f t="shared" ref="AJ394:AL394" si="770">P394-AE394</f>
        <v>0</v>
      </c>
      <c r="AK394" s="151">
        <f t="shared" si="770"/>
        <v>0</v>
      </c>
      <c r="AL394" s="151">
        <f t="shared" si="770"/>
        <v>0</v>
      </c>
      <c r="AM394" s="145"/>
      <c r="AN394" s="139"/>
      <c r="AO394" s="139"/>
      <c r="AP394" s="139"/>
      <c r="AQ394" s="145"/>
      <c r="AR394" s="145"/>
    </row>
    <row r="395" spans="1:44" s="156" customFormat="1" ht="47.25" x14ac:dyDescent="0.25">
      <c r="A395" s="143" t="s">
        <v>52</v>
      </c>
      <c r="B395" s="144">
        <v>382</v>
      </c>
      <c r="C395" s="143" t="s">
        <v>37</v>
      </c>
      <c r="D395" s="143" t="s">
        <v>2467</v>
      </c>
      <c r="E395" s="145"/>
      <c r="F395" s="146"/>
      <c r="G395" s="143" t="s">
        <v>2468</v>
      </c>
      <c r="H395" s="143"/>
      <c r="I395" s="143"/>
      <c r="J395" s="143"/>
      <c r="K395" s="143"/>
      <c r="L395" s="143" t="s">
        <v>2469</v>
      </c>
      <c r="M395" s="143" t="s">
        <v>43</v>
      </c>
      <c r="N395" s="143" t="s">
        <v>2470</v>
      </c>
      <c r="O395" s="147">
        <v>1601529450</v>
      </c>
      <c r="P395" s="150"/>
      <c r="Q395" s="148">
        <v>7500000</v>
      </c>
      <c r="R395" s="150"/>
      <c r="S395" s="147">
        <f t="shared" si="517"/>
        <v>1609029450</v>
      </c>
      <c r="T395" s="158">
        <v>1601529450</v>
      </c>
      <c r="U395" s="143"/>
      <c r="V395" s="147">
        <v>7500000</v>
      </c>
      <c r="W395" s="143"/>
      <c r="X395" s="143"/>
      <c r="Y395" s="152">
        <f t="shared" ref="Y395:AB395" si="771">AD395-T395</f>
        <v>0</v>
      </c>
      <c r="Z395" s="151">
        <f t="shared" si="771"/>
        <v>0</v>
      </c>
      <c r="AA395" s="151">
        <f t="shared" si="771"/>
        <v>0</v>
      </c>
      <c r="AB395" s="152">
        <f t="shared" si="771"/>
        <v>0</v>
      </c>
      <c r="AC395" s="143"/>
      <c r="AD395" s="149">
        <v>1601529450</v>
      </c>
      <c r="AE395" s="150"/>
      <c r="AF395" s="148">
        <v>7500000</v>
      </c>
      <c r="AG395" s="155"/>
      <c r="AH395" s="143">
        <f t="shared" si="519"/>
        <v>0</v>
      </c>
      <c r="AI395" s="151"/>
      <c r="AJ395" s="151">
        <f t="shared" ref="AJ395:AL395" si="772">P395-AE395</f>
        <v>0</v>
      </c>
      <c r="AK395" s="151">
        <f t="shared" si="772"/>
        <v>0</v>
      </c>
      <c r="AL395" s="151">
        <f t="shared" si="772"/>
        <v>0</v>
      </c>
      <c r="AM395" s="145"/>
      <c r="AN395" s="139"/>
      <c r="AO395" s="139"/>
      <c r="AP395" s="139"/>
      <c r="AQ395" s="145"/>
      <c r="AR395" s="145"/>
    </row>
    <row r="396" spans="1:44" s="156" customFormat="1" ht="47.25" x14ac:dyDescent="0.25">
      <c r="A396" s="143" t="s">
        <v>52</v>
      </c>
      <c r="B396" s="144">
        <v>383</v>
      </c>
      <c r="C396" s="143" t="s">
        <v>163</v>
      </c>
      <c r="D396" s="143" t="s">
        <v>2471</v>
      </c>
      <c r="E396" s="145"/>
      <c r="F396" s="146"/>
      <c r="G396" s="143" t="s">
        <v>2472</v>
      </c>
      <c r="H396" s="143"/>
      <c r="I396" s="143"/>
      <c r="J396" s="143"/>
      <c r="K396" s="143"/>
      <c r="L396" s="143" t="s">
        <v>2473</v>
      </c>
      <c r="M396" s="143" t="s">
        <v>43</v>
      </c>
      <c r="N396" s="143" t="s">
        <v>2474</v>
      </c>
      <c r="O396" s="147">
        <v>11297433580</v>
      </c>
      <c r="P396" s="150"/>
      <c r="Q396" s="148">
        <v>15000000</v>
      </c>
      <c r="R396" s="150"/>
      <c r="S396" s="147">
        <f t="shared" si="517"/>
        <v>11312433580</v>
      </c>
      <c r="T396" s="158">
        <v>11297433580</v>
      </c>
      <c r="U396" s="143"/>
      <c r="V396" s="147">
        <v>15000000</v>
      </c>
      <c r="W396" s="143"/>
      <c r="X396" s="143"/>
      <c r="Y396" s="152">
        <f t="shared" ref="Y396:AB396" si="773">AD396-T396</f>
        <v>0</v>
      </c>
      <c r="Z396" s="151">
        <f t="shared" si="773"/>
        <v>0</v>
      </c>
      <c r="AA396" s="151">
        <f t="shared" si="773"/>
        <v>0</v>
      </c>
      <c r="AB396" s="152">
        <f t="shared" si="773"/>
        <v>0</v>
      </c>
      <c r="AC396" s="143"/>
      <c r="AD396" s="149">
        <v>11297433580</v>
      </c>
      <c r="AE396" s="184"/>
      <c r="AF396" s="148">
        <v>15000000</v>
      </c>
      <c r="AG396" s="182"/>
      <c r="AH396" s="143">
        <f t="shared" si="519"/>
        <v>0</v>
      </c>
      <c r="AI396" s="151"/>
      <c r="AJ396" s="151">
        <f t="shared" ref="AJ396:AL396" si="774">P396-AE396</f>
        <v>0</v>
      </c>
      <c r="AK396" s="151">
        <f t="shared" si="774"/>
        <v>0</v>
      </c>
      <c r="AL396" s="151">
        <f t="shared" si="774"/>
        <v>0</v>
      </c>
      <c r="AM396" s="145"/>
      <c r="AN396" s="139"/>
      <c r="AO396" s="139"/>
      <c r="AP396" s="139"/>
      <c r="AQ396" s="145"/>
      <c r="AR396" s="145"/>
    </row>
    <row r="397" spans="1:44" s="156" customFormat="1" ht="94.5" x14ac:dyDescent="0.25">
      <c r="A397" s="143" t="s">
        <v>35</v>
      </c>
      <c r="B397" s="144">
        <v>384</v>
      </c>
      <c r="C397" s="143" t="s">
        <v>163</v>
      </c>
      <c r="D397" s="143" t="s">
        <v>164</v>
      </c>
      <c r="E397" s="145"/>
      <c r="F397" s="145" t="s">
        <v>165</v>
      </c>
      <c r="G397" s="143" t="s">
        <v>166</v>
      </c>
      <c r="H397" s="143"/>
      <c r="I397" s="143"/>
      <c r="J397" s="143"/>
      <c r="K397" s="164"/>
      <c r="L397" s="143" t="s">
        <v>167</v>
      </c>
      <c r="M397" s="143" t="s">
        <v>43</v>
      </c>
      <c r="N397" s="143" t="s">
        <v>168</v>
      </c>
      <c r="O397" s="147">
        <v>3413351616</v>
      </c>
      <c r="P397" s="150"/>
      <c r="Q397" s="148">
        <v>15000000</v>
      </c>
      <c r="R397" s="148">
        <f>42000000+84000000</f>
        <v>126000000</v>
      </c>
      <c r="S397" s="147">
        <f t="shared" si="517"/>
        <v>3554351616</v>
      </c>
      <c r="T397" s="158">
        <v>3413351616</v>
      </c>
      <c r="U397" s="143"/>
      <c r="V397" s="147">
        <v>15000000</v>
      </c>
      <c r="W397" s="158">
        <v>126000000</v>
      </c>
      <c r="X397" s="143"/>
      <c r="Y397" s="152">
        <f t="shared" ref="Y397:AB397" si="775">AD397-T397</f>
        <v>0</v>
      </c>
      <c r="Z397" s="151">
        <f t="shared" si="775"/>
        <v>0</v>
      </c>
      <c r="AA397" s="151">
        <f t="shared" si="775"/>
        <v>0</v>
      </c>
      <c r="AB397" s="151">
        <f t="shared" si="775"/>
        <v>0</v>
      </c>
      <c r="AC397" s="143"/>
      <c r="AD397" s="149">
        <v>3413351616</v>
      </c>
      <c r="AE397" s="150"/>
      <c r="AF397" s="148">
        <v>15000000</v>
      </c>
      <c r="AG397" s="148">
        <f>42000000+84000000</f>
        <v>126000000</v>
      </c>
      <c r="AH397" s="143">
        <f t="shared" si="519"/>
        <v>0</v>
      </c>
      <c r="AI397" s="151"/>
      <c r="AJ397" s="151">
        <f t="shared" ref="AJ397:AL397" si="776">P397-AE397</f>
        <v>0</v>
      </c>
      <c r="AK397" s="151">
        <f t="shared" si="776"/>
        <v>0</v>
      </c>
      <c r="AL397" s="151">
        <f t="shared" si="776"/>
        <v>0</v>
      </c>
      <c r="AM397" s="145"/>
      <c r="AN397" s="139"/>
      <c r="AO397" s="139"/>
      <c r="AP397" s="139"/>
      <c r="AQ397" s="145"/>
      <c r="AR397" s="145"/>
    </row>
    <row r="398" spans="1:44" s="156" customFormat="1" ht="126" x14ac:dyDescent="0.25">
      <c r="A398" s="143" t="s">
        <v>88</v>
      </c>
      <c r="B398" s="144">
        <v>385</v>
      </c>
      <c r="C398" s="143" t="s">
        <v>163</v>
      </c>
      <c r="D398" s="143" t="s">
        <v>2476</v>
      </c>
      <c r="E398" s="145" t="s">
        <v>2477</v>
      </c>
      <c r="F398" s="146"/>
      <c r="G398" s="143" t="s">
        <v>2478</v>
      </c>
      <c r="H398" s="143"/>
      <c r="I398" s="143" t="s">
        <v>2479</v>
      </c>
      <c r="J398" s="143"/>
      <c r="K398" s="143"/>
      <c r="L398" s="143" t="s">
        <v>0</v>
      </c>
      <c r="M398" s="143" t="s">
        <v>43</v>
      </c>
      <c r="N398" s="143" t="s">
        <v>2480</v>
      </c>
      <c r="O398" s="147"/>
      <c r="P398" s="150"/>
      <c r="Q398" s="148">
        <v>7500000</v>
      </c>
      <c r="R398" s="150"/>
      <c r="S398" s="147">
        <f t="shared" si="517"/>
        <v>7500000</v>
      </c>
      <c r="T398" s="144">
        <v>0</v>
      </c>
      <c r="U398" s="143"/>
      <c r="V398" s="157"/>
      <c r="W398" s="143"/>
      <c r="X398" s="143"/>
      <c r="Y398" s="143">
        <f t="shared" ref="Y398:AB398" si="777">AD398-T398</f>
        <v>0</v>
      </c>
      <c r="Z398" s="151">
        <f t="shared" si="777"/>
        <v>0</v>
      </c>
      <c r="AA398" s="151">
        <f t="shared" si="777"/>
        <v>0</v>
      </c>
      <c r="AB398" s="152">
        <f t="shared" si="777"/>
        <v>0</v>
      </c>
      <c r="AC398" s="143"/>
      <c r="AD398" s="175">
        <v>0</v>
      </c>
      <c r="AE398" s="150"/>
      <c r="AF398" s="150"/>
      <c r="AG398" s="155"/>
      <c r="AH398" s="143">
        <f t="shared" si="519"/>
        <v>0</v>
      </c>
      <c r="AI398" s="151"/>
      <c r="AJ398" s="151">
        <f t="shared" ref="AJ398:AL398" si="778">P398-AE398</f>
        <v>0</v>
      </c>
      <c r="AK398" s="151">
        <f t="shared" si="778"/>
        <v>7500000</v>
      </c>
      <c r="AL398" s="151">
        <f t="shared" si="778"/>
        <v>0</v>
      </c>
      <c r="AM398" s="145"/>
      <c r="AN398" s="139"/>
      <c r="AO398" s="139"/>
      <c r="AP398" s="162" t="s">
        <v>3354</v>
      </c>
      <c r="AQ398" s="145"/>
      <c r="AR398" s="145"/>
    </row>
    <row r="399" spans="1:44" s="156" customFormat="1" ht="47.25" x14ac:dyDescent="0.25">
      <c r="A399" s="143" t="s">
        <v>60</v>
      </c>
      <c r="B399" s="144">
        <v>386</v>
      </c>
      <c r="C399" s="143" t="s">
        <v>163</v>
      </c>
      <c r="D399" s="143" t="s">
        <v>2481</v>
      </c>
      <c r="E399" s="145"/>
      <c r="F399" s="146"/>
      <c r="G399" s="143" t="s">
        <v>2482</v>
      </c>
      <c r="H399" s="143"/>
      <c r="I399" s="143"/>
      <c r="J399" s="143"/>
      <c r="K399" s="143"/>
      <c r="L399" s="143" t="s">
        <v>2483</v>
      </c>
      <c r="M399" s="143" t="s">
        <v>43</v>
      </c>
      <c r="N399" s="143" t="s">
        <v>2484</v>
      </c>
      <c r="O399" s="147">
        <v>10000000</v>
      </c>
      <c r="P399" s="150"/>
      <c r="Q399" s="148">
        <v>15000000</v>
      </c>
      <c r="R399" s="150"/>
      <c r="S399" s="147">
        <f t="shared" si="517"/>
        <v>25000000</v>
      </c>
      <c r="T399" s="143"/>
      <c r="U399" s="143"/>
      <c r="V399" s="157"/>
      <c r="W399" s="143"/>
      <c r="X399" s="143"/>
      <c r="Y399" s="152">
        <f t="shared" ref="Y399:AB399" si="779">AD399-T399</f>
        <v>0</v>
      </c>
      <c r="Z399" s="151">
        <f t="shared" si="779"/>
        <v>0</v>
      </c>
      <c r="AA399" s="151">
        <f t="shared" si="779"/>
        <v>0</v>
      </c>
      <c r="AB399" s="152">
        <f t="shared" si="779"/>
        <v>0</v>
      </c>
      <c r="AC399" s="143"/>
      <c r="AD399" s="155"/>
      <c r="AE399" s="150"/>
      <c r="AF399" s="150"/>
      <c r="AG399" s="155"/>
      <c r="AH399" s="143">
        <f t="shared" si="519"/>
        <v>0</v>
      </c>
      <c r="AI399" s="151">
        <v>10000000</v>
      </c>
      <c r="AJ399" s="151">
        <f t="shared" ref="AJ399:AL399" si="780">P399-AE399</f>
        <v>0</v>
      </c>
      <c r="AK399" s="151">
        <f t="shared" si="780"/>
        <v>15000000</v>
      </c>
      <c r="AL399" s="151">
        <f t="shared" si="780"/>
        <v>0</v>
      </c>
      <c r="AM399" s="150">
        <v>10000000</v>
      </c>
      <c r="AN399" s="159" t="s">
        <v>2160</v>
      </c>
      <c r="AO399" s="160"/>
      <c r="AP399" s="162" t="s">
        <v>1970</v>
      </c>
      <c r="AQ399" s="219"/>
      <c r="AR399" s="218"/>
    </row>
    <row r="400" spans="1:44" s="156" customFormat="1" ht="47.25" x14ac:dyDescent="0.25">
      <c r="A400" s="143" t="s">
        <v>60</v>
      </c>
      <c r="B400" s="144">
        <v>387</v>
      </c>
      <c r="C400" s="143" t="s">
        <v>163</v>
      </c>
      <c r="D400" s="143" t="s">
        <v>2485</v>
      </c>
      <c r="E400" s="145"/>
      <c r="F400" s="146"/>
      <c r="G400" s="143" t="s">
        <v>2486</v>
      </c>
      <c r="H400" s="143"/>
      <c r="I400" s="143"/>
      <c r="J400" s="143"/>
      <c r="K400" s="143"/>
      <c r="L400" s="143" t="s">
        <v>2487</v>
      </c>
      <c r="M400" s="143" t="s">
        <v>43</v>
      </c>
      <c r="N400" s="143" t="s">
        <v>2488</v>
      </c>
      <c r="O400" s="147">
        <v>316671600</v>
      </c>
      <c r="P400" s="150"/>
      <c r="Q400" s="148">
        <v>7500000</v>
      </c>
      <c r="R400" s="150"/>
      <c r="S400" s="147">
        <f t="shared" si="517"/>
        <v>324171600</v>
      </c>
      <c r="T400" s="158">
        <v>316671600</v>
      </c>
      <c r="U400" s="143"/>
      <c r="V400" s="147">
        <v>7500000</v>
      </c>
      <c r="W400" s="143"/>
      <c r="X400" s="143"/>
      <c r="Y400" s="152">
        <f t="shared" ref="Y400:AB400" si="781">AD400-T400</f>
        <v>0</v>
      </c>
      <c r="Z400" s="151">
        <f t="shared" si="781"/>
        <v>0</v>
      </c>
      <c r="AA400" s="151">
        <f t="shared" si="781"/>
        <v>0</v>
      </c>
      <c r="AB400" s="152">
        <f t="shared" si="781"/>
        <v>0</v>
      </c>
      <c r="AC400" s="143"/>
      <c r="AD400" s="149">
        <v>316671600</v>
      </c>
      <c r="AE400" s="150"/>
      <c r="AF400" s="148">
        <v>7500000</v>
      </c>
      <c r="AG400" s="155"/>
      <c r="AH400" s="143">
        <f t="shared" si="519"/>
        <v>0</v>
      </c>
      <c r="AI400" s="151"/>
      <c r="AJ400" s="151">
        <f t="shared" ref="AJ400:AL400" si="782">P400-AE400</f>
        <v>0</v>
      </c>
      <c r="AK400" s="151">
        <f t="shared" si="782"/>
        <v>0</v>
      </c>
      <c r="AL400" s="151">
        <f t="shared" si="782"/>
        <v>0</v>
      </c>
      <c r="AM400" s="145"/>
      <c r="AN400" s="139"/>
      <c r="AO400" s="139"/>
      <c r="AP400" s="139"/>
      <c r="AQ400" s="145"/>
      <c r="AR400" s="145"/>
    </row>
    <row r="401" spans="1:44" s="156" customFormat="1" ht="47.25" x14ac:dyDescent="0.25">
      <c r="A401" s="143" t="s">
        <v>60</v>
      </c>
      <c r="B401" s="144">
        <v>388</v>
      </c>
      <c r="C401" s="143" t="s">
        <v>163</v>
      </c>
      <c r="D401" s="143" t="s">
        <v>2489</v>
      </c>
      <c r="E401" s="145"/>
      <c r="F401" s="146"/>
      <c r="G401" s="143" t="s">
        <v>2490</v>
      </c>
      <c r="H401" s="143"/>
      <c r="I401" s="143"/>
      <c r="J401" s="143"/>
      <c r="K401" s="143"/>
      <c r="L401" s="143" t="s">
        <v>2491</v>
      </c>
      <c r="M401" s="143" t="s">
        <v>43</v>
      </c>
      <c r="N401" s="143" t="s">
        <v>2492</v>
      </c>
      <c r="O401" s="147">
        <v>467090610</v>
      </c>
      <c r="P401" s="150"/>
      <c r="Q401" s="148">
        <v>7500000</v>
      </c>
      <c r="R401" s="150"/>
      <c r="S401" s="147">
        <f t="shared" si="517"/>
        <v>474590610</v>
      </c>
      <c r="T401" s="158">
        <v>467090610</v>
      </c>
      <c r="U401" s="143"/>
      <c r="V401" s="147">
        <v>7500000</v>
      </c>
      <c r="W401" s="143"/>
      <c r="X401" s="143"/>
      <c r="Y401" s="152">
        <f t="shared" ref="Y401:AB401" si="783">AD401-T401</f>
        <v>0</v>
      </c>
      <c r="Z401" s="151">
        <f t="shared" si="783"/>
        <v>0</v>
      </c>
      <c r="AA401" s="151">
        <f t="shared" si="783"/>
        <v>0</v>
      </c>
      <c r="AB401" s="152">
        <f t="shared" si="783"/>
        <v>0</v>
      </c>
      <c r="AC401" s="143"/>
      <c r="AD401" s="149">
        <v>467090610</v>
      </c>
      <c r="AE401" s="150"/>
      <c r="AF401" s="148">
        <v>7500000</v>
      </c>
      <c r="AG401" s="155"/>
      <c r="AH401" s="143">
        <f t="shared" si="519"/>
        <v>0</v>
      </c>
      <c r="AI401" s="151"/>
      <c r="AJ401" s="151">
        <f t="shared" ref="AJ401:AL401" si="784">P401-AE401</f>
        <v>0</v>
      </c>
      <c r="AK401" s="151">
        <f t="shared" si="784"/>
        <v>0</v>
      </c>
      <c r="AL401" s="151">
        <f t="shared" si="784"/>
        <v>0</v>
      </c>
      <c r="AM401" s="145"/>
      <c r="AN401" s="139"/>
      <c r="AO401" s="139"/>
      <c r="AP401" s="139"/>
      <c r="AQ401" s="145"/>
      <c r="AR401" s="145"/>
    </row>
    <row r="402" spans="1:44" s="156" customFormat="1" ht="47.25" x14ac:dyDescent="0.25">
      <c r="A402" s="143" t="s">
        <v>60</v>
      </c>
      <c r="B402" s="144">
        <v>389</v>
      </c>
      <c r="C402" s="143" t="s">
        <v>163</v>
      </c>
      <c r="D402" s="143" t="s">
        <v>2493</v>
      </c>
      <c r="E402" s="145"/>
      <c r="F402" s="146"/>
      <c r="G402" s="143" t="s">
        <v>2494</v>
      </c>
      <c r="H402" s="143"/>
      <c r="I402" s="143"/>
      <c r="J402" s="143"/>
      <c r="K402" s="143"/>
      <c r="L402" s="143" t="s">
        <v>2495</v>
      </c>
      <c r="M402" s="143" t="s">
        <v>43</v>
      </c>
      <c r="N402" s="143" t="s">
        <v>2496</v>
      </c>
      <c r="O402" s="147">
        <v>938372032</v>
      </c>
      <c r="P402" s="150"/>
      <c r="Q402" s="148">
        <v>15000000</v>
      </c>
      <c r="R402" s="150"/>
      <c r="S402" s="147">
        <f t="shared" si="517"/>
        <v>953372032</v>
      </c>
      <c r="T402" s="158">
        <v>938372032</v>
      </c>
      <c r="U402" s="143"/>
      <c r="V402" s="147">
        <v>15000000</v>
      </c>
      <c r="W402" s="143"/>
      <c r="X402" s="143"/>
      <c r="Y402" s="152">
        <f t="shared" ref="Y402:AB402" si="785">AD402-T402</f>
        <v>0</v>
      </c>
      <c r="Z402" s="151">
        <f t="shared" si="785"/>
        <v>0</v>
      </c>
      <c r="AA402" s="151">
        <f t="shared" si="785"/>
        <v>0</v>
      </c>
      <c r="AB402" s="151">
        <f t="shared" si="785"/>
        <v>0</v>
      </c>
      <c r="AC402" s="143"/>
      <c r="AD402" s="149">
        <v>938372032</v>
      </c>
      <c r="AE402" s="150"/>
      <c r="AF402" s="148">
        <v>15000000</v>
      </c>
      <c r="AG402" s="150"/>
      <c r="AH402" s="143">
        <f t="shared" si="519"/>
        <v>0</v>
      </c>
      <c r="AI402" s="151"/>
      <c r="AJ402" s="151">
        <f t="shared" ref="AJ402:AL402" si="786">P402-AE402</f>
        <v>0</v>
      </c>
      <c r="AK402" s="151">
        <f t="shared" si="786"/>
        <v>0</v>
      </c>
      <c r="AL402" s="151">
        <f t="shared" si="786"/>
        <v>0</v>
      </c>
      <c r="AM402" s="145"/>
      <c r="AN402" s="139"/>
      <c r="AO402" s="139"/>
      <c r="AP402" s="139"/>
      <c r="AQ402" s="145"/>
      <c r="AR402" s="145"/>
    </row>
    <row r="403" spans="1:44" s="156" customFormat="1" ht="78.75" x14ac:dyDescent="0.25">
      <c r="A403" s="143" t="s">
        <v>88</v>
      </c>
      <c r="B403" s="144">
        <v>390</v>
      </c>
      <c r="C403" s="143" t="s">
        <v>163</v>
      </c>
      <c r="D403" s="143" t="s">
        <v>2497</v>
      </c>
      <c r="E403" s="145"/>
      <c r="F403" s="146"/>
      <c r="G403" s="143" t="s">
        <v>2498</v>
      </c>
      <c r="H403" s="143"/>
      <c r="I403" s="143"/>
      <c r="J403" s="143"/>
      <c r="K403" s="143"/>
      <c r="L403" s="143" t="s">
        <v>2499</v>
      </c>
      <c r="M403" s="143" t="s">
        <v>43</v>
      </c>
      <c r="N403" s="143" t="s">
        <v>2500</v>
      </c>
      <c r="O403" s="147">
        <v>6416500</v>
      </c>
      <c r="P403" s="150"/>
      <c r="Q403" s="148">
        <v>7500000</v>
      </c>
      <c r="R403" s="150"/>
      <c r="S403" s="147">
        <f t="shared" si="517"/>
        <v>13916500</v>
      </c>
      <c r="T403" s="143"/>
      <c r="U403" s="143"/>
      <c r="V403" s="157"/>
      <c r="W403" s="143"/>
      <c r="X403" s="143"/>
      <c r="Y403" s="152">
        <f t="shared" ref="Y403:AB403" si="787">AD403-T403</f>
        <v>0</v>
      </c>
      <c r="Z403" s="151">
        <f t="shared" si="787"/>
        <v>0</v>
      </c>
      <c r="AA403" s="151">
        <f t="shared" si="787"/>
        <v>0</v>
      </c>
      <c r="AB403" s="152">
        <f t="shared" si="787"/>
        <v>0</v>
      </c>
      <c r="AC403" s="143"/>
      <c r="AD403" s="155"/>
      <c r="AE403" s="150"/>
      <c r="AF403" s="150"/>
      <c r="AG403" s="155"/>
      <c r="AH403" s="143">
        <f t="shared" si="519"/>
        <v>0</v>
      </c>
      <c r="AI403" s="151">
        <v>6416500</v>
      </c>
      <c r="AJ403" s="151">
        <f t="shared" ref="AJ403:AL403" si="788">P403-AE403</f>
        <v>0</v>
      </c>
      <c r="AK403" s="151">
        <f t="shared" si="788"/>
        <v>7500000</v>
      </c>
      <c r="AL403" s="151">
        <f t="shared" si="788"/>
        <v>0</v>
      </c>
      <c r="AM403" s="150">
        <v>6416500</v>
      </c>
      <c r="AN403" s="159" t="s">
        <v>2160</v>
      </c>
      <c r="AO403" s="160"/>
      <c r="AP403" s="162" t="s">
        <v>2751</v>
      </c>
      <c r="AQ403" s="219"/>
      <c r="AR403" s="218"/>
    </row>
    <row r="404" spans="1:44" s="156" customFormat="1" ht="47.25" x14ac:dyDescent="0.25">
      <c r="A404" s="143" t="s">
        <v>46</v>
      </c>
      <c r="B404" s="144">
        <v>391</v>
      </c>
      <c r="C404" s="143" t="s">
        <v>163</v>
      </c>
      <c r="D404" s="143" t="s">
        <v>2501</v>
      </c>
      <c r="E404" s="145"/>
      <c r="F404" s="146"/>
      <c r="G404" s="143" t="s">
        <v>2502</v>
      </c>
      <c r="H404" s="143"/>
      <c r="I404" s="143"/>
      <c r="J404" s="143"/>
      <c r="K404" s="143"/>
      <c r="L404" s="143" t="s">
        <v>2503</v>
      </c>
      <c r="M404" s="143" t="s">
        <v>43</v>
      </c>
      <c r="N404" s="143" t="s">
        <v>242</v>
      </c>
      <c r="O404" s="147">
        <v>1417969836</v>
      </c>
      <c r="P404" s="150"/>
      <c r="Q404" s="148">
        <v>15000000</v>
      </c>
      <c r="R404" s="150"/>
      <c r="S404" s="147">
        <f t="shared" si="517"/>
        <v>1432969836</v>
      </c>
      <c r="T404" s="158">
        <v>1417969836</v>
      </c>
      <c r="U404" s="143"/>
      <c r="V404" s="147">
        <v>15000000</v>
      </c>
      <c r="W404" s="143"/>
      <c r="X404" s="143"/>
      <c r="Y404" s="152">
        <f t="shared" ref="Y404:AB404" si="789">AD404-T404</f>
        <v>0</v>
      </c>
      <c r="Z404" s="151">
        <f t="shared" si="789"/>
        <v>0</v>
      </c>
      <c r="AA404" s="151">
        <f t="shared" si="789"/>
        <v>0</v>
      </c>
      <c r="AB404" s="151">
        <f t="shared" si="789"/>
        <v>0</v>
      </c>
      <c r="AC404" s="143"/>
      <c r="AD404" s="149">
        <v>1417969836</v>
      </c>
      <c r="AE404" s="150"/>
      <c r="AF404" s="148">
        <v>15000000</v>
      </c>
      <c r="AG404" s="150"/>
      <c r="AH404" s="143">
        <f t="shared" si="519"/>
        <v>0</v>
      </c>
      <c r="AI404" s="151"/>
      <c r="AJ404" s="151">
        <f t="shared" ref="AJ404:AL404" si="790">P404-AE404</f>
        <v>0</v>
      </c>
      <c r="AK404" s="151">
        <f t="shared" si="790"/>
        <v>0</v>
      </c>
      <c r="AL404" s="151">
        <f t="shared" si="790"/>
        <v>0</v>
      </c>
      <c r="AM404" s="145"/>
      <c r="AN404" s="139"/>
      <c r="AO404" s="139"/>
      <c r="AP404" s="139"/>
      <c r="AQ404" s="145"/>
      <c r="AR404" s="145"/>
    </row>
    <row r="405" spans="1:44" s="156" customFormat="1" ht="47.25" x14ac:dyDescent="0.25">
      <c r="A405" s="143" t="s">
        <v>60</v>
      </c>
      <c r="B405" s="144">
        <v>392</v>
      </c>
      <c r="C405" s="143" t="s">
        <v>163</v>
      </c>
      <c r="D405" s="143" t="s">
        <v>2504</v>
      </c>
      <c r="E405" s="145"/>
      <c r="F405" s="146"/>
      <c r="G405" s="143" t="s">
        <v>2505</v>
      </c>
      <c r="H405" s="143"/>
      <c r="I405" s="143"/>
      <c r="J405" s="143"/>
      <c r="K405" s="143"/>
      <c r="L405" s="143" t="s">
        <v>2506</v>
      </c>
      <c r="M405" s="143" t="s">
        <v>43</v>
      </c>
      <c r="N405" s="143" t="s">
        <v>2507</v>
      </c>
      <c r="O405" s="147">
        <v>593759250</v>
      </c>
      <c r="P405" s="150"/>
      <c r="Q405" s="148">
        <v>7500000</v>
      </c>
      <c r="R405" s="150"/>
      <c r="S405" s="147">
        <f t="shared" si="517"/>
        <v>601259250</v>
      </c>
      <c r="T405" s="158">
        <v>593759250</v>
      </c>
      <c r="U405" s="143"/>
      <c r="V405" s="147">
        <v>7500000</v>
      </c>
      <c r="W405" s="143"/>
      <c r="X405" s="143"/>
      <c r="Y405" s="152">
        <f t="shared" ref="Y405:AB405" si="791">AD405-T405</f>
        <v>0</v>
      </c>
      <c r="Z405" s="151">
        <f t="shared" si="791"/>
        <v>0</v>
      </c>
      <c r="AA405" s="151">
        <f t="shared" si="791"/>
        <v>0</v>
      </c>
      <c r="AB405" s="152">
        <f t="shared" si="791"/>
        <v>0</v>
      </c>
      <c r="AC405" s="143"/>
      <c r="AD405" s="149">
        <v>593759250</v>
      </c>
      <c r="AE405" s="150"/>
      <c r="AF405" s="148">
        <v>7500000</v>
      </c>
      <c r="AG405" s="155"/>
      <c r="AH405" s="143">
        <f t="shared" si="519"/>
        <v>0</v>
      </c>
      <c r="AI405" s="151"/>
      <c r="AJ405" s="151">
        <f t="shared" ref="AJ405:AL405" si="792">P405-AE405</f>
        <v>0</v>
      </c>
      <c r="AK405" s="151">
        <f t="shared" si="792"/>
        <v>0</v>
      </c>
      <c r="AL405" s="151">
        <f t="shared" si="792"/>
        <v>0</v>
      </c>
      <c r="AM405" s="145"/>
      <c r="AN405" s="139"/>
      <c r="AO405" s="139"/>
      <c r="AP405" s="139"/>
      <c r="AQ405" s="145"/>
      <c r="AR405" s="145"/>
    </row>
    <row r="406" spans="1:44" s="156" customFormat="1" ht="47.25" x14ac:dyDescent="0.25">
      <c r="A406" s="143" t="s">
        <v>35</v>
      </c>
      <c r="B406" s="144">
        <v>393</v>
      </c>
      <c r="C406" s="143" t="s">
        <v>163</v>
      </c>
      <c r="D406" s="143" t="s">
        <v>2508</v>
      </c>
      <c r="E406" s="145"/>
      <c r="F406" s="146"/>
      <c r="G406" s="143" t="s">
        <v>2509</v>
      </c>
      <c r="H406" s="143"/>
      <c r="I406" s="143"/>
      <c r="J406" s="143"/>
      <c r="K406" s="143"/>
      <c r="L406" s="143" t="s">
        <v>2510</v>
      </c>
      <c r="M406" s="143" t="s">
        <v>43</v>
      </c>
      <c r="N406" s="143" t="s">
        <v>2511</v>
      </c>
      <c r="O406" s="147"/>
      <c r="P406" s="150"/>
      <c r="Q406" s="148">
        <v>7500000</v>
      </c>
      <c r="R406" s="150"/>
      <c r="S406" s="147">
        <f t="shared" si="517"/>
        <v>7500000</v>
      </c>
      <c r="T406" s="144">
        <v>0</v>
      </c>
      <c r="U406" s="143"/>
      <c r="V406" s="147">
        <v>7500000</v>
      </c>
      <c r="W406" s="143"/>
      <c r="X406" s="143"/>
      <c r="Y406" s="143">
        <f t="shared" ref="Y406:AB406" si="793">AD406-T406</f>
        <v>0</v>
      </c>
      <c r="Z406" s="151">
        <f t="shared" si="793"/>
        <v>0</v>
      </c>
      <c r="AA406" s="151">
        <f t="shared" si="793"/>
        <v>0</v>
      </c>
      <c r="AB406" s="143">
        <f t="shared" si="793"/>
        <v>0</v>
      </c>
      <c r="AC406" s="143"/>
      <c r="AD406" s="175">
        <v>0</v>
      </c>
      <c r="AE406" s="150"/>
      <c r="AF406" s="148">
        <v>7500000</v>
      </c>
      <c r="AG406" s="145"/>
      <c r="AH406" s="143">
        <f t="shared" si="519"/>
        <v>0</v>
      </c>
      <c r="AI406" s="151"/>
      <c r="AJ406" s="151">
        <f t="shared" ref="AJ406:AL406" si="794">P406-AE406</f>
        <v>0</v>
      </c>
      <c r="AK406" s="151">
        <f t="shared" si="794"/>
        <v>0</v>
      </c>
      <c r="AL406" s="151">
        <f t="shared" si="794"/>
        <v>0</v>
      </c>
      <c r="AM406" s="145"/>
      <c r="AN406" s="139"/>
      <c r="AO406" s="139"/>
      <c r="AP406" s="139"/>
      <c r="AQ406" s="145"/>
      <c r="AR406" s="145"/>
    </row>
    <row r="407" spans="1:44" s="156" customFormat="1" ht="47.25" x14ac:dyDescent="0.25">
      <c r="A407" s="143" t="s">
        <v>88</v>
      </c>
      <c r="B407" s="144">
        <v>394</v>
      </c>
      <c r="C407" s="143" t="s">
        <v>163</v>
      </c>
      <c r="D407" s="143" t="s">
        <v>2512</v>
      </c>
      <c r="E407" s="145"/>
      <c r="F407" s="146"/>
      <c r="G407" s="143" t="s">
        <v>2513</v>
      </c>
      <c r="H407" s="143"/>
      <c r="I407" s="143"/>
      <c r="J407" s="143"/>
      <c r="K407" s="143"/>
      <c r="L407" s="143" t="s">
        <v>2514</v>
      </c>
      <c r="M407" s="143" t="s">
        <v>43</v>
      </c>
      <c r="N407" s="143" t="s">
        <v>2515</v>
      </c>
      <c r="O407" s="147">
        <v>12385885580</v>
      </c>
      <c r="P407" s="150"/>
      <c r="Q407" s="148">
        <v>15000000</v>
      </c>
      <c r="R407" s="150"/>
      <c r="S407" s="147">
        <f t="shared" si="517"/>
        <v>12400885580</v>
      </c>
      <c r="T407" s="158">
        <v>12385885580</v>
      </c>
      <c r="U407" s="143"/>
      <c r="V407" s="147">
        <v>15000000</v>
      </c>
      <c r="W407" s="143"/>
      <c r="X407" s="143"/>
      <c r="Y407" s="152">
        <f t="shared" ref="Y407:AB407" si="795">AD407-T407</f>
        <v>0</v>
      </c>
      <c r="Z407" s="151">
        <f t="shared" si="795"/>
        <v>0</v>
      </c>
      <c r="AA407" s="151">
        <f t="shared" si="795"/>
        <v>0</v>
      </c>
      <c r="AB407" s="151">
        <f t="shared" si="795"/>
        <v>0</v>
      </c>
      <c r="AC407" s="143"/>
      <c r="AD407" s="149">
        <v>12385885580</v>
      </c>
      <c r="AE407" s="150"/>
      <c r="AF407" s="148">
        <v>15000000</v>
      </c>
      <c r="AG407" s="150"/>
      <c r="AH407" s="143">
        <f t="shared" si="519"/>
        <v>0</v>
      </c>
      <c r="AI407" s="151"/>
      <c r="AJ407" s="151">
        <f t="shared" ref="AJ407:AL407" si="796">P407-AE407</f>
        <v>0</v>
      </c>
      <c r="AK407" s="151">
        <f t="shared" si="796"/>
        <v>0</v>
      </c>
      <c r="AL407" s="151">
        <f t="shared" si="796"/>
        <v>0</v>
      </c>
      <c r="AM407" s="145"/>
      <c r="AN407" s="139"/>
      <c r="AO407" s="139"/>
      <c r="AP407" s="139"/>
      <c r="AQ407" s="145"/>
      <c r="AR407" s="145"/>
    </row>
    <row r="408" spans="1:44" s="156" customFormat="1" ht="47.25" x14ac:dyDescent="0.25">
      <c r="A408" s="143" t="s">
        <v>52</v>
      </c>
      <c r="B408" s="144">
        <v>395</v>
      </c>
      <c r="C408" s="143" t="s">
        <v>163</v>
      </c>
      <c r="D408" s="143" t="s">
        <v>2516</v>
      </c>
      <c r="E408" s="145"/>
      <c r="F408" s="146"/>
      <c r="G408" s="143" t="s">
        <v>2517</v>
      </c>
      <c r="H408" s="143"/>
      <c r="I408" s="143"/>
      <c r="J408" s="143"/>
      <c r="K408" s="143"/>
      <c r="L408" s="143" t="s">
        <v>2518</v>
      </c>
      <c r="M408" s="143" t="s">
        <v>43</v>
      </c>
      <c r="N408" s="143" t="s">
        <v>242</v>
      </c>
      <c r="O408" s="147">
        <v>1322232264</v>
      </c>
      <c r="P408" s="150"/>
      <c r="Q408" s="148">
        <v>15000000</v>
      </c>
      <c r="R408" s="150"/>
      <c r="S408" s="147">
        <f t="shared" si="517"/>
        <v>1337232264</v>
      </c>
      <c r="T408" s="158">
        <v>1322232264</v>
      </c>
      <c r="U408" s="143"/>
      <c r="V408" s="147">
        <v>15000000</v>
      </c>
      <c r="W408" s="143"/>
      <c r="X408" s="143"/>
      <c r="Y408" s="152">
        <f t="shared" ref="Y408:AB408" si="797">AD408-T408</f>
        <v>0</v>
      </c>
      <c r="Z408" s="151">
        <f t="shared" si="797"/>
        <v>0</v>
      </c>
      <c r="AA408" s="151">
        <f t="shared" si="797"/>
        <v>0</v>
      </c>
      <c r="AB408" s="152">
        <f t="shared" si="797"/>
        <v>0</v>
      </c>
      <c r="AC408" s="143"/>
      <c r="AD408" s="149">
        <v>1322232264</v>
      </c>
      <c r="AE408" s="150"/>
      <c r="AF408" s="148">
        <v>15000000</v>
      </c>
      <c r="AG408" s="155"/>
      <c r="AH408" s="143">
        <f t="shared" si="519"/>
        <v>0</v>
      </c>
      <c r="AI408" s="151"/>
      <c r="AJ408" s="151">
        <f t="shared" ref="AJ408:AL408" si="798">P408-AE408</f>
        <v>0</v>
      </c>
      <c r="AK408" s="151">
        <f t="shared" si="798"/>
        <v>0</v>
      </c>
      <c r="AL408" s="151">
        <f t="shared" si="798"/>
        <v>0</v>
      </c>
      <c r="AM408" s="145"/>
      <c r="AN408" s="139"/>
      <c r="AO408" s="139"/>
      <c r="AP408" s="139"/>
      <c r="AQ408" s="145"/>
      <c r="AR408" s="145"/>
    </row>
    <row r="409" spans="1:44" s="156" customFormat="1" ht="47.25" x14ac:dyDescent="0.25">
      <c r="A409" s="143" t="s">
        <v>46</v>
      </c>
      <c r="B409" s="144">
        <v>396</v>
      </c>
      <c r="C409" s="143" t="s">
        <v>163</v>
      </c>
      <c r="D409" s="143" t="s">
        <v>1301</v>
      </c>
      <c r="E409" s="145" t="s">
        <v>1302</v>
      </c>
      <c r="F409" s="145" t="s">
        <v>464</v>
      </c>
      <c r="G409" s="143" t="s">
        <v>1303</v>
      </c>
      <c r="H409" s="143" t="s">
        <v>1304</v>
      </c>
      <c r="I409" s="143"/>
      <c r="J409" s="143"/>
      <c r="K409" s="164"/>
      <c r="L409" s="143" t="s">
        <v>1305</v>
      </c>
      <c r="M409" s="143" t="s">
        <v>43</v>
      </c>
      <c r="N409" s="143" t="s">
        <v>1306</v>
      </c>
      <c r="O409" s="147">
        <v>49337003090</v>
      </c>
      <c r="P409" s="148">
        <v>10000000</v>
      </c>
      <c r="Q409" s="148">
        <v>15000000</v>
      </c>
      <c r="R409" s="148">
        <v>144000000</v>
      </c>
      <c r="S409" s="147">
        <f t="shared" si="517"/>
        <v>49506003090</v>
      </c>
      <c r="T409" s="158">
        <v>49337003090</v>
      </c>
      <c r="U409" s="158">
        <v>10000000</v>
      </c>
      <c r="V409" s="147">
        <v>15000000</v>
      </c>
      <c r="W409" s="158">
        <v>144000000</v>
      </c>
      <c r="X409" s="143"/>
      <c r="Y409" s="152">
        <f t="shared" ref="Y409:AB409" si="799">AD409-T409</f>
        <v>0</v>
      </c>
      <c r="Z409" s="151">
        <f t="shared" si="799"/>
        <v>0</v>
      </c>
      <c r="AA409" s="151">
        <f t="shared" si="799"/>
        <v>0</v>
      </c>
      <c r="AB409" s="151">
        <f t="shared" si="799"/>
        <v>0</v>
      </c>
      <c r="AC409" s="143"/>
      <c r="AD409" s="149">
        <v>49337003090</v>
      </c>
      <c r="AE409" s="148">
        <v>10000000</v>
      </c>
      <c r="AF409" s="148">
        <v>15000000</v>
      </c>
      <c r="AG409" s="148">
        <v>144000000</v>
      </c>
      <c r="AH409" s="143">
        <f t="shared" si="519"/>
        <v>0</v>
      </c>
      <c r="AI409" s="151"/>
      <c r="AJ409" s="151">
        <f t="shared" ref="AJ409:AL409" si="800">P409-AE409</f>
        <v>0</v>
      </c>
      <c r="AK409" s="151">
        <f t="shared" si="800"/>
        <v>0</v>
      </c>
      <c r="AL409" s="151">
        <f t="shared" si="800"/>
        <v>0</v>
      </c>
      <c r="AM409" s="145"/>
      <c r="AN409" s="139"/>
      <c r="AO409" s="139"/>
      <c r="AP409" s="139"/>
      <c r="AQ409" s="145"/>
      <c r="AR409" s="145"/>
    </row>
    <row r="410" spans="1:44" s="156" customFormat="1" ht="47.25" x14ac:dyDescent="0.25">
      <c r="A410" s="143" t="s">
        <v>35</v>
      </c>
      <c r="B410" s="144">
        <v>397</v>
      </c>
      <c r="C410" s="143" t="s">
        <v>163</v>
      </c>
      <c r="D410" s="143" t="s">
        <v>236</v>
      </c>
      <c r="E410" s="145"/>
      <c r="F410" s="145" t="s">
        <v>238</v>
      </c>
      <c r="G410" s="143" t="s">
        <v>239</v>
      </c>
      <c r="H410" s="143" t="s">
        <v>240</v>
      </c>
      <c r="I410" s="143"/>
      <c r="J410" s="143"/>
      <c r="K410" s="164"/>
      <c r="L410" s="143" t="s">
        <v>241</v>
      </c>
      <c r="M410" s="143" t="s">
        <v>43</v>
      </c>
      <c r="N410" s="143" t="s">
        <v>242</v>
      </c>
      <c r="O410" s="147">
        <v>1599436369</v>
      </c>
      <c r="P410" s="150"/>
      <c r="Q410" s="148">
        <v>15000000</v>
      </c>
      <c r="R410" s="148">
        <v>48000000</v>
      </c>
      <c r="S410" s="147">
        <f t="shared" si="517"/>
        <v>1662436369</v>
      </c>
      <c r="T410" s="158">
        <v>1599436369</v>
      </c>
      <c r="U410" s="143"/>
      <c r="V410" s="147">
        <v>15000000</v>
      </c>
      <c r="W410" s="158">
        <v>48000000</v>
      </c>
      <c r="X410" s="143"/>
      <c r="Y410" s="152">
        <f t="shared" ref="Y410:AB410" si="801">AD410-T410</f>
        <v>0</v>
      </c>
      <c r="Z410" s="151">
        <f t="shared" si="801"/>
        <v>0</v>
      </c>
      <c r="AA410" s="151">
        <f t="shared" si="801"/>
        <v>0</v>
      </c>
      <c r="AB410" s="151">
        <f t="shared" si="801"/>
        <v>0</v>
      </c>
      <c r="AC410" s="143"/>
      <c r="AD410" s="149">
        <v>1599436369</v>
      </c>
      <c r="AE410" s="150"/>
      <c r="AF410" s="148">
        <v>15000000</v>
      </c>
      <c r="AG410" s="148">
        <v>48000000</v>
      </c>
      <c r="AH410" s="143">
        <f t="shared" si="519"/>
        <v>0</v>
      </c>
      <c r="AI410" s="151"/>
      <c r="AJ410" s="151">
        <f t="shared" ref="AJ410:AL410" si="802">P410-AE410</f>
        <v>0</v>
      </c>
      <c r="AK410" s="151">
        <f t="shared" si="802"/>
        <v>0</v>
      </c>
      <c r="AL410" s="151">
        <f t="shared" si="802"/>
        <v>0</v>
      </c>
      <c r="AM410" s="145"/>
      <c r="AN410" s="139"/>
      <c r="AO410" s="139"/>
      <c r="AP410" s="139"/>
      <c r="AQ410" s="145"/>
      <c r="AR410" s="145"/>
    </row>
    <row r="411" spans="1:44" s="156" customFormat="1" ht="47.25" x14ac:dyDescent="0.25">
      <c r="A411" s="143" t="s">
        <v>35</v>
      </c>
      <c r="B411" s="144">
        <v>398</v>
      </c>
      <c r="C411" s="143" t="s">
        <v>163</v>
      </c>
      <c r="D411" s="143" t="s">
        <v>2521</v>
      </c>
      <c r="E411" s="145"/>
      <c r="F411" s="146"/>
      <c r="G411" s="143" t="s">
        <v>2522</v>
      </c>
      <c r="H411" s="143"/>
      <c r="I411" s="143"/>
      <c r="J411" s="143"/>
      <c r="K411" s="143"/>
      <c r="L411" s="143" t="s">
        <v>2523</v>
      </c>
      <c r="M411" s="143" t="s">
        <v>43</v>
      </c>
      <c r="N411" s="143" t="s">
        <v>2524</v>
      </c>
      <c r="O411" s="147">
        <v>32537495820</v>
      </c>
      <c r="P411" s="150"/>
      <c r="Q411" s="148">
        <v>15000000</v>
      </c>
      <c r="R411" s="150"/>
      <c r="S411" s="147">
        <f t="shared" si="517"/>
        <v>32552495820</v>
      </c>
      <c r="T411" s="158">
        <v>32537495820</v>
      </c>
      <c r="U411" s="143"/>
      <c r="V411" s="157">
        <v>15000000</v>
      </c>
      <c r="W411" s="143"/>
      <c r="X411" s="143"/>
      <c r="Y411" s="152">
        <f t="shared" ref="Y411:AB411" si="803">AD411-T411</f>
        <v>0</v>
      </c>
      <c r="Z411" s="151">
        <f t="shared" si="803"/>
        <v>0</v>
      </c>
      <c r="AA411" s="151">
        <f t="shared" si="803"/>
        <v>0</v>
      </c>
      <c r="AB411" s="152">
        <f t="shared" si="803"/>
        <v>0</v>
      </c>
      <c r="AC411" s="143"/>
      <c r="AD411" s="149">
        <v>32537495820</v>
      </c>
      <c r="AE411" s="150"/>
      <c r="AF411" s="148">
        <v>15000000</v>
      </c>
      <c r="AG411" s="155"/>
      <c r="AH411" s="143">
        <f t="shared" si="519"/>
        <v>0</v>
      </c>
      <c r="AI411" s="151"/>
      <c r="AJ411" s="151">
        <f t="shared" ref="AJ411:AL411" si="804">P411-AE411</f>
        <v>0</v>
      </c>
      <c r="AK411" s="151">
        <f t="shared" si="804"/>
        <v>0</v>
      </c>
      <c r="AL411" s="151">
        <f t="shared" si="804"/>
        <v>0</v>
      </c>
      <c r="AM411" s="145"/>
      <c r="AN411" s="139"/>
      <c r="AO411" s="139"/>
      <c r="AP411" s="139"/>
      <c r="AQ411" s="145"/>
      <c r="AR411" s="145"/>
    </row>
    <row r="412" spans="1:44" s="156" customFormat="1" ht="47.25" x14ac:dyDescent="0.25">
      <c r="A412" s="143" t="s">
        <v>46</v>
      </c>
      <c r="B412" s="144">
        <v>399</v>
      </c>
      <c r="C412" s="143" t="s">
        <v>163</v>
      </c>
      <c r="D412" s="143" t="s">
        <v>2525</v>
      </c>
      <c r="E412" s="145" t="s">
        <v>2526</v>
      </c>
      <c r="F412" s="146"/>
      <c r="G412" s="143" t="s">
        <v>2527</v>
      </c>
      <c r="H412" s="143"/>
      <c r="I412" s="143"/>
      <c r="J412" s="143"/>
      <c r="K412" s="143"/>
      <c r="L412" s="143" t="s">
        <v>2528</v>
      </c>
      <c r="M412" s="143" t="s">
        <v>43</v>
      </c>
      <c r="N412" s="143" t="s">
        <v>713</v>
      </c>
      <c r="O412" s="147">
        <v>813568192</v>
      </c>
      <c r="P412" s="148">
        <v>98912520</v>
      </c>
      <c r="Q412" s="148">
        <v>15000000</v>
      </c>
      <c r="R412" s="150"/>
      <c r="S412" s="147">
        <f t="shared" si="517"/>
        <v>927480712</v>
      </c>
      <c r="T412" s="158">
        <v>813568192</v>
      </c>
      <c r="U412" s="158">
        <v>98912520</v>
      </c>
      <c r="V412" s="157">
        <v>15000000</v>
      </c>
      <c r="W412" s="143"/>
      <c r="X412" s="143"/>
      <c r="Y412" s="152">
        <f t="shared" ref="Y412:AB412" si="805">AD412-T412</f>
        <v>0</v>
      </c>
      <c r="Z412" s="151">
        <f t="shared" si="805"/>
        <v>0</v>
      </c>
      <c r="AA412" s="151">
        <f t="shared" si="805"/>
        <v>0</v>
      </c>
      <c r="AB412" s="151">
        <f t="shared" si="805"/>
        <v>0</v>
      </c>
      <c r="AC412" s="143"/>
      <c r="AD412" s="149">
        <v>813568192</v>
      </c>
      <c r="AE412" s="148">
        <v>98912520</v>
      </c>
      <c r="AF412" s="148">
        <v>15000000</v>
      </c>
      <c r="AG412" s="150"/>
      <c r="AH412" s="143">
        <f t="shared" si="519"/>
        <v>0</v>
      </c>
      <c r="AI412" s="151"/>
      <c r="AJ412" s="151">
        <f t="shared" ref="AJ412:AL412" si="806">P412-AE412</f>
        <v>0</v>
      </c>
      <c r="AK412" s="151">
        <f t="shared" si="806"/>
        <v>0</v>
      </c>
      <c r="AL412" s="151">
        <f t="shared" si="806"/>
        <v>0</v>
      </c>
      <c r="AM412" s="145"/>
      <c r="AN412" s="139"/>
      <c r="AO412" s="139"/>
      <c r="AP412" s="139"/>
      <c r="AQ412" s="145"/>
      <c r="AR412" s="145"/>
    </row>
    <row r="413" spans="1:44" s="156" customFormat="1" ht="47.25" x14ac:dyDescent="0.25">
      <c r="A413" s="143" t="s">
        <v>35</v>
      </c>
      <c r="B413" s="144">
        <v>400</v>
      </c>
      <c r="C413" s="143" t="s">
        <v>163</v>
      </c>
      <c r="D413" s="143" t="s">
        <v>805</v>
      </c>
      <c r="E413" s="145" t="s">
        <v>806</v>
      </c>
      <c r="F413" s="145" t="s">
        <v>807</v>
      </c>
      <c r="G413" s="143" t="s">
        <v>808</v>
      </c>
      <c r="H413" s="143" t="s">
        <v>809</v>
      </c>
      <c r="I413" s="143"/>
      <c r="J413" s="143"/>
      <c r="K413" s="164"/>
      <c r="L413" s="143" t="s">
        <v>810</v>
      </c>
      <c r="M413" s="143" t="s">
        <v>43</v>
      </c>
      <c r="N413" s="143" t="s">
        <v>811</v>
      </c>
      <c r="O413" s="147">
        <v>10872345664</v>
      </c>
      <c r="P413" s="148">
        <v>425645424</v>
      </c>
      <c r="Q413" s="148">
        <v>15000000</v>
      </c>
      <c r="R413" s="148">
        <v>48000000</v>
      </c>
      <c r="S413" s="147">
        <f t="shared" si="517"/>
        <v>11360991088</v>
      </c>
      <c r="T413" s="158">
        <v>10872345664</v>
      </c>
      <c r="U413" s="158">
        <v>425645424</v>
      </c>
      <c r="V413" s="147">
        <v>15000000</v>
      </c>
      <c r="W413" s="151">
        <v>48000000</v>
      </c>
      <c r="X413" s="143"/>
      <c r="Y413" s="152">
        <f t="shared" ref="Y413:AB413" si="807">AD413-T413</f>
        <v>0</v>
      </c>
      <c r="Z413" s="151">
        <f t="shared" si="807"/>
        <v>0</v>
      </c>
      <c r="AA413" s="151">
        <f t="shared" si="807"/>
        <v>0</v>
      </c>
      <c r="AB413" s="151">
        <f t="shared" si="807"/>
        <v>0</v>
      </c>
      <c r="AC413" s="143"/>
      <c r="AD413" s="149">
        <v>10872345664</v>
      </c>
      <c r="AE413" s="148">
        <v>425645424</v>
      </c>
      <c r="AF413" s="148">
        <v>15000000</v>
      </c>
      <c r="AG413" s="148">
        <v>48000000</v>
      </c>
      <c r="AH413" s="143">
        <f t="shared" si="519"/>
        <v>0</v>
      </c>
      <c r="AI413" s="151"/>
      <c r="AJ413" s="151">
        <f t="shared" ref="AJ413:AL413" si="808">P413-AE413</f>
        <v>0</v>
      </c>
      <c r="AK413" s="151">
        <f t="shared" si="808"/>
        <v>0</v>
      </c>
      <c r="AL413" s="151">
        <f t="shared" si="808"/>
        <v>0</v>
      </c>
      <c r="AM413" s="145"/>
      <c r="AN413" s="139"/>
      <c r="AO413" s="139"/>
      <c r="AP413" s="139"/>
      <c r="AQ413" s="145"/>
      <c r="AR413" s="145"/>
    </row>
    <row r="414" spans="1:44" s="156" customFormat="1" ht="47.25" x14ac:dyDescent="0.25">
      <c r="A414" s="143" t="s">
        <v>35</v>
      </c>
      <c r="B414" s="144">
        <v>401</v>
      </c>
      <c r="C414" s="143" t="s">
        <v>163</v>
      </c>
      <c r="D414" s="143" t="s">
        <v>2529</v>
      </c>
      <c r="E414" s="145"/>
      <c r="F414" s="146"/>
      <c r="G414" s="143" t="s">
        <v>2530</v>
      </c>
      <c r="H414" s="143"/>
      <c r="I414" s="143"/>
      <c r="J414" s="143"/>
      <c r="K414" s="143"/>
      <c r="L414" s="143" t="s">
        <v>2531</v>
      </c>
      <c r="M414" s="143" t="s">
        <v>43</v>
      </c>
      <c r="N414" s="143" t="s">
        <v>2532</v>
      </c>
      <c r="O414" s="147">
        <v>1621052482</v>
      </c>
      <c r="P414" s="150"/>
      <c r="Q414" s="148">
        <v>7500000</v>
      </c>
      <c r="R414" s="150"/>
      <c r="S414" s="147">
        <f t="shared" si="517"/>
        <v>1628552482</v>
      </c>
      <c r="T414" s="158">
        <v>1621052482</v>
      </c>
      <c r="U414" s="143"/>
      <c r="V414" s="147">
        <v>7500000</v>
      </c>
      <c r="W414" s="143"/>
      <c r="X414" s="143"/>
      <c r="Y414" s="152">
        <f t="shared" ref="Y414:AB414" si="809">AD414-T414</f>
        <v>0</v>
      </c>
      <c r="Z414" s="151">
        <f t="shared" si="809"/>
        <v>0</v>
      </c>
      <c r="AA414" s="151">
        <f t="shared" si="809"/>
        <v>0</v>
      </c>
      <c r="AB414" s="152">
        <f t="shared" si="809"/>
        <v>0</v>
      </c>
      <c r="AC414" s="143"/>
      <c r="AD414" s="149">
        <v>1621052482</v>
      </c>
      <c r="AE414" s="150"/>
      <c r="AF414" s="148">
        <v>7500000</v>
      </c>
      <c r="AG414" s="155"/>
      <c r="AH414" s="143">
        <f t="shared" si="519"/>
        <v>0</v>
      </c>
      <c r="AI414" s="151"/>
      <c r="AJ414" s="151">
        <f t="shared" ref="AJ414:AL414" si="810">P414-AE414</f>
        <v>0</v>
      </c>
      <c r="AK414" s="151">
        <f t="shared" si="810"/>
        <v>0</v>
      </c>
      <c r="AL414" s="151">
        <f t="shared" si="810"/>
        <v>0</v>
      </c>
      <c r="AM414" s="145"/>
      <c r="AN414" s="139"/>
      <c r="AO414" s="139"/>
      <c r="AP414" s="139"/>
      <c r="AQ414" s="145"/>
      <c r="AR414" s="145"/>
    </row>
    <row r="415" spans="1:44" s="156" customFormat="1" ht="78.75" x14ac:dyDescent="0.25">
      <c r="A415" s="143" t="s">
        <v>46</v>
      </c>
      <c r="B415" s="144">
        <v>402</v>
      </c>
      <c r="C415" s="143" t="s">
        <v>163</v>
      </c>
      <c r="D415" s="143" t="s">
        <v>1502</v>
      </c>
      <c r="E415" s="145"/>
      <c r="F415" s="145" t="s">
        <v>1503</v>
      </c>
      <c r="G415" s="143" t="s">
        <v>1504</v>
      </c>
      <c r="H415" s="143"/>
      <c r="I415" s="143"/>
      <c r="J415" s="143"/>
      <c r="K415" s="164"/>
      <c r="L415" s="143" t="s">
        <v>1505</v>
      </c>
      <c r="M415" s="143" t="s">
        <v>43</v>
      </c>
      <c r="N415" s="143" t="s">
        <v>242</v>
      </c>
      <c r="O415" s="147">
        <v>1956750750</v>
      </c>
      <c r="P415" s="150"/>
      <c r="Q415" s="148">
        <v>15000000</v>
      </c>
      <c r="R415" s="148">
        <f>96000000+48000000</f>
        <v>144000000</v>
      </c>
      <c r="S415" s="147">
        <f t="shared" si="517"/>
        <v>2115750750</v>
      </c>
      <c r="T415" s="158">
        <v>1956750750</v>
      </c>
      <c r="U415" s="143"/>
      <c r="V415" s="147">
        <v>15000000</v>
      </c>
      <c r="W415" s="158">
        <v>144000000</v>
      </c>
      <c r="X415" s="143"/>
      <c r="Y415" s="152">
        <f t="shared" ref="Y415:AB415" si="811">AD415-T415</f>
        <v>0</v>
      </c>
      <c r="Z415" s="151">
        <f t="shared" si="811"/>
        <v>0</v>
      </c>
      <c r="AA415" s="151">
        <f t="shared" si="811"/>
        <v>0</v>
      </c>
      <c r="AB415" s="151">
        <f t="shared" si="811"/>
        <v>0</v>
      </c>
      <c r="AC415" s="143"/>
      <c r="AD415" s="149">
        <v>1956750750</v>
      </c>
      <c r="AE415" s="150"/>
      <c r="AF415" s="148">
        <v>15000000</v>
      </c>
      <c r="AG415" s="148">
        <f>96000000+48000000</f>
        <v>144000000</v>
      </c>
      <c r="AH415" s="143">
        <f t="shared" si="519"/>
        <v>0</v>
      </c>
      <c r="AI415" s="151"/>
      <c r="AJ415" s="151">
        <f t="shared" ref="AJ415:AL415" si="812">P415-AE415</f>
        <v>0</v>
      </c>
      <c r="AK415" s="151">
        <f t="shared" si="812"/>
        <v>0</v>
      </c>
      <c r="AL415" s="151">
        <f t="shared" si="812"/>
        <v>0</v>
      </c>
      <c r="AM415" s="145"/>
      <c r="AN415" s="139"/>
      <c r="AO415" s="139"/>
      <c r="AP415" s="139"/>
      <c r="AQ415" s="145"/>
      <c r="AR415" s="145"/>
    </row>
    <row r="416" spans="1:44" s="156" customFormat="1" ht="47.25" x14ac:dyDescent="0.25">
      <c r="A416" s="143" t="s">
        <v>46</v>
      </c>
      <c r="B416" s="144">
        <v>403</v>
      </c>
      <c r="C416" s="143" t="s">
        <v>163</v>
      </c>
      <c r="D416" s="143" t="s">
        <v>2533</v>
      </c>
      <c r="E416" s="145"/>
      <c r="F416" s="146"/>
      <c r="G416" s="143" t="s">
        <v>2534</v>
      </c>
      <c r="H416" s="143"/>
      <c r="I416" s="143"/>
      <c r="J416" s="143"/>
      <c r="K416" s="143"/>
      <c r="L416" s="143" t="s">
        <v>2535</v>
      </c>
      <c r="M416" s="143" t="s">
        <v>43</v>
      </c>
      <c r="N416" s="143" t="s">
        <v>242</v>
      </c>
      <c r="O416" s="147">
        <v>1938637001</v>
      </c>
      <c r="P416" s="150"/>
      <c r="Q416" s="148">
        <v>15000000</v>
      </c>
      <c r="R416" s="150"/>
      <c r="S416" s="147">
        <f t="shared" si="517"/>
        <v>1953637001</v>
      </c>
      <c r="T416" s="158">
        <v>1938637001</v>
      </c>
      <c r="U416" s="143"/>
      <c r="V416" s="147">
        <v>15000000</v>
      </c>
      <c r="W416" s="143"/>
      <c r="X416" s="143"/>
      <c r="Y416" s="152">
        <f t="shared" ref="Y416:AB416" si="813">AD416-T416</f>
        <v>0</v>
      </c>
      <c r="Z416" s="151">
        <f t="shared" si="813"/>
        <v>0</v>
      </c>
      <c r="AA416" s="151">
        <f t="shared" si="813"/>
        <v>0</v>
      </c>
      <c r="AB416" s="151">
        <f t="shared" si="813"/>
        <v>0</v>
      </c>
      <c r="AC416" s="143"/>
      <c r="AD416" s="149">
        <v>1938637001</v>
      </c>
      <c r="AE416" s="150"/>
      <c r="AF416" s="148">
        <v>15000000</v>
      </c>
      <c r="AG416" s="150"/>
      <c r="AH416" s="143">
        <f t="shared" si="519"/>
        <v>0</v>
      </c>
      <c r="AI416" s="151"/>
      <c r="AJ416" s="151">
        <f t="shared" ref="AJ416:AL416" si="814">P416-AE416</f>
        <v>0</v>
      </c>
      <c r="AK416" s="151">
        <f t="shared" si="814"/>
        <v>0</v>
      </c>
      <c r="AL416" s="151">
        <f t="shared" si="814"/>
        <v>0</v>
      </c>
      <c r="AM416" s="145"/>
      <c r="AN416" s="139"/>
      <c r="AO416" s="139"/>
      <c r="AP416" s="139"/>
      <c r="AQ416" s="145"/>
      <c r="AR416" s="145"/>
    </row>
    <row r="417" spans="1:44" s="156" customFormat="1" ht="47.25" x14ac:dyDescent="0.25">
      <c r="A417" s="143" t="s">
        <v>52</v>
      </c>
      <c r="B417" s="144">
        <v>404</v>
      </c>
      <c r="C417" s="143" t="s">
        <v>163</v>
      </c>
      <c r="D417" s="143" t="s">
        <v>2536</v>
      </c>
      <c r="E417" s="145"/>
      <c r="F417" s="146"/>
      <c r="G417" s="143" t="s">
        <v>2537</v>
      </c>
      <c r="H417" s="143"/>
      <c r="I417" s="143"/>
      <c r="J417" s="143"/>
      <c r="K417" s="143"/>
      <c r="L417" s="143" t="s">
        <v>2538</v>
      </c>
      <c r="M417" s="143" t="s">
        <v>43</v>
      </c>
      <c r="N417" s="143" t="s">
        <v>2539</v>
      </c>
      <c r="O417" s="147">
        <v>1137670028</v>
      </c>
      <c r="P417" s="150"/>
      <c r="Q417" s="148">
        <v>7500000</v>
      </c>
      <c r="R417" s="150"/>
      <c r="S417" s="147">
        <f t="shared" si="517"/>
        <v>1145170028</v>
      </c>
      <c r="T417" s="158">
        <v>1137670028</v>
      </c>
      <c r="U417" s="143"/>
      <c r="V417" s="147">
        <v>7500000</v>
      </c>
      <c r="W417" s="143"/>
      <c r="X417" s="143"/>
      <c r="Y417" s="152">
        <f t="shared" ref="Y417:AB417" si="815">AD417-T417</f>
        <v>0</v>
      </c>
      <c r="Z417" s="151">
        <f t="shared" si="815"/>
        <v>0</v>
      </c>
      <c r="AA417" s="151">
        <f t="shared" si="815"/>
        <v>0</v>
      </c>
      <c r="AB417" s="152">
        <f t="shared" si="815"/>
        <v>0</v>
      </c>
      <c r="AC417" s="143"/>
      <c r="AD417" s="149">
        <v>1137670028</v>
      </c>
      <c r="AE417" s="150"/>
      <c r="AF417" s="148">
        <v>7500000</v>
      </c>
      <c r="AG417" s="155"/>
      <c r="AH417" s="143">
        <f t="shared" si="519"/>
        <v>0</v>
      </c>
      <c r="AI417" s="151"/>
      <c r="AJ417" s="151">
        <f t="shared" ref="AJ417:AL417" si="816">P417-AE417</f>
        <v>0</v>
      </c>
      <c r="AK417" s="151">
        <f t="shared" si="816"/>
        <v>0</v>
      </c>
      <c r="AL417" s="151">
        <f t="shared" si="816"/>
        <v>0</v>
      </c>
      <c r="AM417" s="145"/>
      <c r="AN417" s="139"/>
      <c r="AO417" s="139"/>
      <c r="AP417" s="139"/>
      <c r="AQ417" s="145"/>
      <c r="AR417" s="145"/>
    </row>
    <row r="418" spans="1:44" s="156" customFormat="1" ht="47.25" x14ac:dyDescent="0.25">
      <c r="A418" s="143" t="s">
        <v>88</v>
      </c>
      <c r="B418" s="144">
        <v>405</v>
      </c>
      <c r="C418" s="143" t="s">
        <v>163</v>
      </c>
      <c r="D418" s="143" t="s">
        <v>243</v>
      </c>
      <c r="E418" s="145"/>
      <c r="F418" s="145" t="s">
        <v>238</v>
      </c>
      <c r="G418" s="143" t="s">
        <v>244</v>
      </c>
      <c r="H418" s="143"/>
      <c r="I418" s="143"/>
      <c r="J418" s="143"/>
      <c r="K418" s="164"/>
      <c r="L418" s="143" t="s">
        <v>245</v>
      </c>
      <c r="M418" s="143" t="s">
        <v>43</v>
      </c>
      <c r="N418" s="143" t="s">
        <v>246</v>
      </c>
      <c r="O418" s="147">
        <v>4490379050</v>
      </c>
      <c r="P418" s="150"/>
      <c r="Q418" s="148">
        <v>15000000</v>
      </c>
      <c r="R418" s="148">
        <v>16000000</v>
      </c>
      <c r="S418" s="147">
        <f t="shared" si="517"/>
        <v>4521379050</v>
      </c>
      <c r="T418" s="151">
        <v>4490379050</v>
      </c>
      <c r="U418" s="143"/>
      <c r="V418" s="147">
        <v>15000000</v>
      </c>
      <c r="W418" s="158">
        <v>16000000</v>
      </c>
      <c r="X418" s="143"/>
      <c r="Y418" s="152">
        <f t="shared" ref="Y418:AB418" si="817">AD418-T418</f>
        <v>0</v>
      </c>
      <c r="Z418" s="151">
        <f t="shared" si="817"/>
        <v>0</v>
      </c>
      <c r="AA418" s="151">
        <f t="shared" si="817"/>
        <v>0</v>
      </c>
      <c r="AB418" s="152">
        <f t="shared" si="817"/>
        <v>0</v>
      </c>
      <c r="AC418" s="143"/>
      <c r="AD418" s="155">
        <v>4490379050</v>
      </c>
      <c r="AE418" s="150"/>
      <c r="AF418" s="148">
        <v>15000000</v>
      </c>
      <c r="AG418" s="149">
        <v>16000000</v>
      </c>
      <c r="AH418" s="143">
        <f t="shared" si="519"/>
        <v>0</v>
      </c>
      <c r="AI418" s="151"/>
      <c r="AJ418" s="151">
        <f t="shared" ref="AJ418:AL418" si="818">P418-AE418</f>
        <v>0</v>
      </c>
      <c r="AK418" s="151">
        <f t="shared" si="818"/>
        <v>0</v>
      </c>
      <c r="AL418" s="151">
        <f t="shared" si="818"/>
        <v>0</v>
      </c>
      <c r="AM418" s="145"/>
      <c r="AN418" s="139"/>
      <c r="AO418" s="139"/>
      <c r="AP418" s="139"/>
      <c r="AQ418" s="145"/>
      <c r="AR418" s="145"/>
    </row>
    <row r="419" spans="1:44" s="156" customFormat="1" ht="47.25" x14ac:dyDescent="0.25">
      <c r="A419" s="143" t="s">
        <v>88</v>
      </c>
      <c r="B419" s="144">
        <v>406</v>
      </c>
      <c r="C419" s="143" t="s">
        <v>163</v>
      </c>
      <c r="D419" s="143" t="s">
        <v>2540</v>
      </c>
      <c r="E419" s="145"/>
      <c r="F419" s="146"/>
      <c r="G419" s="143" t="s">
        <v>2541</v>
      </c>
      <c r="H419" s="143"/>
      <c r="I419" s="143"/>
      <c r="J419" s="143"/>
      <c r="K419" s="143"/>
      <c r="L419" s="143" t="s">
        <v>2542</v>
      </c>
      <c r="M419" s="143" t="s">
        <v>43</v>
      </c>
      <c r="N419" s="143" t="s">
        <v>2543</v>
      </c>
      <c r="O419" s="147">
        <v>4967225580</v>
      </c>
      <c r="P419" s="150"/>
      <c r="Q419" s="148">
        <v>7500000</v>
      </c>
      <c r="R419" s="150"/>
      <c r="S419" s="147">
        <f t="shared" si="517"/>
        <v>4974725580</v>
      </c>
      <c r="T419" s="151">
        <v>4967225580</v>
      </c>
      <c r="U419" s="143"/>
      <c r="V419" s="147">
        <v>7500000</v>
      </c>
      <c r="W419" s="143"/>
      <c r="X419" s="143"/>
      <c r="Y419" s="152">
        <f t="shared" ref="Y419:AB419" si="819">AD419-T419</f>
        <v>0</v>
      </c>
      <c r="Z419" s="151">
        <f t="shared" si="819"/>
        <v>0</v>
      </c>
      <c r="AA419" s="151">
        <f t="shared" si="819"/>
        <v>0</v>
      </c>
      <c r="AB419" s="152">
        <f t="shared" si="819"/>
        <v>0</v>
      </c>
      <c r="AC419" s="143"/>
      <c r="AD419" s="155">
        <v>4967225580</v>
      </c>
      <c r="AE419" s="150"/>
      <c r="AF419" s="148">
        <v>7500000</v>
      </c>
      <c r="AG419" s="155"/>
      <c r="AH419" s="143">
        <f t="shared" si="519"/>
        <v>0</v>
      </c>
      <c r="AI419" s="151"/>
      <c r="AJ419" s="151">
        <f t="shared" ref="AJ419:AL419" si="820">P419-AE419</f>
        <v>0</v>
      </c>
      <c r="AK419" s="151">
        <f t="shared" si="820"/>
        <v>0</v>
      </c>
      <c r="AL419" s="151">
        <f t="shared" si="820"/>
        <v>0</v>
      </c>
      <c r="AM419" s="145"/>
      <c r="AN419" s="139"/>
      <c r="AO419" s="139"/>
      <c r="AP419" s="139"/>
      <c r="AQ419" s="145"/>
      <c r="AR419" s="145"/>
    </row>
    <row r="420" spans="1:44" s="156" customFormat="1" ht="63" x14ac:dyDescent="0.25">
      <c r="A420" s="143" t="s">
        <v>88</v>
      </c>
      <c r="B420" s="144">
        <v>407</v>
      </c>
      <c r="C420" s="143" t="s">
        <v>163</v>
      </c>
      <c r="D420" s="143" t="s">
        <v>2544</v>
      </c>
      <c r="E420" s="145"/>
      <c r="F420" s="146"/>
      <c r="G420" s="143" t="s">
        <v>2545</v>
      </c>
      <c r="H420" s="143"/>
      <c r="I420" s="143"/>
      <c r="J420" s="143"/>
      <c r="K420" s="143"/>
      <c r="L420" s="143" t="s">
        <v>2546</v>
      </c>
      <c r="M420" s="143" t="s">
        <v>43</v>
      </c>
      <c r="N420" s="143" t="s">
        <v>2547</v>
      </c>
      <c r="O420" s="147">
        <v>10000000</v>
      </c>
      <c r="P420" s="150"/>
      <c r="Q420" s="148">
        <v>15000000</v>
      </c>
      <c r="R420" s="150"/>
      <c r="S420" s="147">
        <f t="shared" si="517"/>
        <v>25000000</v>
      </c>
      <c r="T420" s="143"/>
      <c r="U420" s="143"/>
      <c r="V420" s="157"/>
      <c r="W420" s="143"/>
      <c r="X420" s="143"/>
      <c r="Y420" s="152">
        <f t="shared" ref="Y420:AB420" si="821">AD420-T420</f>
        <v>0</v>
      </c>
      <c r="Z420" s="151">
        <f t="shared" si="821"/>
        <v>0</v>
      </c>
      <c r="AA420" s="151">
        <f t="shared" si="821"/>
        <v>0</v>
      </c>
      <c r="AB420" s="152">
        <f t="shared" si="821"/>
        <v>0</v>
      </c>
      <c r="AC420" s="143"/>
      <c r="AD420" s="155"/>
      <c r="AE420" s="150"/>
      <c r="AF420" s="150"/>
      <c r="AG420" s="155"/>
      <c r="AH420" s="143">
        <f t="shared" si="519"/>
        <v>0</v>
      </c>
      <c r="AI420" s="151">
        <v>10000000</v>
      </c>
      <c r="AJ420" s="151">
        <f t="shared" ref="AJ420:AL420" si="822">P420-AE420</f>
        <v>0</v>
      </c>
      <c r="AK420" s="151">
        <f t="shared" si="822"/>
        <v>15000000</v>
      </c>
      <c r="AL420" s="151">
        <f t="shared" si="822"/>
        <v>0</v>
      </c>
      <c r="AM420" s="150">
        <v>10000000</v>
      </c>
      <c r="AN420" s="159" t="s">
        <v>3471</v>
      </c>
      <c r="AO420" s="160"/>
      <c r="AP420" s="168" t="s">
        <v>3471</v>
      </c>
      <c r="AQ420" s="219"/>
      <c r="AR420" s="218"/>
    </row>
    <row r="421" spans="1:44" s="156" customFormat="1" ht="47.25" x14ac:dyDescent="0.25">
      <c r="A421" s="143" t="s">
        <v>52</v>
      </c>
      <c r="B421" s="144">
        <v>408</v>
      </c>
      <c r="C421" s="143" t="s">
        <v>163</v>
      </c>
      <c r="D421" s="143" t="s">
        <v>2548</v>
      </c>
      <c r="E421" s="145"/>
      <c r="F421" s="146"/>
      <c r="G421" s="143" t="s">
        <v>2549</v>
      </c>
      <c r="H421" s="143"/>
      <c r="I421" s="143"/>
      <c r="J421" s="143"/>
      <c r="K421" s="143"/>
      <c r="L421" s="143" t="s">
        <v>2550</v>
      </c>
      <c r="M421" s="143" t="s">
        <v>43</v>
      </c>
      <c r="N421" s="143" t="s">
        <v>2551</v>
      </c>
      <c r="O421" s="147">
        <v>6525000</v>
      </c>
      <c r="P421" s="150"/>
      <c r="Q421" s="148">
        <v>7500000</v>
      </c>
      <c r="R421" s="150"/>
      <c r="S421" s="147">
        <f t="shared" si="517"/>
        <v>14025000</v>
      </c>
      <c r="T421" s="143"/>
      <c r="U421" s="143"/>
      <c r="V421" s="157"/>
      <c r="W421" s="143"/>
      <c r="X421" s="143"/>
      <c r="Y421" s="152">
        <f t="shared" ref="Y421:AB421" si="823">AD421-T421</f>
        <v>0</v>
      </c>
      <c r="Z421" s="151">
        <f t="shared" si="823"/>
        <v>0</v>
      </c>
      <c r="AA421" s="151">
        <f t="shared" si="823"/>
        <v>0</v>
      </c>
      <c r="AB421" s="151">
        <f t="shared" si="823"/>
        <v>0</v>
      </c>
      <c r="AC421" s="143"/>
      <c r="AD421" s="155"/>
      <c r="AE421" s="150"/>
      <c r="AF421" s="150"/>
      <c r="AG421" s="150"/>
      <c r="AH421" s="143">
        <f t="shared" si="519"/>
        <v>0</v>
      </c>
      <c r="AI421" s="151">
        <v>6525000</v>
      </c>
      <c r="AJ421" s="151">
        <f t="shared" ref="AJ421:AL421" si="824">P421-AE421</f>
        <v>0</v>
      </c>
      <c r="AK421" s="151">
        <f t="shared" si="824"/>
        <v>7500000</v>
      </c>
      <c r="AL421" s="151">
        <f t="shared" si="824"/>
        <v>0</v>
      </c>
      <c r="AM421" s="148">
        <v>6525000</v>
      </c>
      <c r="AN421" s="159" t="s">
        <v>2160</v>
      </c>
      <c r="AO421" s="160"/>
      <c r="AP421" s="168" t="s">
        <v>2160</v>
      </c>
      <c r="AQ421" s="219"/>
      <c r="AR421" s="218"/>
    </row>
    <row r="422" spans="1:44" s="156" customFormat="1" ht="47.25" x14ac:dyDescent="0.25">
      <c r="A422" s="143" t="s">
        <v>35</v>
      </c>
      <c r="B422" s="144">
        <v>409</v>
      </c>
      <c r="C422" s="143" t="s">
        <v>163</v>
      </c>
      <c r="D422" s="143" t="s">
        <v>2552</v>
      </c>
      <c r="E422" s="145"/>
      <c r="F422" s="146"/>
      <c r="G422" s="143" t="s">
        <v>2553</v>
      </c>
      <c r="H422" s="143"/>
      <c r="I422" s="143" t="s">
        <v>969</v>
      </c>
      <c r="J422" s="143"/>
      <c r="K422" s="143"/>
      <c r="L422" s="143" t="s">
        <v>2554</v>
      </c>
      <c r="M422" s="143" t="s">
        <v>43</v>
      </c>
      <c r="N422" s="143" t="s">
        <v>2555</v>
      </c>
      <c r="O422" s="147"/>
      <c r="P422" s="150"/>
      <c r="Q422" s="148">
        <v>7500000</v>
      </c>
      <c r="R422" s="150"/>
      <c r="S422" s="147">
        <f t="shared" si="517"/>
        <v>7500000</v>
      </c>
      <c r="T422" s="144">
        <v>0</v>
      </c>
      <c r="U422" s="143"/>
      <c r="V422" s="157"/>
      <c r="W422" s="143"/>
      <c r="X422" s="143"/>
      <c r="Y422" s="143">
        <f t="shared" ref="Y422:AB422" si="825">AD422-T422</f>
        <v>0</v>
      </c>
      <c r="Z422" s="151">
        <f t="shared" si="825"/>
        <v>0</v>
      </c>
      <c r="AA422" s="151">
        <f t="shared" si="825"/>
        <v>0</v>
      </c>
      <c r="AB422" s="143">
        <f t="shared" si="825"/>
        <v>0</v>
      </c>
      <c r="AC422" s="143"/>
      <c r="AD422" s="175">
        <v>0</v>
      </c>
      <c r="AE422" s="150"/>
      <c r="AF422" s="150"/>
      <c r="AG422" s="145"/>
      <c r="AH422" s="143">
        <f t="shared" si="519"/>
        <v>0</v>
      </c>
      <c r="AI422" s="151"/>
      <c r="AJ422" s="151">
        <f t="shared" ref="AJ422:AL422" si="826">P422-AE422</f>
        <v>0</v>
      </c>
      <c r="AK422" s="151">
        <f t="shared" si="826"/>
        <v>7500000</v>
      </c>
      <c r="AL422" s="151">
        <f t="shared" si="826"/>
        <v>0</v>
      </c>
      <c r="AM422" s="145"/>
      <c r="AN422" s="139"/>
      <c r="AO422" s="139"/>
      <c r="AP422" s="162" t="s">
        <v>3472</v>
      </c>
      <c r="AQ422" s="145"/>
      <c r="AR422" s="145"/>
    </row>
    <row r="423" spans="1:44" s="156" customFormat="1" ht="47.25" x14ac:dyDescent="0.25">
      <c r="A423" s="143" t="s">
        <v>35</v>
      </c>
      <c r="B423" s="144">
        <v>410</v>
      </c>
      <c r="C423" s="143" t="s">
        <v>163</v>
      </c>
      <c r="D423" s="143" t="s">
        <v>1042</v>
      </c>
      <c r="E423" s="145" t="s">
        <v>1043</v>
      </c>
      <c r="F423" s="145" t="s">
        <v>1012</v>
      </c>
      <c r="G423" s="143" t="s">
        <v>1044</v>
      </c>
      <c r="H423" s="143" t="s">
        <v>1045</v>
      </c>
      <c r="I423" s="143"/>
      <c r="J423" s="143"/>
      <c r="K423" s="164"/>
      <c r="L423" s="143" t="s">
        <v>1046</v>
      </c>
      <c r="M423" s="143" t="s">
        <v>43</v>
      </c>
      <c r="N423" s="143" t="s">
        <v>1047</v>
      </c>
      <c r="O423" s="147">
        <v>4152104400</v>
      </c>
      <c r="P423" s="148">
        <v>332999424</v>
      </c>
      <c r="Q423" s="148">
        <v>15000000</v>
      </c>
      <c r="R423" s="148">
        <v>48000000</v>
      </c>
      <c r="S423" s="147">
        <f t="shared" si="517"/>
        <v>4548103824</v>
      </c>
      <c r="T423" s="158">
        <v>4152104400</v>
      </c>
      <c r="U423" s="151">
        <v>332999424</v>
      </c>
      <c r="V423" s="147">
        <v>15000000</v>
      </c>
      <c r="W423" s="158">
        <v>48000000</v>
      </c>
      <c r="X423" s="143"/>
      <c r="Y423" s="152">
        <f t="shared" ref="Y423:AB423" si="827">AD423-T423</f>
        <v>0</v>
      </c>
      <c r="Z423" s="151">
        <f t="shared" si="827"/>
        <v>0</v>
      </c>
      <c r="AA423" s="151">
        <f t="shared" si="827"/>
        <v>0</v>
      </c>
      <c r="AB423" s="152">
        <f t="shared" si="827"/>
        <v>0</v>
      </c>
      <c r="AC423" s="143"/>
      <c r="AD423" s="149">
        <v>4152104400</v>
      </c>
      <c r="AE423" s="148">
        <v>332999424</v>
      </c>
      <c r="AF423" s="148">
        <v>15000000</v>
      </c>
      <c r="AG423" s="149">
        <v>48000000</v>
      </c>
      <c r="AH423" s="143">
        <f t="shared" si="519"/>
        <v>0</v>
      </c>
      <c r="AI423" s="151"/>
      <c r="AJ423" s="151">
        <f t="shared" ref="AJ423:AL423" si="828">P423-AE423</f>
        <v>0</v>
      </c>
      <c r="AK423" s="151">
        <f t="shared" si="828"/>
        <v>0</v>
      </c>
      <c r="AL423" s="151">
        <f t="shared" si="828"/>
        <v>0</v>
      </c>
      <c r="AM423" s="145"/>
      <c r="AN423" s="139"/>
      <c r="AO423" s="139"/>
      <c r="AP423" s="139"/>
      <c r="AQ423" s="145"/>
      <c r="AR423" s="145"/>
    </row>
    <row r="424" spans="1:44" s="156" customFormat="1" ht="78.75" x14ac:dyDescent="0.25">
      <c r="A424" s="143" t="s">
        <v>52</v>
      </c>
      <c r="B424" s="144">
        <v>411</v>
      </c>
      <c r="C424" s="143" t="s">
        <v>163</v>
      </c>
      <c r="D424" s="143" t="s">
        <v>1123</v>
      </c>
      <c r="E424" s="145"/>
      <c r="F424" s="145" t="s">
        <v>1124</v>
      </c>
      <c r="G424" s="143" t="s">
        <v>1125</v>
      </c>
      <c r="H424" s="143"/>
      <c r="I424" s="143"/>
      <c r="J424" s="143"/>
      <c r="K424" s="164"/>
      <c r="L424" s="143" t="s">
        <v>1126</v>
      </c>
      <c r="M424" s="143" t="s">
        <v>43</v>
      </c>
      <c r="N424" s="143" t="s">
        <v>1127</v>
      </c>
      <c r="O424" s="147">
        <v>1375587700</v>
      </c>
      <c r="P424" s="150"/>
      <c r="Q424" s="148">
        <v>15000000</v>
      </c>
      <c r="R424" s="148">
        <f>40000000+48000000</f>
        <v>88000000</v>
      </c>
      <c r="S424" s="147">
        <f t="shared" si="517"/>
        <v>1478587700</v>
      </c>
      <c r="T424" s="158">
        <v>1375587700</v>
      </c>
      <c r="U424" s="143"/>
      <c r="V424" s="147">
        <v>15000000</v>
      </c>
      <c r="W424" s="158">
        <v>88000000</v>
      </c>
      <c r="X424" s="143"/>
      <c r="Y424" s="152">
        <f t="shared" ref="Y424:AB424" si="829">AD424-T424</f>
        <v>0</v>
      </c>
      <c r="Z424" s="151">
        <f t="shared" si="829"/>
        <v>0</v>
      </c>
      <c r="AA424" s="151">
        <f t="shared" si="829"/>
        <v>0</v>
      </c>
      <c r="AB424" s="151">
        <f t="shared" si="829"/>
        <v>0</v>
      </c>
      <c r="AC424" s="143"/>
      <c r="AD424" s="149">
        <v>1375587700</v>
      </c>
      <c r="AE424" s="150"/>
      <c r="AF424" s="148">
        <v>15000000</v>
      </c>
      <c r="AG424" s="148">
        <f>40000000+48000000</f>
        <v>88000000</v>
      </c>
      <c r="AH424" s="143">
        <f t="shared" si="519"/>
        <v>0</v>
      </c>
      <c r="AI424" s="151"/>
      <c r="AJ424" s="151">
        <f t="shared" ref="AJ424:AL424" si="830">P424-AE424</f>
        <v>0</v>
      </c>
      <c r="AK424" s="151">
        <f t="shared" si="830"/>
        <v>0</v>
      </c>
      <c r="AL424" s="151">
        <f t="shared" si="830"/>
        <v>0</v>
      </c>
      <c r="AM424" s="145"/>
      <c r="AN424" s="139"/>
      <c r="AO424" s="139"/>
      <c r="AP424" s="139"/>
      <c r="AQ424" s="145"/>
      <c r="AR424" s="145"/>
    </row>
    <row r="425" spans="1:44" s="156" customFormat="1" ht="47.25" x14ac:dyDescent="0.25">
      <c r="A425" s="143" t="s">
        <v>88</v>
      </c>
      <c r="B425" s="144">
        <v>412</v>
      </c>
      <c r="C425" s="143" t="s">
        <v>163</v>
      </c>
      <c r="D425" s="143" t="s">
        <v>2556</v>
      </c>
      <c r="E425" s="145"/>
      <c r="F425" s="146"/>
      <c r="G425" s="143" t="s">
        <v>2557</v>
      </c>
      <c r="H425" s="143"/>
      <c r="I425" s="143"/>
      <c r="J425" s="143"/>
      <c r="K425" s="143"/>
      <c r="L425" s="143" t="s">
        <v>2558</v>
      </c>
      <c r="M425" s="143" t="s">
        <v>43</v>
      </c>
      <c r="N425" s="143" t="s">
        <v>2559</v>
      </c>
      <c r="O425" s="147">
        <v>2422464300</v>
      </c>
      <c r="P425" s="150"/>
      <c r="Q425" s="148">
        <v>7500000</v>
      </c>
      <c r="R425" s="150"/>
      <c r="S425" s="147">
        <f t="shared" si="517"/>
        <v>2429964300</v>
      </c>
      <c r="T425" s="151">
        <v>2422464300</v>
      </c>
      <c r="U425" s="143"/>
      <c r="V425" s="147">
        <v>7500000</v>
      </c>
      <c r="W425" s="143"/>
      <c r="X425" s="143"/>
      <c r="Y425" s="152">
        <f t="shared" ref="Y425:AB425" si="831">AD425-T425</f>
        <v>0</v>
      </c>
      <c r="Z425" s="151">
        <f t="shared" si="831"/>
        <v>0</v>
      </c>
      <c r="AA425" s="151">
        <f t="shared" si="831"/>
        <v>0</v>
      </c>
      <c r="AB425" s="152">
        <f t="shared" si="831"/>
        <v>0</v>
      </c>
      <c r="AC425" s="143"/>
      <c r="AD425" s="155">
        <v>2422464300</v>
      </c>
      <c r="AE425" s="150"/>
      <c r="AF425" s="148">
        <v>7500000</v>
      </c>
      <c r="AG425" s="155"/>
      <c r="AH425" s="143">
        <f t="shared" si="519"/>
        <v>0</v>
      </c>
      <c r="AI425" s="151"/>
      <c r="AJ425" s="151">
        <f t="shared" ref="AJ425:AL425" si="832">P425-AE425</f>
        <v>0</v>
      </c>
      <c r="AK425" s="151">
        <f t="shared" si="832"/>
        <v>0</v>
      </c>
      <c r="AL425" s="151">
        <f t="shared" si="832"/>
        <v>0</v>
      </c>
      <c r="AM425" s="145"/>
      <c r="AN425" s="139"/>
      <c r="AO425" s="139"/>
      <c r="AP425" s="139"/>
      <c r="AQ425" s="145"/>
      <c r="AR425" s="145"/>
    </row>
    <row r="426" spans="1:44" s="156" customFormat="1" ht="47.25" x14ac:dyDescent="0.25">
      <c r="A426" s="143" t="s">
        <v>46</v>
      </c>
      <c r="B426" s="144">
        <v>413</v>
      </c>
      <c r="C426" s="143" t="s">
        <v>163</v>
      </c>
      <c r="D426" s="143" t="s">
        <v>2561</v>
      </c>
      <c r="E426" s="145"/>
      <c r="F426" s="146"/>
      <c r="G426" s="143" t="s">
        <v>2562</v>
      </c>
      <c r="H426" s="143"/>
      <c r="I426" s="143"/>
      <c r="J426" s="143"/>
      <c r="K426" s="143"/>
      <c r="L426" s="143" t="s">
        <v>2563</v>
      </c>
      <c r="M426" s="143" t="s">
        <v>43</v>
      </c>
      <c r="N426" s="143" t="s">
        <v>2564</v>
      </c>
      <c r="O426" s="147">
        <v>2392845896</v>
      </c>
      <c r="P426" s="150"/>
      <c r="Q426" s="148">
        <v>7500000</v>
      </c>
      <c r="R426" s="150"/>
      <c r="S426" s="147">
        <f t="shared" si="517"/>
        <v>2400345896</v>
      </c>
      <c r="T426" s="158">
        <v>2392845896</v>
      </c>
      <c r="U426" s="143"/>
      <c r="V426" s="147">
        <v>7500000</v>
      </c>
      <c r="W426" s="143"/>
      <c r="X426" s="143"/>
      <c r="Y426" s="151">
        <f t="shared" ref="Y426:AB426" si="833">AD426-T426</f>
        <v>0</v>
      </c>
      <c r="Z426" s="151">
        <f t="shared" si="833"/>
        <v>0</v>
      </c>
      <c r="AA426" s="151">
        <f t="shared" si="833"/>
        <v>0</v>
      </c>
      <c r="AB426" s="151">
        <f t="shared" si="833"/>
        <v>0</v>
      </c>
      <c r="AC426" s="143"/>
      <c r="AD426" s="148">
        <v>2392845896</v>
      </c>
      <c r="AE426" s="150"/>
      <c r="AF426" s="148">
        <v>7500000</v>
      </c>
      <c r="AG426" s="150"/>
      <c r="AH426" s="143">
        <f t="shared" si="519"/>
        <v>0</v>
      </c>
      <c r="AI426" s="151"/>
      <c r="AJ426" s="151">
        <f t="shared" ref="AJ426:AL426" si="834">P426-AE426</f>
        <v>0</v>
      </c>
      <c r="AK426" s="151">
        <f t="shared" si="834"/>
        <v>0</v>
      </c>
      <c r="AL426" s="151">
        <f t="shared" si="834"/>
        <v>0</v>
      </c>
      <c r="AM426" s="145"/>
      <c r="AN426" s="139"/>
      <c r="AO426" s="139"/>
      <c r="AP426" s="139"/>
      <c r="AQ426" s="145"/>
      <c r="AR426" s="145"/>
    </row>
    <row r="427" spans="1:44" s="156" customFormat="1" ht="47.25" x14ac:dyDescent="0.25">
      <c r="A427" s="143" t="s">
        <v>52</v>
      </c>
      <c r="B427" s="144">
        <v>414</v>
      </c>
      <c r="C427" s="143" t="s">
        <v>163</v>
      </c>
      <c r="D427" s="143" t="s">
        <v>2565</v>
      </c>
      <c r="E427" s="145"/>
      <c r="F427" s="146"/>
      <c r="G427" s="143" t="s">
        <v>2566</v>
      </c>
      <c r="H427" s="143"/>
      <c r="I427" s="143"/>
      <c r="J427" s="143"/>
      <c r="K427" s="143"/>
      <c r="L427" s="143" t="s">
        <v>2567</v>
      </c>
      <c r="M427" s="143" t="s">
        <v>43</v>
      </c>
      <c r="N427" s="143" t="s">
        <v>2568</v>
      </c>
      <c r="O427" s="147">
        <v>3732755792</v>
      </c>
      <c r="P427" s="150"/>
      <c r="Q427" s="148">
        <v>15000000</v>
      </c>
      <c r="R427" s="150"/>
      <c r="S427" s="147">
        <f t="shared" si="517"/>
        <v>3747755792</v>
      </c>
      <c r="T427" s="158">
        <v>3732755792</v>
      </c>
      <c r="U427" s="143"/>
      <c r="V427" s="147">
        <v>15000000</v>
      </c>
      <c r="W427" s="143"/>
      <c r="X427" s="143"/>
      <c r="Y427" s="152">
        <f t="shared" ref="Y427:AB427" si="835">AD427-T427</f>
        <v>0</v>
      </c>
      <c r="Z427" s="151">
        <f t="shared" si="835"/>
        <v>0</v>
      </c>
      <c r="AA427" s="151">
        <f t="shared" si="835"/>
        <v>0</v>
      </c>
      <c r="AB427" s="152">
        <f t="shared" si="835"/>
        <v>0</v>
      </c>
      <c r="AC427" s="143"/>
      <c r="AD427" s="149">
        <v>3732755792</v>
      </c>
      <c r="AE427" s="150"/>
      <c r="AF427" s="148">
        <v>15000000</v>
      </c>
      <c r="AG427" s="155"/>
      <c r="AH427" s="143">
        <f t="shared" si="519"/>
        <v>0</v>
      </c>
      <c r="AI427" s="151"/>
      <c r="AJ427" s="151">
        <f t="shared" ref="AJ427:AL427" si="836">P427-AE427</f>
        <v>0</v>
      </c>
      <c r="AK427" s="151">
        <f t="shared" si="836"/>
        <v>0</v>
      </c>
      <c r="AL427" s="151">
        <f t="shared" si="836"/>
        <v>0</v>
      </c>
      <c r="AM427" s="145"/>
      <c r="AN427" s="139"/>
      <c r="AO427" s="139"/>
      <c r="AP427" s="139"/>
      <c r="AQ427" s="145"/>
      <c r="AR427" s="145"/>
    </row>
    <row r="428" spans="1:44" s="156" customFormat="1" ht="47.25" x14ac:dyDescent="0.25">
      <c r="A428" s="143" t="s">
        <v>88</v>
      </c>
      <c r="B428" s="144">
        <v>415</v>
      </c>
      <c r="C428" s="143" t="s">
        <v>163</v>
      </c>
      <c r="D428" s="143" t="s">
        <v>2569</v>
      </c>
      <c r="E428" s="145"/>
      <c r="F428" s="146"/>
      <c r="G428" s="143" t="s">
        <v>2570</v>
      </c>
      <c r="H428" s="143"/>
      <c r="I428" s="143"/>
      <c r="J428" s="143"/>
      <c r="K428" s="143"/>
      <c r="L428" s="143" t="s">
        <v>2571</v>
      </c>
      <c r="M428" s="143" t="s">
        <v>43</v>
      </c>
      <c r="N428" s="143" t="s">
        <v>2572</v>
      </c>
      <c r="O428" s="147">
        <v>585805584</v>
      </c>
      <c r="P428" s="150"/>
      <c r="Q428" s="148">
        <v>7500000</v>
      </c>
      <c r="R428" s="150"/>
      <c r="S428" s="147">
        <f t="shared" si="517"/>
        <v>593305584</v>
      </c>
      <c r="T428" s="151">
        <v>585805584</v>
      </c>
      <c r="U428" s="143"/>
      <c r="V428" s="147">
        <v>7500000</v>
      </c>
      <c r="W428" s="143"/>
      <c r="X428" s="143"/>
      <c r="Y428" s="152">
        <f t="shared" ref="Y428:AB428" si="837">AD428-T428</f>
        <v>0</v>
      </c>
      <c r="Z428" s="151">
        <f t="shared" si="837"/>
        <v>0</v>
      </c>
      <c r="AA428" s="151">
        <f t="shared" si="837"/>
        <v>0</v>
      </c>
      <c r="AB428" s="152">
        <f t="shared" si="837"/>
        <v>0</v>
      </c>
      <c r="AC428" s="143"/>
      <c r="AD428" s="155">
        <v>585805584</v>
      </c>
      <c r="AE428" s="150"/>
      <c r="AF428" s="148">
        <v>7500000</v>
      </c>
      <c r="AG428" s="155"/>
      <c r="AH428" s="143">
        <f t="shared" si="519"/>
        <v>0</v>
      </c>
      <c r="AI428" s="151"/>
      <c r="AJ428" s="151">
        <f t="shared" ref="AJ428:AL428" si="838">P428-AE428</f>
        <v>0</v>
      </c>
      <c r="AK428" s="151">
        <f t="shared" si="838"/>
        <v>0</v>
      </c>
      <c r="AL428" s="151">
        <f t="shared" si="838"/>
        <v>0</v>
      </c>
      <c r="AM428" s="145"/>
      <c r="AN428" s="139"/>
      <c r="AO428" s="139"/>
      <c r="AP428" s="139"/>
      <c r="AQ428" s="145"/>
      <c r="AR428" s="145"/>
    </row>
    <row r="429" spans="1:44" s="156" customFormat="1" ht="47.25" x14ac:dyDescent="0.25">
      <c r="A429" s="143" t="s">
        <v>60</v>
      </c>
      <c r="B429" s="144">
        <v>416</v>
      </c>
      <c r="C429" s="143" t="s">
        <v>163</v>
      </c>
      <c r="D429" s="143" t="s">
        <v>2573</v>
      </c>
      <c r="E429" s="145"/>
      <c r="F429" s="146"/>
      <c r="G429" s="143" t="s">
        <v>2574</v>
      </c>
      <c r="H429" s="143"/>
      <c r="I429" s="143"/>
      <c r="J429" s="143"/>
      <c r="K429" s="143"/>
      <c r="L429" s="143" t="s">
        <v>2575</v>
      </c>
      <c r="M429" s="143" t="s">
        <v>43</v>
      </c>
      <c r="N429" s="143" t="s">
        <v>2576</v>
      </c>
      <c r="O429" s="147">
        <v>2508309760</v>
      </c>
      <c r="P429" s="150"/>
      <c r="Q429" s="148">
        <v>15000000</v>
      </c>
      <c r="R429" s="150"/>
      <c r="S429" s="147">
        <f t="shared" si="517"/>
        <v>2523309760</v>
      </c>
      <c r="T429" s="158">
        <v>2508309760</v>
      </c>
      <c r="U429" s="143"/>
      <c r="V429" s="147">
        <v>15000000</v>
      </c>
      <c r="W429" s="143"/>
      <c r="X429" s="143"/>
      <c r="Y429" s="152">
        <f t="shared" ref="Y429:AB429" si="839">AD429-T429</f>
        <v>0</v>
      </c>
      <c r="Z429" s="151">
        <f t="shared" si="839"/>
        <v>0</v>
      </c>
      <c r="AA429" s="151">
        <f t="shared" si="839"/>
        <v>0</v>
      </c>
      <c r="AB429" s="152">
        <f t="shared" si="839"/>
        <v>0</v>
      </c>
      <c r="AC429" s="143"/>
      <c r="AD429" s="149">
        <v>2508309760</v>
      </c>
      <c r="AE429" s="184"/>
      <c r="AF429" s="148">
        <v>15000000</v>
      </c>
      <c r="AG429" s="182"/>
      <c r="AH429" s="143">
        <f t="shared" si="519"/>
        <v>0</v>
      </c>
      <c r="AI429" s="151"/>
      <c r="AJ429" s="151">
        <f t="shared" ref="AJ429:AL429" si="840">P429-AE429</f>
        <v>0</v>
      </c>
      <c r="AK429" s="151">
        <f t="shared" si="840"/>
        <v>0</v>
      </c>
      <c r="AL429" s="151">
        <f t="shared" si="840"/>
        <v>0</v>
      </c>
      <c r="AM429" s="145"/>
      <c r="AN429" s="139"/>
      <c r="AO429" s="139"/>
      <c r="AP429" s="139"/>
      <c r="AQ429" s="145"/>
      <c r="AR429" s="145"/>
    </row>
    <row r="430" spans="1:44" s="156" customFormat="1" ht="47.25" x14ac:dyDescent="0.25">
      <c r="A430" s="143" t="s">
        <v>88</v>
      </c>
      <c r="B430" s="144">
        <v>417</v>
      </c>
      <c r="C430" s="143" t="s">
        <v>163</v>
      </c>
      <c r="D430" s="143" t="s">
        <v>2577</v>
      </c>
      <c r="E430" s="145"/>
      <c r="F430" s="146"/>
      <c r="G430" s="143" t="s">
        <v>2578</v>
      </c>
      <c r="H430" s="143"/>
      <c r="I430" s="143"/>
      <c r="J430" s="143"/>
      <c r="K430" s="143"/>
      <c r="L430" s="143" t="s">
        <v>2579</v>
      </c>
      <c r="M430" s="143" t="s">
        <v>43</v>
      </c>
      <c r="N430" s="143" t="s">
        <v>2580</v>
      </c>
      <c r="O430" s="147"/>
      <c r="P430" s="150"/>
      <c r="Q430" s="148">
        <v>7500000</v>
      </c>
      <c r="R430" s="150"/>
      <c r="S430" s="147">
        <f t="shared" si="517"/>
        <v>7500000</v>
      </c>
      <c r="T430" s="144">
        <v>0</v>
      </c>
      <c r="U430" s="143"/>
      <c r="V430" s="157"/>
      <c r="W430" s="143"/>
      <c r="X430" s="143"/>
      <c r="Y430" s="143">
        <f t="shared" ref="Y430:AB430" si="841">AD430-T430</f>
        <v>0</v>
      </c>
      <c r="Z430" s="151">
        <f t="shared" si="841"/>
        <v>0</v>
      </c>
      <c r="AA430" s="151">
        <f t="shared" si="841"/>
        <v>0</v>
      </c>
      <c r="AB430" s="152">
        <f t="shared" si="841"/>
        <v>0</v>
      </c>
      <c r="AC430" s="143"/>
      <c r="AD430" s="175">
        <v>0</v>
      </c>
      <c r="AE430" s="150"/>
      <c r="AF430" s="150"/>
      <c r="AG430" s="155"/>
      <c r="AH430" s="143">
        <f t="shared" si="519"/>
        <v>0</v>
      </c>
      <c r="AI430" s="151"/>
      <c r="AJ430" s="151">
        <f t="shared" ref="AJ430:AL430" si="842">P430-AE430</f>
        <v>0</v>
      </c>
      <c r="AK430" s="151">
        <f t="shared" si="842"/>
        <v>7500000</v>
      </c>
      <c r="AL430" s="151">
        <f t="shared" si="842"/>
        <v>0</v>
      </c>
      <c r="AM430" s="145"/>
      <c r="AN430" s="139"/>
      <c r="AO430" s="139"/>
      <c r="AP430" s="162" t="s">
        <v>3490</v>
      </c>
      <c r="AQ430" s="145"/>
      <c r="AR430" s="145"/>
    </row>
    <row r="431" spans="1:44" s="156" customFormat="1" ht="47.25" x14ac:dyDescent="0.25">
      <c r="A431" s="143" t="s">
        <v>60</v>
      </c>
      <c r="B431" s="144">
        <v>418</v>
      </c>
      <c r="C431" s="143" t="s">
        <v>163</v>
      </c>
      <c r="D431" s="143" t="s">
        <v>2581</v>
      </c>
      <c r="E431" s="145"/>
      <c r="F431" s="146"/>
      <c r="G431" s="143" t="s">
        <v>2582</v>
      </c>
      <c r="H431" s="143"/>
      <c r="I431" s="143"/>
      <c r="J431" s="143"/>
      <c r="K431" s="143"/>
      <c r="L431" s="143" t="s">
        <v>2583</v>
      </c>
      <c r="M431" s="143" t="s">
        <v>43</v>
      </c>
      <c r="N431" s="143" t="s">
        <v>2584</v>
      </c>
      <c r="O431" s="147">
        <v>515507992</v>
      </c>
      <c r="P431" s="150"/>
      <c r="Q431" s="148">
        <v>7500000</v>
      </c>
      <c r="R431" s="150"/>
      <c r="S431" s="147">
        <f t="shared" si="517"/>
        <v>523007992</v>
      </c>
      <c r="T431" s="158">
        <v>515507992</v>
      </c>
      <c r="U431" s="143"/>
      <c r="V431" s="147">
        <v>7500000</v>
      </c>
      <c r="W431" s="143"/>
      <c r="X431" s="143"/>
      <c r="Y431" s="152">
        <f t="shared" ref="Y431:AB431" si="843">AD431-T431</f>
        <v>0</v>
      </c>
      <c r="Z431" s="151">
        <f t="shared" si="843"/>
        <v>0</v>
      </c>
      <c r="AA431" s="151">
        <f t="shared" si="843"/>
        <v>0</v>
      </c>
      <c r="AB431" s="152">
        <f t="shared" si="843"/>
        <v>0</v>
      </c>
      <c r="AC431" s="143"/>
      <c r="AD431" s="149">
        <v>515507992</v>
      </c>
      <c r="AE431" s="150"/>
      <c r="AF431" s="148">
        <v>7500000</v>
      </c>
      <c r="AG431" s="155"/>
      <c r="AH431" s="143">
        <f t="shared" si="519"/>
        <v>0</v>
      </c>
      <c r="AI431" s="151"/>
      <c r="AJ431" s="151">
        <f t="shared" ref="AJ431:AL431" si="844">P431-AE431</f>
        <v>0</v>
      </c>
      <c r="AK431" s="151">
        <f t="shared" si="844"/>
        <v>0</v>
      </c>
      <c r="AL431" s="151">
        <f t="shared" si="844"/>
        <v>0</v>
      </c>
      <c r="AM431" s="145"/>
      <c r="AN431" s="139"/>
      <c r="AO431" s="139"/>
      <c r="AP431" s="139"/>
      <c r="AQ431" s="145"/>
      <c r="AR431" s="145"/>
    </row>
    <row r="432" spans="1:44" s="156" customFormat="1" ht="47.25" x14ac:dyDescent="0.25">
      <c r="A432" s="143" t="s">
        <v>52</v>
      </c>
      <c r="B432" s="144">
        <v>419</v>
      </c>
      <c r="C432" s="143" t="s">
        <v>163</v>
      </c>
      <c r="D432" s="143" t="s">
        <v>2585</v>
      </c>
      <c r="E432" s="145"/>
      <c r="F432" s="146"/>
      <c r="G432" s="143" t="s">
        <v>2586</v>
      </c>
      <c r="H432" s="143"/>
      <c r="I432" s="143"/>
      <c r="J432" s="143"/>
      <c r="K432" s="143"/>
      <c r="L432" s="143" t="s">
        <v>2587</v>
      </c>
      <c r="M432" s="143" t="s">
        <v>43</v>
      </c>
      <c r="N432" s="143" t="s">
        <v>2588</v>
      </c>
      <c r="O432" s="147">
        <v>1967943264</v>
      </c>
      <c r="P432" s="150"/>
      <c r="Q432" s="148">
        <v>7500000</v>
      </c>
      <c r="R432" s="150"/>
      <c r="S432" s="147">
        <f t="shared" si="517"/>
        <v>1975443264</v>
      </c>
      <c r="T432" s="158">
        <v>1967943264</v>
      </c>
      <c r="U432" s="143"/>
      <c r="V432" s="147">
        <v>7500000</v>
      </c>
      <c r="W432" s="143"/>
      <c r="X432" s="143"/>
      <c r="Y432" s="152">
        <f t="shared" ref="Y432:AB432" si="845">AD432-T432</f>
        <v>0</v>
      </c>
      <c r="Z432" s="151">
        <f t="shared" si="845"/>
        <v>0</v>
      </c>
      <c r="AA432" s="151">
        <f t="shared" si="845"/>
        <v>0</v>
      </c>
      <c r="AB432" s="152">
        <f t="shared" si="845"/>
        <v>0</v>
      </c>
      <c r="AC432" s="143"/>
      <c r="AD432" s="149">
        <v>1967943264</v>
      </c>
      <c r="AE432" s="150"/>
      <c r="AF432" s="148">
        <v>7500000</v>
      </c>
      <c r="AG432" s="155"/>
      <c r="AH432" s="143">
        <f t="shared" si="519"/>
        <v>0</v>
      </c>
      <c r="AI432" s="151"/>
      <c r="AJ432" s="151">
        <f t="shared" ref="AJ432:AL432" si="846">P432-AE432</f>
        <v>0</v>
      </c>
      <c r="AK432" s="151">
        <f t="shared" si="846"/>
        <v>0</v>
      </c>
      <c r="AL432" s="151">
        <f t="shared" si="846"/>
        <v>0</v>
      </c>
      <c r="AM432" s="145"/>
      <c r="AN432" s="139"/>
      <c r="AO432" s="139"/>
      <c r="AP432" s="139"/>
      <c r="AQ432" s="145"/>
      <c r="AR432" s="145"/>
    </row>
    <row r="433" spans="1:44" s="156" customFormat="1" ht="47.25" x14ac:dyDescent="0.25">
      <c r="A433" s="143" t="s">
        <v>52</v>
      </c>
      <c r="B433" s="144">
        <v>420</v>
      </c>
      <c r="C433" s="143" t="s">
        <v>163</v>
      </c>
      <c r="D433" s="143" t="s">
        <v>2589</v>
      </c>
      <c r="E433" s="145"/>
      <c r="F433" s="146"/>
      <c r="G433" s="143" t="s">
        <v>2590</v>
      </c>
      <c r="H433" s="143"/>
      <c r="I433" s="143"/>
      <c r="J433" s="143"/>
      <c r="K433" s="143"/>
      <c r="L433" s="143" t="s">
        <v>2591</v>
      </c>
      <c r="M433" s="143" t="s">
        <v>43</v>
      </c>
      <c r="N433" s="143" t="s">
        <v>2592</v>
      </c>
      <c r="O433" s="147">
        <v>3075917326</v>
      </c>
      <c r="P433" s="150"/>
      <c r="Q433" s="148">
        <v>7500000</v>
      </c>
      <c r="R433" s="150"/>
      <c r="S433" s="147">
        <f t="shared" si="517"/>
        <v>3083417326</v>
      </c>
      <c r="T433" s="143"/>
      <c r="U433" s="143"/>
      <c r="V433" s="157"/>
      <c r="W433" s="143"/>
      <c r="X433" s="143"/>
      <c r="Y433" s="152">
        <f t="shared" ref="Y433:AB433" si="847">AD433-T433</f>
        <v>0</v>
      </c>
      <c r="Z433" s="151">
        <f t="shared" si="847"/>
        <v>0</v>
      </c>
      <c r="AA433" s="151">
        <f t="shared" si="847"/>
        <v>0</v>
      </c>
      <c r="AB433" s="151">
        <f t="shared" si="847"/>
        <v>0</v>
      </c>
      <c r="AC433" s="143"/>
      <c r="AD433" s="155"/>
      <c r="AE433" s="150"/>
      <c r="AF433" s="150"/>
      <c r="AG433" s="150"/>
      <c r="AH433" s="143">
        <f t="shared" si="519"/>
        <v>0</v>
      </c>
      <c r="AI433" s="151">
        <v>3075917326</v>
      </c>
      <c r="AJ433" s="151">
        <f t="shared" ref="AJ433:AL433" si="848">P433-AE433</f>
        <v>0</v>
      </c>
      <c r="AK433" s="151">
        <f t="shared" si="848"/>
        <v>7500000</v>
      </c>
      <c r="AL433" s="151">
        <f t="shared" si="848"/>
        <v>0</v>
      </c>
      <c r="AM433" s="148">
        <v>3075917326</v>
      </c>
      <c r="AN433" s="159" t="s">
        <v>2160</v>
      </c>
      <c r="AO433" s="160"/>
      <c r="AP433" s="168" t="s">
        <v>2160</v>
      </c>
      <c r="AQ433" s="219"/>
      <c r="AR433" s="218"/>
    </row>
    <row r="434" spans="1:44" s="156" customFormat="1" ht="47.25" x14ac:dyDescent="0.25">
      <c r="A434" s="143" t="s">
        <v>60</v>
      </c>
      <c r="B434" s="144">
        <v>421</v>
      </c>
      <c r="C434" s="143" t="s">
        <v>163</v>
      </c>
      <c r="D434" s="143" t="s">
        <v>2593</v>
      </c>
      <c r="E434" s="145"/>
      <c r="F434" s="146"/>
      <c r="G434" s="143" t="s">
        <v>2594</v>
      </c>
      <c r="H434" s="143"/>
      <c r="I434" s="143"/>
      <c r="J434" s="143"/>
      <c r="K434" s="143"/>
      <c r="L434" s="143" t="s">
        <v>2595</v>
      </c>
      <c r="M434" s="143" t="s">
        <v>43</v>
      </c>
      <c r="N434" s="143" t="s">
        <v>2596</v>
      </c>
      <c r="O434" s="147">
        <v>10850167780</v>
      </c>
      <c r="P434" s="150"/>
      <c r="Q434" s="148">
        <v>15000000</v>
      </c>
      <c r="R434" s="150"/>
      <c r="S434" s="147">
        <f t="shared" si="517"/>
        <v>10865167780</v>
      </c>
      <c r="T434" s="158">
        <v>10850167780</v>
      </c>
      <c r="U434" s="143"/>
      <c r="V434" s="147">
        <v>15000000</v>
      </c>
      <c r="W434" s="143"/>
      <c r="X434" s="143"/>
      <c r="Y434" s="152">
        <f t="shared" ref="Y434:AB434" si="849">AD434-T434</f>
        <v>0</v>
      </c>
      <c r="Z434" s="151">
        <f t="shared" si="849"/>
        <v>0</v>
      </c>
      <c r="AA434" s="151">
        <f t="shared" si="849"/>
        <v>0</v>
      </c>
      <c r="AB434" s="151">
        <f t="shared" si="849"/>
        <v>0</v>
      </c>
      <c r="AC434" s="143"/>
      <c r="AD434" s="149">
        <v>10850167780</v>
      </c>
      <c r="AE434" s="150"/>
      <c r="AF434" s="148">
        <v>15000000</v>
      </c>
      <c r="AG434" s="150"/>
      <c r="AH434" s="143">
        <f t="shared" si="519"/>
        <v>0</v>
      </c>
      <c r="AI434" s="151"/>
      <c r="AJ434" s="151">
        <f t="shared" ref="AJ434:AL434" si="850">P434-AE434</f>
        <v>0</v>
      </c>
      <c r="AK434" s="151">
        <f t="shared" si="850"/>
        <v>0</v>
      </c>
      <c r="AL434" s="151">
        <f t="shared" si="850"/>
        <v>0</v>
      </c>
      <c r="AM434" s="145"/>
      <c r="AN434" s="139"/>
      <c r="AO434" s="139"/>
      <c r="AP434" s="139"/>
      <c r="AQ434" s="145"/>
      <c r="AR434" s="145"/>
    </row>
    <row r="435" spans="1:44" s="156" customFormat="1" ht="47.25" x14ac:dyDescent="0.25">
      <c r="A435" s="143" t="s">
        <v>46</v>
      </c>
      <c r="B435" s="144">
        <v>422</v>
      </c>
      <c r="C435" s="143" t="s">
        <v>163</v>
      </c>
      <c r="D435" s="143" t="s">
        <v>2597</v>
      </c>
      <c r="E435" s="145"/>
      <c r="F435" s="146"/>
      <c r="G435" s="143" t="s">
        <v>2598</v>
      </c>
      <c r="H435" s="143"/>
      <c r="I435" s="143"/>
      <c r="J435" s="143"/>
      <c r="K435" s="143"/>
      <c r="L435" s="143" t="s">
        <v>2599</v>
      </c>
      <c r="M435" s="143" t="s">
        <v>43</v>
      </c>
      <c r="N435" s="143" t="s">
        <v>2600</v>
      </c>
      <c r="O435" s="147">
        <v>963584580</v>
      </c>
      <c r="P435" s="150"/>
      <c r="Q435" s="148">
        <v>7500000</v>
      </c>
      <c r="R435" s="150"/>
      <c r="S435" s="147">
        <f t="shared" si="517"/>
        <v>971084580</v>
      </c>
      <c r="T435" s="158">
        <v>963584580</v>
      </c>
      <c r="U435" s="143"/>
      <c r="V435" s="147">
        <v>7500000</v>
      </c>
      <c r="W435" s="143"/>
      <c r="X435" s="143"/>
      <c r="Y435" s="152">
        <f t="shared" ref="Y435:AB435" si="851">AD435-T435</f>
        <v>0</v>
      </c>
      <c r="Z435" s="151">
        <f t="shared" si="851"/>
        <v>0</v>
      </c>
      <c r="AA435" s="151">
        <f t="shared" si="851"/>
        <v>0</v>
      </c>
      <c r="AB435" s="151">
        <f t="shared" si="851"/>
        <v>0</v>
      </c>
      <c r="AC435" s="143"/>
      <c r="AD435" s="149">
        <v>963584580</v>
      </c>
      <c r="AE435" s="150"/>
      <c r="AF435" s="148">
        <v>7500000</v>
      </c>
      <c r="AG435" s="150"/>
      <c r="AH435" s="143">
        <f t="shared" si="519"/>
        <v>0</v>
      </c>
      <c r="AI435" s="151"/>
      <c r="AJ435" s="151">
        <f t="shared" ref="AJ435:AL435" si="852">P435-AE435</f>
        <v>0</v>
      </c>
      <c r="AK435" s="151">
        <f t="shared" si="852"/>
        <v>0</v>
      </c>
      <c r="AL435" s="151">
        <f t="shared" si="852"/>
        <v>0</v>
      </c>
      <c r="AM435" s="145"/>
      <c r="AN435" s="139"/>
      <c r="AO435" s="139"/>
      <c r="AP435" s="139"/>
      <c r="AQ435" s="145"/>
      <c r="AR435" s="145"/>
    </row>
    <row r="436" spans="1:44" s="156" customFormat="1" ht="78.75" x14ac:dyDescent="0.25">
      <c r="A436" s="143" t="s">
        <v>46</v>
      </c>
      <c r="B436" s="144">
        <v>423</v>
      </c>
      <c r="C436" s="143" t="s">
        <v>163</v>
      </c>
      <c r="D436" s="143" t="s">
        <v>2601</v>
      </c>
      <c r="E436" s="145"/>
      <c r="F436" s="146"/>
      <c r="G436" s="143" t="s">
        <v>2602</v>
      </c>
      <c r="H436" s="143"/>
      <c r="I436" s="143"/>
      <c r="J436" s="143"/>
      <c r="K436" s="143"/>
      <c r="L436" s="143" t="s">
        <v>2603</v>
      </c>
      <c r="M436" s="143" t="s">
        <v>43</v>
      </c>
      <c r="N436" s="143" t="s">
        <v>2604</v>
      </c>
      <c r="O436" s="147">
        <v>7215729060</v>
      </c>
      <c r="P436" s="150"/>
      <c r="Q436" s="148">
        <v>15000000</v>
      </c>
      <c r="R436" s="150"/>
      <c r="S436" s="147">
        <f t="shared" si="517"/>
        <v>7230729060</v>
      </c>
      <c r="T436" s="158">
        <v>7215729060</v>
      </c>
      <c r="U436" s="143"/>
      <c r="V436" s="147">
        <v>15000000</v>
      </c>
      <c r="W436" s="143"/>
      <c r="X436" s="143"/>
      <c r="Y436" s="151">
        <f t="shared" ref="Y436:AB436" si="853">AD436-T436</f>
        <v>0</v>
      </c>
      <c r="Z436" s="151">
        <f t="shared" si="853"/>
        <v>0</v>
      </c>
      <c r="AA436" s="151">
        <f t="shared" si="853"/>
        <v>0</v>
      </c>
      <c r="AB436" s="151">
        <f t="shared" si="853"/>
        <v>0</v>
      </c>
      <c r="AC436" s="143"/>
      <c r="AD436" s="148">
        <v>7215729060</v>
      </c>
      <c r="AE436" s="150"/>
      <c r="AF436" s="148">
        <v>15000000</v>
      </c>
      <c r="AG436" s="150"/>
      <c r="AH436" s="143">
        <f t="shared" si="519"/>
        <v>0</v>
      </c>
      <c r="AI436" s="151"/>
      <c r="AJ436" s="151">
        <f t="shared" ref="AJ436:AL436" si="854">P436-AE436</f>
        <v>0</v>
      </c>
      <c r="AK436" s="151">
        <f t="shared" si="854"/>
        <v>0</v>
      </c>
      <c r="AL436" s="151">
        <f t="shared" si="854"/>
        <v>0</v>
      </c>
      <c r="AM436" s="145"/>
      <c r="AN436" s="139"/>
      <c r="AO436" s="139"/>
      <c r="AP436" s="139"/>
      <c r="AQ436" s="145"/>
      <c r="AR436" s="145"/>
    </row>
    <row r="437" spans="1:44" s="156" customFormat="1" ht="47.25" x14ac:dyDescent="0.25">
      <c r="A437" s="143" t="s">
        <v>52</v>
      </c>
      <c r="B437" s="144">
        <v>424</v>
      </c>
      <c r="C437" s="143" t="s">
        <v>163</v>
      </c>
      <c r="D437" s="143" t="s">
        <v>2605</v>
      </c>
      <c r="E437" s="145"/>
      <c r="F437" s="146"/>
      <c r="G437" s="143" t="s">
        <v>2606</v>
      </c>
      <c r="H437" s="143"/>
      <c r="I437" s="143"/>
      <c r="J437" s="143"/>
      <c r="K437" s="143"/>
      <c r="L437" s="143" t="s">
        <v>2607</v>
      </c>
      <c r="M437" s="143" t="s">
        <v>43</v>
      </c>
      <c r="N437" s="143" t="s">
        <v>2608</v>
      </c>
      <c r="O437" s="147"/>
      <c r="P437" s="150"/>
      <c r="Q437" s="148">
        <v>7500000</v>
      </c>
      <c r="R437" s="150"/>
      <c r="S437" s="147">
        <f t="shared" si="517"/>
        <v>7500000</v>
      </c>
      <c r="T437" s="144">
        <v>0</v>
      </c>
      <c r="U437" s="143"/>
      <c r="V437" s="147">
        <v>7500000</v>
      </c>
      <c r="W437" s="143"/>
      <c r="X437" s="143"/>
      <c r="Y437" s="143">
        <f t="shared" ref="Y437:AB437" si="855">AD437-T437</f>
        <v>0</v>
      </c>
      <c r="Z437" s="151">
        <f t="shared" si="855"/>
        <v>0</v>
      </c>
      <c r="AA437" s="151">
        <f t="shared" si="855"/>
        <v>0</v>
      </c>
      <c r="AB437" s="152">
        <f t="shared" si="855"/>
        <v>0</v>
      </c>
      <c r="AC437" s="143"/>
      <c r="AD437" s="175">
        <v>0</v>
      </c>
      <c r="AE437" s="150"/>
      <c r="AF437" s="148">
        <v>7500000</v>
      </c>
      <c r="AG437" s="155"/>
      <c r="AH437" s="143">
        <f t="shared" si="519"/>
        <v>0</v>
      </c>
      <c r="AI437" s="151"/>
      <c r="AJ437" s="151">
        <f t="shared" ref="AJ437:AL437" si="856">P437-AE437</f>
        <v>0</v>
      </c>
      <c r="AK437" s="151">
        <f t="shared" si="856"/>
        <v>0</v>
      </c>
      <c r="AL437" s="151">
        <f t="shared" si="856"/>
        <v>0</v>
      </c>
      <c r="AM437" s="145"/>
      <c r="AN437" s="139"/>
      <c r="AO437" s="139"/>
      <c r="AP437" s="139"/>
      <c r="AQ437" s="145"/>
      <c r="AR437" s="145"/>
    </row>
    <row r="438" spans="1:44" s="156" customFormat="1" ht="47.25" x14ac:dyDescent="0.25">
      <c r="A438" s="143" t="s">
        <v>60</v>
      </c>
      <c r="B438" s="144">
        <v>425</v>
      </c>
      <c r="C438" s="143" t="s">
        <v>163</v>
      </c>
      <c r="D438" s="143" t="s">
        <v>2609</v>
      </c>
      <c r="E438" s="145"/>
      <c r="F438" s="146"/>
      <c r="G438" s="143" t="s">
        <v>2610</v>
      </c>
      <c r="H438" s="143" t="s">
        <v>2611</v>
      </c>
      <c r="I438" s="143"/>
      <c r="J438" s="143"/>
      <c r="K438" s="143"/>
      <c r="L438" s="143" t="s">
        <v>2612</v>
      </c>
      <c r="M438" s="143" t="s">
        <v>43</v>
      </c>
      <c r="N438" s="143" t="s">
        <v>2613</v>
      </c>
      <c r="O438" s="147">
        <v>803736494</v>
      </c>
      <c r="P438" s="150"/>
      <c r="Q438" s="148">
        <v>7500000</v>
      </c>
      <c r="R438" s="150"/>
      <c r="S438" s="147">
        <f t="shared" si="517"/>
        <v>811236494</v>
      </c>
      <c r="T438" s="158">
        <v>803736494</v>
      </c>
      <c r="U438" s="143"/>
      <c r="V438" s="147">
        <v>7500000</v>
      </c>
      <c r="W438" s="143"/>
      <c r="X438" s="143"/>
      <c r="Y438" s="152">
        <f t="shared" ref="Y438:AB438" si="857">AD438-T438</f>
        <v>0</v>
      </c>
      <c r="Z438" s="151">
        <f t="shared" si="857"/>
        <v>0</v>
      </c>
      <c r="AA438" s="151">
        <f t="shared" si="857"/>
        <v>0</v>
      </c>
      <c r="AB438" s="151">
        <f t="shared" si="857"/>
        <v>0</v>
      </c>
      <c r="AC438" s="143"/>
      <c r="AD438" s="149">
        <v>803736494</v>
      </c>
      <c r="AE438" s="150"/>
      <c r="AF438" s="148">
        <v>7500000</v>
      </c>
      <c r="AG438" s="150"/>
      <c r="AH438" s="143">
        <f t="shared" si="519"/>
        <v>0</v>
      </c>
      <c r="AI438" s="151"/>
      <c r="AJ438" s="151">
        <f t="shared" ref="AJ438:AL438" si="858">P438-AE438</f>
        <v>0</v>
      </c>
      <c r="AK438" s="151">
        <f t="shared" si="858"/>
        <v>0</v>
      </c>
      <c r="AL438" s="151">
        <f t="shared" si="858"/>
        <v>0</v>
      </c>
      <c r="AM438" s="145"/>
      <c r="AN438" s="139"/>
      <c r="AO438" s="139"/>
      <c r="AP438" s="139"/>
      <c r="AQ438" s="145"/>
      <c r="AR438" s="145"/>
    </row>
    <row r="439" spans="1:44" s="156" customFormat="1" ht="47.25" x14ac:dyDescent="0.25">
      <c r="A439" s="143" t="s">
        <v>88</v>
      </c>
      <c r="B439" s="144">
        <v>426</v>
      </c>
      <c r="C439" s="143" t="s">
        <v>163</v>
      </c>
      <c r="D439" s="143" t="s">
        <v>2614</v>
      </c>
      <c r="E439" s="145"/>
      <c r="F439" s="146"/>
      <c r="G439" s="143" t="s">
        <v>2615</v>
      </c>
      <c r="H439" s="143"/>
      <c r="I439" s="143"/>
      <c r="J439" s="143"/>
      <c r="K439" s="143"/>
      <c r="L439" s="143" t="s">
        <v>2616</v>
      </c>
      <c r="M439" s="143" t="s">
        <v>43</v>
      </c>
      <c r="N439" s="143" t="s">
        <v>2617</v>
      </c>
      <c r="O439" s="147">
        <v>135006020</v>
      </c>
      <c r="P439" s="150"/>
      <c r="Q439" s="148">
        <v>7500000</v>
      </c>
      <c r="R439" s="150"/>
      <c r="S439" s="147">
        <f t="shared" si="517"/>
        <v>142506020</v>
      </c>
      <c r="T439" s="158">
        <v>135006020</v>
      </c>
      <c r="U439" s="143"/>
      <c r="V439" s="147">
        <v>7500000</v>
      </c>
      <c r="W439" s="143"/>
      <c r="X439" s="143"/>
      <c r="Y439" s="152">
        <f t="shared" ref="Y439:AB439" si="859">AD439-T439</f>
        <v>0</v>
      </c>
      <c r="Z439" s="151">
        <f t="shared" si="859"/>
        <v>0</v>
      </c>
      <c r="AA439" s="151">
        <f t="shared" si="859"/>
        <v>0</v>
      </c>
      <c r="AB439" s="151">
        <f t="shared" si="859"/>
        <v>0</v>
      </c>
      <c r="AC439" s="143"/>
      <c r="AD439" s="149">
        <v>135006020</v>
      </c>
      <c r="AE439" s="150"/>
      <c r="AF439" s="148">
        <v>7500000</v>
      </c>
      <c r="AG439" s="150"/>
      <c r="AH439" s="143">
        <f t="shared" si="519"/>
        <v>0</v>
      </c>
      <c r="AI439" s="151"/>
      <c r="AJ439" s="151">
        <f t="shared" ref="AJ439:AL439" si="860">P439-AE439</f>
        <v>0</v>
      </c>
      <c r="AK439" s="151">
        <f t="shared" si="860"/>
        <v>0</v>
      </c>
      <c r="AL439" s="151">
        <f t="shared" si="860"/>
        <v>0</v>
      </c>
      <c r="AM439" s="145"/>
      <c r="AN439" s="139"/>
      <c r="AO439" s="139"/>
      <c r="AP439" s="139"/>
      <c r="AQ439" s="145"/>
      <c r="AR439" s="145"/>
    </row>
    <row r="440" spans="1:44" s="156" customFormat="1" ht="94.5" x14ac:dyDescent="0.25">
      <c r="A440" s="143" t="s">
        <v>46</v>
      </c>
      <c r="B440" s="175">
        <v>427</v>
      </c>
      <c r="C440" s="145" t="s">
        <v>163</v>
      </c>
      <c r="D440" s="143" t="s">
        <v>1661</v>
      </c>
      <c r="E440" s="145"/>
      <c r="F440" s="145" t="s">
        <v>1662</v>
      </c>
      <c r="G440" s="145" t="s">
        <v>1663</v>
      </c>
      <c r="H440" s="145"/>
      <c r="I440" s="145"/>
      <c r="J440" s="145"/>
      <c r="K440" s="146"/>
      <c r="L440" s="145" t="s">
        <v>1664</v>
      </c>
      <c r="M440" s="145" t="s">
        <v>43</v>
      </c>
      <c r="N440" s="145" t="s">
        <v>1665</v>
      </c>
      <c r="O440" s="147">
        <v>2820833362</v>
      </c>
      <c r="P440" s="150"/>
      <c r="Q440" s="148">
        <v>15000000</v>
      </c>
      <c r="R440" s="148">
        <f>48000000+48000000</f>
        <v>96000000</v>
      </c>
      <c r="S440" s="147">
        <f t="shared" si="517"/>
        <v>2931833362</v>
      </c>
      <c r="T440" s="158">
        <v>2820833362</v>
      </c>
      <c r="U440" s="143"/>
      <c r="V440" s="147">
        <v>15000000</v>
      </c>
      <c r="W440" s="158">
        <v>48000000</v>
      </c>
      <c r="X440" s="143"/>
      <c r="Y440" s="152">
        <f t="shared" ref="Y440:AB440" si="861">AD440-T440</f>
        <v>0</v>
      </c>
      <c r="Z440" s="151">
        <f t="shared" si="861"/>
        <v>0</v>
      </c>
      <c r="AA440" s="151">
        <f t="shared" si="861"/>
        <v>0</v>
      </c>
      <c r="AB440" s="151">
        <f t="shared" si="861"/>
        <v>0</v>
      </c>
      <c r="AC440" s="165"/>
      <c r="AD440" s="149">
        <v>2820833362</v>
      </c>
      <c r="AE440" s="150"/>
      <c r="AF440" s="148">
        <v>15000000</v>
      </c>
      <c r="AG440" s="148">
        <v>48000000</v>
      </c>
      <c r="AH440" s="166">
        <f t="shared" si="519"/>
        <v>0</v>
      </c>
      <c r="AI440" s="151"/>
      <c r="AJ440" s="151">
        <f t="shared" ref="AJ440:AL440" si="862">P440-AE440</f>
        <v>0</v>
      </c>
      <c r="AK440" s="151">
        <f t="shared" si="862"/>
        <v>0</v>
      </c>
      <c r="AL440" s="150">
        <f t="shared" si="862"/>
        <v>48000000</v>
      </c>
      <c r="AM440" s="145"/>
      <c r="AN440" s="139"/>
      <c r="AO440" s="139"/>
      <c r="AP440" s="139"/>
      <c r="AQ440" s="145" t="s">
        <v>3506</v>
      </c>
      <c r="AR440" s="145"/>
    </row>
    <row r="441" spans="1:44" s="156" customFormat="1" ht="31.5" x14ac:dyDescent="0.25">
      <c r="A441" s="143" t="s">
        <v>52</v>
      </c>
      <c r="B441" s="144">
        <v>428</v>
      </c>
      <c r="C441" s="143" t="s">
        <v>47</v>
      </c>
      <c r="D441" s="143" t="s">
        <v>2618</v>
      </c>
      <c r="E441" s="145"/>
      <c r="F441" s="146"/>
      <c r="G441" s="143" t="s">
        <v>2619</v>
      </c>
      <c r="H441" s="143"/>
      <c r="I441" s="143"/>
      <c r="J441" s="143"/>
      <c r="K441" s="143"/>
      <c r="L441" s="143" t="s">
        <v>2620</v>
      </c>
      <c r="M441" s="143" t="s">
        <v>43</v>
      </c>
      <c r="N441" s="143" t="s">
        <v>2621</v>
      </c>
      <c r="O441" s="147">
        <v>356131600</v>
      </c>
      <c r="P441" s="150"/>
      <c r="Q441" s="148">
        <v>7500000</v>
      </c>
      <c r="R441" s="150"/>
      <c r="S441" s="147">
        <f t="shared" si="517"/>
        <v>363631600</v>
      </c>
      <c r="T441" s="158">
        <v>356131600</v>
      </c>
      <c r="U441" s="143"/>
      <c r="V441" s="147">
        <v>7500000</v>
      </c>
      <c r="W441" s="143"/>
      <c r="X441" s="143"/>
      <c r="Y441" s="152">
        <f t="shared" ref="Y441:AB441" si="863">AD441-T441</f>
        <v>0</v>
      </c>
      <c r="Z441" s="151">
        <f t="shared" si="863"/>
        <v>0</v>
      </c>
      <c r="AA441" s="151">
        <f t="shared" si="863"/>
        <v>0</v>
      </c>
      <c r="AB441" s="152">
        <f t="shared" si="863"/>
        <v>0</v>
      </c>
      <c r="AC441" s="143"/>
      <c r="AD441" s="149">
        <v>356131600</v>
      </c>
      <c r="AE441" s="150"/>
      <c r="AF441" s="148">
        <v>7500000</v>
      </c>
      <c r="AG441" s="155"/>
      <c r="AH441" s="143">
        <f t="shared" si="519"/>
        <v>0</v>
      </c>
      <c r="AI441" s="151"/>
      <c r="AJ441" s="151">
        <f t="shared" ref="AJ441:AL441" si="864">P441-AE441</f>
        <v>0</v>
      </c>
      <c r="AK441" s="151">
        <f t="shared" si="864"/>
        <v>0</v>
      </c>
      <c r="AL441" s="151">
        <f t="shared" si="864"/>
        <v>0</v>
      </c>
      <c r="AM441" s="145"/>
      <c r="AN441" s="139"/>
      <c r="AO441" s="139"/>
      <c r="AP441" s="139"/>
      <c r="AQ441" s="145"/>
      <c r="AR441" s="145"/>
    </row>
    <row r="442" spans="1:44" s="156" customFormat="1" ht="31.5" x14ac:dyDescent="0.25">
      <c r="A442" s="143" t="s">
        <v>88</v>
      </c>
      <c r="B442" s="144">
        <v>429</v>
      </c>
      <c r="C442" s="143" t="s">
        <v>47</v>
      </c>
      <c r="D442" s="143" t="s">
        <v>2622</v>
      </c>
      <c r="E442" s="145"/>
      <c r="F442" s="146"/>
      <c r="G442" s="143" t="s">
        <v>2623</v>
      </c>
      <c r="H442" s="143"/>
      <c r="I442" s="143"/>
      <c r="J442" s="143"/>
      <c r="K442" s="143"/>
      <c r="L442" s="143" t="s">
        <v>2624</v>
      </c>
      <c r="M442" s="143" t="s">
        <v>43</v>
      </c>
      <c r="N442" s="143" t="s">
        <v>2625</v>
      </c>
      <c r="O442" s="147">
        <v>3113721600</v>
      </c>
      <c r="P442" s="150"/>
      <c r="Q442" s="148">
        <v>15000000</v>
      </c>
      <c r="R442" s="150"/>
      <c r="S442" s="147">
        <f t="shared" si="517"/>
        <v>3128721600</v>
      </c>
      <c r="T442" s="151">
        <v>3113721600</v>
      </c>
      <c r="U442" s="143"/>
      <c r="V442" s="147">
        <v>15000000</v>
      </c>
      <c r="W442" s="143"/>
      <c r="X442" s="143"/>
      <c r="Y442" s="152">
        <f t="shared" ref="Y442:AB442" si="865">AD442-T442</f>
        <v>0</v>
      </c>
      <c r="Z442" s="151">
        <f t="shared" si="865"/>
        <v>0</v>
      </c>
      <c r="AA442" s="151">
        <f t="shared" si="865"/>
        <v>0</v>
      </c>
      <c r="AB442" s="152">
        <f t="shared" si="865"/>
        <v>0</v>
      </c>
      <c r="AC442" s="143"/>
      <c r="AD442" s="155">
        <v>3113721600</v>
      </c>
      <c r="AE442" s="150"/>
      <c r="AF442" s="148">
        <v>15000000</v>
      </c>
      <c r="AG442" s="155"/>
      <c r="AH442" s="143">
        <f t="shared" si="519"/>
        <v>0</v>
      </c>
      <c r="AI442" s="151"/>
      <c r="AJ442" s="151">
        <f t="shared" ref="AJ442:AL442" si="866">P442-AE442</f>
        <v>0</v>
      </c>
      <c r="AK442" s="151">
        <f t="shared" si="866"/>
        <v>0</v>
      </c>
      <c r="AL442" s="151">
        <f t="shared" si="866"/>
        <v>0</v>
      </c>
      <c r="AM442" s="145"/>
      <c r="AN442" s="139"/>
      <c r="AO442" s="139"/>
      <c r="AP442" s="139"/>
      <c r="AQ442" s="145"/>
      <c r="AR442" s="145"/>
    </row>
    <row r="443" spans="1:44" s="156" customFormat="1" ht="31.5" x14ac:dyDescent="0.25">
      <c r="A443" s="143" t="s">
        <v>60</v>
      </c>
      <c r="B443" s="144">
        <v>430</v>
      </c>
      <c r="C443" s="143" t="s">
        <v>47</v>
      </c>
      <c r="D443" s="143" t="s">
        <v>2626</v>
      </c>
      <c r="E443" s="145"/>
      <c r="F443" s="146"/>
      <c r="G443" s="143" t="s">
        <v>2627</v>
      </c>
      <c r="H443" s="143"/>
      <c r="I443" s="143"/>
      <c r="J443" s="143"/>
      <c r="K443" s="143"/>
      <c r="L443" s="143" t="s">
        <v>2628</v>
      </c>
      <c r="M443" s="143" t="s">
        <v>43</v>
      </c>
      <c r="N443" s="143" t="s">
        <v>2629</v>
      </c>
      <c r="O443" s="147">
        <v>3291977680</v>
      </c>
      <c r="P443" s="150"/>
      <c r="Q443" s="148">
        <v>15000000</v>
      </c>
      <c r="R443" s="150"/>
      <c r="S443" s="147">
        <f t="shared" si="517"/>
        <v>3306977680</v>
      </c>
      <c r="T443" s="158">
        <v>3291977680</v>
      </c>
      <c r="U443" s="143"/>
      <c r="V443" s="147">
        <v>15000000</v>
      </c>
      <c r="W443" s="143"/>
      <c r="X443" s="143"/>
      <c r="Y443" s="152">
        <f t="shared" ref="Y443:AB443" si="867">AD443-T443</f>
        <v>0</v>
      </c>
      <c r="Z443" s="151">
        <f t="shared" si="867"/>
        <v>0</v>
      </c>
      <c r="AA443" s="151">
        <f t="shared" si="867"/>
        <v>0</v>
      </c>
      <c r="AB443" s="151">
        <f t="shared" si="867"/>
        <v>0</v>
      </c>
      <c r="AC443" s="143"/>
      <c r="AD443" s="149">
        <v>3291977680</v>
      </c>
      <c r="AE443" s="150"/>
      <c r="AF443" s="148">
        <v>15000000</v>
      </c>
      <c r="AG443" s="150"/>
      <c r="AH443" s="143">
        <f t="shared" si="519"/>
        <v>0</v>
      </c>
      <c r="AI443" s="151"/>
      <c r="AJ443" s="151">
        <f t="shared" ref="AJ443:AL443" si="868">P443-AE443</f>
        <v>0</v>
      </c>
      <c r="AK443" s="151">
        <f t="shared" si="868"/>
        <v>0</v>
      </c>
      <c r="AL443" s="151">
        <f t="shared" si="868"/>
        <v>0</v>
      </c>
      <c r="AM443" s="145"/>
      <c r="AN443" s="139"/>
      <c r="AO443" s="139"/>
      <c r="AP443" s="139"/>
      <c r="AQ443" s="145"/>
      <c r="AR443" s="145"/>
    </row>
    <row r="444" spans="1:44" s="156" customFormat="1" ht="31.5" x14ac:dyDescent="0.25">
      <c r="A444" s="143" t="s">
        <v>60</v>
      </c>
      <c r="B444" s="144">
        <v>431</v>
      </c>
      <c r="C444" s="143" t="s">
        <v>47</v>
      </c>
      <c r="D444" s="143" t="s">
        <v>2630</v>
      </c>
      <c r="E444" s="145"/>
      <c r="F444" s="146"/>
      <c r="G444" s="143" t="s">
        <v>2631</v>
      </c>
      <c r="H444" s="143" t="s">
        <v>2632</v>
      </c>
      <c r="I444" s="143"/>
      <c r="J444" s="143"/>
      <c r="K444" s="143"/>
      <c r="L444" s="143" t="s">
        <v>2633</v>
      </c>
      <c r="M444" s="143" t="s">
        <v>43</v>
      </c>
      <c r="N444" s="143" t="s">
        <v>2634</v>
      </c>
      <c r="O444" s="147">
        <v>1490425300</v>
      </c>
      <c r="P444" s="150"/>
      <c r="Q444" s="148">
        <v>15000000</v>
      </c>
      <c r="R444" s="150"/>
      <c r="S444" s="147">
        <f t="shared" si="517"/>
        <v>1505425300</v>
      </c>
      <c r="T444" s="158">
        <v>1490425300</v>
      </c>
      <c r="U444" s="143"/>
      <c r="V444" s="147">
        <v>15000000</v>
      </c>
      <c r="W444" s="143"/>
      <c r="X444" s="143"/>
      <c r="Y444" s="152">
        <f t="shared" ref="Y444:AB444" si="869">AD444-T444</f>
        <v>0</v>
      </c>
      <c r="Z444" s="151">
        <f t="shared" si="869"/>
        <v>0</v>
      </c>
      <c r="AA444" s="151">
        <f t="shared" si="869"/>
        <v>0</v>
      </c>
      <c r="AB444" s="151">
        <f t="shared" si="869"/>
        <v>0</v>
      </c>
      <c r="AC444" s="143"/>
      <c r="AD444" s="149">
        <v>1490425300</v>
      </c>
      <c r="AE444" s="150"/>
      <c r="AF444" s="148">
        <v>15000000</v>
      </c>
      <c r="AG444" s="150"/>
      <c r="AH444" s="143">
        <f t="shared" si="519"/>
        <v>0</v>
      </c>
      <c r="AI444" s="151"/>
      <c r="AJ444" s="151">
        <f t="shared" ref="AJ444:AL444" si="870">P444-AE444</f>
        <v>0</v>
      </c>
      <c r="AK444" s="151">
        <f t="shared" si="870"/>
        <v>0</v>
      </c>
      <c r="AL444" s="151">
        <f t="shared" si="870"/>
        <v>0</v>
      </c>
      <c r="AM444" s="145"/>
      <c r="AN444" s="139"/>
      <c r="AO444" s="139"/>
      <c r="AP444" s="139"/>
      <c r="AQ444" s="145"/>
      <c r="AR444" s="145"/>
    </row>
    <row r="445" spans="1:44" s="156" customFormat="1" ht="47.25" x14ac:dyDescent="0.25">
      <c r="A445" s="143" t="s">
        <v>60</v>
      </c>
      <c r="B445" s="144">
        <v>432</v>
      </c>
      <c r="C445" s="143" t="s">
        <v>47</v>
      </c>
      <c r="D445" s="143" t="s">
        <v>2635</v>
      </c>
      <c r="E445" s="145"/>
      <c r="F445" s="146"/>
      <c r="G445" s="143" t="s">
        <v>2636</v>
      </c>
      <c r="H445" s="143"/>
      <c r="I445" s="143"/>
      <c r="J445" s="143"/>
      <c r="K445" s="143"/>
      <c r="L445" s="143" t="s">
        <v>2637</v>
      </c>
      <c r="M445" s="143" t="s">
        <v>43</v>
      </c>
      <c r="N445" s="143" t="s">
        <v>2638</v>
      </c>
      <c r="O445" s="147">
        <v>938372032</v>
      </c>
      <c r="P445" s="150"/>
      <c r="Q445" s="148">
        <v>15000000</v>
      </c>
      <c r="R445" s="150"/>
      <c r="S445" s="147">
        <f t="shared" si="517"/>
        <v>953372032</v>
      </c>
      <c r="T445" s="158">
        <v>938372032</v>
      </c>
      <c r="U445" s="143"/>
      <c r="V445" s="147">
        <v>15000000</v>
      </c>
      <c r="W445" s="143"/>
      <c r="X445" s="143"/>
      <c r="Y445" s="152">
        <f t="shared" ref="Y445:AB445" si="871">AD445-T445</f>
        <v>0</v>
      </c>
      <c r="Z445" s="151">
        <f t="shared" si="871"/>
        <v>0</v>
      </c>
      <c r="AA445" s="151">
        <f t="shared" si="871"/>
        <v>0</v>
      </c>
      <c r="AB445" s="152">
        <f t="shared" si="871"/>
        <v>0</v>
      </c>
      <c r="AC445" s="143"/>
      <c r="AD445" s="149">
        <v>938372032</v>
      </c>
      <c r="AE445" s="150"/>
      <c r="AF445" s="148">
        <v>15000000</v>
      </c>
      <c r="AG445" s="155"/>
      <c r="AH445" s="143">
        <f t="shared" si="519"/>
        <v>0</v>
      </c>
      <c r="AI445" s="151"/>
      <c r="AJ445" s="151">
        <f t="shared" ref="AJ445:AL445" si="872">P445-AE445</f>
        <v>0</v>
      </c>
      <c r="AK445" s="151">
        <f t="shared" si="872"/>
        <v>0</v>
      </c>
      <c r="AL445" s="151">
        <f t="shared" si="872"/>
        <v>0</v>
      </c>
      <c r="AM445" s="145"/>
      <c r="AN445" s="139"/>
      <c r="AO445" s="139"/>
      <c r="AP445" s="139"/>
      <c r="AQ445" s="145"/>
      <c r="AR445" s="145"/>
    </row>
    <row r="446" spans="1:44" s="156" customFormat="1" ht="47.25" x14ac:dyDescent="0.25">
      <c r="A446" s="143" t="s">
        <v>35</v>
      </c>
      <c r="B446" s="144">
        <v>433</v>
      </c>
      <c r="C446" s="143" t="s">
        <v>47</v>
      </c>
      <c r="D446" s="143" t="s">
        <v>2639</v>
      </c>
      <c r="E446" s="145" t="s">
        <v>2640</v>
      </c>
      <c r="F446" s="145"/>
      <c r="G446" s="143" t="s">
        <v>2641</v>
      </c>
      <c r="H446" s="143" t="s">
        <v>2642</v>
      </c>
      <c r="I446" s="143"/>
      <c r="J446" s="143"/>
      <c r="K446" s="143"/>
      <c r="L446" s="143" t="s">
        <v>2643</v>
      </c>
      <c r="M446" s="143" t="s">
        <v>43</v>
      </c>
      <c r="N446" s="143" t="s">
        <v>2644</v>
      </c>
      <c r="O446" s="147">
        <v>749331672</v>
      </c>
      <c r="P446" s="148">
        <v>37628928</v>
      </c>
      <c r="Q446" s="148">
        <v>7500000</v>
      </c>
      <c r="R446" s="150"/>
      <c r="S446" s="147">
        <f t="shared" si="517"/>
        <v>794460600</v>
      </c>
      <c r="T446" s="158">
        <v>749331672</v>
      </c>
      <c r="U446" s="151">
        <v>37628928</v>
      </c>
      <c r="V446" s="147">
        <v>7500000</v>
      </c>
      <c r="W446" s="143"/>
      <c r="X446" s="143"/>
      <c r="Y446" s="152">
        <f t="shared" ref="Y446:AB446" si="873">AD446-T446</f>
        <v>0</v>
      </c>
      <c r="Z446" s="151">
        <f t="shared" si="873"/>
        <v>0</v>
      </c>
      <c r="AA446" s="151">
        <f t="shared" si="873"/>
        <v>0</v>
      </c>
      <c r="AB446" s="151">
        <f t="shared" si="873"/>
        <v>0</v>
      </c>
      <c r="AC446" s="143"/>
      <c r="AD446" s="149">
        <v>749331672</v>
      </c>
      <c r="AE446" s="148">
        <v>37628928</v>
      </c>
      <c r="AF446" s="148">
        <v>7500000</v>
      </c>
      <c r="AG446" s="150"/>
      <c r="AH446" s="143">
        <f t="shared" si="519"/>
        <v>0</v>
      </c>
      <c r="AI446" s="151"/>
      <c r="AJ446" s="151">
        <f t="shared" ref="AJ446:AL446" si="874">P446-AE446</f>
        <v>0</v>
      </c>
      <c r="AK446" s="151">
        <f t="shared" si="874"/>
        <v>0</v>
      </c>
      <c r="AL446" s="151">
        <f t="shared" si="874"/>
        <v>0</v>
      </c>
      <c r="AM446" s="145"/>
      <c r="AN446" s="139"/>
      <c r="AO446" s="139"/>
      <c r="AP446" s="139"/>
      <c r="AQ446" s="145"/>
      <c r="AR446" s="145"/>
    </row>
    <row r="447" spans="1:44" s="156" customFormat="1" ht="94.5" x14ac:dyDescent="0.25">
      <c r="A447" s="143" t="s">
        <v>88</v>
      </c>
      <c r="B447" s="175">
        <v>434</v>
      </c>
      <c r="C447" s="145" t="s">
        <v>47</v>
      </c>
      <c r="D447" s="143" t="s">
        <v>1252</v>
      </c>
      <c r="E447" s="145"/>
      <c r="F447" s="145" t="s">
        <v>3519</v>
      </c>
      <c r="G447" s="145" t="s">
        <v>1253</v>
      </c>
      <c r="H447" s="145"/>
      <c r="I447" s="145"/>
      <c r="J447" s="145"/>
      <c r="K447" s="146"/>
      <c r="L447" s="145" t="s">
        <v>1254</v>
      </c>
      <c r="M447" s="145" t="s">
        <v>43</v>
      </c>
      <c r="N447" s="145" t="s">
        <v>1256</v>
      </c>
      <c r="O447" s="147">
        <v>4110860698</v>
      </c>
      <c r="P447" s="150"/>
      <c r="Q447" s="148">
        <v>15000000</v>
      </c>
      <c r="R447" s="148">
        <f>72000000+144000000</f>
        <v>216000000</v>
      </c>
      <c r="S447" s="147">
        <f t="shared" si="517"/>
        <v>4341860698</v>
      </c>
      <c r="T447" s="158">
        <v>4110860698</v>
      </c>
      <c r="U447" s="143"/>
      <c r="V447" s="147">
        <v>15000000</v>
      </c>
      <c r="W447" s="158">
        <v>72000000</v>
      </c>
      <c r="X447" s="143"/>
      <c r="Y447" s="152">
        <f t="shared" ref="Y447:AB447" si="875">AD447-T447</f>
        <v>0</v>
      </c>
      <c r="Z447" s="151">
        <f t="shared" si="875"/>
        <v>0</v>
      </c>
      <c r="AA447" s="151">
        <f t="shared" si="875"/>
        <v>0</v>
      </c>
      <c r="AB447" s="151">
        <f t="shared" si="875"/>
        <v>0</v>
      </c>
      <c r="AC447" s="165"/>
      <c r="AD447" s="149">
        <v>4110860698</v>
      </c>
      <c r="AE447" s="150"/>
      <c r="AF447" s="148">
        <v>15000000</v>
      </c>
      <c r="AG447" s="148">
        <v>72000000</v>
      </c>
      <c r="AH447" s="166">
        <f t="shared" si="519"/>
        <v>0</v>
      </c>
      <c r="AI447" s="151"/>
      <c r="AJ447" s="151">
        <f t="shared" ref="AJ447:AL447" si="876">P447-AE447</f>
        <v>0</v>
      </c>
      <c r="AK447" s="151">
        <f t="shared" si="876"/>
        <v>0</v>
      </c>
      <c r="AL447" s="150">
        <f t="shared" si="876"/>
        <v>144000000</v>
      </c>
      <c r="AM447" s="145"/>
      <c r="AN447" s="139"/>
      <c r="AO447" s="139"/>
      <c r="AP447" s="139"/>
      <c r="AQ447" s="145" t="s">
        <v>2808</v>
      </c>
      <c r="AR447" s="145"/>
    </row>
    <row r="448" spans="1:44" s="156" customFormat="1" ht="47.25" x14ac:dyDescent="0.25">
      <c r="A448" s="143" t="s">
        <v>52</v>
      </c>
      <c r="B448" s="144">
        <v>435</v>
      </c>
      <c r="C448" s="143" t="s">
        <v>47</v>
      </c>
      <c r="D448" s="143" t="s">
        <v>2646</v>
      </c>
      <c r="E448" s="145" t="s">
        <v>2647</v>
      </c>
      <c r="F448" s="146"/>
      <c r="G448" s="143" t="s">
        <v>2648</v>
      </c>
      <c r="H448" s="143" t="s">
        <v>2649</v>
      </c>
      <c r="I448" s="143"/>
      <c r="J448" s="143"/>
      <c r="K448" s="143"/>
      <c r="L448" s="143" t="s">
        <v>2650</v>
      </c>
      <c r="M448" s="143" t="s">
        <v>43</v>
      </c>
      <c r="N448" s="143" t="s">
        <v>2651</v>
      </c>
      <c r="O448" s="147">
        <v>15629867106</v>
      </c>
      <c r="P448" s="148">
        <v>1473748861</v>
      </c>
      <c r="Q448" s="148">
        <v>7500000</v>
      </c>
      <c r="R448" s="150"/>
      <c r="S448" s="147">
        <f t="shared" si="517"/>
        <v>17111115967</v>
      </c>
      <c r="T448" s="143"/>
      <c r="U448" s="143"/>
      <c r="V448" s="157"/>
      <c r="W448" s="143"/>
      <c r="X448" s="143"/>
      <c r="Y448" s="152">
        <f t="shared" ref="Y448:AB448" si="877">AD448-T448</f>
        <v>0</v>
      </c>
      <c r="Z448" s="151">
        <f t="shared" si="877"/>
        <v>0</v>
      </c>
      <c r="AA448" s="151">
        <f t="shared" si="877"/>
        <v>0</v>
      </c>
      <c r="AB448" s="151">
        <f t="shared" si="877"/>
        <v>0</v>
      </c>
      <c r="AC448" s="143"/>
      <c r="AD448" s="155"/>
      <c r="AE448" s="150"/>
      <c r="AF448" s="150"/>
      <c r="AG448" s="150"/>
      <c r="AH448" s="143">
        <f t="shared" si="519"/>
        <v>0</v>
      </c>
      <c r="AI448" s="151">
        <v>15629867106</v>
      </c>
      <c r="AJ448" s="151">
        <f t="shared" ref="AJ448:AL448" si="878">P448-AE448</f>
        <v>1473748861</v>
      </c>
      <c r="AK448" s="151">
        <f t="shared" si="878"/>
        <v>7500000</v>
      </c>
      <c r="AL448" s="151">
        <f t="shared" si="878"/>
        <v>0</v>
      </c>
      <c r="AM448" s="148">
        <v>15629867106</v>
      </c>
      <c r="AN448" s="159" t="s">
        <v>3526</v>
      </c>
      <c r="AO448" s="176" t="s">
        <v>3527</v>
      </c>
      <c r="AP448" s="168" t="s">
        <v>3526</v>
      </c>
      <c r="AQ448" s="219"/>
      <c r="AR448" s="218"/>
    </row>
    <row r="449" spans="1:44" s="156" customFormat="1" ht="47.25" x14ac:dyDescent="0.25">
      <c r="A449" s="143" t="s">
        <v>46</v>
      </c>
      <c r="B449" s="144">
        <v>436</v>
      </c>
      <c r="C449" s="143" t="s">
        <v>47</v>
      </c>
      <c r="D449" s="143" t="s">
        <v>2652</v>
      </c>
      <c r="E449" s="145" t="s">
        <v>1028</v>
      </c>
      <c r="F449" s="145"/>
      <c r="G449" s="143" t="s">
        <v>2653</v>
      </c>
      <c r="H449" s="143" t="s">
        <v>2654</v>
      </c>
      <c r="I449" s="143"/>
      <c r="J449" s="143"/>
      <c r="K449" s="143"/>
      <c r="L449" s="143" t="s">
        <v>2655</v>
      </c>
      <c r="M449" s="143" t="s">
        <v>43</v>
      </c>
      <c r="N449" s="143" t="s">
        <v>2656</v>
      </c>
      <c r="O449" s="147">
        <v>2887795865</v>
      </c>
      <c r="P449" s="148">
        <v>38730048</v>
      </c>
      <c r="Q449" s="148">
        <v>7500000</v>
      </c>
      <c r="R449" s="150"/>
      <c r="S449" s="147">
        <f t="shared" si="517"/>
        <v>2934025913</v>
      </c>
      <c r="T449" s="158">
        <v>2887795865</v>
      </c>
      <c r="U449" s="151">
        <v>38730048</v>
      </c>
      <c r="V449" s="157">
        <v>7500000</v>
      </c>
      <c r="W449" s="143"/>
      <c r="X449" s="143"/>
      <c r="Y449" s="152">
        <f t="shared" ref="Y449:AB449" si="879">AD449-T449</f>
        <v>0</v>
      </c>
      <c r="Z449" s="151">
        <f t="shared" si="879"/>
        <v>0</v>
      </c>
      <c r="AA449" s="151">
        <f t="shared" si="879"/>
        <v>0</v>
      </c>
      <c r="AB449" s="151">
        <f t="shared" si="879"/>
        <v>0</v>
      </c>
      <c r="AC449" s="143"/>
      <c r="AD449" s="149">
        <v>2887795865</v>
      </c>
      <c r="AE449" s="148">
        <v>38730048</v>
      </c>
      <c r="AF449" s="148">
        <v>7500000</v>
      </c>
      <c r="AG449" s="150"/>
      <c r="AH449" s="143">
        <f t="shared" si="519"/>
        <v>0</v>
      </c>
      <c r="AI449" s="151"/>
      <c r="AJ449" s="151">
        <f t="shared" ref="AJ449:AL449" si="880">P449-AE449</f>
        <v>0</v>
      </c>
      <c r="AK449" s="151">
        <f t="shared" si="880"/>
        <v>0</v>
      </c>
      <c r="AL449" s="151">
        <f t="shared" si="880"/>
        <v>0</v>
      </c>
      <c r="AM449" s="145"/>
      <c r="AN449" s="139"/>
      <c r="AO449" s="139"/>
      <c r="AP449" s="139"/>
      <c r="AQ449" s="145"/>
      <c r="AR449" s="145"/>
    </row>
    <row r="450" spans="1:44" s="156" customFormat="1" ht="47.25" x14ac:dyDescent="0.25">
      <c r="A450" s="143" t="s">
        <v>35</v>
      </c>
      <c r="B450" s="144">
        <v>437</v>
      </c>
      <c r="C450" s="143" t="s">
        <v>47</v>
      </c>
      <c r="D450" s="143" t="s">
        <v>2657</v>
      </c>
      <c r="E450" s="145"/>
      <c r="F450" s="145"/>
      <c r="G450" s="143" t="s">
        <v>2658</v>
      </c>
      <c r="H450" s="143"/>
      <c r="I450" s="143"/>
      <c r="J450" s="143"/>
      <c r="K450" s="143"/>
      <c r="L450" s="143" t="s">
        <v>2659</v>
      </c>
      <c r="M450" s="143" t="s">
        <v>43</v>
      </c>
      <c r="N450" s="143" t="s">
        <v>2660</v>
      </c>
      <c r="O450" s="147">
        <v>51726960</v>
      </c>
      <c r="P450" s="150"/>
      <c r="Q450" s="148">
        <v>7500000</v>
      </c>
      <c r="R450" s="150"/>
      <c r="S450" s="147">
        <f t="shared" si="517"/>
        <v>59226960</v>
      </c>
      <c r="T450" s="158">
        <v>51726960</v>
      </c>
      <c r="U450" s="143"/>
      <c r="V450" s="157"/>
      <c r="W450" s="143"/>
      <c r="X450" s="143"/>
      <c r="Y450" s="152">
        <f t="shared" ref="Y450:AB450" si="881">AD450-T450</f>
        <v>0</v>
      </c>
      <c r="Z450" s="151">
        <f t="shared" si="881"/>
        <v>0</v>
      </c>
      <c r="AA450" s="151">
        <f t="shared" si="881"/>
        <v>0</v>
      </c>
      <c r="AB450" s="151">
        <f t="shared" si="881"/>
        <v>0</v>
      </c>
      <c r="AC450" s="143"/>
      <c r="AD450" s="149">
        <v>51726960</v>
      </c>
      <c r="AE450" s="150"/>
      <c r="AF450" s="150"/>
      <c r="AG450" s="150"/>
      <c r="AH450" s="143">
        <f t="shared" si="519"/>
        <v>0</v>
      </c>
      <c r="AI450" s="151"/>
      <c r="AJ450" s="151">
        <f t="shared" ref="AJ450:AL450" si="882">P450-AE450</f>
        <v>0</v>
      </c>
      <c r="AK450" s="151">
        <f t="shared" si="882"/>
        <v>7500000</v>
      </c>
      <c r="AL450" s="151">
        <f t="shared" si="882"/>
        <v>0</v>
      </c>
      <c r="AM450" s="145"/>
      <c r="AN450" s="139"/>
      <c r="AO450" s="139"/>
      <c r="AP450" s="162" t="s">
        <v>3532</v>
      </c>
      <c r="AQ450" s="145"/>
      <c r="AR450" s="145"/>
    </row>
    <row r="451" spans="1:44" s="156" customFormat="1" ht="31.5" x14ac:dyDescent="0.25">
      <c r="A451" s="143" t="s">
        <v>46</v>
      </c>
      <c r="B451" s="144">
        <v>438</v>
      </c>
      <c r="C451" s="143" t="s">
        <v>47</v>
      </c>
      <c r="D451" s="143" t="s">
        <v>2661</v>
      </c>
      <c r="E451" s="145"/>
      <c r="F451" s="145"/>
      <c r="G451" s="143" t="s">
        <v>2662</v>
      </c>
      <c r="H451" s="143"/>
      <c r="I451" s="143"/>
      <c r="J451" s="143"/>
      <c r="K451" s="143"/>
      <c r="L451" s="143" t="s">
        <v>2663</v>
      </c>
      <c r="M451" s="143" t="s">
        <v>43</v>
      </c>
      <c r="N451" s="143" t="s">
        <v>2664</v>
      </c>
      <c r="O451" s="147">
        <v>2988121529</v>
      </c>
      <c r="P451" s="150"/>
      <c r="Q451" s="148">
        <v>7500000</v>
      </c>
      <c r="R451" s="150"/>
      <c r="S451" s="147">
        <f t="shared" si="517"/>
        <v>2995621529</v>
      </c>
      <c r="T451" s="158">
        <v>2988121529</v>
      </c>
      <c r="U451" s="143"/>
      <c r="V451" s="157"/>
      <c r="W451" s="143"/>
      <c r="X451" s="143"/>
      <c r="Y451" s="152">
        <f t="shared" ref="Y451:AB451" si="883">AD451-T451</f>
        <v>0</v>
      </c>
      <c r="Z451" s="151">
        <f t="shared" si="883"/>
        <v>0</v>
      </c>
      <c r="AA451" s="151">
        <f t="shared" si="883"/>
        <v>0</v>
      </c>
      <c r="AB451" s="151">
        <f t="shared" si="883"/>
        <v>0</v>
      </c>
      <c r="AC451" s="143"/>
      <c r="AD451" s="149">
        <v>2988121529</v>
      </c>
      <c r="AE451" s="150"/>
      <c r="AF451" s="150"/>
      <c r="AG451" s="150"/>
      <c r="AH451" s="143">
        <f t="shared" si="519"/>
        <v>0</v>
      </c>
      <c r="AI451" s="151"/>
      <c r="AJ451" s="151">
        <f t="shared" ref="AJ451:AL451" si="884">P451-AE451</f>
        <v>0</v>
      </c>
      <c r="AK451" s="151">
        <f t="shared" si="884"/>
        <v>7500000</v>
      </c>
      <c r="AL451" s="151">
        <f t="shared" si="884"/>
        <v>0</v>
      </c>
      <c r="AM451" s="145"/>
      <c r="AN451" s="139"/>
      <c r="AO451" s="139"/>
      <c r="AP451" s="162" t="s">
        <v>3534</v>
      </c>
      <c r="AQ451" s="145"/>
      <c r="AR451" s="145"/>
    </row>
    <row r="452" spans="1:44" s="156" customFormat="1" ht="47.25" x14ac:dyDescent="0.25">
      <c r="A452" s="143" t="s">
        <v>46</v>
      </c>
      <c r="B452" s="144">
        <v>439</v>
      </c>
      <c r="C452" s="143" t="s">
        <v>47</v>
      </c>
      <c r="D452" s="143" t="s">
        <v>2665</v>
      </c>
      <c r="E452" s="145"/>
      <c r="F452" s="145"/>
      <c r="G452" s="143" t="s">
        <v>2666</v>
      </c>
      <c r="H452" s="143"/>
      <c r="I452" s="143"/>
      <c r="J452" s="143"/>
      <c r="K452" s="143"/>
      <c r="L452" s="143" t="s">
        <v>2667</v>
      </c>
      <c r="M452" s="143" t="s">
        <v>43</v>
      </c>
      <c r="N452" s="143" t="s">
        <v>2668</v>
      </c>
      <c r="O452" s="147">
        <v>2121301600</v>
      </c>
      <c r="P452" s="150"/>
      <c r="Q452" s="148">
        <v>7500000</v>
      </c>
      <c r="R452" s="150"/>
      <c r="S452" s="147">
        <f t="shared" si="517"/>
        <v>2128801600</v>
      </c>
      <c r="T452" s="158">
        <v>2121301600</v>
      </c>
      <c r="U452" s="143"/>
      <c r="V452" s="147">
        <v>7500000</v>
      </c>
      <c r="W452" s="143"/>
      <c r="X452" s="143"/>
      <c r="Y452" s="152">
        <f t="shared" ref="Y452:AB452" si="885">AD452-T452</f>
        <v>0</v>
      </c>
      <c r="Z452" s="151">
        <f t="shared" si="885"/>
        <v>0</v>
      </c>
      <c r="AA452" s="151">
        <f t="shared" si="885"/>
        <v>0</v>
      </c>
      <c r="AB452" s="152">
        <f t="shared" si="885"/>
        <v>0</v>
      </c>
      <c r="AC452" s="143"/>
      <c r="AD452" s="149">
        <v>2121301600</v>
      </c>
      <c r="AE452" s="150"/>
      <c r="AF452" s="148">
        <v>7500000</v>
      </c>
      <c r="AG452" s="155"/>
      <c r="AH452" s="143">
        <f t="shared" si="519"/>
        <v>0</v>
      </c>
      <c r="AI452" s="151"/>
      <c r="AJ452" s="151">
        <f t="shared" ref="AJ452:AL452" si="886">P452-AE452</f>
        <v>0</v>
      </c>
      <c r="AK452" s="151">
        <f t="shared" si="886"/>
        <v>0</v>
      </c>
      <c r="AL452" s="151">
        <f t="shared" si="886"/>
        <v>0</v>
      </c>
      <c r="AM452" s="145"/>
      <c r="AN452" s="139"/>
      <c r="AO452" s="139"/>
      <c r="AP452" s="139"/>
      <c r="AQ452" s="145"/>
      <c r="AR452" s="145"/>
    </row>
    <row r="453" spans="1:44" s="156" customFormat="1" ht="47.25" x14ac:dyDescent="0.25">
      <c r="A453" s="143" t="s">
        <v>46</v>
      </c>
      <c r="B453" s="144">
        <v>440</v>
      </c>
      <c r="C453" s="143" t="s">
        <v>47</v>
      </c>
      <c r="D453" s="143" t="s">
        <v>48</v>
      </c>
      <c r="E453" s="145"/>
      <c r="F453" s="145" t="s">
        <v>39</v>
      </c>
      <c r="G453" s="143" t="s">
        <v>49</v>
      </c>
      <c r="H453" s="143"/>
      <c r="I453" s="143"/>
      <c r="J453" s="143"/>
      <c r="K453" s="164"/>
      <c r="L453" s="143" t="s">
        <v>50</v>
      </c>
      <c r="M453" s="143" t="s">
        <v>43</v>
      </c>
      <c r="N453" s="143" t="s">
        <v>51</v>
      </c>
      <c r="O453" s="147">
        <v>1804834020</v>
      </c>
      <c r="P453" s="150"/>
      <c r="Q453" s="148">
        <v>15000000</v>
      </c>
      <c r="R453" s="148">
        <v>72000000</v>
      </c>
      <c r="S453" s="147">
        <f t="shared" si="517"/>
        <v>1891834020</v>
      </c>
      <c r="T453" s="158">
        <v>1804834020</v>
      </c>
      <c r="U453" s="143"/>
      <c r="V453" s="147">
        <v>15000000</v>
      </c>
      <c r="W453" s="158">
        <v>72000000</v>
      </c>
      <c r="X453" s="143"/>
      <c r="Y453" s="152">
        <f t="shared" ref="Y453:AB453" si="887">AD453-T453</f>
        <v>0</v>
      </c>
      <c r="Z453" s="151">
        <f t="shared" si="887"/>
        <v>0</v>
      </c>
      <c r="AA453" s="151">
        <f t="shared" si="887"/>
        <v>0</v>
      </c>
      <c r="AB453" s="152">
        <f t="shared" si="887"/>
        <v>0</v>
      </c>
      <c r="AC453" s="143"/>
      <c r="AD453" s="149">
        <v>1804834020</v>
      </c>
      <c r="AE453" s="150"/>
      <c r="AF453" s="148">
        <v>15000000</v>
      </c>
      <c r="AG453" s="149">
        <v>72000000</v>
      </c>
      <c r="AH453" s="143">
        <f t="shared" si="519"/>
        <v>0</v>
      </c>
      <c r="AI453" s="151"/>
      <c r="AJ453" s="151">
        <f t="shared" ref="AJ453:AL453" si="888">P453-AE453</f>
        <v>0</v>
      </c>
      <c r="AK453" s="151">
        <f t="shared" si="888"/>
        <v>0</v>
      </c>
      <c r="AL453" s="151">
        <f t="shared" si="888"/>
        <v>0</v>
      </c>
      <c r="AM453" s="145"/>
      <c r="AN453" s="139"/>
      <c r="AO453" s="139"/>
      <c r="AP453" s="139"/>
      <c r="AQ453" s="145"/>
      <c r="AR453" s="145"/>
    </row>
    <row r="454" spans="1:44" s="156" customFormat="1" ht="31.5" x14ac:dyDescent="0.25">
      <c r="A454" s="143" t="s">
        <v>35</v>
      </c>
      <c r="B454" s="144">
        <v>441</v>
      </c>
      <c r="C454" s="143" t="s">
        <v>47</v>
      </c>
      <c r="D454" s="143" t="s">
        <v>2670</v>
      </c>
      <c r="E454" s="145"/>
      <c r="F454" s="145"/>
      <c r="G454" s="143" t="s">
        <v>2671</v>
      </c>
      <c r="H454" s="143"/>
      <c r="I454" s="143"/>
      <c r="J454" s="143"/>
      <c r="K454" s="143"/>
      <c r="L454" s="143" t="s">
        <v>2672</v>
      </c>
      <c r="M454" s="143" t="s">
        <v>43</v>
      </c>
      <c r="N454" s="143" t="s">
        <v>2673</v>
      </c>
      <c r="O454" s="147">
        <v>4606383064</v>
      </c>
      <c r="P454" s="150"/>
      <c r="Q454" s="148">
        <v>15000000</v>
      </c>
      <c r="R454" s="150"/>
      <c r="S454" s="147">
        <f t="shared" si="517"/>
        <v>4621383064</v>
      </c>
      <c r="T454" s="158">
        <v>4606383064</v>
      </c>
      <c r="U454" s="143"/>
      <c r="V454" s="147">
        <v>15000000</v>
      </c>
      <c r="W454" s="143"/>
      <c r="X454" s="143"/>
      <c r="Y454" s="152">
        <f t="shared" ref="Y454:AB454" si="889">AD454-T454</f>
        <v>0</v>
      </c>
      <c r="Z454" s="151">
        <f t="shared" si="889"/>
        <v>0</v>
      </c>
      <c r="AA454" s="151">
        <f t="shared" si="889"/>
        <v>0</v>
      </c>
      <c r="AB454" s="151">
        <f t="shared" si="889"/>
        <v>0</v>
      </c>
      <c r="AC454" s="143"/>
      <c r="AD454" s="149">
        <v>4606383064</v>
      </c>
      <c r="AE454" s="150"/>
      <c r="AF454" s="148">
        <v>15000000</v>
      </c>
      <c r="AG454" s="150"/>
      <c r="AH454" s="143">
        <f t="shared" si="519"/>
        <v>0</v>
      </c>
      <c r="AI454" s="151"/>
      <c r="AJ454" s="151">
        <f t="shared" ref="AJ454:AL454" si="890">P454-AE454</f>
        <v>0</v>
      </c>
      <c r="AK454" s="151">
        <f t="shared" si="890"/>
        <v>0</v>
      </c>
      <c r="AL454" s="151">
        <f t="shared" si="890"/>
        <v>0</v>
      </c>
      <c r="AM454" s="145"/>
      <c r="AN454" s="139"/>
      <c r="AO454" s="139"/>
      <c r="AP454" s="139"/>
      <c r="AQ454" s="145"/>
      <c r="AR454" s="145"/>
    </row>
    <row r="455" spans="1:44" s="156" customFormat="1" ht="47.25" x14ac:dyDescent="0.25">
      <c r="A455" s="143" t="s">
        <v>52</v>
      </c>
      <c r="B455" s="144">
        <v>442</v>
      </c>
      <c r="C455" s="143" t="s">
        <v>47</v>
      </c>
      <c r="D455" s="143" t="s">
        <v>105</v>
      </c>
      <c r="E455" s="145" t="s">
        <v>106</v>
      </c>
      <c r="F455" s="145" t="s">
        <v>107</v>
      </c>
      <c r="G455" s="143" t="s">
        <v>108</v>
      </c>
      <c r="H455" s="143" t="s">
        <v>109</v>
      </c>
      <c r="I455" s="143"/>
      <c r="J455" s="143"/>
      <c r="K455" s="164"/>
      <c r="L455" s="143" t="s">
        <v>110</v>
      </c>
      <c r="M455" s="143" t="s">
        <v>43</v>
      </c>
      <c r="N455" s="143" t="s">
        <v>111</v>
      </c>
      <c r="O455" s="147">
        <v>1155653236</v>
      </c>
      <c r="P455" s="148">
        <v>1188367986</v>
      </c>
      <c r="Q455" s="148">
        <v>15000000</v>
      </c>
      <c r="R455" s="148">
        <v>24000000</v>
      </c>
      <c r="S455" s="147">
        <f t="shared" si="517"/>
        <v>2383021222</v>
      </c>
      <c r="T455" s="158">
        <v>1155653236</v>
      </c>
      <c r="U455" s="158">
        <v>1188367986</v>
      </c>
      <c r="V455" s="147">
        <v>15000000</v>
      </c>
      <c r="W455" s="158">
        <v>24000000</v>
      </c>
      <c r="X455" s="143"/>
      <c r="Y455" s="152">
        <f t="shared" ref="Y455:AB455" si="891">AD455-T455</f>
        <v>0</v>
      </c>
      <c r="Z455" s="151">
        <f t="shared" si="891"/>
        <v>0</v>
      </c>
      <c r="AA455" s="151">
        <f t="shared" si="891"/>
        <v>0</v>
      </c>
      <c r="AB455" s="151">
        <f t="shared" si="891"/>
        <v>0</v>
      </c>
      <c r="AC455" s="143"/>
      <c r="AD455" s="149">
        <v>1155653236</v>
      </c>
      <c r="AE455" s="148">
        <v>1188367986</v>
      </c>
      <c r="AF455" s="148">
        <v>15000000</v>
      </c>
      <c r="AG455" s="148">
        <v>24000000</v>
      </c>
      <c r="AH455" s="143">
        <f t="shared" si="519"/>
        <v>0</v>
      </c>
      <c r="AI455" s="151"/>
      <c r="AJ455" s="151">
        <f t="shared" ref="AJ455:AL455" si="892">P455-AE455</f>
        <v>0</v>
      </c>
      <c r="AK455" s="151">
        <f t="shared" si="892"/>
        <v>0</v>
      </c>
      <c r="AL455" s="151">
        <f t="shared" si="892"/>
        <v>0</v>
      </c>
      <c r="AM455" s="145"/>
      <c r="AN455" s="139"/>
      <c r="AO455" s="139"/>
      <c r="AP455" s="139"/>
      <c r="AQ455" s="145"/>
      <c r="AR455" s="145"/>
    </row>
    <row r="456" spans="1:44" s="156" customFormat="1" ht="31.5" x14ac:dyDescent="0.25">
      <c r="A456" s="143" t="s">
        <v>88</v>
      </c>
      <c r="B456" s="144">
        <v>443</v>
      </c>
      <c r="C456" s="143" t="s">
        <v>47</v>
      </c>
      <c r="D456" s="143" t="s">
        <v>2675</v>
      </c>
      <c r="E456" s="145"/>
      <c r="F456" s="145"/>
      <c r="G456" s="143" t="s">
        <v>2676</v>
      </c>
      <c r="H456" s="143"/>
      <c r="I456" s="143"/>
      <c r="J456" s="143"/>
      <c r="K456" s="143"/>
      <c r="L456" s="143" t="s">
        <v>2677</v>
      </c>
      <c r="M456" s="143" t="s">
        <v>43</v>
      </c>
      <c r="N456" s="143" t="s">
        <v>2678</v>
      </c>
      <c r="O456" s="147">
        <v>11944033780</v>
      </c>
      <c r="P456" s="150"/>
      <c r="Q456" s="148">
        <v>15000000</v>
      </c>
      <c r="R456" s="150"/>
      <c r="S456" s="147">
        <f t="shared" si="517"/>
        <v>11959033780</v>
      </c>
      <c r="T456" s="158">
        <v>11944033780</v>
      </c>
      <c r="U456" s="143"/>
      <c r="V456" s="147">
        <v>15000000</v>
      </c>
      <c r="W456" s="143"/>
      <c r="X456" s="143"/>
      <c r="Y456" s="152">
        <f t="shared" ref="Y456:AB456" si="893">AD456-T456</f>
        <v>0</v>
      </c>
      <c r="Z456" s="151">
        <f t="shared" si="893"/>
        <v>0</v>
      </c>
      <c r="AA456" s="151">
        <f t="shared" si="893"/>
        <v>0</v>
      </c>
      <c r="AB456" s="151">
        <f t="shared" si="893"/>
        <v>0</v>
      </c>
      <c r="AC456" s="143"/>
      <c r="AD456" s="149">
        <v>11944033780</v>
      </c>
      <c r="AE456" s="150"/>
      <c r="AF456" s="148">
        <v>15000000</v>
      </c>
      <c r="AG456" s="150"/>
      <c r="AH456" s="143">
        <f t="shared" si="519"/>
        <v>0</v>
      </c>
      <c r="AI456" s="151"/>
      <c r="AJ456" s="151">
        <f t="shared" ref="AJ456:AL456" si="894">P456-AE456</f>
        <v>0</v>
      </c>
      <c r="AK456" s="151">
        <f t="shared" si="894"/>
        <v>0</v>
      </c>
      <c r="AL456" s="151">
        <f t="shared" si="894"/>
        <v>0</v>
      </c>
      <c r="AM456" s="145"/>
      <c r="AN456" s="139"/>
      <c r="AO456" s="139"/>
      <c r="AP456" s="139"/>
      <c r="AQ456" s="145"/>
      <c r="AR456" s="145"/>
    </row>
    <row r="457" spans="1:44" s="156" customFormat="1" ht="31.5" x14ac:dyDescent="0.25">
      <c r="A457" s="143" t="s">
        <v>46</v>
      </c>
      <c r="B457" s="144">
        <v>444</v>
      </c>
      <c r="C457" s="143" t="s">
        <v>47</v>
      </c>
      <c r="D457" s="143" t="s">
        <v>2679</v>
      </c>
      <c r="E457" s="145"/>
      <c r="F457" s="145"/>
      <c r="G457" s="143" t="s">
        <v>2680</v>
      </c>
      <c r="H457" s="143"/>
      <c r="I457" s="143"/>
      <c r="J457" s="143"/>
      <c r="K457" s="143"/>
      <c r="L457" s="143" t="s">
        <v>2681</v>
      </c>
      <c r="M457" s="143" t="s">
        <v>43</v>
      </c>
      <c r="N457" s="143" t="s">
        <v>2682</v>
      </c>
      <c r="O457" s="147">
        <v>672852940</v>
      </c>
      <c r="P457" s="150"/>
      <c r="Q457" s="148">
        <v>7500000</v>
      </c>
      <c r="R457" s="150"/>
      <c r="S457" s="147">
        <f t="shared" si="517"/>
        <v>680352940</v>
      </c>
      <c r="T457" s="151">
        <v>672852940</v>
      </c>
      <c r="U457" s="143"/>
      <c r="V457" s="147">
        <v>7500000</v>
      </c>
      <c r="W457" s="143"/>
      <c r="X457" s="143"/>
      <c r="Y457" s="151">
        <f t="shared" ref="Y457:AB457" si="895">AD457-T457</f>
        <v>0</v>
      </c>
      <c r="Z457" s="151">
        <f t="shared" si="895"/>
        <v>0</v>
      </c>
      <c r="AA457" s="151">
        <f t="shared" si="895"/>
        <v>0</v>
      </c>
      <c r="AB457" s="151">
        <f t="shared" si="895"/>
        <v>0</v>
      </c>
      <c r="AC457" s="143"/>
      <c r="AD457" s="148">
        <v>672852940</v>
      </c>
      <c r="AE457" s="150"/>
      <c r="AF457" s="148">
        <v>7500000</v>
      </c>
      <c r="AG457" s="150"/>
      <c r="AH457" s="143">
        <f t="shared" si="519"/>
        <v>0</v>
      </c>
      <c r="AI457" s="151"/>
      <c r="AJ457" s="151">
        <f t="shared" ref="AJ457:AL457" si="896">P457-AE457</f>
        <v>0</v>
      </c>
      <c r="AK457" s="151">
        <f t="shared" si="896"/>
        <v>0</v>
      </c>
      <c r="AL457" s="151">
        <f t="shared" si="896"/>
        <v>0</v>
      </c>
      <c r="AM457" s="148"/>
      <c r="AN457" s="160"/>
      <c r="AO457" s="160"/>
      <c r="AP457" s="160"/>
      <c r="AQ457" s="148"/>
      <c r="AR457" s="145"/>
    </row>
    <row r="458" spans="1:44" s="156" customFormat="1" ht="47.25" x14ac:dyDescent="0.25">
      <c r="A458" s="143" t="s">
        <v>35</v>
      </c>
      <c r="B458" s="144">
        <v>445</v>
      </c>
      <c r="C458" s="143" t="s">
        <v>47</v>
      </c>
      <c r="D458" s="143" t="s">
        <v>2683</v>
      </c>
      <c r="E458" s="145"/>
      <c r="F458" s="145"/>
      <c r="G458" s="143" t="s">
        <v>2684</v>
      </c>
      <c r="H458" s="143"/>
      <c r="I458" s="143"/>
      <c r="J458" s="143"/>
      <c r="K458" s="143"/>
      <c r="L458" s="143" t="s">
        <v>2685</v>
      </c>
      <c r="M458" s="143" t="s">
        <v>43</v>
      </c>
      <c r="N458" s="143" t="s">
        <v>2686</v>
      </c>
      <c r="O458" s="147">
        <v>2508309760</v>
      </c>
      <c r="P458" s="150"/>
      <c r="Q458" s="148">
        <v>15000000</v>
      </c>
      <c r="R458" s="150"/>
      <c r="S458" s="147">
        <f t="shared" si="517"/>
        <v>2523309760</v>
      </c>
      <c r="T458" s="158">
        <v>2508309760</v>
      </c>
      <c r="U458" s="143"/>
      <c r="V458" s="147">
        <v>15000000</v>
      </c>
      <c r="W458" s="143"/>
      <c r="X458" s="143"/>
      <c r="Y458" s="152">
        <f t="shared" ref="Y458:AB458" si="897">AD458-T458</f>
        <v>0</v>
      </c>
      <c r="Z458" s="151">
        <f t="shared" si="897"/>
        <v>0</v>
      </c>
      <c r="AA458" s="151">
        <f t="shared" si="897"/>
        <v>0</v>
      </c>
      <c r="AB458" s="151">
        <f t="shared" si="897"/>
        <v>0</v>
      </c>
      <c r="AC458" s="143"/>
      <c r="AD458" s="149">
        <v>2508309760</v>
      </c>
      <c r="AE458" s="150"/>
      <c r="AF458" s="148">
        <v>15000000</v>
      </c>
      <c r="AG458" s="150"/>
      <c r="AH458" s="143">
        <f t="shared" si="519"/>
        <v>0</v>
      </c>
      <c r="AI458" s="151"/>
      <c r="AJ458" s="151">
        <f t="shared" ref="AJ458:AL458" si="898">P458-AE458</f>
        <v>0</v>
      </c>
      <c r="AK458" s="151">
        <f t="shared" si="898"/>
        <v>0</v>
      </c>
      <c r="AL458" s="151">
        <f t="shared" si="898"/>
        <v>0</v>
      </c>
      <c r="AM458" s="145"/>
      <c r="AN458" s="139"/>
      <c r="AO458" s="139"/>
      <c r="AP458" s="139"/>
      <c r="AQ458" s="145"/>
      <c r="AR458" s="145"/>
    </row>
    <row r="459" spans="1:44" s="156" customFormat="1" ht="31.5" x14ac:dyDescent="0.25">
      <c r="A459" s="143" t="s">
        <v>60</v>
      </c>
      <c r="B459" s="144">
        <v>446</v>
      </c>
      <c r="C459" s="143" t="s">
        <v>47</v>
      </c>
      <c r="D459" s="143" t="s">
        <v>2687</v>
      </c>
      <c r="E459" s="145"/>
      <c r="F459" s="146"/>
      <c r="G459" s="143" t="s">
        <v>2688</v>
      </c>
      <c r="H459" s="143"/>
      <c r="I459" s="143"/>
      <c r="J459" s="143"/>
      <c r="K459" s="143"/>
      <c r="L459" s="143" t="s">
        <v>2689</v>
      </c>
      <c r="M459" s="143" t="s">
        <v>43</v>
      </c>
      <c r="N459" s="143" t="s">
        <v>2690</v>
      </c>
      <c r="O459" s="147">
        <v>696677520</v>
      </c>
      <c r="P459" s="150"/>
      <c r="Q459" s="148">
        <v>7500000</v>
      </c>
      <c r="R459" s="150"/>
      <c r="S459" s="147">
        <f t="shared" si="517"/>
        <v>704177520</v>
      </c>
      <c r="T459" s="158">
        <v>696677520</v>
      </c>
      <c r="U459" s="143"/>
      <c r="V459" s="147">
        <v>7500000</v>
      </c>
      <c r="W459" s="143"/>
      <c r="X459" s="143"/>
      <c r="Y459" s="152">
        <f t="shared" ref="Y459:AB459" si="899">AD459-T459</f>
        <v>0</v>
      </c>
      <c r="Z459" s="151">
        <f t="shared" si="899"/>
        <v>0</v>
      </c>
      <c r="AA459" s="151">
        <f t="shared" si="899"/>
        <v>0</v>
      </c>
      <c r="AB459" s="151">
        <f t="shared" si="899"/>
        <v>0</v>
      </c>
      <c r="AC459" s="143"/>
      <c r="AD459" s="149">
        <v>696677520</v>
      </c>
      <c r="AE459" s="150"/>
      <c r="AF459" s="148">
        <v>7500000</v>
      </c>
      <c r="AG459" s="150"/>
      <c r="AH459" s="143">
        <f t="shared" si="519"/>
        <v>0</v>
      </c>
      <c r="AI459" s="151"/>
      <c r="AJ459" s="151">
        <f t="shared" ref="AJ459:AL459" si="900">P459-AE459</f>
        <v>0</v>
      </c>
      <c r="AK459" s="151">
        <f t="shared" si="900"/>
        <v>0</v>
      </c>
      <c r="AL459" s="151">
        <f t="shared" si="900"/>
        <v>0</v>
      </c>
      <c r="AM459" s="145"/>
      <c r="AN459" s="139"/>
      <c r="AO459" s="139"/>
      <c r="AP459" s="139"/>
      <c r="AQ459" s="145"/>
      <c r="AR459" s="145"/>
    </row>
    <row r="460" spans="1:44" s="156" customFormat="1" ht="78.75" x14ac:dyDescent="0.25">
      <c r="A460" s="143" t="s">
        <v>35</v>
      </c>
      <c r="B460" s="144">
        <v>447</v>
      </c>
      <c r="C460" s="143" t="s">
        <v>47</v>
      </c>
      <c r="D460" s="143" t="s">
        <v>455</v>
      </c>
      <c r="E460" s="145"/>
      <c r="F460" s="145" t="s">
        <v>456</v>
      </c>
      <c r="G460" s="143" t="s">
        <v>457</v>
      </c>
      <c r="H460" s="143"/>
      <c r="I460" s="143"/>
      <c r="J460" s="143"/>
      <c r="K460" s="164"/>
      <c r="L460" s="143" t="s">
        <v>458</v>
      </c>
      <c r="M460" s="143" t="s">
        <v>43</v>
      </c>
      <c r="N460" s="143" t="s">
        <v>459</v>
      </c>
      <c r="O460" s="147">
        <v>1371254860</v>
      </c>
      <c r="P460" s="150"/>
      <c r="Q460" s="148">
        <v>15000000</v>
      </c>
      <c r="R460" s="148">
        <f>96000000+96000000</f>
        <v>192000000</v>
      </c>
      <c r="S460" s="147">
        <f t="shared" si="517"/>
        <v>1578254860</v>
      </c>
      <c r="T460" s="158">
        <v>1371254860</v>
      </c>
      <c r="U460" s="143"/>
      <c r="V460" s="147">
        <v>15000000</v>
      </c>
      <c r="W460" s="158">
        <v>192000000</v>
      </c>
      <c r="X460" s="143"/>
      <c r="Y460" s="152">
        <f t="shared" ref="Y460:AB460" si="901">AD460-T460</f>
        <v>0</v>
      </c>
      <c r="Z460" s="151">
        <f t="shared" si="901"/>
        <v>0</v>
      </c>
      <c r="AA460" s="151">
        <f t="shared" si="901"/>
        <v>0</v>
      </c>
      <c r="AB460" s="151">
        <f t="shared" si="901"/>
        <v>0</v>
      </c>
      <c r="AC460" s="143"/>
      <c r="AD460" s="149">
        <v>1371254860</v>
      </c>
      <c r="AE460" s="150"/>
      <c r="AF460" s="148">
        <v>15000000</v>
      </c>
      <c r="AG460" s="148">
        <f>96000000+96000000</f>
        <v>192000000</v>
      </c>
      <c r="AH460" s="143">
        <f t="shared" si="519"/>
        <v>0</v>
      </c>
      <c r="AI460" s="151"/>
      <c r="AJ460" s="151">
        <f t="shared" ref="AJ460:AL460" si="902">P460-AE460</f>
        <v>0</v>
      </c>
      <c r="AK460" s="151">
        <f t="shared" si="902"/>
        <v>0</v>
      </c>
      <c r="AL460" s="151">
        <f t="shared" si="902"/>
        <v>0</v>
      </c>
      <c r="AM460" s="145"/>
      <c r="AN460" s="139"/>
      <c r="AO460" s="139"/>
      <c r="AP460" s="139"/>
      <c r="AQ460" s="145"/>
      <c r="AR460" s="145"/>
    </row>
    <row r="461" spans="1:44" s="156" customFormat="1" ht="110.25" x14ac:dyDescent="0.25">
      <c r="A461" s="143" t="s">
        <v>52</v>
      </c>
      <c r="B461" s="144">
        <v>448</v>
      </c>
      <c r="C461" s="143" t="s">
        <v>47</v>
      </c>
      <c r="D461" s="143" t="s">
        <v>340</v>
      </c>
      <c r="E461" s="145"/>
      <c r="F461" s="145" t="s">
        <v>341</v>
      </c>
      <c r="G461" s="143" t="s">
        <v>342</v>
      </c>
      <c r="H461" s="143"/>
      <c r="I461" s="143"/>
      <c r="J461" s="143"/>
      <c r="K461" s="164"/>
      <c r="L461" s="143" t="s">
        <v>343</v>
      </c>
      <c r="M461" s="143" t="s">
        <v>43</v>
      </c>
      <c r="N461" s="143" t="s">
        <v>344</v>
      </c>
      <c r="O461" s="147">
        <v>1330580934</v>
      </c>
      <c r="P461" s="150"/>
      <c r="Q461" s="148">
        <v>15000000</v>
      </c>
      <c r="R461" s="148">
        <f>48000000+48000000</f>
        <v>96000000</v>
      </c>
      <c r="S461" s="147">
        <f t="shared" si="517"/>
        <v>1441580934</v>
      </c>
      <c r="T461" s="158">
        <v>1330580934</v>
      </c>
      <c r="U461" s="143"/>
      <c r="V461" s="147">
        <v>15000000</v>
      </c>
      <c r="W461" s="158">
        <v>96000000</v>
      </c>
      <c r="X461" s="143"/>
      <c r="Y461" s="152">
        <f t="shared" ref="Y461:AB461" si="903">AD461-T461</f>
        <v>0</v>
      </c>
      <c r="Z461" s="151">
        <f t="shared" si="903"/>
        <v>0</v>
      </c>
      <c r="AA461" s="151">
        <f t="shared" si="903"/>
        <v>0</v>
      </c>
      <c r="AB461" s="152">
        <f t="shared" si="903"/>
        <v>0</v>
      </c>
      <c r="AC461" s="143"/>
      <c r="AD461" s="149">
        <v>1330580934</v>
      </c>
      <c r="AE461" s="184"/>
      <c r="AF461" s="148">
        <v>15000000</v>
      </c>
      <c r="AG461" s="187">
        <f>48000000+48000000</f>
        <v>96000000</v>
      </c>
      <c r="AH461" s="143">
        <f t="shared" si="519"/>
        <v>0</v>
      </c>
      <c r="AI461" s="151"/>
      <c r="AJ461" s="151">
        <f t="shared" ref="AJ461:AL461" si="904">P461-AE461</f>
        <v>0</v>
      </c>
      <c r="AK461" s="151">
        <f t="shared" si="904"/>
        <v>0</v>
      </c>
      <c r="AL461" s="151">
        <f t="shared" si="904"/>
        <v>0</v>
      </c>
      <c r="AM461" s="145"/>
      <c r="AN461" s="139"/>
      <c r="AO461" s="139"/>
      <c r="AP461" s="139"/>
      <c r="AQ461" s="145"/>
      <c r="AR461" s="145"/>
    </row>
    <row r="462" spans="1:44" s="156" customFormat="1" ht="47.25" x14ac:dyDescent="0.25">
      <c r="A462" s="143" t="s">
        <v>46</v>
      </c>
      <c r="B462" s="144">
        <v>449</v>
      </c>
      <c r="C462" s="143" t="s">
        <v>47</v>
      </c>
      <c r="D462" s="143" t="s">
        <v>2692</v>
      </c>
      <c r="E462" s="145"/>
      <c r="F462" s="145"/>
      <c r="G462" s="143" t="s">
        <v>2693</v>
      </c>
      <c r="H462" s="143"/>
      <c r="I462" s="143"/>
      <c r="J462" s="143"/>
      <c r="K462" s="143"/>
      <c r="L462" s="143" t="s">
        <v>2694</v>
      </c>
      <c r="M462" s="143" t="s">
        <v>43</v>
      </c>
      <c r="N462" s="143" t="s">
        <v>2695</v>
      </c>
      <c r="O462" s="147">
        <v>1491958086</v>
      </c>
      <c r="P462" s="150"/>
      <c r="Q462" s="148">
        <v>7500000</v>
      </c>
      <c r="R462" s="150"/>
      <c r="S462" s="147">
        <f t="shared" si="517"/>
        <v>1499458086</v>
      </c>
      <c r="T462" s="158">
        <v>1491958086</v>
      </c>
      <c r="U462" s="143"/>
      <c r="V462" s="147">
        <v>7500000</v>
      </c>
      <c r="W462" s="143"/>
      <c r="X462" s="143"/>
      <c r="Y462" s="152">
        <f t="shared" ref="Y462:AB462" si="905">AD462-T462</f>
        <v>0</v>
      </c>
      <c r="Z462" s="151">
        <f t="shared" si="905"/>
        <v>0</v>
      </c>
      <c r="AA462" s="151">
        <f t="shared" si="905"/>
        <v>0</v>
      </c>
      <c r="AB462" s="152">
        <f t="shared" si="905"/>
        <v>0</v>
      </c>
      <c r="AC462" s="143"/>
      <c r="AD462" s="149">
        <v>1491958086</v>
      </c>
      <c r="AE462" s="150"/>
      <c r="AF462" s="148">
        <v>7500000</v>
      </c>
      <c r="AG462" s="155"/>
      <c r="AH462" s="143">
        <f t="shared" si="519"/>
        <v>0</v>
      </c>
      <c r="AI462" s="151"/>
      <c r="AJ462" s="151">
        <f t="shared" ref="AJ462:AL462" si="906">P462-AE462</f>
        <v>0</v>
      </c>
      <c r="AK462" s="151">
        <f t="shared" si="906"/>
        <v>0</v>
      </c>
      <c r="AL462" s="151">
        <f t="shared" si="906"/>
        <v>0</v>
      </c>
      <c r="AM462" s="145"/>
      <c r="AN462" s="139"/>
      <c r="AO462" s="139"/>
      <c r="AP462" s="139"/>
      <c r="AQ462" s="145"/>
      <c r="AR462" s="145"/>
    </row>
    <row r="463" spans="1:44" s="156" customFormat="1" ht="47.25" x14ac:dyDescent="0.25">
      <c r="A463" s="143" t="s">
        <v>35</v>
      </c>
      <c r="B463" s="144">
        <v>450</v>
      </c>
      <c r="C463" s="143" t="s">
        <v>47</v>
      </c>
      <c r="D463" s="143" t="s">
        <v>2696</v>
      </c>
      <c r="E463" s="145" t="s">
        <v>2697</v>
      </c>
      <c r="F463" s="145"/>
      <c r="G463" s="143" t="s">
        <v>2698</v>
      </c>
      <c r="H463" s="143"/>
      <c r="I463" s="143"/>
      <c r="J463" s="143"/>
      <c r="K463" s="143"/>
      <c r="L463" s="143" t="s">
        <v>2699</v>
      </c>
      <c r="M463" s="143" t="s">
        <v>43</v>
      </c>
      <c r="N463" s="143" t="s">
        <v>2700</v>
      </c>
      <c r="O463" s="147">
        <v>2330983840</v>
      </c>
      <c r="P463" s="148">
        <v>316785560</v>
      </c>
      <c r="Q463" s="148">
        <v>15000000</v>
      </c>
      <c r="R463" s="150"/>
      <c r="S463" s="147">
        <f t="shared" si="517"/>
        <v>2662769400</v>
      </c>
      <c r="T463" s="158">
        <v>2330983840</v>
      </c>
      <c r="U463" s="158">
        <v>316785560</v>
      </c>
      <c r="V463" s="147">
        <v>15000000</v>
      </c>
      <c r="W463" s="143"/>
      <c r="X463" s="143"/>
      <c r="Y463" s="152">
        <f t="shared" ref="Y463:AB463" si="907">AD463-T463</f>
        <v>0</v>
      </c>
      <c r="Z463" s="151">
        <f t="shared" si="907"/>
        <v>0</v>
      </c>
      <c r="AA463" s="151">
        <f t="shared" si="907"/>
        <v>0</v>
      </c>
      <c r="AB463" s="151">
        <f t="shared" si="907"/>
        <v>0</v>
      </c>
      <c r="AC463" s="143"/>
      <c r="AD463" s="149">
        <v>2330983840</v>
      </c>
      <c r="AE463" s="148">
        <v>316785560</v>
      </c>
      <c r="AF463" s="148">
        <v>15000000</v>
      </c>
      <c r="AG463" s="150"/>
      <c r="AH463" s="143">
        <f t="shared" si="519"/>
        <v>0</v>
      </c>
      <c r="AI463" s="151"/>
      <c r="AJ463" s="151">
        <f t="shared" ref="AJ463:AL463" si="908">P463-AE463</f>
        <v>0</v>
      </c>
      <c r="AK463" s="151">
        <f t="shared" si="908"/>
        <v>0</v>
      </c>
      <c r="AL463" s="151">
        <f t="shared" si="908"/>
        <v>0</v>
      </c>
      <c r="AM463" s="145"/>
      <c r="AN463" s="139"/>
      <c r="AO463" s="139"/>
      <c r="AP463" s="139"/>
      <c r="AQ463" s="145"/>
      <c r="AR463" s="145"/>
    </row>
    <row r="464" spans="1:44" s="156" customFormat="1" ht="31.5" x14ac:dyDescent="0.25">
      <c r="A464" s="143" t="s">
        <v>60</v>
      </c>
      <c r="B464" s="144">
        <v>451</v>
      </c>
      <c r="C464" s="143" t="s">
        <v>47</v>
      </c>
      <c r="D464" s="143" t="s">
        <v>2701</v>
      </c>
      <c r="E464" s="145"/>
      <c r="F464" s="146"/>
      <c r="G464" s="143" t="s">
        <v>2702</v>
      </c>
      <c r="H464" s="143"/>
      <c r="I464" s="143"/>
      <c r="J464" s="143"/>
      <c r="K464" s="143"/>
      <c r="L464" s="143" t="s">
        <v>2703</v>
      </c>
      <c r="M464" s="143" t="s">
        <v>43</v>
      </c>
      <c r="N464" s="143" t="s">
        <v>2704</v>
      </c>
      <c r="O464" s="147">
        <v>6729310220</v>
      </c>
      <c r="P464" s="150"/>
      <c r="Q464" s="148">
        <v>15000000</v>
      </c>
      <c r="R464" s="150"/>
      <c r="S464" s="147">
        <f t="shared" si="517"/>
        <v>6744310220</v>
      </c>
      <c r="T464" s="158">
        <v>6729310220</v>
      </c>
      <c r="U464" s="143"/>
      <c r="V464" s="147">
        <v>15000000</v>
      </c>
      <c r="W464" s="143"/>
      <c r="X464" s="143"/>
      <c r="Y464" s="152">
        <f t="shared" ref="Y464:AB464" si="909">AD464-T464</f>
        <v>0</v>
      </c>
      <c r="Z464" s="151">
        <f t="shared" si="909"/>
        <v>0</v>
      </c>
      <c r="AA464" s="151">
        <f t="shared" si="909"/>
        <v>0</v>
      </c>
      <c r="AB464" s="151">
        <f t="shared" si="909"/>
        <v>0</v>
      </c>
      <c r="AC464" s="143"/>
      <c r="AD464" s="149">
        <v>6729310220</v>
      </c>
      <c r="AE464" s="150"/>
      <c r="AF464" s="148">
        <v>15000000</v>
      </c>
      <c r="AG464" s="150"/>
      <c r="AH464" s="143">
        <f t="shared" si="519"/>
        <v>0</v>
      </c>
      <c r="AI464" s="151"/>
      <c r="AJ464" s="151">
        <f t="shared" ref="AJ464:AL464" si="910">P464-AE464</f>
        <v>0</v>
      </c>
      <c r="AK464" s="151">
        <f t="shared" si="910"/>
        <v>0</v>
      </c>
      <c r="AL464" s="151">
        <f t="shared" si="910"/>
        <v>0</v>
      </c>
      <c r="AM464" s="145"/>
      <c r="AN464" s="139"/>
      <c r="AO464" s="139"/>
      <c r="AP464" s="139"/>
      <c r="AQ464" s="145"/>
      <c r="AR464" s="145"/>
    </row>
    <row r="465" spans="1:44" s="156" customFormat="1" ht="31.5" x14ac:dyDescent="0.25">
      <c r="A465" s="143" t="s">
        <v>35</v>
      </c>
      <c r="B465" s="144">
        <v>452</v>
      </c>
      <c r="C465" s="143" t="s">
        <v>47</v>
      </c>
      <c r="D465" s="143" t="s">
        <v>2705</v>
      </c>
      <c r="E465" s="145"/>
      <c r="F465" s="145"/>
      <c r="G465" s="143" t="s">
        <v>2706</v>
      </c>
      <c r="H465" s="143"/>
      <c r="I465" s="143"/>
      <c r="J465" s="143"/>
      <c r="K465" s="143"/>
      <c r="L465" s="143" t="s">
        <v>2707</v>
      </c>
      <c r="M465" s="143" t="s">
        <v>43</v>
      </c>
      <c r="N465" s="143" t="s">
        <v>2708</v>
      </c>
      <c r="O465" s="147">
        <v>1850880899</v>
      </c>
      <c r="P465" s="150"/>
      <c r="Q465" s="148">
        <v>7500000</v>
      </c>
      <c r="R465" s="150"/>
      <c r="S465" s="147">
        <f t="shared" si="517"/>
        <v>1858380899</v>
      </c>
      <c r="T465" s="158">
        <v>1850880899</v>
      </c>
      <c r="U465" s="143"/>
      <c r="V465" s="147">
        <v>7500000</v>
      </c>
      <c r="W465" s="143"/>
      <c r="X465" s="143"/>
      <c r="Y465" s="152">
        <f t="shared" ref="Y465:AB465" si="911">AD465-T465</f>
        <v>0</v>
      </c>
      <c r="Z465" s="151">
        <f t="shared" si="911"/>
        <v>0</v>
      </c>
      <c r="AA465" s="151">
        <f t="shared" si="911"/>
        <v>0</v>
      </c>
      <c r="AB465" s="152">
        <f t="shared" si="911"/>
        <v>0</v>
      </c>
      <c r="AC465" s="143"/>
      <c r="AD465" s="149">
        <v>1850880899</v>
      </c>
      <c r="AE465" s="150"/>
      <c r="AF465" s="148">
        <v>7500000</v>
      </c>
      <c r="AG465" s="155"/>
      <c r="AH465" s="143">
        <f t="shared" si="519"/>
        <v>0</v>
      </c>
      <c r="AI465" s="151"/>
      <c r="AJ465" s="151">
        <f t="shared" ref="AJ465:AL465" si="912">P465-AE465</f>
        <v>0</v>
      </c>
      <c r="AK465" s="151">
        <f t="shared" si="912"/>
        <v>0</v>
      </c>
      <c r="AL465" s="151">
        <f t="shared" si="912"/>
        <v>0</v>
      </c>
      <c r="AM465" s="145"/>
      <c r="AN465" s="139"/>
      <c r="AO465" s="139"/>
      <c r="AP465" s="139"/>
      <c r="AQ465" s="145"/>
      <c r="AR465" s="145"/>
    </row>
    <row r="466" spans="1:44" s="156" customFormat="1" ht="78.75" x14ac:dyDescent="0.25">
      <c r="A466" s="143" t="s">
        <v>60</v>
      </c>
      <c r="B466" s="144">
        <v>453</v>
      </c>
      <c r="C466" s="143" t="s">
        <v>47</v>
      </c>
      <c r="D466" s="143" t="s">
        <v>2709</v>
      </c>
      <c r="E466" s="145"/>
      <c r="F466" s="146"/>
      <c r="G466" s="143" t="s">
        <v>2710</v>
      </c>
      <c r="H466" s="143"/>
      <c r="I466" s="143" t="s">
        <v>85</v>
      </c>
      <c r="J466" s="143"/>
      <c r="K466" s="143"/>
      <c r="L466" s="143" t="s">
        <v>2711</v>
      </c>
      <c r="M466" s="143" t="s">
        <v>43</v>
      </c>
      <c r="N466" s="143" t="s">
        <v>2712</v>
      </c>
      <c r="O466" s="147">
        <v>634835870</v>
      </c>
      <c r="P466" s="150"/>
      <c r="Q466" s="148">
        <v>3750000</v>
      </c>
      <c r="R466" s="150"/>
      <c r="S466" s="147">
        <f t="shared" si="517"/>
        <v>638585870</v>
      </c>
      <c r="T466" s="143"/>
      <c r="U466" s="143"/>
      <c r="V466" s="157"/>
      <c r="W466" s="143"/>
      <c r="X466" s="143"/>
      <c r="Y466" s="152">
        <f t="shared" ref="Y466:AB466" si="913">AD466-T466</f>
        <v>0</v>
      </c>
      <c r="Z466" s="151">
        <f t="shared" si="913"/>
        <v>0</v>
      </c>
      <c r="AA466" s="151">
        <f t="shared" si="913"/>
        <v>0</v>
      </c>
      <c r="AB466" s="151">
        <f t="shared" si="913"/>
        <v>0</v>
      </c>
      <c r="AC466" s="143"/>
      <c r="AD466" s="155"/>
      <c r="AE466" s="150"/>
      <c r="AF466" s="150"/>
      <c r="AG466" s="150"/>
      <c r="AH466" s="143">
        <f t="shared" si="519"/>
        <v>0</v>
      </c>
      <c r="AI466" s="151">
        <v>634835870</v>
      </c>
      <c r="AJ466" s="151">
        <f t="shared" ref="AJ466:AL466" si="914">P466-AE466</f>
        <v>0</v>
      </c>
      <c r="AK466" s="151">
        <f t="shared" si="914"/>
        <v>3750000</v>
      </c>
      <c r="AL466" s="151">
        <f t="shared" si="914"/>
        <v>0</v>
      </c>
      <c r="AM466" s="148">
        <v>634835870</v>
      </c>
      <c r="AN466" s="159" t="s">
        <v>3616</v>
      </c>
      <c r="AO466" s="160"/>
      <c r="AP466" s="168" t="s">
        <v>3616</v>
      </c>
      <c r="AQ466" s="219"/>
      <c r="AR466" s="218"/>
    </row>
    <row r="467" spans="1:44" s="156" customFormat="1" ht="47.25" x14ac:dyDescent="0.25">
      <c r="A467" s="143" t="s">
        <v>88</v>
      </c>
      <c r="B467" s="144">
        <v>454</v>
      </c>
      <c r="C467" s="143" t="s">
        <v>47</v>
      </c>
      <c r="D467" s="143" t="s">
        <v>2713</v>
      </c>
      <c r="E467" s="145"/>
      <c r="F467" s="146"/>
      <c r="G467" s="143" t="s">
        <v>2714</v>
      </c>
      <c r="H467" s="143"/>
      <c r="I467" s="143"/>
      <c r="J467" s="143"/>
      <c r="K467" s="143"/>
      <c r="L467" s="143" t="s">
        <v>2715</v>
      </c>
      <c r="M467" s="143" t="s">
        <v>43</v>
      </c>
      <c r="N467" s="143" t="s">
        <v>2716</v>
      </c>
      <c r="O467" s="147"/>
      <c r="P467" s="150"/>
      <c r="Q467" s="148">
        <v>7500000</v>
      </c>
      <c r="R467" s="150"/>
      <c r="S467" s="147">
        <f t="shared" si="517"/>
        <v>7500000</v>
      </c>
      <c r="T467" s="144">
        <v>0</v>
      </c>
      <c r="U467" s="143"/>
      <c r="V467" s="157"/>
      <c r="W467" s="143"/>
      <c r="X467" s="143"/>
      <c r="Y467" s="143">
        <f t="shared" ref="Y467:AB467" si="915">AD467-T467</f>
        <v>0</v>
      </c>
      <c r="Z467" s="151">
        <f t="shared" si="915"/>
        <v>0</v>
      </c>
      <c r="AA467" s="151">
        <f t="shared" si="915"/>
        <v>0</v>
      </c>
      <c r="AB467" s="152">
        <f t="shared" si="915"/>
        <v>0</v>
      </c>
      <c r="AC467" s="143"/>
      <c r="AD467" s="175">
        <v>0</v>
      </c>
      <c r="AE467" s="150"/>
      <c r="AF467" s="150"/>
      <c r="AG467" s="155"/>
      <c r="AH467" s="143">
        <f t="shared" si="519"/>
        <v>0</v>
      </c>
      <c r="AI467" s="151"/>
      <c r="AJ467" s="151">
        <f t="shared" ref="AJ467:AL467" si="916">P467-AE467</f>
        <v>0</v>
      </c>
      <c r="AK467" s="151">
        <f t="shared" si="916"/>
        <v>7500000</v>
      </c>
      <c r="AL467" s="151">
        <f t="shared" si="916"/>
        <v>0</v>
      </c>
      <c r="AM467" s="145"/>
      <c r="AN467" s="139"/>
      <c r="AO467" s="139"/>
      <c r="AP467" s="162" t="s">
        <v>3490</v>
      </c>
      <c r="AQ467" s="145"/>
      <c r="AR467" s="145"/>
    </row>
    <row r="468" spans="1:44" s="156" customFormat="1" ht="31.5" x14ac:dyDescent="0.25">
      <c r="A468" s="143" t="s">
        <v>60</v>
      </c>
      <c r="B468" s="144">
        <v>455</v>
      </c>
      <c r="C468" s="143" t="s">
        <v>47</v>
      </c>
      <c r="D468" s="143" t="s">
        <v>2717</v>
      </c>
      <c r="E468" s="145"/>
      <c r="F468" s="146"/>
      <c r="G468" s="143" t="s">
        <v>2718</v>
      </c>
      <c r="H468" s="143"/>
      <c r="I468" s="143"/>
      <c r="J468" s="143"/>
      <c r="K468" s="143"/>
      <c r="L468" s="143" t="s">
        <v>2719</v>
      </c>
      <c r="M468" s="143" t="s">
        <v>43</v>
      </c>
      <c r="N468" s="143" t="s">
        <v>1162</v>
      </c>
      <c r="O468" s="147">
        <v>1786505570</v>
      </c>
      <c r="P468" s="150"/>
      <c r="Q468" s="148">
        <v>15000000</v>
      </c>
      <c r="R468" s="150"/>
      <c r="S468" s="147">
        <f t="shared" si="517"/>
        <v>1801505570</v>
      </c>
      <c r="T468" s="158">
        <v>1786505570</v>
      </c>
      <c r="U468" s="143"/>
      <c r="V468" s="147">
        <v>15000000</v>
      </c>
      <c r="W468" s="143"/>
      <c r="X468" s="143"/>
      <c r="Y468" s="152">
        <f t="shared" ref="Y468:AB468" si="917">AD468-T468</f>
        <v>0</v>
      </c>
      <c r="Z468" s="151">
        <f t="shared" si="917"/>
        <v>0</v>
      </c>
      <c r="AA468" s="151">
        <f t="shared" si="917"/>
        <v>0</v>
      </c>
      <c r="AB468" s="151">
        <f t="shared" si="917"/>
        <v>0</v>
      </c>
      <c r="AC468" s="143"/>
      <c r="AD468" s="149">
        <v>1786505570</v>
      </c>
      <c r="AE468" s="150"/>
      <c r="AF468" s="148">
        <v>15000000</v>
      </c>
      <c r="AG468" s="150"/>
      <c r="AH468" s="143">
        <f t="shared" si="519"/>
        <v>0</v>
      </c>
      <c r="AI468" s="151"/>
      <c r="AJ468" s="151">
        <f t="shared" ref="AJ468:AL468" si="918">P468-AE468</f>
        <v>0</v>
      </c>
      <c r="AK468" s="151">
        <f t="shared" si="918"/>
        <v>0</v>
      </c>
      <c r="AL468" s="151">
        <f t="shared" si="918"/>
        <v>0</v>
      </c>
      <c r="AM468" s="145"/>
      <c r="AN468" s="139"/>
      <c r="AO468" s="139"/>
      <c r="AP468" s="139"/>
      <c r="AQ468" s="145"/>
      <c r="AR468" s="145"/>
    </row>
    <row r="469" spans="1:44" s="156" customFormat="1" ht="31.5" x14ac:dyDescent="0.25">
      <c r="A469" s="143" t="s">
        <v>46</v>
      </c>
      <c r="B469" s="175">
        <v>456</v>
      </c>
      <c r="C469" s="145" t="s">
        <v>47</v>
      </c>
      <c r="D469" s="143" t="s">
        <v>1206</v>
      </c>
      <c r="E469" s="145"/>
      <c r="F469" s="145" t="s">
        <v>1199</v>
      </c>
      <c r="G469" s="145" t="s">
        <v>1207</v>
      </c>
      <c r="H469" s="145"/>
      <c r="I469" s="145"/>
      <c r="J469" s="145"/>
      <c r="K469" s="146"/>
      <c r="L469" s="145" t="s">
        <v>1208</v>
      </c>
      <c r="M469" s="145" t="s">
        <v>43</v>
      </c>
      <c r="N469" s="145" t="s">
        <v>1209</v>
      </c>
      <c r="O469" s="147">
        <v>5179078192</v>
      </c>
      <c r="P469" s="150"/>
      <c r="Q469" s="148">
        <v>15000000</v>
      </c>
      <c r="R469" s="148">
        <v>54000000</v>
      </c>
      <c r="S469" s="147">
        <f t="shared" si="517"/>
        <v>5248078192</v>
      </c>
      <c r="T469" s="158">
        <v>5179078192</v>
      </c>
      <c r="U469" s="143"/>
      <c r="V469" s="157"/>
      <c r="W469" s="143"/>
      <c r="X469" s="143"/>
      <c r="Y469" s="152">
        <f t="shared" ref="Y469:AB469" si="919">AD469-T469</f>
        <v>0</v>
      </c>
      <c r="Z469" s="151">
        <f t="shared" si="919"/>
        <v>0</v>
      </c>
      <c r="AA469" s="151">
        <f t="shared" si="919"/>
        <v>0</v>
      </c>
      <c r="AB469" s="151">
        <f t="shared" si="919"/>
        <v>0</v>
      </c>
      <c r="AC469" s="165"/>
      <c r="AD469" s="149">
        <v>5179078192</v>
      </c>
      <c r="AE469" s="150"/>
      <c r="AF469" s="150"/>
      <c r="AG469" s="150"/>
      <c r="AH469" s="166">
        <f t="shared" si="519"/>
        <v>0</v>
      </c>
      <c r="AI469" s="151"/>
      <c r="AJ469" s="151">
        <f t="shared" ref="AJ469:AL469" si="920">P469-AE469</f>
        <v>0</v>
      </c>
      <c r="AK469" s="151">
        <f t="shared" si="920"/>
        <v>15000000</v>
      </c>
      <c r="AL469" s="150">
        <f t="shared" si="920"/>
        <v>54000000</v>
      </c>
      <c r="AM469" s="145"/>
      <c r="AN469" s="139"/>
      <c r="AO469" s="139"/>
      <c r="AP469" s="162" t="s">
        <v>3623</v>
      </c>
      <c r="AQ469" s="145" t="s">
        <v>3124</v>
      </c>
      <c r="AR469" s="145"/>
    </row>
    <row r="470" spans="1:44" s="156" customFormat="1" ht="47.25" x14ac:dyDescent="0.25">
      <c r="A470" s="143" t="s">
        <v>88</v>
      </c>
      <c r="B470" s="144">
        <v>457</v>
      </c>
      <c r="C470" s="143" t="s">
        <v>47</v>
      </c>
      <c r="D470" s="143" t="s">
        <v>2720</v>
      </c>
      <c r="E470" s="145"/>
      <c r="F470" s="145"/>
      <c r="G470" s="143" t="s">
        <v>2721</v>
      </c>
      <c r="H470" s="143"/>
      <c r="I470" s="143"/>
      <c r="J470" s="143"/>
      <c r="K470" s="143"/>
      <c r="L470" s="143" t="s">
        <v>2722</v>
      </c>
      <c r="M470" s="143" t="s">
        <v>43</v>
      </c>
      <c r="N470" s="143" t="s">
        <v>2723</v>
      </c>
      <c r="O470" s="147">
        <v>3193648512</v>
      </c>
      <c r="P470" s="150"/>
      <c r="Q470" s="148">
        <v>15000000</v>
      </c>
      <c r="R470" s="150"/>
      <c r="S470" s="147">
        <f t="shared" si="517"/>
        <v>3208648512</v>
      </c>
      <c r="T470" s="158">
        <v>3193648512</v>
      </c>
      <c r="U470" s="143"/>
      <c r="V470" s="147">
        <v>15000000</v>
      </c>
      <c r="W470" s="143"/>
      <c r="X470" s="143"/>
      <c r="Y470" s="152">
        <f t="shared" ref="Y470:AB470" si="921">AD470-T470</f>
        <v>0</v>
      </c>
      <c r="Z470" s="151">
        <f t="shared" si="921"/>
        <v>0</v>
      </c>
      <c r="AA470" s="151">
        <f t="shared" si="921"/>
        <v>0</v>
      </c>
      <c r="AB470" s="151">
        <f t="shared" si="921"/>
        <v>0</v>
      </c>
      <c r="AC470" s="143"/>
      <c r="AD470" s="149">
        <v>3193648512</v>
      </c>
      <c r="AE470" s="150"/>
      <c r="AF470" s="148">
        <v>15000000</v>
      </c>
      <c r="AG470" s="150"/>
      <c r="AH470" s="143">
        <f t="shared" si="519"/>
        <v>0</v>
      </c>
      <c r="AI470" s="151"/>
      <c r="AJ470" s="151">
        <f t="shared" ref="AJ470:AL470" si="922">P470-AE470</f>
        <v>0</v>
      </c>
      <c r="AK470" s="151">
        <f t="shared" si="922"/>
        <v>0</v>
      </c>
      <c r="AL470" s="151">
        <f t="shared" si="922"/>
        <v>0</v>
      </c>
      <c r="AM470" s="145"/>
      <c r="AN470" s="139"/>
      <c r="AO470" s="139"/>
      <c r="AP470" s="139"/>
      <c r="AQ470" s="145"/>
      <c r="AR470" s="145"/>
    </row>
    <row r="471" spans="1:44" s="156" customFormat="1" ht="47.25" x14ac:dyDescent="0.25">
      <c r="A471" s="143" t="s">
        <v>88</v>
      </c>
      <c r="B471" s="144">
        <v>458</v>
      </c>
      <c r="C471" s="143" t="s">
        <v>47</v>
      </c>
      <c r="D471" s="143" t="s">
        <v>2724</v>
      </c>
      <c r="E471" s="145"/>
      <c r="F471" s="146"/>
      <c r="G471" s="143" t="s">
        <v>2725</v>
      </c>
      <c r="H471" s="143"/>
      <c r="I471" s="143"/>
      <c r="J471" s="143"/>
      <c r="K471" s="143"/>
      <c r="L471" s="143" t="s">
        <v>2726</v>
      </c>
      <c r="M471" s="143" t="s">
        <v>43</v>
      </c>
      <c r="N471" s="143" t="s">
        <v>2727</v>
      </c>
      <c r="O471" s="147">
        <v>1952469640</v>
      </c>
      <c r="P471" s="150"/>
      <c r="Q471" s="148">
        <v>7500000</v>
      </c>
      <c r="R471" s="150"/>
      <c r="S471" s="147">
        <f t="shared" si="517"/>
        <v>1959969640</v>
      </c>
      <c r="T471" s="151">
        <v>1952469640</v>
      </c>
      <c r="U471" s="143"/>
      <c r="V471" s="147">
        <v>7500000</v>
      </c>
      <c r="W471" s="143"/>
      <c r="X471" s="143"/>
      <c r="Y471" s="152">
        <f t="shared" ref="Y471:AB471" si="923">AD471-T471</f>
        <v>0</v>
      </c>
      <c r="Z471" s="151">
        <f t="shared" si="923"/>
        <v>0</v>
      </c>
      <c r="AA471" s="151">
        <f t="shared" si="923"/>
        <v>0</v>
      </c>
      <c r="AB471" s="152">
        <f t="shared" si="923"/>
        <v>0</v>
      </c>
      <c r="AC471" s="143"/>
      <c r="AD471" s="155">
        <v>1952469640</v>
      </c>
      <c r="AE471" s="150"/>
      <c r="AF471" s="148">
        <v>7500000</v>
      </c>
      <c r="AG471" s="155"/>
      <c r="AH471" s="143">
        <f t="shared" si="519"/>
        <v>0</v>
      </c>
      <c r="AI471" s="151"/>
      <c r="AJ471" s="151">
        <f t="shared" ref="AJ471:AL471" si="924">P471-AE471</f>
        <v>0</v>
      </c>
      <c r="AK471" s="151">
        <f t="shared" si="924"/>
        <v>0</v>
      </c>
      <c r="AL471" s="151">
        <f t="shared" si="924"/>
        <v>0</v>
      </c>
      <c r="AM471" s="145"/>
      <c r="AN471" s="139"/>
      <c r="AO471" s="139"/>
      <c r="AP471" s="139"/>
      <c r="AQ471" s="145"/>
      <c r="AR471" s="145"/>
    </row>
    <row r="472" spans="1:44" s="156" customFormat="1" ht="63" x14ac:dyDescent="0.25">
      <c r="A472" s="143" t="s">
        <v>88</v>
      </c>
      <c r="B472" s="144">
        <v>459</v>
      </c>
      <c r="C472" s="143" t="s">
        <v>47</v>
      </c>
      <c r="D472" s="143" t="s">
        <v>2728</v>
      </c>
      <c r="E472" s="145" t="s">
        <v>377</v>
      </c>
      <c r="F472" s="146"/>
      <c r="G472" s="143" t="s">
        <v>2729</v>
      </c>
      <c r="H472" s="143" t="s">
        <v>2730</v>
      </c>
      <c r="I472" s="143"/>
      <c r="J472" s="143"/>
      <c r="K472" s="143"/>
      <c r="L472" s="143" t="s">
        <v>2731</v>
      </c>
      <c r="M472" s="143" t="s">
        <v>43</v>
      </c>
      <c r="N472" s="143" t="s">
        <v>2732</v>
      </c>
      <c r="O472" s="147">
        <v>42946103602</v>
      </c>
      <c r="P472" s="148">
        <v>1821979150</v>
      </c>
      <c r="Q472" s="148">
        <v>7500000</v>
      </c>
      <c r="R472" s="150"/>
      <c r="S472" s="147">
        <f t="shared" si="517"/>
        <v>44775582752</v>
      </c>
      <c r="T472" s="151">
        <v>42946103602</v>
      </c>
      <c r="U472" s="158">
        <v>1821979150</v>
      </c>
      <c r="V472" s="157"/>
      <c r="W472" s="143"/>
      <c r="X472" s="143"/>
      <c r="Y472" s="152">
        <f t="shared" ref="Y472:AB472" si="925">AD472-T472</f>
        <v>0</v>
      </c>
      <c r="Z472" s="151">
        <f t="shared" si="925"/>
        <v>0</v>
      </c>
      <c r="AA472" s="151">
        <f t="shared" si="925"/>
        <v>0</v>
      </c>
      <c r="AB472" s="152">
        <f t="shared" si="925"/>
        <v>0</v>
      </c>
      <c r="AC472" s="143"/>
      <c r="AD472" s="155">
        <v>42946103602</v>
      </c>
      <c r="AE472" s="148">
        <v>1821979150</v>
      </c>
      <c r="AF472" s="150"/>
      <c r="AG472" s="155"/>
      <c r="AH472" s="143">
        <f t="shared" si="519"/>
        <v>0</v>
      </c>
      <c r="AI472" s="151"/>
      <c r="AJ472" s="151">
        <f t="shared" ref="AJ472:AL472" si="926">P472-AE472</f>
        <v>0</v>
      </c>
      <c r="AK472" s="151">
        <f t="shared" si="926"/>
        <v>7500000</v>
      </c>
      <c r="AL472" s="151">
        <f t="shared" si="926"/>
        <v>0</v>
      </c>
      <c r="AM472" s="145"/>
      <c r="AN472" s="139"/>
      <c r="AO472" s="139"/>
      <c r="AP472" s="168" t="s">
        <v>3637</v>
      </c>
      <c r="AQ472" s="145"/>
      <c r="AR472" s="145" t="s">
        <v>3638</v>
      </c>
    </row>
    <row r="473" spans="1:44" s="156" customFormat="1" ht="31.5" x14ac:dyDescent="0.25">
      <c r="A473" s="143" t="s">
        <v>60</v>
      </c>
      <c r="B473" s="144">
        <v>460</v>
      </c>
      <c r="C473" s="143" t="s">
        <v>47</v>
      </c>
      <c r="D473" s="143" t="s">
        <v>2733</v>
      </c>
      <c r="E473" s="145"/>
      <c r="F473" s="146"/>
      <c r="G473" s="143" t="s">
        <v>2734</v>
      </c>
      <c r="H473" s="143"/>
      <c r="I473" s="143"/>
      <c r="J473" s="143"/>
      <c r="K473" s="143"/>
      <c r="L473" s="143" t="s">
        <v>2735</v>
      </c>
      <c r="M473" s="143" t="s">
        <v>43</v>
      </c>
      <c r="N473" s="143" t="s">
        <v>2736</v>
      </c>
      <c r="O473" s="147">
        <v>25138264737</v>
      </c>
      <c r="P473" s="150"/>
      <c r="Q473" s="148">
        <v>15000000</v>
      </c>
      <c r="R473" s="150"/>
      <c r="S473" s="147">
        <f t="shared" si="517"/>
        <v>25153264737</v>
      </c>
      <c r="T473" s="158">
        <v>25138264737</v>
      </c>
      <c r="U473" s="143"/>
      <c r="V473" s="147">
        <v>15000000</v>
      </c>
      <c r="W473" s="143"/>
      <c r="X473" s="143"/>
      <c r="Y473" s="152">
        <f t="shared" ref="Y473:AB473" si="927">AD473-T473</f>
        <v>0</v>
      </c>
      <c r="Z473" s="151">
        <f t="shared" si="927"/>
        <v>0</v>
      </c>
      <c r="AA473" s="151">
        <f t="shared" si="927"/>
        <v>0</v>
      </c>
      <c r="AB473" s="152">
        <f t="shared" si="927"/>
        <v>0</v>
      </c>
      <c r="AC473" s="143"/>
      <c r="AD473" s="149">
        <v>25138264737</v>
      </c>
      <c r="AE473" s="150"/>
      <c r="AF473" s="148">
        <v>15000000</v>
      </c>
      <c r="AG473" s="155"/>
      <c r="AH473" s="143">
        <f t="shared" si="519"/>
        <v>0</v>
      </c>
      <c r="AI473" s="151"/>
      <c r="AJ473" s="151">
        <f t="shared" ref="AJ473:AL473" si="928">P473-AE473</f>
        <v>0</v>
      </c>
      <c r="AK473" s="151">
        <f t="shared" si="928"/>
        <v>0</v>
      </c>
      <c r="AL473" s="151">
        <f t="shared" si="928"/>
        <v>0</v>
      </c>
      <c r="AM473" s="145"/>
      <c r="AN473" s="139"/>
      <c r="AO473" s="139"/>
      <c r="AP473" s="139"/>
      <c r="AQ473" s="145"/>
      <c r="AR473" s="145"/>
    </row>
    <row r="474" spans="1:44" s="156" customFormat="1" ht="47.25" x14ac:dyDescent="0.25">
      <c r="A474" s="143" t="s">
        <v>88</v>
      </c>
      <c r="B474" s="144">
        <v>461</v>
      </c>
      <c r="C474" s="143" t="s">
        <v>47</v>
      </c>
      <c r="D474" s="143" t="s">
        <v>2737</v>
      </c>
      <c r="E474" s="145"/>
      <c r="F474" s="146"/>
      <c r="G474" s="143" t="s">
        <v>2738</v>
      </c>
      <c r="H474" s="143"/>
      <c r="I474" s="143"/>
      <c r="J474" s="143"/>
      <c r="K474" s="143"/>
      <c r="L474" s="143" t="s">
        <v>2739</v>
      </c>
      <c r="M474" s="143" t="s">
        <v>43</v>
      </c>
      <c r="N474" s="143" t="s">
        <v>2740</v>
      </c>
      <c r="O474" s="147">
        <v>1315436172</v>
      </c>
      <c r="P474" s="150"/>
      <c r="Q474" s="148">
        <v>15000000</v>
      </c>
      <c r="R474" s="150"/>
      <c r="S474" s="147">
        <f t="shared" si="517"/>
        <v>1330436172</v>
      </c>
      <c r="T474" s="151">
        <v>1315436172</v>
      </c>
      <c r="U474" s="143"/>
      <c r="V474" s="147">
        <v>15000000</v>
      </c>
      <c r="W474" s="143"/>
      <c r="X474" s="143"/>
      <c r="Y474" s="152">
        <f t="shared" ref="Y474:AB474" si="929">AD474-T474</f>
        <v>0</v>
      </c>
      <c r="Z474" s="151">
        <f t="shared" si="929"/>
        <v>0</v>
      </c>
      <c r="AA474" s="151">
        <f t="shared" si="929"/>
        <v>0</v>
      </c>
      <c r="AB474" s="152">
        <f t="shared" si="929"/>
        <v>0</v>
      </c>
      <c r="AC474" s="143"/>
      <c r="AD474" s="155">
        <v>1315436172</v>
      </c>
      <c r="AE474" s="150"/>
      <c r="AF474" s="148">
        <v>15000000</v>
      </c>
      <c r="AG474" s="155"/>
      <c r="AH474" s="143">
        <f t="shared" si="519"/>
        <v>0</v>
      </c>
      <c r="AI474" s="151"/>
      <c r="AJ474" s="151">
        <f t="shared" ref="AJ474:AL474" si="930">P474-AE474</f>
        <v>0</v>
      </c>
      <c r="AK474" s="151">
        <f t="shared" si="930"/>
        <v>0</v>
      </c>
      <c r="AL474" s="151">
        <f t="shared" si="930"/>
        <v>0</v>
      </c>
      <c r="AM474" s="145"/>
      <c r="AN474" s="139"/>
      <c r="AO474" s="139"/>
      <c r="AP474" s="139"/>
      <c r="AQ474" s="145"/>
      <c r="AR474" s="145"/>
    </row>
    <row r="475" spans="1:44" s="156" customFormat="1" ht="31.5" x14ac:dyDescent="0.25">
      <c r="A475" s="143" t="s">
        <v>35</v>
      </c>
      <c r="B475" s="144">
        <v>462</v>
      </c>
      <c r="C475" s="143" t="s">
        <v>47</v>
      </c>
      <c r="D475" s="143" t="s">
        <v>2741</v>
      </c>
      <c r="E475" s="145"/>
      <c r="F475" s="145"/>
      <c r="G475" s="143" t="s">
        <v>2742</v>
      </c>
      <c r="H475" s="143"/>
      <c r="I475" s="143"/>
      <c r="J475" s="143"/>
      <c r="K475" s="143"/>
      <c r="L475" s="143" t="s">
        <v>2743</v>
      </c>
      <c r="M475" s="143" t="s">
        <v>43</v>
      </c>
      <c r="N475" s="143" t="s">
        <v>2744</v>
      </c>
      <c r="O475" s="147">
        <v>456882641</v>
      </c>
      <c r="P475" s="150"/>
      <c r="Q475" s="148">
        <v>7500000</v>
      </c>
      <c r="R475" s="150"/>
      <c r="S475" s="147">
        <f t="shared" si="517"/>
        <v>464382641</v>
      </c>
      <c r="T475" s="158">
        <v>456882641</v>
      </c>
      <c r="U475" s="143"/>
      <c r="V475" s="147">
        <v>7500000</v>
      </c>
      <c r="W475" s="143"/>
      <c r="X475" s="143"/>
      <c r="Y475" s="152">
        <f t="shared" ref="Y475:AB475" si="931">AD475-T475</f>
        <v>0</v>
      </c>
      <c r="Z475" s="151">
        <f t="shared" si="931"/>
        <v>0</v>
      </c>
      <c r="AA475" s="151">
        <f t="shared" si="931"/>
        <v>0</v>
      </c>
      <c r="AB475" s="152">
        <f t="shared" si="931"/>
        <v>0</v>
      </c>
      <c r="AC475" s="143"/>
      <c r="AD475" s="149">
        <v>456882641</v>
      </c>
      <c r="AE475" s="150"/>
      <c r="AF475" s="148">
        <v>7500000</v>
      </c>
      <c r="AG475" s="155"/>
      <c r="AH475" s="143">
        <f t="shared" si="519"/>
        <v>0</v>
      </c>
      <c r="AI475" s="151"/>
      <c r="AJ475" s="151">
        <f t="shared" ref="AJ475:AL475" si="932">P475-AE475</f>
        <v>0</v>
      </c>
      <c r="AK475" s="151">
        <f t="shared" si="932"/>
        <v>0</v>
      </c>
      <c r="AL475" s="151">
        <f t="shared" si="932"/>
        <v>0</v>
      </c>
      <c r="AM475" s="145"/>
      <c r="AN475" s="139"/>
      <c r="AO475" s="139"/>
      <c r="AP475" s="139"/>
      <c r="AQ475" s="145"/>
      <c r="AR475" s="145"/>
    </row>
    <row r="476" spans="1:44" s="156" customFormat="1" ht="47.25" x14ac:dyDescent="0.25">
      <c r="A476" s="143" t="s">
        <v>52</v>
      </c>
      <c r="B476" s="144">
        <v>463</v>
      </c>
      <c r="C476" s="143" t="s">
        <v>47</v>
      </c>
      <c r="D476" s="143" t="s">
        <v>2746</v>
      </c>
      <c r="E476" s="145"/>
      <c r="F476" s="146"/>
      <c r="G476" s="143" t="s">
        <v>2747</v>
      </c>
      <c r="H476" s="143"/>
      <c r="I476" s="143"/>
      <c r="J476" s="143"/>
      <c r="K476" s="143"/>
      <c r="L476" s="143" t="s">
        <v>2748</v>
      </c>
      <c r="M476" s="143" t="s">
        <v>43</v>
      </c>
      <c r="N476" s="143" t="s">
        <v>2749</v>
      </c>
      <c r="O476" s="147">
        <v>2133943076</v>
      </c>
      <c r="P476" s="150"/>
      <c r="Q476" s="148">
        <v>15000000</v>
      </c>
      <c r="R476" s="150"/>
      <c r="S476" s="147">
        <f t="shared" si="517"/>
        <v>2148943076</v>
      </c>
      <c r="T476" s="158">
        <v>2133943076</v>
      </c>
      <c r="U476" s="143"/>
      <c r="V476" s="147">
        <v>15000000</v>
      </c>
      <c r="W476" s="143"/>
      <c r="X476" s="143"/>
      <c r="Y476" s="152">
        <f t="shared" ref="Y476:AB476" si="933">AD476-T476</f>
        <v>0</v>
      </c>
      <c r="Z476" s="151">
        <f t="shared" si="933"/>
        <v>0</v>
      </c>
      <c r="AA476" s="151">
        <f t="shared" si="933"/>
        <v>0</v>
      </c>
      <c r="AB476" s="151">
        <f t="shared" si="933"/>
        <v>0</v>
      </c>
      <c r="AC476" s="143"/>
      <c r="AD476" s="149">
        <v>2133943076</v>
      </c>
      <c r="AE476" s="150"/>
      <c r="AF476" s="148">
        <v>15000000</v>
      </c>
      <c r="AG476" s="150"/>
      <c r="AH476" s="143">
        <f t="shared" si="519"/>
        <v>0</v>
      </c>
      <c r="AI476" s="151"/>
      <c r="AJ476" s="151">
        <f t="shared" ref="AJ476:AL476" si="934">P476-AE476</f>
        <v>0</v>
      </c>
      <c r="AK476" s="151">
        <f t="shared" si="934"/>
        <v>0</v>
      </c>
      <c r="AL476" s="151">
        <f t="shared" si="934"/>
        <v>0</v>
      </c>
      <c r="AM476" s="145"/>
      <c r="AN476" s="139"/>
      <c r="AO476" s="139"/>
      <c r="AP476" s="139"/>
      <c r="AQ476" s="145"/>
      <c r="AR476" s="145"/>
    </row>
    <row r="477" spans="1:44" s="156" customFormat="1" ht="31.5" x14ac:dyDescent="0.25">
      <c r="A477" s="143" t="s">
        <v>46</v>
      </c>
      <c r="B477" s="144">
        <v>464</v>
      </c>
      <c r="C477" s="143" t="s">
        <v>47</v>
      </c>
      <c r="D477" s="143" t="s">
        <v>2753</v>
      </c>
      <c r="E477" s="145"/>
      <c r="F477" s="145"/>
      <c r="G477" s="143" t="s">
        <v>2754</v>
      </c>
      <c r="H477" s="143"/>
      <c r="I477" s="143"/>
      <c r="J477" s="143"/>
      <c r="K477" s="143"/>
      <c r="L477" s="143" t="s">
        <v>2755</v>
      </c>
      <c r="M477" s="143" t="s">
        <v>43</v>
      </c>
      <c r="N477" s="143" t="s">
        <v>2756</v>
      </c>
      <c r="O477" s="147">
        <v>212669251</v>
      </c>
      <c r="P477" s="150"/>
      <c r="Q477" s="148">
        <v>7500000</v>
      </c>
      <c r="R477" s="150"/>
      <c r="S477" s="147">
        <f t="shared" si="517"/>
        <v>220169251</v>
      </c>
      <c r="T477" s="158">
        <v>212669251</v>
      </c>
      <c r="U477" s="143"/>
      <c r="V477" s="147">
        <v>7500000</v>
      </c>
      <c r="W477" s="143"/>
      <c r="X477" s="143"/>
      <c r="Y477" s="152">
        <f t="shared" ref="Y477:AB477" si="935">AD477-T477</f>
        <v>0</v>
      </c>
      <c r="Z477" s="151">
        <f t="shared" si="935"/>
        <v>0</v>
      </c>
      <c r="AA477" s="151">
        <f t="shared" si="935"/>
        <v>0</v>
      </c>
      <c r="AB477" s="152">
        <f t="shared" si="935"/>
        <v>0</v>
      </c>
      <c r="AC477" s="143"/>
      <c r="AD477" s="149">
        <v>212669251</v>
      </c>
      <c r="AE477" s="150"/>
      <c r="AF477" s="148">
        <v>7500000</v>
      </c>
      <c r="AG477" s="155"/>
      <c r="AH477" s="143">
        <f t="shared" si="519"/>
        <v>0</v>
      </c>
      <c r="AI477" s="151"/>
      <c r="AJ477" s="151">
        <f t="shared" ref="AJ477:AL477" si="936">P477-AE477</f>
        <v>0</v>
      </c>
      <c r="AK477" s="151">
        <f t="shared" si="936"/>
        <v>0</v>
      </c>
      <c r="AL477" s="151">
        <f t="shared" si="936"/>
        <v>0</v>
      </c>
      <c r="AM477" s="145"/>
      <c r="AN477" s="139"/>
      <c r="AO477" s="139"/>
      <c r="AP477" s="139"/>
      <c r="AQ477" s="145"/>
      <c r="AR477" s="145"/>
    </row>
    <row r="478" spans="1:44" s="156" customFormat="1" ht="31.5" x14ac:dyDescent="0.25">
      <c r="A478" s="143" t="s">
        <v>52</v>
      </c>
      <c r="B478" s="144">
        <v>465</v>
      </c>
      <c r="C478" s="143" t="s">
        <v>47</v>
      </c>
      <c r="D478" s="143" t="s">
        <v>2757</v>
      </c>
      <c r="E478" s="145"/>
      <c r="F478" s="146"/>
      <c r="G478" s="143" t="s">
        <v>2758</v>
      </c>
      <c r="H478" s="143"/>
      <c r="I478" s="143"/>
      <c r="J478" s="143"/>
      <c r="K478" s="143"/>
      <c r="L478" s="143" t="s">
        <v>2759</v>
      </c>
      <c r="M478" s="143" t="s">
        <v>43</v>
      </c>
      <c r="N478" s="143" t="s">
        <v>2760</v>
      </c>
      <c r="O478" s="147">
        <v>1529398466</v>
      </c>
      <c r="P478" s="150"/>
      <c r="Q478" s="148">
        <v>7500000</v>
      </c>
      <c r="R478" s="150"/>
      <c r="S478" s="147">
        <f t="shared" si="517"/>
        <v>1536898466</v>
      </c>
      <c r="T478" s="158">
        <v>1529398466</v>
      </c>
      <c r="U478" s="143"/>
      <c r="V478" s="147">
        <v>7500000</v>
      </c>
      <c r="W478" s="143"/>
      <c r="X478" s="143"/>
      <c r="Y478" s="152">
        <f t="shared" ref="Y478:AB478" si="937">AD478-T478</f>
        <v>0</v>
      </c>
      <c r="Z478" s="151">
        <f t="shared" si="937"/>
        <v>0</v>
      </c>
      <c r="AA478" s="151">
        <f t="shared" si="937"/>
        <v>0</v>
      </c>
      <c r="AB478" s="152">
        <f t="shared" si="937"/>
        <v>0</v>
      </c>
      <c r="AC478" s="143"/>
      <c r="AD478" s="149">
        <v>1529398466</v>
      </c>
      <c r="AE478" s="150"/>
      <c r="AF478" s="148">
        <v>7500000</v>
      </c>
      <c r="AG478" s="155"/>
      <c r="AH478" s="143">
        <f t="shared" si="519"/>
        <v>0</v>
      </c>
      <c r="AI478" s="151"/>
      <c r="AJ478" s="151">
        <f t="shared" ref="AJ478:AL478" si="938">P478-AE478</f>
        <v>0</v>
      </c>
      <c r="AK478" s="151">
        <f t="shared" si="938"/>
        <v>0</v>
      </c>
      <c r="AL478" s="151">
        <f t="shared" si="938"/>
        <v>0</v>
      </c>
      <c r="AM478" s="145"/>
      <c r="AN478" s="139"/>
      <c r="AO478" s="139"/>
      <c r="AP478" s="139"/>
      <c r="AQ478" s="145"/>
      <c r="AR478" s="145"/>
    </row>
    <row r="479" spans="1:44" s="156" customFormat="1" ht="63" x14ac:dyDescent="0.25">
      <c r="A479" s="143" t="s">
        <v>46</v>
      </c>
      <c r="B479" s="175">
        <v>466</v>
      </c>
      <c r="C479" s="145" t="s">
        <v>47</v>
      </c>
      <c r="D479" s="143" t="s">
        <v>925</v>
      </c>
      <c r="E479" s="145"/>
      <c r="F479" s="145" t="s">
        <v>3661</v>
      </c>
      <c r="G479" s="145" t="s">
        <v>927</v>
      </c>
      <c r="H479" s="145"/>
      <c r="I479" s="145"/>
      <c r="J479" s="145"/>
      <c r="K479" s="146"/>
      <c r="L479" s="145" t="s">
        <v>928</v>
      </c>
      <c r="M479" s="145" t="s">
        <v>43</v>
      </c>
      <c r="N479" s="145" t="s">
        <v>929</v>
      </c>
      <c r="O479" s="147">
        <v>9079262352</v>
      </c>
      <c r="P479" s="150"/>
      <c r="Q479" s="148">
        <v>15000000</v>
      </c>
      <c r="R479" s="148">
        <v>72000000</v>
      </c>
      <c r="S479" s="147">
        <f t="shared" si="517"/>
        <v>9166262352</v>
      </c>
      <c r="T479" s="158">
        <v>9079262352</v>
      </c>
      <c r="U479" s="143"/>
      <c r="V479" s="147">
        <v>15000000</v>
      </c>
      <c r="W479" s="143"/>
      <c r="X479" s="143"/>
      <c r="Y479" s="152">
        <f t="shared" ref="Y479:AB479" si="939">AD479-T479</f>
        <v>0</v>
      </c>
      <c r="Z479" s="151">
        <f t="shared" si="939"/>
        <v>0</v>
      </c>
      <c r="AA479" s="151">
        <f t="shared" si="939"/>
        <v>0</v>
      </c>
      <c r="AB479" s="151">
        <f t="shared" si="939"/>
        <v>0</v>
      </c>
      <c r="AC479" s="165"/>
      <c r="AD479" s="149">
        <v>9079262352</v>
      </c>
      <c r="AE479" s="150"/>
      <c r="AF479" s="148">
        <v>15000000</v>
      </c>
      <c r="AG479" s="150"/>
      <c r="AH479" s="166">
        <f t="shared" si="519"/>
        <v>0</v>
      </c>
      <c r="AI479" s="151"/>
      <c r="AJ479" s="151">
        <f t="shared" ref="AJ479:AL479" si="940">P479-AE479</f>
        <v>0</v>
      </c>
      <c r="AK479" s="151">
        <f t="shared" si="940"/>
        <v>0</v>
      </c>
      <c r="AL479" s="150">
        <f t="shared" si="940"/>
        <v>72000000</v>
      </c>
      <c r="AM479" s="145"/>
      <c r="AN479" s="139"/>
      <c r="AO479" s="139"/>
      <c r="AP479" s="139"/>
      <c r="AQ479" s="145" t="s">
        <v>3662</v>
      </c>
      <c r="AR479" s="145"/>
    </row>
    <row r="480" spans="1:44" s="156" customFormat="1" ht="31.5" x14ac:dyDescent="0.25">
      <c r="A480" s="143" t="s">
        <v>52</v>
      </c>
      <c r="B480" s="144">
        <v>467</v>
      </c>
      <c r="C480" s="143" t="s">
        <v>47</v>
      </c>
      <c r="D480" s="143" t="s">
        <v>2761</v>
      </c>
      <c r="E480" s="145"/>
      <c r="F480" s="146"/>
      <c r="G480" s="143" t="s">
        <v>2762</v>
      </c>
      <c r="H480" s="143"/>
      <c r="I480" s="143"/>
      <c r="J480" s="143"/>
      <c r="K480" s="143"/>
      <c r="L480" s="143" t="s">
        <v>2763</v>
      </c>
      <c r="M480" s="143" t="s">
        <v>43</v>
      </c>
      <c r="N480" s="143" t="s">
        <v>2764</v>
      </c>
      <c r="O480" s="147">
        <v>693114964</v>
      </c>
      <c r="P480" s="150"/>
      <c r="Q480" s="148">
        <v>15000000</v>
      </c>
      <c r="R480" s="150"/>
      <c r="S480" s="147">
        <f t="shared" si="517"/>
        <v>708114964</v>
      </c>
      <c r="T480" s="158">
        <v>693114964</v>
      </c>
      <c r="U480" s="143"/>
      <c r="V480" s="147">
        <v>15000000</v>
      </c>
      <c r="W480" s="143"/>
      <c r="X480" s="143"/>
      <c r="Y480" s="152">
        <f t="shared" ref="Y480:AB480" si="941">AD480-T480</f>
        <v>0</v>
      </c>
      <c r="Z480" s="151">
        <f t="shared" si="941"/>
        <v>0</v>
      </c>
      <c r="AA480" s="151">
        <f t="shared" si="941"/>
        <v>0</v>
      </c>
      <c r="AB480" s="152">
        <f t="shared" si="941"/>
        <v>0</v>
      </c>
      <c r="AC480" s="143"/>
      <c r="AD480" s="149">
        <v>693114964</v>
      </c>
      <c r="AE480" s="184"/>
      <c r="AF480" s="148">
        <v>15000000</v>
      </c>
      <c r="AG480" s="182"/>
      <c r="AH480" s="143">
        <f t="shared" si="519"/>
        <v>0</v>
      </c>
      <c r="AI480" s="151"/>
      <c r="AJ480" s="151">
        <f t="shared" ref="AJ480:AL480" si="942">P480-AE480</f>
        <v>0</v>
      </c>
      <c r="AK480" s="151">
        <f t="shared" si="942"/>
        <v>0</v>
      </c>
      <c r="AL480" s="151">
        <f t="shared" si="942"/>
        <v>0</v>
      </c>
      <c r="AM480" s="145"/>
      <c r="AN480" s="139"/>
      <c r="AO480" s="139"/>
      <c r="AP480" s="139"/>
      <c r="AQ480" s="145"/>
      <c r="AR480" s="145"/>
    </row>
    <row r="481" spans="1:44" s="156" customFormat="1" ht="31.5" x14ac:dyDescent="0.25">
      <c r="A481" s="143" t="s">
        <v>88</v>
      </c>
      <c r="B481" s="144">
        <v>468</v>
      </c>
      <c r="C481" s="143" t="s">
        <v>47</v>
      </c>
      <c r="D481" s="143" t="s">
        <v>2765</v>
      </c>
      <c r="E481" s="145"/>
      <c r="F481" s="146"/>
      <c r="G481" s="143" t="s">
        <v>2766</v>
      </c>
      <c r="H481" s="143"/>
      <c r="I481" s="143"/>
      <c r="J481" s="143"/>
      <c r="K481" s="143"/>
      <c r="L481" s="143" t="s">
        <v>2767</v>
      </c>
      <c r="M481" s="143" t="s">
        <v>43</v>
      </c>
      <c r="N481" s="143" t="s">
        <v>2768</v>
      </c>
      <c r="O481" s="147">
        <v>37588800</v>
      </c>
      <c r="P481" s="150"/>
      <c r="Q481" s="148">
        <v>7500000</v>
      </c>
      <c r="R481" s="150"/>
      <c r="S481" s="147">
        <f t="shared" si="517"/>
        <v>45088800</v>
      </c>
      <c r="T481" s="151">
        <v>37588800</v>
      </c>
      <c r="U481" s="143"/>
      <c r="V481" s="147">
        <v>7500000</v>
      </c>
      <c r="W481" s="143"/>
      <c r="X481" s="143"/>
      <c r="Y481" s="152">
        <f t="shared" ref="Y481:AB481" si="943">AD481-T481</f>
        <v>0</v>
      </c>
      <c r="Z481" s="151">
        <f t="shared" si="943"/>
        <v>0</v>
      </c>
      <c r="AA481" s="151">
        <f t="shared" si="943"/>
        <v>0</v>
      </c>
      <c r="AB481" s="152">
        <f t="shared" si="943"/>
        <v>0</v>
      </c>
      <c r="AC481" s="143"/>
      <c r="AD481" s="155">
        <v>37588800</v>
      </c>
      <c r="AE481" s="150"/>
      <c r="AF481" s="148">
        <v>7500000</v>
      </c>
      <c r="AG481" s="155"/>
      <c r="AH481" s="143">
        <f t="shared" si="519"/>
        <v>0</v>
      </c>
      <c r="AI481" s="151"/>
      <c r="AJ481" s="151">
        <f t="shared" ref="AJ481:AL481" si="944">P481-AE481</f>
        <v>0</v>
      </c>
      <c r="AK481" s="151">
        <f t="shared" si="944"/>
        <v>0</v>
      </c>
      <c r="AL481" s="151">
        <f t="shared" si="944"/>
        <v>0</v>
      </c>
      <c r="AM481" s="145"/>
      <c r="AN481" s="139"/>
      <c r="AO481" s="139"/>
      <c r="AP481" s="139"/>
      <c r="AQ481" s="145"/>
      <c r="AR481" s="145"/>
    </row>
    <row r="482" spans="1:44" s="156" customFormat="1" ht="47.25" x14ac:dyDescent="0.25">
      <c r="A482" s="143" t="s">
        <v>35</v>
      </c>
      <c r="B482" s="144">
        <v>469</v>
      </c>
      <c r="C482" s="143" t="s">
        <v>47</v>
      </c>
      <c r="D482" s="143" t="s">
        <v>2769</v>
      </c>
      <c r="E482" s="145" t="s">
        <v>2770</v>
      </c>
      <c r="F482" s="145"/>
      <c r="G482" s="143" t="s">
        <v>2771</v>
      </c>
      <c r="H482" s="143"/>
      <c r="I482" s="143"/>
      <c r="J482" s="143"/>
      <c r="K482" s="143"/>
      <c r="L482" s="143" t="s">
        <v>2772</v>
      </c>
      <c r="M482" s="143" t="s">
        <v>43</v>
      </c>
      <c r="N482" s="143" t="s">
        <v>2773</v>
      </c>
      <c r="O482" s="147">
        <v>7705087400</v>
      </c>
      <c r="P482" s="148">
        <v>1014623280</v>
      </c>
      <c r="Q482" s="148">
        <v>15000000</v>
      </c>
      <c r="R482" s="150"/>
      <c r="S482" s="147">
        <f t="shared" si="517"/>
        <v>8734710680</v>
      </c>
      <c r="T482" s="158">
        <v>7705087400</v>
      </c>
      <c r="U482" s="158">
        <v>1014623280</v>
      </c>
      <c r="V482" s="147">
        <v>15000000</v>
      </c>
      <c r="W482" s="143"/>
      <c r="X482" s="143"/>
      <c r="Y482" s="152">
        <f t="shared" ref="Y482:AB482" si="945">AD482-T482</f>
        <v>0</v>
      </c>
      <c r="Z482" s="151">
        <f t="shared" si="945"/>
        <v>0</v>
      </c>
      <c r="AA482" s="151">
        <f t="shared" si="945"/>
        <v>0</v>
      </c>
      <c r="AB482" s="151">
        <f t="shared" si="945"/>
        <v>0</v>
      </c>
      <c r="AC482" s="143"/>
      <c r="AD482" s="149">
        <v>7705087400</v>
      </c>
      <c r="AE482" s="148">
        <v>1014623280</v>
      </c>
      <c r="AF482" s="148">
        <v>15000000</v>
      </c>
      <c r="AG482" s="150"/>
      <c r="AH482" s="143">
        <f t="shared" si="519"/>
        <v>0</v>
      </c>
      <c r="AI482" s="151"/>
      <c r="AJ482" s="151">
        <f t="shared" ref="AJ482:AL482" si="946">P482-AE482</f>
        <v>0</v>
      </c>
      <c r="AK482" s="151">
        <f t="shared" si="946"/>
        <v>0</v>
      </c>
      <c r="AL482" s="151">
        <f t="shared" si="946"/>
        <v>0</v>
      </c>
      <c r="AM482" s="145"/>
      <c r="AN482" s="139"/>
      <c r="AO482" s="139"/>
      <c r="AP482" s="139"/>
      <c r="AQ482" s="145"/>
      <c r="AR482" s="145"/>
    </row>
    <row r="483" spans="1:44" s="156" customFormat="1" ht="47.25" x14ac:dyDescent="0.25">
      <c r="A483" s="143" t="s">
        <v>52</v>
      </c>
      <c r="B483" s="144">
        <v>470</v>
      </c>
      <c r="C483" s="143" t="s">
        <v>47</v>
      </c>
      <c r="D483" s="143" t="s">
        <v>2774</v>
      </c>
      <c r="E483" s="145" t="s">
        <v>2775</v>
      </c>
      <c r="F483" s="146"/>
      <c r="G483" s="143" t="s">
        <v>2776</v>
      </c>
      <c r="H483" s="143" t="s">
        <v>2777</v>
      </c>
      <c r="I483" s="143"/>
      <c r="J483" s="143"/>
      <c r="K483" s="143"/>
      <c r="L483" s="143" t="s">
        <v>2778</v>
      </c>
      <c r="M483" s="143" t="s">
        <v>43</v>
      </c>
      <c r="N483" s="143" t="s">
        <v>2779</v>
      </c>
      <c r="O483" s="147">
        <v>2275010156</v>
      </c>
      <c r="P483" s="148">
        <v>937174816</v>
      </c>
      <c r="Q483" s="148">
        <v>7500000</v>
      </c>
      <c r="R483" s="150"/>
      <c r="S483" s="147">
        <f t="shared" si="517"/>
        <v>3219684972</v>
      </c>
      <c r="T483" s="158">
        <v>2275010156</v>
      </c>
      <c r="U483" s="158">
        <v>937174816</v>
      </c>
      <c r="V483" s="147">
        <v>7500000</v>
      </c>
      <c r="W483" s="143"/>
      <c r="X483" s="143"/>
      <c r="Y483" s="152">
        <f t="shared" ref="Y483:AB483" si="947">AD483-T483</f>
        <v>0</v>
      </c>
      <c r="Z483" s="151">
        <f t="shared" si="947"/>
        <v>0</v>
      </c>
      <c r="AA483" s="151">
        <f t="shared" si="947"/>
        <v>0</v>
      </c>
      <c r="AB483" s="151">
        <f t="shared" si="947"/>
        <v>0</v>
      </c>
      <c r="AC483" s="143"/>
      <c r="AD483" s="149">
        <v>2275010156</v>
      </c>
      <c r="AE483" s="148">
        <v>937174816</v>
      </c>
      <c r="AF483" s="148">
        <v>7500000</v>
      </c>
      <c r="AG483" s="150"/>
      <c r="AH483" s="143">
        <f t="shared" si="519"/>
        <v>0</v>
      </c>
      <c r="AI483" s="151"/>
      <c r="AJ483" s="151">
        <f t="shared" ref="AJ483:AL483" si="948">P483-AE483</f>
        <v>0</v>
      </c>
      <c r="AK483" s="151">
        <f t="shared" si="948"/>
        <v>0</v>
      </c>
      <c r="AL483" s="151">
        <f t="shared" si="948"/>
        <v>0</v>
      </c>
      <c r="AM483" s="145"/>
      <c r="AN483" s="139"/>
      <c r="AO483" s="139"/>
      <c r="AP483" s="139"/>
      <c r="AQ483" s="145"/>
      <c r="AR483" s="145"/>
    </row>
    <row r="484" spans="1:44" s="156" customFormat="1" ht="47.25" x14ac:dyDescent="0.25">
      <c r="A484" s="143" t="s">
        <v>52</v>
      </c>
      <c r="B484" s="144">
        <v>471</v>
      </c>
      <c r="C484" s="143" t="s">
        <v>47</v>
      </c>
      <c r="D484" s="143" t="s">
        <v>2780</v>
      </c>
      <c r="E484" s="145"/>
      <c r="F484" s="146"/>
      <c r="G484" s="143" t="s">
        <v>2781</v>
      </c>
      <c r="H484" s="143"/>
      <c r="I484" s="143"/>
      <c r="J484" s="143"/>
      <c r="K484" s="143"/>
      <c r="L484" s="143" t="s">
        <v>2782</v>
      </c>
      <c r="M484" s="143" t="s">
        <v>43</v>
      </c>
      <c r="N484" s="143" t="s">
        <v>2783</v>
      </c>
      <c r="O484" s="147">
        <v>2904186194</v>
      </c>
      <c r="P484" s="150"/>
      <c r="Q484" s="148">
        <v>7500000</v>
      </c>
      <c r="R484" s="150"/>
      <c r="S484" s="147">
        <f t="shared" si="517"/>
        <v>2911686194</v>
      </c>
      <c r="T484" s="158">
        <v>2904186194</v>
      </c>
      <c r="U484" s="143"/>
      <c r="V484" s="147">
        <v>7500000</v>
      </c>
      <c r="W484" s="143"/>
      <c r="X484" s="143"/>
      <c r="Y484" s="152">
        <f t="shared" ref="Y484:AB484" si="949">AD484-T484</f>
        <v>0</v>
      </c>
      <c r="Z484" s="151">
        <f t="shared" si="949"/>
        <v>0</v>
      </c>
      <c r="AA484" s="151">
        <f t="shared" si="949"/>
        <v>0</v>
      </c>
      <c r="AB484" s="152">
        <f t="shared" si="949"/>
        <v>0</v>
      </c>
      <c r="AC484" s="143"/>
      <c r="AD484" s="149">
        <v>2904186194</v>
      </c>
      <c r="AE484" s="150"/>
      <c r="AF484" s="148">
        <v>7500000</v>
      </c>
      <c r="AG484" s="155"/>
      <c r="AH484" s="143">
        <f t="shared" si="519"/>
        <v>0</v>
      </c>
      <c r="AI484" s="151"/>
      <c r="AJ484" s="151">
        <f t="shared" ref="AJ484:AL484" si="950">P484-AE484</f>
        <v>0</v>
      </c>
      <c r="AK484" s="151">
        <f t="shared" si="950"/>
        <v>0</v>
      </c>
      <c r="AL484" s="151">
        <f t="shared" si="950"/>
        <v>0</v>
      </c>
      <c r="AM484" s="145"/>
      <c r="AN484" s="139"/>
      <c r="AO484" s="139"/>
      <c r="AP484" s="139"/>
      <c r="AQ484" s="145"/>
      <c r="AR484" s="145"/>
    </row>
    <row r="485" spans="1:44" s="156" customFormat="1" ht="31.5" x14ac:dyDescent="0.25">
      <c r="A485" s="143" t="s">
        <v>52</v>
      </c>
      <c r="B485" s="144">
        <v>472</v>
      </c>
      <c r="C485" s="143" t="s">
        <v>47</v>
      </c>
      <c r="D485" s="143" t="s">
        <v>2784</v>
      </c>
      <c r="E485" s="145"/>
      <c r="F485" s="146"/>
      <c r="G485" s="143" t="s">
        <v>2785</v>
      </c>
      <c r="H485" s="143"/>
      <c r="I485" s="143"/>
      <c r="J485" s="143"/>
      <c r="K485" s="143"/>
      <c r="L485" s="143" t="s">
        <v>2786</v>
      </c>
      <c r="M485" s="143" t="s">
        <v>43</v>
      </c>
      <c r="N485" s="143" t="s">
        <v>2787</v>
      </c>
      <c r="O485" s="147">
        <v>562558528</v>
      </c>
      <c r="P485" s="150"/>
      <c r="Q485" s="148">
        <v>15000000</v>
      </c>
      <c r="R485" s="150"/>
      <c r="S485" s="147">
        <f t="shared" si="517"/>
        <v>577558528</v>
      </c>
      <c r="T485" s="158">
        <v>562558528</v>
      </c>
      <c r="U485" s="143"/>
      <c r="V485" s="147">
        <v>15000000</v>
      </c>
      <c r="W485" s="143"/>
      <c r="X485" s="143"/>
      <c r="Y485" s="152">
        <f t="shared" ref="Y485:AB485" si="951">AD485-T485</f>
        <v>0</v>
      </c>
      <c r="Z485" s="151">
        <f t="shared" si="951"/>
        <v>0</v>
      </c>
      <c r="AA485" s="151">
        <f t="shared" si="951"/>
        <v>0</v>
      </c>
      <c r="AB485" s="152">
        <f t="shared" si="951"/>
        <v>0</v>
      </c>
      <c r="AC485" s="143"/>
      <c r="AD485" s="149">
        <v>562558528</v>
      </c>
      <c r="AE485" s="184"/>
      <c r="AF485" s="148">
        <v>15000000</v>
      </c>
      <c r="AG485" s="182"/>
      <c r="AH485" s="143">
        <f t="shared" si="519"/>
        <v>0</v>
      </c>
      <c r="AI485" s="151"/>
      <c r="AJ485" s="151">
        <f t="shared" ref="AJ485:AL485" si="952">P485-AE485</f>
        <v>0</v>
      </c>
      <c r="AK485" s="151">
        <f t="shared" si="952"/>
        <v>0</v>
      </c>
      <c r="AL485" s="151">
        <f t="shared" si="952"/>
        <v>0</v>
      </c>
      <c r="AM485" s="145"/>
      <c r="AN485" s="139"/>
      <c r="AO485" s="139"/>
      <c r="AP485" s="139"/>
      <c r="AQ485" s="145"/>
      <c r="AR485" s="145"/>
    </row>
    <row r="486" spans="1:44" s="156" customFormat="1" ht="47.25" x14ac:dyDescent="0.25">
      <c r="A486" s="143" t="s">
        <v>60</v>
      </c>
      <c r="B486" s="144">
        <v>473</v>
      </c>
      <c r="C486" s="143" t="s">
        <v>47</v>
      </c>
      <c r="D486" s="143" t="s">
        <v>2788</v>
      </c>
      <c r="E486" s="145" t="s">
        <v>2789</v>
      </c>
      <c r="F486" s="146"/>
      <c r="G486" s="143" t="s">
        <v>2790</v>
      </c>
      <c r="H486" s="143" t="s">
        <v>2791</v>
      </c>
      <c r="I486" s="143"/>
      <c r="J486" s="143"/>
      <c r="K486" s="143"/>
      <c r="L486" s="143" t="s">
        <v>2792</v>
      </c>
      <c r="M486" s="143" t="s">
        <v>43</v>
      </c>
      <c r="N486" s="143" t="s">
        <v>2793</v>
      </c>
      <c r="O486" s="147">
        <v>7291876999</v>
      </c>
      <c r="P486" s="148">
        <v>7483383371</v>
      </c>
      <c r="Q486" s="148">
        <v>7500000</v>
      </c>
      <c r="R486" s="150"/>
      <c r="S486" s="147">
        <f t="shared" si="517"/>
        <v>14782760370</v>
      </c>
      <c r="T486" s="158">
        <v>7291876999</v>
      </c>
      <c r="U486" s="158">
        <v>7483383371</v>
      </c>
      <c r="V486" s="147">
        <v>7500000</v>
      </c>
      <c r="W486" s="143"/>
      <c r="X486" s="143"/>
      <c r="Y486" s="152">
        <f t="shared" ref="Y486:AB486" si="953">AD486-T486</f>
        <v>0</v>
      </c>
      <c r="Z486" s="151">
        <f t="shared" si="953"/>
        <v>0</v>
      </c>
      <c r="AA486" s="151">
        <f t="shared" si="953"/>
        <v>0</v>
      </c>
      <c r="AB486" s="152">
        <f t="shared" si="953"/>
        <v>0</v>
      </c>
      <c r="AC486" s="143"/>
      <c r="AD486" s="149">
        <v>7291876999</v>
      </c>
      <c r="AE486" s="148">
        <v>7483383371</v>
      </c>
      <c r="AF486" s="148">
        <v>7500000</v>
      </c>
      <c r="AG486" s="155"/>
      <c r="AH486" s="143">
        <f t="shared" si="519"/>
        <v>0</v>
      </c>
      <c r="AI486" s="151"/>
      <c r="AJ486" s="151">
        <f t="shared" ref="AJ486:AL486" si="954">P486-AE486</f>
        <v>0</v>
      </c>
      <c r="AK486" s="151">
        <f t="shared" si="954"/>
        <v>0</v>
      </c>
      <c r="AL486" s="151">
        <f t="shared" si="954"/>
        <v>0</v>
      </c>
      <c r="AM486" s="145"/>
      <c r="AN486" s="139"/>
      <c r="AO486" s="139"/>
      <c r="AP486" s="139"/>
      <c r="AQ486" s="145"/>
      <c r="AR486" s="145"/>
    </row>
    <row r="487" spans="1:44" s="156" customFormat="1" ht="47.25" x14ac:dyDescent="0.25">
      <c r="A487" s="143" t="s">
        <v>60</v>
      </c>
      <c r="B487" s="144">
        <v>474</v>
      </c>
      <c r="C487" s="143" t="s">
        <v>47</v>
      </c>
      <c r="D487" s="143" t="s">
        <v>2794</v>
      </c>
      <c r="E487" s="145"/>
      <c r="F487" s="146"/>
      <c r="G487" s="143" t="s">
        <v>2795</v>
      </c>
      <c r="H487" s="143"/>
      <c r="I487" s="143"/>
      <c r="J487" s="143"/>
      <c r="K487" s="143"/>
      <c r="L487" s="143" t="s">
        <v>2796</v>
      </c>
      <c r="M487" s="143" t="s">
        <v>43</v>
      </c>
      <c r="N487" s="143" t="s">
        <v>242</v>
      </c>
      <c r="O487" s="147">
        <v>919227558</v>
      </c>
      <c r="P487" s="150"/>
      <c r="Q487" s="148">
        <v>15000000</v>
      </c>
      <c r="R487" s="150"/>
      <c r="S487" s="147">
        <f t="shared" si="517"/>
        <v>934227558</v>
      </c>
      <c r="T487" s="158">
        <v>919227558</v>
      </c>
      <c r="U487" s="143"/>
      <c r="V487" s="147">
        <v>15000000</v>
      </c>
      <c r="W487" s="143"/>
      <c r="X487" s="143"/>
      <c r="Y487" s="152">
        <f t="shared" ref="Y487:AB487" si="955">AD487-T487</f>
        <v>0</v>
      </c>
      <c r="Z487" s="151">
        <f t="shared" si="955"/>
        <v>0</v>
      </c>
      <c r="AA487" s="151">
        <f t="shared" si="955"/>
        <v>0</v>
      </c>
      <c r="AB487" s="152">
        <f t="shared" si="955"/>
        <v>0</v>
      </c>
      <c r="AC487" s="143"/>
      <c r="AD487" s="149">
        <v>919227558</v>
      </c>
      <c r="AE487" s="150"/>
      <c r="AF487" s="148">
        <v>15000000</v>
      </c>
      <c r="AG487" s="155"/>
      <c r="AH487" s="143">
        <f t="shared" si="519"/>
        <v>0</v>
      </c>
      <c r="AI487" s="151"/>
      <c r="AJ487" s="151">
        <f t="shared" ref="AJ487:AL487" si="956">P487-AE487</f>
        <v>0</v>
      </c>
      <c r="AK487" s="151">
        <f t="shared" si="956"/>
        <v>0</v>
      </c>
      <c r="AL487" s="151">
        <f t="shared" si="956"/>
        <v>0</v>
      </c>
      <c r="AM487" s="145"/>
      <c r="AN487" s="139"/>
      <c r="AO487" s="139"/>
      <c r="AP487" s="139"/>
      <c r="AQ487" s="145"/>
      <c r="AR487" s="145"/>
    </row>
    <row r="488" spans="1:44" s="156" customFormat="1" ht="47.25" x14ac:dyDescent="0.25">
      <c r="A488" s="143" t="s">
        <v>88</v>
      </c>
      <c r="B488" s="144">
        <v>475</v>
      </c>
      <c r="C488" s="143" t="s">
        <v>47</v>
      </c>
      <c r="D488" s="143" t="s">
        <v>2797</v>
      </c>
      <c r="E488" s="145"/>
      <c r="F488" s="145"/>
      <c r="G488" s="143" t="s">
        <v>2798</v>
      </c>
      <c r="H488" s="143"/>
      <c r="I488" s="143"/>
      <c r="J488" s="143"/>
      <c r="K488" s="143"/>
      <c r="L488" s="143" t="s">
        <v>2799</v>
      </c>
      <c r="M488" s="143" t="s">
        <v>43</v>
      </c>
      <c r="N488" s="143" t="s">
        <v>2800</v>
      </c>
      <c r="O488" s="147">
        <v>8961548836</v>
      </c>
      <c r="P488" s="150"/>
      <c r="Q488" s="148">
        <v>7500000</v>
      </c>
      <c r="R488" s="150"/>
      <c r="S488" s="147">
        <f t="shared" si="517"/>
        <v>8969048836</v>
      </c>
      <c r="T488" s="158">
        <v>8961548836</v>
      </c>
      <c r="U488" s="143"/>
      <c r="V488" s="147">
        <v>7500000</v>
      </c>
      <c r="W488" s="143"/>
      <c r="X488" s="143"/>
      <c r="Y488" s="152">
        <f t="shared" ref="Y488:AB488" si="957">AD488-T488</f>
        <v>0</v>
      </c>
      <c r="Z488" s="151">
        <f t="shared" si="957"/>
        <v>0</v>
      </c>
      <c r="AA488" s="151">
        <f t="shared" si="957"/>
        <v>0</v>
      </c>
      <c r="AB488" s="152">
        <f t="shared" si="957"/>
        <v>0</v>
      </c>
      <c r="AC488" s="143"/>
      <c r="AD488" s="149">
        <v>8961548836</v>
      </c>
      <c r="AE488" s="150"/>
      <c r="AF488" s="148">
        <v>7500000</v>
      </c>
      <c r="AG488" s="155"/>
      <c r="AH488" s="143">
        <f t="shared" si="519"/>
        <v>0</v>
      </c>
      <c r="AI488" s="151"/>
      <c r="AJ488" s="151">
        <f t="shared" ref="AJ488:AL488" si="958">P488-AE488</f>
        <v>0</v>
      </c>
      <c r="AK488" s="151">
        <f t="shared" si="958"/>
        <v>0</v>
      </c>
      <c r="AL488" s="151">
        <f t="shared" si="958"/>
        <v>0</v>
      </c>
      <c r="AM488" s="145"/>
      <c r="AN488" s="139"/>
      <c r="AO488" s="139"/>
      <c r="AP488" s="139"/>
      <c r="AQ488" s="145"/>
      <c r="AR488" s="145"/>
    </row>
    <row r="489" spans="1:44" s="156" customFormat="1" ht="31.5" x14ac:dyDescent="0.25">
      <c r="A489" s="143" t="s">
        <v>46</v>
      </c>
      <c r="B489" s="175">
        <v>476</v>
      </c>
      <c r="C489" s="145" t="s">
        <v>47</v>
      </c>
      <c r="D489" s="143" t="s">
        <v>1311</v>
      </c>
      <c r="E489" s="145"/>
      <c r="F489" s="145" t="s">
        <v>464</v>
      </c>
      <c r="G489" s="145" t="s">
        <v>1312</v>
      </c>
      <c r="H489" s="145"/>
      <c r="I489" s="145"/>
      <c r="J489" s="145"/>
      <c r="K489" s="146"/>
      <c r="L489" s="145" t="s">
        <v>1313</v>
      </c>
      <c r="M489" s="145" t="s">
        <v>43</v>
      </c>
      <c r="N489" s="145" t="s">
        <v>1314</v>
      </c>
      <c r="O489" s="147">
        <v>20421915934</v>
      </c>
      <c r="P489" s="150"/>
      <c r="Q489" s="148">
        <v>15000000</v>
      </c>
      <c r="R489" s="148">
        <v>48000000</v>
      </c>
      <c r="S489" s="147">
        <f t="shared" si="517"/>
        <v>20484915934</v>
      </c>
      <c r="T489" s="158">
        <v>20421915934</v>
      </c>
      <c r="U489" s="143"/>
      <c r="V489" s="157"/>
      <c r="W489" s="143"/>
      <c r="X489" s="143"/>
      <c r="Y489" s="152">
        <f t="shared" ref="Y489:AB489" si="959">AD489-T489</f>
        <v>0</v>
      </c>
      <c r="Z489" s="151">
        <f t="shared" si="959"/>
        <v>0</v>
      </c>
      <c r="AA489" s="151">
        <f t="shared" si="959"/>
        <v>0</v>
      </c>
      <c r="AB489" s="151">
        <f t="shared" si="959"/>
        <v>0</v>
      </c>
      <c r="AC489" s="165"/>
      <c r="AD489" s="149">
        <v>20421915934</v>
      </c>
      <c r="AE489" s="150"/>
      <c r="AF489" s="150"/>
      <c r="AG489" s="150"/>
      <c r="AH489" s="166">
        <f t="shared" si="519"/>
        <v>0</v>
      </c>
      <c r="AI489" s="151"/>
      <c r="AJ489" s="151">
        <f t="shared" ref="AJ489:AL489" si="960">P489-AE489</f>
        <v>0</v>
      </c>
      <c r="AK489" s="151">
        <f t="shared" si="960"/>
        <v>15000000</v>
      </c>
      <c r="AL489" s="150">
        <f t="shared" si="960"/>
        <v>48000000</v>
      </c>
      <c r="AM489" s="145"/>
      <c r="AN489" s="139"/>
      <c r="AO489" s="139"/>
      <c r="AP489" s="162" t="s">
        <v>2013</v>
      </c>
      <c r="AQ489" s="145" t="s">
        <v>2520</v>
      </c>
      <c r="AR489" s="145"/>
    </row>
    <row r="490" spans="1:44" s="156" customFormat="1" ht="31.5" x14ac:dyDescent="0.25">
      <c r="A490" s="143" t="s">
        <v>88</v>
      </c>
      <c r="B490" s="144">
        <v>477</v>
      </c>
      <c r="C490" s="143" t="s">
        <v>47</v>
      </c>
      <c r="D490" s="143" t="s">
        <v>2804</v>
      </c>
      <c r="E490" s="145"/>
      <c r="F490" s="145"/>
      <c r="G490" s="143" t="s">
        <v>2805</v>
      </c>
      <c r="H490" s="143"/>
      <c r="I490" s="143"/>
      <c r="J490" s="143"/>
      <c r="K490" s="143"/>
      <c r="L490" s="143" t="s">
        <v>2806</v>
      </c>
      <c r="M490" s="143" t="s">
        <v>43</v>
      </c>
      <c r="N490" s="143" t="s">
        <v>2807</v>
      </c>
      <c r="O490" s="147">
        <v>4075525074</v>
      </c>
      <c r="P490" s="150"/>
      <c r="Q490" s="148">
        <v>15000000</v>
      </c>
      <c r="R490" s="150"/>
      <c r="S490" s="147">
        <f t="shared" si="517"/>
        <v>4090525074</v>
      </c>
      <c r="T490" s="151">
        <v>4075525074</v>
      </c>
      <c r="U490" s="143"/>
      <c r="V490" s="147">
        <v>15000000</v>
      </c>
      <c r="W490" s="143"/>
      <c r="X490" s="143"/>
      <c r="Y490" s="152">
        <f t="shared" ref="Y490:AB490" si="961">AD490-T490</f>
        <v>0</v>
      </c>
      <c r="Z490" s="151">
        <f t="shared" si="961"/>
        <v>0</v>
      </c>
      <c r="AA490" s="151">
        <f t="shared" si="961"/>
        <v>0</v>
      </c>
      <c r="AB490" s="152">
        <f t="shared" si="961"/>
        <v>0</v>
      </c>
      <c r="AC490" s="143"/>
      <c r="AD490" s="155">
        <v>4075525074</v>
      </c>
      <c r="AE490" s="150"/>
      <c r="AF490" s="148">
        <v>15000000</v>
      </c>
      <c r="AG490" s="155"/>
      <c r="AH490" s="143">
        <f t="shared" si="519"/>
        <v>0</v>
      </c>
      <c r="AI490" s="151"/>
      <c r="AJ490" s="151">
        <f t="shared" ref="AJ490:AL490" si="962">P490-AE490</f>
        <v>0</v>
      </c>
      <c r="AK490" s="151">
        <f t="shared" si="962"/>
        <v>0</v>
      </c>
      <c r="AL490" s="151">
        <f t="shared" si="962"/>
        <v>0</v>
      </c>
      <c r="AM490" s="145"/>
      <c r="AN490" s="139"/>
      <c r="AO490" s="139"/>
      <c r="AP490" s="139"/>
      <c r="AQ490" s="145"/>
      <c r="AR490" s="145"/>
    </row>
    <row r="491" spans="1:44" s="156" customFormat="1" ht="47.25" x14ac:dyDescent="0.25">
      <c r="A491" s="143" t="s">
        <v>35</v>
      </c>
      <c r="B491" s="144">
        <v>478</v>
      </c>
      <c r="C491" s="143" t="s">
        <v>47</v>
      </c>
      <c r="D491" s="143" t="s">
        <v>2809</v>
      </c>
      <c r="E491" s="145"/>
      <c r="F491" s="145"/>
      <c r="G491" s="143" t="s">
        <v>2810</v>
      </c>
      <c r="H491" s="143"/>
      <c r="I491" s="143"/>
      <c r="J491" s="143"/>
      <c r="K491" s="143"/>
      <c r="L491" s="143" t="s">
        <v>2811</v>
      </c>
      <c r="M491" s="143" t="s">
        <v>43</v>
      </c>
      <c r="N491" s="143" t="s">
        <v>2783</v>
      </c>
      <c r="O491" s="147">
        <v>2187891160</v>
      </c>
      <c r="P491" s="150"/>
      <c r="Q491" s="148">
        <v>7500000</v>
      </c>
      <c r="R491" s="150"/>
      <c r="S491" s="147">
        <f t="shared" si="517"/>
        <v>2195391160</v>
      </c>
      <c r="T491" s="158">
        <v>2187891160</v>
      </c>
      <c r="U491" s="143"/>
      <c r="V491" s="147">
        <v>7500000</v>
      </c>
      <c r="W491" s="143"/>
      <c r="X491" s="143"/>
      <c r="Y491" s="152">
        <f t="shared" ref="Y491:AB491" si="963">AD491-T491</f>
        <v>0</v>
      </c>
      <c r="Z491" s="151">
        <f t="shared" si="963"/>
        <v>0</v>
      </c>
      <c r="AA491" s="151">
        <f t="shared" si="963"/>
        <v>0</v>
      </c>
      <c r="AB491" s="151">
        <f t="shared" si="963"/>
        <v>0</v>
      </c>
      <c r="AC491" s="143"/>
      <c r="AD491" s="149">
        <v>2187891160</v>
      </c>
      <c r="AE491" s="150"/>
      <c r="AF491" s="148">
        <v>7500000</v>
      </c>
      <c r="AG491" s="150"/>
      <c r="AH491" s="143">
        <f t="shared" si="519"/>
        <v>0</v>
      </c>
      <c r="AI491" s="151"/>
      <c r="AJ491" s="151">
        <f t="shared" ref="AJ491:AL491" si="964">P491-AE491</f>
        <v>0</v>
      </c>
      <c r="AK491" s="151">
        <f t="shared" si="964"/>
        <v>0</v>
      </c>
      <c r="AL491" s="151">
        <f t="shared" si="964"/>
        <v>0</v>
      </c>
      <c r="AM491" s="145"/>
      <c r="AN491" s="139"/>
      <c r="AO491" s="139"/>
      <c r="AP491" s="139"/>
      <c r="AQ491" s="145"/>
      <c r="AR491" s="145"/>
    </row>
    <row r="492" spans="1:44" s="156" customFormat="1" ht="63" x14ac:dyDescent="0.25">
      <c r="A492" s="143" t="s">
        <v>52</v>
      </c>
      <c r="B492" s="144">
        <v>479</v>
      </c>
      <c r="C492" s="143" t="s">
        <v>47</v>
      </c>
      <c r="D492" s="143" t="s">
        <v>2812</v>
      </c>
      <c r="E492" s="145"/>
      <c r="F492" s="146"/>
      <c r="G492" s="143" t="s">
        <v>2813</v>
      </c>
      <c r="H492" s="143"/>
      <c r="I492" s="143"/>
      <c r="J492" s="143"/>
      <c r="K492" s="143"/>
      <c r="L492" s="143" t="s">
        <v>2814</v>
      </c>
      <c r="M492" s="143" t="s">
        <v>43</v>
      </c>
      <c r="N492" s="143" t="s">
        <v>2815</v>
      </c>
      <c r="O492" s="147">
        <v>68947648</v>
      </c>
      <c r="P492" s="150"/>
      <c r="Q492" s="148">
        <v>7500000</v>
      </c>
      <c r="R492" s="150"/>
      <c r="S492" s="147">
        <f t="shared" si="517"/>
        <v>76447648</v>
      </c>
      <c r="T492" s="143"/>
      <c r="U492" s="143"/>
      <c r="V492" s="157"/>
      <c r="W492" s="143"/>
      <c r="X492" s="143"/>
      <c r="Y492" s="152">
        <f t="shared" ref="Y492:AB492" si="965">AD492-T492</f>
        <v>0</v>
      </c>
      <c r="Z492" s="151">
        <f t="shared" si="965"/>
        <v>0</v>
      </c>
      <c r="AA492" s="151">
        <f t="shared" si="965"/>
        <v>0</v>
      </c>
      <c r="AB492" s="151">
        <f t="shared" si="965"/>
        <v>0</v>
      </c>
      <c r="AC492" s="143"/>
      <c r="AD492" s="155"/>
      <c r="AE492" s="150"/>
      <c r="AF492" s="150"/>
      <c r="AG492" s="150"/>
      <c r="AH492" s="143">
        <f t="shared" si="519"/>
        <v>0</v>
      </c>
      <c r="AI492" s="151">
        <v>68947648</v>
      </c>
      <c r="AJ492" s="151">
        <f t="shared" ref="AJ492:AL492" si="966">P492-AE492</f>
        <v>0</v>
      </c>
      <c r="AK492" s="151">
        <f t="shared" si="966"/>
        <v>7500000</v>
      </c>
      <c r="AL492" s="151">
        <f t="shared" si="966"/>
        <v>0</v>
      </c>
      <c r="AM492" s="148">
        <v>68947648</v>
      </c>
      <c r="AN492" s="159" t="s">
        <v>3471</v>
      </c>
      <c r="AO492" s="160"/>
      <c r="AP492" s="168" t="s">
        <v>3471</v>
      </c>
      <c r="AQ492" s="219"/>
      <c r="AR492" s="218"/>
    </row>
    <row r="493" spans="1:44" s="156" customFormat="1" ht="47.25" x14ac:dyDescent="0.25">
      <c r="A493" s="143" t="s">
        <v>60</v>
      </c>
      <c r="B493" s="144">
        <v>480</v>
      </c>
      <c r="C493" s="143" t="s">
        <v>47</v>
      </c>
      <c r="D493" s="143" t="s">
        <v>2816</v>
      </c>
      <c r="E493" s="145"/>
      <c r="F493" s="146"/>
      <c r="G493" s="143" t="s">
        <v>2817</v>
      </c>
      <c r="H493" s="143"/>
      <c r="I493" s="143"/>
      <c r="J493" s="143"/>
      <c r="K493" s="143"/>
      <c r="L493" s="143" t="s">
        <v>2818</v>
      </c>
      <c r="M493" s="143" t="s">
        <v>43</v>
      </c>
      <c r="N493" s="143" t="s">
        <v>2819</v>
      </c>
      <c r="O493" s="147">
        <v>1308108292</v>
      </c>
      <c r="P493" s="150"/>
      <c r="Q493" s="148">
        <v>7500000</v>
      </c>
      <c r="R493" s="150"/>
      <c r="S493" s="147">
        <f t="shared" si="517"/>
        <v>1315608292</v>
      </c>
      <c r="T493" s="158">
        <v>1308108292</v>
      </c>
      <c r="U493" s="143"/>
      <c r="V493" s="147">
        <v>7500000</v>
      </c>
      <c r="W493" s="143"/>
      <c r="X493" s="143"/>
      <c r="Y493" s="152">
        <f t="shared" ref="Y493:AB493" si="967">AD493-T493</f>
        <v>0</v>
      </c>
      <c r="Z493" s="151">
        <f t="shared" si="967"/>
        <v>0</v>
      </c>
      <c r="AA493" s="151">
        <f t="shared" si="967"/>
        <v>0</v>
      </c>
      <c r="AB493" s="152">
        <f t="shared" si="967"/>
        <v>0</v>
      </c>
      <c r="AC493" s="143"/>
      <c r="AD493" s="149">
        <v>1308108292</v>
      </c>
      <c r="AE493" s="150"/>
      <c r="AF493" s="148">
        <v>7500000</v>
      </c>
      <c r="AG493" s="155"/>
      <c r="AH493" s="143">
        <f t="shared" si="519"/>
        <v>0</v>
      </c>
      <c r="AI493" s="151"/>
      <c r="AJ493" s="151">
        <f t="shared" ref="AJ493:AL493" si="968">P493-AE493</f>
        <v>0</v>
      </c>
      <c r="AK493" s="151">
        <f t="shared" si="968"/>
        <v>0</v>
      </c>
      <c r="AL493" s="151">
        <f t="shared" si="968"/>
        <v>0</v>
      </c>
      <c r="AM493" s="145"/>
      <c r="AN493" s="139"/>
      <c r="AO493" s="139"/>
      <c r="AP493" s="139"/>
      <c r="AQ493" s="145"/>
      <c r="AR493" s="145"/>
    </row>
    <row r="494" spans="1:44" s="156" customFormat="1" ht="63" x14ac:dyDescent="0.25">
      <c r="A494" s="143" t="s">
        <v>46</v>
      </c>
      <c r="B494" s="144">
        <v>481</v>
      </c>
      <c r="C494" s="143" t="s">
        <v>47</v>
      </c>
      <c r="D494" s="143" t="s">
        <v>2820</v>
      </c>
      <c r="E494" s="145" t="s">
        <v>2821</v>
      </c>
      <c r="F494" s="145"/>
      <c r="G494" s="143" t="s">
        <v>2822</v>
      </c>
      <c r="H494" s="143" t="s">
        <v>2823</v>
      </c>
      <c r="I494" s="143"/>
      <c r="J494" s="143"/>
      <c r="K494" s="143"/>
      <c r="L494" s="143" t="s">
        <v>2824</v>
      </c>
      <c r="M494" s="143" t="s">
        <v>43</v>
      </c>
      <c r="N494" s="143" t="s">
        <v>2825</v>
      </c>
      <c r="O494" s="147">
        <v>2157190380</v>
      </c>
      <c r="P494" s="148">
        <v>64769833</v>
      </c>
      <c r="Q494" s="148">
        <v>15000000</v>
      </c>
      <c r="R494" s="150"/>
      <c r="S494" s="147">
        <f t="shared" si="517"/>
        <v>2236960213</v>
      </c>
      <c r="T494" s="158">
        <v>2157190380</v>
      </c>
      <c r="U494" s="158">
        <v>64769833</v>
      </c>
      <c r="V494" s="147">
        <v>15000000</v>
      </c>
      <c r="W494" s="143"/>
      <c r="X494" s="143"/>
      <c r="Y494" s="152">
        <f t="shared" ref="Y494:AB494" si="969">AD494-T494</f>
        <v>0</v>
      </c>
      <c r="Z494" s="151">
        <f t="shared" si="969"/>
        <v>0</v>
      </c>
      <c r="AA494" s="151">
        <f t="shared" si="969"/>
        <v>0</v>
      </c>
      <c r="AB494" s="151">
        <f t="shared" si="969"/>
        <v>0</v>
      </c>
      <c r="AC494" s="143"/>
      <c r="AD494" s="149">
        <v>2157190380</v>
      </c>
      <c r="AE494" s="148">
        <v>64769833</v>
      </c>
      <c r="AF494" s="148">
        <v>15000000</v>
      </c>
      <c r="AG494" s="150"/>
      <c r="AH494" s="143">
        <f t="shared" si="519"/>
        <v>0</v>
      </c>
      <c r="AI494" s="151"/>
      <c r="AJ494" s="151">
        <f t="shared" ref="AJ494:AL494" si="970">P494-AE494</f>
        <v>0</v>
      </c>
      <c r="AK494" s="151">
        <f t="shared" si="970"/>
        <v>0</v>
      </c>
      <c r="AL494" s="151">
        <f t="shared" si="970"/>
        <v>0</v>
      </c>
      <c r="AM494" s="145"/>
      <c r="AN494" s="139"/>
      <c r="AO494" s="139"/>
      <c r="AP494" s="139"/>
      <c r="AQ494" s="145"/>
      <c r="AR494" s="145"/>
    </row>
    <row r="495" spans="1:44" s="156" customFormat="1" ht="47.25" x14ac:dyDescent="0.25">
      <c r="A495" s="143" t="s">
        <v>46</v>
      </c>
      <c r="B495" s="144">
        <v>482</v>
      </c>
      <c r="C495" s="143" t="s">
        <v>124</v>
      </c>
      <c r="D495" s="143" t="s">
        <v>2826</v>
      </c>
      <c r="E495" s="145" t="s">
        <v>2827</v>
      </c>
      <c r="F495" s="145"/>
      <c r="G495" s="143" t="s">
        <v>2828</v>
      </c>
      <c r="H495" s="143" t="s">
        <v>2829</v>
      </c>
      <c r="I495" s="143"/>
      <c r="J495" s="143"/>
      <c r="K495" s="143"/>
      <c r="L495" s="143" t="s">
        <v>2830</v>
      </c>
      <c r="M495" s="143" t="s">
        <v>43</v>
      </c>
      <c r="N495" s="143" t="s">
        <v>2831</v>
      </c>
      <c r="O495" s="147">
        <v>1694829034</v>
      </c>
      <c r="P495" s="148">
        <v>89809650</v>
      </c>
      <c r="Q495" s="148">
        <v>15000000</v>
      </c>
      <c r="R495" s="150"/>
      <c r="S495" s="147">
        <f t="shared" si="517"/>
        <v>1799638684</v>
      </c>
      <c r="T495" s="158">
        <v>1694829034</v>
      </c>
      <c r="U495" s="158">
        <v>89809650</v>
      </c>
      <c r="V495" s="147">
        <v>15000000</v>
      </c>
      <c r="W495" s="143"/>
      <c r="X495" s="143"/>
      <c r="Y495" s="152">
        <f t="shared" ref="Y495:AB495" si="971">AD495-T495</f>
        <v>0</v>
      </c>
      <c r="Z495" s="151">
        <f t="shared" si="971"/>
        <v>0</v>
      </c>
      <c r="AA495" s="151">
        <f t="shared" si="971"/>
        <v>0</v>
      </c>
      <c r="AB495" s="152">
        <f t="shared" si="971"/>
        <v>0</v>
      </c>
      <c r="AC495" s="143"/>
      <c r="AD495" s="149">
        <v>1694829034</v>
      </c>
      <c r="AE495" s="148">
        <v>89809650</v>
      </c>
      <c r="AF495" s="148">
        <v>15000000</v>
      </c>
      <c r="AG495" s="155"/>
      <c r="AH495" s="143">
        <f t="shared" si="519"/>
        <v>0</v>
      </c>
      <c r="AI495" s="151"/>
      <c r="AJ495" s="151">
        <f t="shared" ref="AJ495:AL495" si="972">P495-AE495</f>
        <v>0</v>
      </c>
      <c r="AK495" s="151">
        <f t="shared" si="972"/>
        <v>0</v>
      </c>
      <c r="AL495" s="151">
        <f t="shared" si="972"/>
        <v>0</v>
      </c>
      <c r="AM495" s="145"/>
      <c r="AN495" s="139"/>
      <c r="AO495" s="139"/>
      <c r="AP495" s="139"/>
      <c r="AQ495" s="145"/>
      <c r="AR495" s="145"/>
    </row>
    <row r="496" spans="1:44" s="156" customFormat="1" ht="78.75" x14ac:dyDescent="0.25">
      <c r="A496" s="143" t="s">
        <v>35</v>
      </c>
      <c r="B496" s="144">
        <v>483</v>
      </c>
      <c r="C496" s="143" t="s">
        <v>124</v>
      </c>
      <c r="D496" s="143" t="s">
        <v>1146</v>
      </c>
      <c r="E496" s="145" t="s">
        <v>1147</v>
      </c>
      <c r="F496" s="145" t="s">
        <v>1148</v>
      </c>
      <c r="G496" s="143" t="s">
        <v>1149</v>
      </c>
      <c r="H496" s="143" t="s">
        <v>1150</v>
      </c>
      <c r="I496" s="143"/>
      <c r="J496" s="143"/>
      <c r="K496" s="164"/>
      <c r="L496" s="143" t="s">
        <v>1151</v>
      </c>
      <c r="M496" s="143" t="s">
        <v>43</v>
      </c>
      <c r="N496" s="143" t="s">
        <v>1152</v>
      </c>
      <c r="O496" s="147">
        <v>2978570608</v>
      </c>
      <c r="P496" s="177">
        <v>191495014</v>
      </c>
      <c r="Q496" s="148">
        <v>15000000</v>
      </c>
      <c r="R496" s="148">
        <f>48000000+96000000</f>
        <v>144000000</v>
      </c>
      <c r="S496" s="147">
        <f t="shared" si="517"/>
        <v>3329065622</v>
      </c>
      <c r="T496" s="158">
        <v>2978570608</v>
      </c>
      <c r="U496" s="158">
        <v>191495014</v>
      </c>
      <c r="V496" s="147">
        <v>15000000</v>
      </c>
      <c r="W496" s="158">
        <v>144000000</v>
      </c>
      <c r="X496" s="143"/>
      <c r="Y496" s="152">
        <f t="shared" ref="Y496:AB496" si="973">AD496-T496</f>
        <v>0</v>
      </c>
      <c r="Z496" s="151">
        <f t="shared" si="973"/>
        <v>0</v>
      </c>
      <c r="AA496" s="151">
        <f t="shared" si="973"/>
        <v>0</v>
      </c>
      <c r="AB496" s="152">
        <f t="shared" si="973"/>
        <v>0</v>
      </c>
      <c r="AC496" s="143"/>
      <c r="AD496" s="149">
        <v>2978570608</v>
      </c>
      <c r="AE496" s="148">
        <v>191495014</v>
      </c>
      <c r="AF496" s="148">
        <v>15000000</v>
      </c>
      <c r="AG496" s="149">
        <f>48000000+96000000</f>
        <v>144000000</v>
      </c>
      <c r="AH496" s="143">
        <f t="shared" si="519"/>
        <v>0</v>
      </c>
      <c r="AI496" s="151"/>
      <c r="AJ496" s="151">
        <f t="shared" ref="AJ496:AL496" si="974">P496-AE496</f>
        <v>0</v>
      </c>
      <c r="AK496" s="151">
        <f t="shared" si="974"/>
        <v>0</v>
      </c>
      <c r="AL496" s="151">
        <f t="shared" si="974"/>
        <v>0</v>
      </c>
      <c r="AM496" s="145"/>
      <c r="AN496" s="139"/>
      <c r="AO496" s="139"/>
      <c r="AP496" s="139"/>
      <c r="AQ496" s="145"/>
      <c r="AR496" s="145"/>
    </row>
    <row r="497" spans="1:44" s="156" customFormat="1" ht="47.25" x14ac:dyDescent="0.25">
      <c r="A497" s="143" t="s">
        <v>35</v>
      </c>
      <c r="B497" s="144">
        <v>484</v>
      </c>
      <c r="C497" s="143" t="s">
        <v>124</v>
      </c>
      <c r="D497" s="143" t="s">
        <v>2833</v>
      </c>
      <c r="E497" s="188" t="s">
        <v>2834</v>
      </c>
      <c r="F497" s="146"/>
      <c r="G497" s="143" t="s">
        <v>2835</v>
      </c>
      <c r="H497" s="143" t="s">
        <v>2836</v>
      </c>
      <c r="I497" s="189" t="s">
        <v>2837</v>
      </c>
      <c r="J497" s="189"/>
      <c r="K497" s="189"/>
      <c r="L497" s="143" t="s">
        <v>2840</v>
      </c>
      <c r="M497" s="143" t="s">
        <v>43</v>
      </c>
      <c r="N497" s="143" t="s">
        <v>2841</v>
      </c>
      <c r="O497" s="147"/>
      <c r="P497" s="177">
        <v>8678312412</v>
      </c>
      <c r="Q497" s="177">
        <v>7500000</v>
      </c>
      <c r="R497" s="150"/>
      <c r="S497" s="147">
        <f t="shared" si="517"/>
        <v>8685812412</v>
      </c>
      <c r="T497" s="144">
        <v>0</v>
      </c>
      <c r="U497" s="143"/>
      <c r="V497" s="157"/>
      <c r="W497" s="143"/>
      <c r="X497" s="143"/>
      <c r="Y497" s="143">
        <f t="shared" ref="Y497:AB497" si="975">AD497-T497</f>
        <v>0</v>
      </c>
      <c r="Z497" s="151">
        <f t="shared" si="975"/>
        <v>0</v>
      </c>
      <c r="AA497" s="151">
        <f t="shared" si="975"/>
        <v>0</v>
      </c>
      <c r="AB497" s="143">
        <f t="shared" si="975"/>
        <v>0</v>
      </c>
      <c r="AC497" s="143"/>
      <c r="AD497" s="190">
        <v>0</v>
      </c>
      <c r="AE497" s="150"/>
      <c r="AF497" s="150"/>
      <c r="AG497" s="145"/>
      <c r="AH497" s="143">
        <f t="shared" si="519"/>
        <v>0</v>
      </c>
      <c r="AI497" s="151"/>
      <c r="AJ497" s="151">
        <f t="shared" ref="AJ497:AL497" si="976">P497-AE497</f>
        <v>8678312412</v>
      </c>
      <c r="AK497" s="151">
        <f t="shared" si="976"/>
        <v>7500000</v>
      </c>
      <c r="AL497" s="151">
        <f t="shared" si="976"/>
        <v>0</v>
      </c>
      <c r="AM497" s="145"/>
      <c r="AN497" s="139"/>
      <c r="AO497" s="162" t="s">
        <v>3706</v>
      </c>
      <c r="AP497" s="162" t="s">
        <v>3706</v>
      </c>
      <c r="AQ497" s="145"/>
      <c r="AR497" s="145"/>
    </row>
    <row r="498" spans="1:44" s="156" customFormat="1" ht="110.25" x14ac:dyDescent="0.25">
      <c r="A498" s="143" t="s">
        <v>88</v>
      </c>
      <c r="B498" s="144">
        <v>485</v>
      </c>
      <c r="C498" s="143" t="s">
        <v>124</v>
      </c>
      <c r="D498" s="143" t="s">
        <v>549</v>
      </c>
      <c r="E498" s="145"/>
      <c r="F498" s="145" t="s">
        <v>3707</v>
      </c>
      <c r="G498" s="143" t="s">
        <v>551</v>
      </c>
      <c r="H498" s="143"/>
      <c r="I498" s="143"/>
      <c r="J498" s="143"/>
      <c r="K498" s="164"/>
      <c r="L498" s="143" t="s">
        <v>552</v>
      </c>
      <c r="M498" s="143" t="s">
        <v>43</v>
      </c>
      <c r="N498" s="143" t="s">
        <v>553</v>
      </c>
      <c r="O498" s="147">
        <v>10000000</v>
      </c>
      <c r="P498" s="150"/>
      <c r="Q498" s="169">
        <v>15000000</v>
      </c>
      <c r="R498" s="148">
        <f>24000000+48000000</f>
        <v>72000000</v>
      </c>
      <c r="S498" s="147">
        <f t="shared" si="517"/>
        <v>97000000</v>
      </c>
      <c r="T498" s="151">
        <v>10000000</v>
      </c>
      <c r="U498" s="143"/>
      <c r="V498" s="147">
        <v>15000000</v>
      </c>
      <c r="W498" s="158">
        <v>72000000</v>
      </c>
      <c r="X498" s="143"/>
      <c r="Y498" s="152">
        <f t="shared" ref="Y498:AB498" si="977">AD498-T498</f>
        <v>0</v>
      </c>
      <c r="Z498" s="151">
        <f t="shared" si="977"/>
        <v>0</v>
      </c>
      <c r="AA498" s="151">
        <f t="shared" si="977"/>
        <v>0</v>
      </c>
      <c r="AB498" s="152">
        <f t="shared" si="977"/>
        <v>0</v>
      </c>
      <c r="AC498" s="143"/>
      <c r="AD498" s="155">
        <v>10000000</v>
      </c>
      <c r="AE498" s="150"/>
      <c r="AF498" s="148">
        <v>15000000</v>
      </c>
      <c r="AG498" s="149">
        <f>24000000+48000000</f>
        <v>72000000</v>
      </c>
      <c r="AH498" s="143">
        <f t="shared" si="519"/>
        <v>0</v>
      </c>
      <c r="AI498" s="151"/>
      <c r="AJ498" s="151">
        <f t="shared" ref="AJ498:AL498" si="978">P498-AE498</f>
        <v>0</v>
      </c>
      <c r="AK498" s="151">
        <f t="shared" si="978"/>
        <v>0</v>
      </c>
      <c r="AL498" s="151">
        <f t="shared" si="978"/>
        <v>0</v>
      </c>
      <c r="AM498" s="145"/>
      <c r="AN498" s="139"/>
      <c r="AO498" s="139"/>
      <c r="AP498" s="139"/>
      <c r="AQ498" s="145"/>
      <c r="AR498" s="145"/>
    </row>
    <row r="499" spans="1:44" s="156" customFormat="1" ht="47.25" x14ac:dyDescent="0.25">
      <c r="A499" s="143" t="s">
        <v>88</v>
      </c>
      <c r="B499" s="144">
        <v>486</v>
      </c>
      <c r="C499" s="143" t="s">
        <v>124</v>
      </c>
      <c r="D499" s="143" t="s">
        <v>2844</v>
      </c>
      <c r="E499" s="145" t="s">
        <v>2845</v>
      </c>
      <c r="F499" s="145"/>
      <c r="G499" s="143" t="s">
        <v>2846</v>
      </c>
      <c r="H499" s="143"/>
      <c r="I499" s="143"/>
      <c r="J499" s="143"/>
      <c r="K499" s="143"/>
      <c r="L499" s="143" t="s">
        <v>2847</v>
      </c>
      <c r="M499" s="143" t="s">
        <v>43</v>
      </c>
      <c r="N499" s="143" t="s">
        <v>2848</v>
      </c>
      <c r="O499" s="147">
        <v>34664233908</v>
      </c>
      <c r="P499" s="169">
        <v>21702116352</v>
      </c>
      <c r="Q499" s="169">
        <v>7500000</v>
      </c>
      <c r="R499" s="150"/>
      <c r="S499" s="147">
        <f t="shared" si="517"/>
        <v>56373850260</v>
      </c>
      <c r="T499" s="158">
        <v>34664233908</v>
      </c>
      <c r="U499" s="158">
        <v>21702116352</v>
      </c>
      <c r="V499" s="157"/>
      <c r="W499" s="143"/>
      <c r="X499" s="143"/>
      <c r="Y499" s="152">
        <f t="shared" ref="Y499:AB499" si="979">AD499-T499</f>
        <v>0</v>
      </c>
      <c r="Z499" s="151">
        <f t="shared" si="979"/>
        <v>0</v>
      </c>
      <c r="AA499" s="151">
        <f t="shared" si="979"/>
        <v>0</v>
      </c>
      <c r="AB499" s="151">
        <f t="shared" si="979"/>
        <v>0</v>
      </c>
      <c r="AC499" s="143"/>
      <c r="AD499" s="149">
        <v>34664233908</v>
      </c>
      <c r="AE499" s="169">
        <v>21702116352</v>
      </c>
      <c r="AF499" s="150"/>
      <c r="AG499" s="170"/>
      <c r="AH499" s="143">
        <f t="shared" si="519"/>
        <v>0</v>
      </c>
      <c r="AI499" s="151"/>
      <c r="AJ499" s="151">
        <f t="shared" ref="AJ499:AL499" si="980">P499-AE499</f>
        <v>0</v>
      </c>
      <c r="AK499" s="151">
        <f t="shared" si="980"/>
        <v>7500000</v>
      </c>
      <c r="AL499" s="151">
        <f t="shared" si="980"/>
        <v>0</v>
      </c>
      <c r="AM499" s="145"/>
      <c r="AN499" s="139"/>
      <c r="AO499" s="139"/>
      <c r="AP499" s="162" t="s">
        <v>1579</v>
      </c>
      <c r="AQ499" s="145"/>
      <c r="AR499" s="145"/>
    </row>
    <row r="500" spans="1:44" s="156" customFormat="1" ht="47.25" x14ac:dyDescent="0.25">
      <c r="A500" s="143" t="s">
        <v>46</v>
      </c>
      <c r="B500" s="144">
        <v>487</v>
      </c>
      <c r="C500" s="143" t="s">
        <v>124</v>
      </c>
      <c r="D500" s="143" t="s">
        <v>2849</v>
      </c>
      <c r="E500" s="145" t="s">
        <v>617</v>
      </c>
      <c r="F500" s="146"/>
      <c r="G500" s="143" t="s">
        <v>2850</v>
      </c>
      <c r="H500" s="143" t="s">
        <v>2851</v>
      </c>
      <c r="I500" s="143"/>
      <c r="J500" s="143"/>
      <c r="K500" s="143"/>
      <c r="L500" s="143" t="s">
        <v>2852</v>
      </c>
      <c r="M500" s="143" t="s">
        <v>43</v>
      </c>
      <c r="N500" s="143" t="s">
        <v>2853</v>
      </c>
      <c r="O500" s="147">
        <v>7983138800</v>
      </c>
      <c r="P500" s="148">
        <v>4114228044</v>
      </c>
      <c r="Q500" s="169">
        <v>7500000</v>
      </c>
      <c r="R500" s="150"/>
      <c r="S500" s="147">
        <f t="shared" si="517"/>
        <v>12104866844</v>
      </c>
      <c r="T500" s="158">
        <v>7983138800</v>
      </c>
      <c r="U500" s="158">
        <v>4114228044</v>
      </c>
      <c r="V500" s="147">
        <v>7500000</v>
      </c>
      <c r="W500" s="143"/>
      <c r="X500" s="143"/>
      <c r="Y500" s="151">
        <f t="shared" ref="Y500:AB500" si="981">AD500-T500</f>
        <v>0</v>
      </c>
      <c r="Z500" s="151">
        <f t="shared" si="981"/>
        <v>0</v>
      </c>
      <c r="AA500" s="151">
        <f t="shared" si="981"/>
        <v>0</v>
      </c>
      <c r="AB500" s="152">
        <f t="shared" si="981"/>
        <v>0</v>
      </c>
      <c r="AC500" s="143"/>
      <c r="AD500" s="148">
        <v>7983138800</v>
      </c>
      <c r="AE500" s="148">
        <v>4114228044</v>
      </c>
      <c r="AF500" s="148">
        <v>7500000</v>
      </c>
      <c r="AG500" s="155"/>
      <c r="AH500" s="143">
        <f t="shared" si="519"/>
        <v>0</v>
      </c>
      <c r="AI500" s="151"/>
      <c r="AJ500" s="151">
        <f t="shared" ref="AJ500:AL500" si="982">P500-AE500</f>
        <v>0</v>
      </c>
      <c r="AK500" s="151">
        <f t="shared" si="982"/>
        <v>0</v>
      </c>
      <c r="AL500" s="151">
        <f t="shared" si="982"/>
        <v>0</v>
      </c>
      <c r="AM500" s="145"/>
      <c r="AN500" s="139"/>
      <c r="AO500" s="139"/>
      <c r="AP500" s="139"/>
      <c r="AQ500" s="145"/>
      <c r="AR500" s="145"/>
    </row>
    <row r="501" spans="1:44" s="156" customFormat="1" ht="31.5" x14ac:dyDescent="0.25">
      <c r="A501" s="143" t="s">
        <v>52</v>
      </c>
      <c r="B501" s="144">
        <v>488</v>
      </c>
      <c r="C501" s="143" t="s">
        <v>124</v>
      </c>
      <c r="D501" s="143" t="s">
        <v>1349</v>
      </c>
      <c r="E501" s="145"/>
      <c r="F501" s="145" t="s">
        <v>1350</v>
      </c>
      <c r="G501" s="143" t="s">
        <v>1351</v>
      </c>
      <c r="H501" s="143"/>
      <c r="I501" s="143"/>
      <c r="J501" s="143"/>
      <c r="K501" s="164"/>
      <c r="L501" s="143" t="s">
        <v>1352</v>
      </c>
      <c r="M501" s="143" t="s">
        <v>43</v>
      </c>
      <c r="N501" s="143" t="s">
        <v>1353</v>
      </c>
      <c r="O501" s="147">
        <v>24488585954</v>
      </c>
      <c r="P501" s="150"/>
      <c r="Q501" s="169">
        <v>15000000</v>
      </c>
      <c r="R501" s="148">
        <v>96000000</v>
      </c>
      <c r="S501" s="147">
        <f t="shared" si="517"/>
        <v>24599585954</v>
      </c>
      <c r="T501" s="158">
        <v>24488585954</v>
      </c>
      <c r="U501" s="143"/>
      <c r="V501" s="147">
        <v>15000000</v>
      </c>
      <c r="W501" s="158">
        <v>96000000</v>
      </c>
      <c r="X501" s="143"/>
      <c r="Y501" s="152">
        <f t="shared" ref="Y501:AB501" si="983">AD501-T501</f>
        <v>0</v>
      </c>
      <c r="Z501" s="151">
        <f t="shared" si="983"/>
        <v>0</v>
      </c>
      <c r="AA501" s="151">
        <f t="shared" si="983"/>
        <v>0</v>
      </c>
      <c r="AB501" s="152">
        <f t="shared" si="983"/>
        <v>0</v>
      </c>
      <c r="AC501" s="143"/>
      <c r="AD501" s="149">
        <v>24488585954</v>
      </c>
      <c r="AE501" s="170"/>
      <c r="AF501" s="148">
        <v>15000000</v>
      </c>
      <c r="AG501" s="191">
        <v>96000000</v>
      </c>
      <c r="AH501" s="143">
        <f t="shared" si="519"/>
        <v>0</v>
      </c>
      <c r="AI501" s="151"/>
      <c r="AJ501" s="151">
        <f t="shared" ref="AJ501:AL501" si="984">P501-AE501</f>
        <v>0</v>
      </c>
      <c r="AK501" s="151">
        <f t="shared" si="984"/>
        <v>0</v>
      </c>
      <c r="AL501" s="151">
        <f t="shared" si="984"/>
        <v>0</v>
      </c>
      <c r="AM501" s="145"/>
      <c r="AN501" s="139"/>
      <c r="AO501" s="139"/>
      <c r="AP501" s="139"/>
      <c r="AQ501" s="145"/>
      <c r="AR501" s="145"/>
    </row>
    <row r="502" spans="1:44" s="156" customFormat="1" ht="94.5" x14ac:dyDescent="0.25">
      <c r="A502" s="143" t="s">
        <v>52</v>
      </c>
      <c r="B502" s="144">
        <v>489</v>
      </c>
      <c r="C502" s="143" t="s">
        <v>124</v>
      </c>
      <c r="D502" s="143" t="s">
        <v>1492</v>
      </c>
      <c r="E502" s="145" t="s">
        <v>1493</v>
      </c>
      <c r="F502" s="145" t="s">
        <v>3738</v>
      </c>
      <c r="G502" s="143" t="s">
        <v>1495</v>
      </c>
      <c r="H502" s="143"/>
      <c r="I502" s="143"/>
      <c r="J502" s="143"/>
      <c r="K502" s="164"/>
      <c r="L502" s="143" t="s">
        <v>1496</v>
      </c>
      <c r="M502" s="143" t="s">
        <v>43</v>
      </c>
      <c r="N502" s="143" t="s">
        <v>1497</v>
      </c>
      <c r="O502" s="147">
        <v>8321720844</v>
      </c>
      <c r="P502" s="169">
        <v>606267120</v>
      </c>
      <c r="Q502" s="169">
        <v>15000000</v>
      </c>
      <c r="R502" s="148">
        <f>30000000+60000000</f>
        <v>90000000</v>
      </c>
      <c r="S502" s="147">
        <f t="shared" si="517"/>
        <v>9032987964</v>
      </c>
      <c r="T502" s="158">
        <v>8321720844</v>
      </c>
      <c r="U502" s="158">
        <v>606267120</v>
      </c>
      <c r="V502" s="147">
        <v>15000000</v>
      </c>
      <c r="W502" s="158">
        <v>30000000</v>
      </c>
      <c r="X502" s="143"/>
      <c r="Y502" s="152">
        <f t="shared" ref="Y502:AB502" si="985">AD502-T502</f>
        <v>0</v>
      </c>
      <c r="Z502" s="151">
        <f t="shared" si="985"/>
        <v>0</v>
      </c>
      <c r="AA502" s="151">
        <f t="shared" si="985"/>
        <v>0</v>
      </c>
      <c r="AB502" s="152">
        <f t="shared" si="985"/>
        <v>60000000</v>
      </c>
      <c r="AC502" s="165"/>
      <c r="AD502" s="149">
        <v>8321720844</v>
      </c>
      <c r="AE502" s="173">
        <v>606267120</v>
      </c>
      <c r="AF502" s="148">
        <v>15000000</v>
      </c>
      <c r="AG502" s="187">
        <f>30000000+60000000</f>
        <v>90000000</v>
      </c>
      <c r="AH502" s="166">
        <f t="shared" si="519"/>
        <v>0</v>
      </c>
      <c r="AI502" s="151"/>
      <c r="AJ502" s="151">
        <f t="shared" ref="AJ502:AL502" si="986">P502-AE502</f>
        <v>0</v>
      </c>
      <c r="AK502" s="151">
        <f t="shared" si="986"/>
        <v>0</v>
      </c>
      <c r="AL502" s="151">
        <f t="shared" si="986"/>
        <v>0</v>
      </c>
      <c r="AM502" s="145"/>
      <c r="AN502" s="139"/>
      <c r="AO502" s="139"/>
      <c r="AP502" s="139"/>
      <c r="AQ502" s="145" t="s">
        <v>3506</v>
      </c>
      <c r="AR502" s="145"/>
    </row>
    <row r="503" spans="1:44" s="156" customFormat="1" ht="31.5" x14ac:dyDescent="0.25">
      <c r="A503" s="143" t="s">
        <v>35</v>
      </c>
      <c r="B503" s="144">
        <v>490</v>
      </c>
      <c r="C503" s="143" t="s">
        <v>124</v>
      </c>
      <c r="D503" s="143" t="s">
        <v>2854</v>
      </c>
      <c r="E503" s="145"/>
      <c r="F503" s="146"/>
      <c r="G503" s="143" t="s">
        <v>2855</v>
      </c>
      <c r="H503" s="143"/>
      <c r="I503" s="143"/>
      <c r="J503" s="143"/>
      <c r="K503" s="143"/>
      <c r="L503" s="143" t="s">
        <v>2856</v>
      </c>
      <c r="M503" s="143" t="s">
        <v>43</v>
      </c>
      <c r="N503" s="143" t="s">
        <v>2857</v>
      </c>
      <c r="O503" s="147">
        <v>75048522880</v>
      </c>
      <c r="P503" s="150"/>
      <c r="Q503" s="177">
        <v>7500000</v>
      </c>
      <c r="R503" s="150"/>
      <c r="S503" s="147">
        <f t="shared" si="517"/>
        <v>75056022880</v>
      </c>
      <c r="T503" s="158">
        <v>75048522880</v>
      </c>
      <c r="U503" s="143"/>
      <c r="V503" s="147">
        <v>7500000</v>
      </c>
      <c r="W503" s="143"/>
      <c r="X503" s="143"/>
      <c r="Y503" s="152">
        <f t="shared" ref="Y503:AB503" si="987">AD503-T503</f>
        <v>0</v>
      </c>
      <c r="Z503" s="151">
        <f t="shared" si="987"/>
        <v>0</v>
      </c>
      <c r="AA503" s="151">
        <f t="shared" si="987"/>
        <v>0</v>
      </c>
      <c r="AB503" s="151">
        <f t="shared" si="987"/>
        <v>0</v>
      </c>
      <c r="AC503" s="143"/>
      <c r="AD503" s="149">
        <v>75048522880</v>
      </c>
      <c r="AE503" s="150"/>
      <c r="AF503" s="148">
        <v>7500000</v>
      </c>
      <c r="AG503" s="150"/>
      <c r="AH503" s="143">
        <f t="shared" si="519"/>
        <v>0</v>
      </c>
      <c r="AI503" s="151"/>
      <c r="AJ503" s="151">
        <f t="shared" ref="AJ503:AL503" si="988">P503-AE503</f>
        <v>0</v>
      </c>
      <c r="AK503" s="151">
        <f t="shared" si="988"/>
        <v>0</v>
      </c>
      <c r="AL503" s="151">
        <f t="shared" si="988"/>
        <v>0</v>
      </c>
      <c r="AM503" s="145"/>
      <c r="AN503" s="172"/>
      <c r="AO503" s="139"/>
      <c r="AP503" s="139"/>
      <c r="AQ503" s="145"/>
      <c r="AR503" s="145"/>
    </row>
    <row r="504" spans="1:44" s="156" customFormat="1" ht="110.25" x14ac:dyDescent="0.25">
      <c r="A504" s="143" t="s">
        <v>35</v>
      </c>
      <c r="B504" s="175">
        <v>491</v>
      </c>
      <c r="C504" s="145" t="s">
        <v>124</v>
      </c>
      <c r="D504" s="143" t="s">
        <v>605</v>
      </c>
      <c r="E504" s="145" t="s">
        <v>607</v>
      </c>
      <c r="F504" s="145" t="s">
        <v>3748</v>
      </c>
      <c r="G504" s="145" t="s">
        <v>610</v>
      </c>
      <c r="H504" s="145" t="s">
        <v>611</v>
      </c>
      <c r="I504" s="145"/>
      <c r="J504" s="145"/>
      <c r="K504" s="146"/>
      <c r="L504" s="145" t="s">
        <v>613</v>
      </c>
      <c r="M504" s="145" t="s">
        <v>43</v>
      </c>
      <c r="N504" s="145" t="s">
        <v>615</v>
      </c>
      <c r="O504" s="147">
        <v>1336260530</v>
      </c>
      <c r="P504" s="169">
        <v>1211633920</v>
      </c>
      <c r="Q504" s="169">
        <v>15000000</v>
      </c>
      <c r="R504" s="148">
        <f>42000000+84000000</f>
        <v>126000000</v>
      </c>
      <c r="S504" s="147">
        <f t="shared" si="517"/>
        <v>2688894450</v>
      </c>
      <c r="T504" s="151">
        <v>1336260530</v>
      </c>
      <c r="U504" s="158">
        <v>1211633920</v>
      </c>
      <c r="V504" s="147">
        <v>15000000</v>
      </c>
      <c r="W504" s="158">
        <v>42000000</v>
      </c>
      <c r="X504" s="143"/>
      <c r="Y504" s="152">
        <f t="shared" ref="Y504:AB504" si="989">AD504-T504</f>
        <v>0</v>
      </c>
      <c r="Z504" s="151">
        <f t="shared" si="989"/>
        <v>0</v>
      </c>
      <c r="AA504" s="151">
        <f t="shared" si="989"/>
        <v>0</v>
      </c>
      <c r="AB504" s="152">
        <f t="shared" si="989"/>
        <v>0</v>
      </c>
      <c r="AC504" s="165"/>
      <c r="AD504" s="192">
        <v>1336260530</v>
      </c>
      <c r="AE504" s="169">
        <v>1211633920</v>
      </c>
      <c r="AF504" s="148">
        <v>15000000</v>
      </c>
      <c r="AG504" s="191">
        <v>42000000</v>
      </c>
      <c r="AH504" s="166">
        <f t="shared" si="519"/>
        <v>0</v>
      </c>
      <c r="AI504" s="151"/>
      <c r="AJ504" s="151">
        <f t="shared" ref="AJ504:AL504" si="990">P504-AE504</f>
        <v>0</v>
      </c>
      <c r="AK504" s="151">
        <f t="shared" si="990"/>
        <v>0</v>
      </c>
      <c r="AL504" s="150">
        <f t="shared" si="990"/>
        <v>84000000</v>
      </c>
      <c r="AM504" s="145"/>
      <c r="AN504" s="139"/>
      <c r="AO504" s="139"/>
      <c r="AP504" s="139"/>
      <c r="AQ504" s="145" t="s">
        <v>2674</v>
      </c>
      <c r="AR504" s="145"/>
    </row>
    <row r="505" spans="1:44" s="156" customFormat="1" ht="47.25" x14ac:dyDescent="0.25">
      <c r="A505" s="143" t="s">
        <v>88</v>
      </c>
      <c r="B505" s="144">
        <v>492</v>
      </c>
      <c r="C505" s="143" t="s">
        <v>124</v>
      </c>
      <c r="D505" s="143" t="s">
        <v>2858</v>
      </c>
      <c r="E505" s="145" t="s">
        <v>2859</v>
      </c>
      <c r="F505" s="146"/>
      <c r="G505" s="143" t="s">
        <v>2860</v>
      </c>
      <c r="H505" s="143" t="s">
        <v>2861</v>
      </c>
      <c r="I505" s="143" t="s">
        <v>2266</v>
      </c>
      <c r="J505" s="143"/>
      <c r="K505" s="143"/>
      <c r="L505" s="143" t="s">
        <v>2862</v>
      </c>
      <c r="M505" s="143" t="s">
        <v>43</v>
      </c>
      <c r="N505" s="143" t="s">
        <v>2863</v>
      </c>
      <c r="O505" s="147">
        <v>4066555149</v>
      </c>
      <c r="P505" s="169">
        <v>385272600</v>
      </c>
      <c r="Q505" s="169">
        <v>15000000</v>
      </c>
      <c r="R505" s="150"/>
      <c r="S505" s="147">
        <f t="shared" si="517"/>
        <v>4466827749</v>
      </c>
      <c r="T505" s="151">
        <v>4066555149</v>
      </c>
      <c r="U505" s="158">
        <v>385272600</v>
      </c>
      <c r="V505" s="147">
        <v>15000000</v>
      </c>
      <c r="W505" s="143"/>
      <c r="X505" s="143"/>
      <c r="Y505" s="152">
        <f t="shared" ref="Y505:AB505" si="991">AD505-T505</f>
        <v>0</v>
      </c>
      <c r="Z505" s="151">
        <f t="shared" si="991"/>
        <v>0</v>
      </c>
      <c r="AA505" s="151">
        <f t="shared" si="991"/>
        <v>0</v>
      </c>
      <c r="AB505" s="152">
        <f t="shared" si="991"/>
        <v>0</v>
      </c>
      <c r="AC505" s="143"/>
      <c r="AD505" s="193">
        <v>4066555149</v>
      </c>
      <c r="AE505" s="169">
        <v>385272600</v>
      </c>
      <c r="AF505" s="148">
        <v>15000000</v>
      </c>
      <c r="AG505" s="193"/>
      <c r="AH505" s="143">
        <f t="shared" si="519"/>
        <v>0</v>
      </c>
      <c r="AI505" s="151"/>
      <c r="AJ505" s="151">
        <f t="shared" ref="AJ505:AL505" si="992">P505-AE505</f>
        <v>0</v>
      </c>
      <c r="AK505" s="151">
        <f t="shared" si="992"/>
        <v>0</v>
      </c>
      <c r="AL505" s="151">
        <f t="shared" si="992"/>
        <v>0</v>
      </c>
      <c r="AM505" s="145"/>
      <c r="AN505" s="139"/>
      <c r="AO505" s="139"/>
      <c r="AP505" s="139"/>
      <c r="AQ505" s="145"/>
      <c r="AR505" s="145"/>
    </row>
    <row r="506" spans="1:44" s="156" customFormat="1" ht="94.5" x14ac:dyDescent="0.25">
      <c r="A506" s="143" t="s">
        <v>52</v>
      </c>
      <c r="B506" s="175">
        <v>493</v>
      </c>
      <c r="C506" s="145" t="s">
        <v>124</v>
      </c>
      <c r="D506" s="143" t="s">
        <v>1051</v>
      </c>
      <c r="E506" s="145"/>
      <c r="F506" s="145" t="s">
        <v>3754</v>
      </c>
      <c r="G506" s="145" t="s">
        <v>1052</v>
      </c>
      <c r="H506" s="145"/>
      <c r="I506" s="145"/>
      <c r="J506" s="145"/>
      <c r="K506" s="146"/>
      <c r="L506" s="145" t="s">
        <v>1053</v>
      </c>
      <c r="M506" s="145" t="s">
        <v>43</v>
      </c>
      <c r="N506" s="145" t="s">
        <v>1054</v>
      </c>
      <c r="O506" s="147">
        <v>3570553528</v>
      </c>
      <c r="P506" s="150"/>
      <c r="Q506" s="148">
        <v>15000000</v>
      </c>
      <c r="R506" s="148">
        <f>30000000+60000000</f>
        <v>90000000</v>
      </c>
      <c r="S506" s="147">
        <f t="shared" si="517"/>
        <v>3675553528</v>
      </c>
      <c r="T506" s="143"/>
      <c r="U506" s="143"/>
      <c r="V506" s="157"/>
      <c r="W506" s="151">
        <v>30000000</v>
      </c>
      <c r="X506" s="143"/>
      <c r="Y506" s="152">
        <f t="shared" ref="Y506:AB506" si="993">AD506-T506</f>
        <v>0</v>
      </c>
      <c r="Z506" s="151">
        <f t="shared" si="993"/>
        <v>0</v>
      </c>
      <c r="AA506" s="151">
        <f t="shared" si="993"/>
        <v>0</v>
      </c>
      <c r="AB506" s="151">
        <f t="shared" si="993"/>
        <v>0</v>
      </c>
      <c r="AC506" s="165"/>
      <c r="AD506" s="155"/>
      <c r="AE506" s="150"/>
      <c r="AF506" s="150"/>
      <c r="AG506" s="148">
        <v>30000000</v>
      </c>
      <c r="AH506" s="166">
        <f t="shared" si="519"/>
        <v>0</v>
      </c>
      <c r="AI506" s="151">
        <v>3570553528</v>
      </c>
      <c r="AJ506" s="151">
        <f t="shared" ref="AJ506:AL506" si="994">P506-AE506</f>
        <v>0</v>
      </c>
      <c r="AK506" s="151">
        <f t="shared" si="994"/>
        <v>15000000</v>
      </c>
      <c r="AL506" s="150">
        <f t="shared" si="994"/>
        <v>60000000</v>
      </c>
      <c r="AM506" s="148">
        <v>3570553528</v>
      </c>
      <c r="AN506" s="159" t="s">
        <v>2160</v>
      </c>
      <c r="AO506" s="160"/>
      <c r="AP506" s="162" t="s">
        <v>1970</v>
      </c>
      <c r="AQ506" s="218" t="s">
        <v>2808</v>
      </c>
      <c r="AR506" s="218"/>
    </row>
    <row r="507" spans="1:44" s="156" customFormat="1" ht="94.5" x14ac:dyDescent="0.25">
      <c r="A507" s="143" t="s">
        <v>60</v>
      </c>
      <c r="B507" s="144">
        <v>494</v>
      </c>
      <c r="C507" s="143" t="s">
        <v>124</v>
      </c>
      <c r="D507" s="143" t="s">
        <v>172</v>
      </c>
      <c r="E507" s="145"/>
      <c r="F507" s="145" t="s">
        <v>165</v>
      </c>
      <c r="G507" s="143" t="s">
        <v>173</v>
      </c>
      <c r="H507" s="143"/>
      <c r="I507" s="143"/>
      <c r="J507" s="143"/>
      <c r="K507" s="164"/>
      <c r="L507" s="143" t="s">
        <v>174</v>
      </c>
      <c r="M507" s="143" t="s">
        <v>43</v>
      </c>
      <c r="N507" s="143" t="s">
        <v>175</v>
      </c>
      <c r="O507" s="147">
        <v>10000000</v>
      </c>
      <c r="P507" s="150"/>
      <c r="Q507" s="177">
        <v>15000000</v>
      </c>
      <c r="R507" s="148">
        <f>24000000+48000000</f>
        <v>72000000</v>
      </c>
      <c r="S507" s="147">
        <f t="shared" si="517"/>
        <v>97000000</v>
      </c>
      <c r="T507" s="151">
        <v>10000000</v>
      </c>
      <c r="U507" s="143"/>
      <c r="V507" s="157">
        <v>15000000</v>
      </c>
      <c r="W507" s="151">
        <v>72000000</v>
      </c>
      <c r="X507" s="143"/>
      <c r="Y507" s="152">
        <f t="shared" ref="Y507:AB507" si="995">AD507-T507</f>
        <v>0</v>
      </c>
      <c r="Z507" s="151">
        <f t="shared" si="995"/>
        <v>0</v>
      </c>
      <c r="AA507" s="151">
        <f t="shared" si="995"/>
        <v>0</v>
      </c>
      <c r="AB507" s="152">
        <f t="shared" si="995"/>
        <v>0</v>
      </c>
      <c r="AC507" s="143"/>
      <c r="AD507" s="149">
        <v>10000000</v>
      </c>
      <c r="AE507" s="150"/>
      <c r="AF507" s="148">
        <v>15000000</v>
      </c>
      <c r="AG507" s="149">
        <f>48000000+24000000</f>
        <v>72000000</v>
      </c>
      <c r="AH507" s="143">
        <f t="shared" si="519"/>
        <v>0</v>
      </c>
      <c r="AI507" s="151"/>
      <c r="AJ507" s="151">
        <f t="shared" ref="AJ507:AL507" si="996">P507-AE507</f>
        <v>0</v>
      </c>
      <c r="AK507" s="151">
        <f t="shared" si="996"/>
        <v>0</v>
      </c>
      <c r="AL507" s="151">
        <f t="shared" si="996"/>
        <v>0</v>
      </c>
      <c r="AM507" s="150"/>
      <c r="AN507" s="160"/>
      <c r="AO507" s="160"/>
      <c r="AP507" s="160"/>
      <c r="AQ507" s="150"/>
      <c r="AR507" s="145"/>
    </row>
    <row r="508" spans="1:44" s="156" customFormat="1" ht="110.25" x14ac:dyDescent="0.25">
      <c r="A508" s="143" t="s">
        <v>60</v>
      </c>
      <c r="B508" s="175">
        <v>495</v>
      </c>
      <c r="C508" s="145" t="s">
        <v>124</v>
      </c>
      <c r="D508" s="143" t="s">
        <v>616</v>
      </c>
      <c r="E508" s="150" t="s">
        <v>617</v>
      </c>
      <c r="F508" s="145" t="s">
        <v>3767</v>
      </c>
      <c r="G508" s="145" t="s">
        <v>619</v>
      </c>
      <c r="H508" s="145" t="s">
        <v>620</v>
      </c>
      <c r="I508" s="145"/>
      <c r="J508" s="145"/>
      <c r="K508" s="146"/>
      <c r="L508" s="145" t="s">
        <v>621</v>
      </c>
      <c r="M508" s="145" t="s">
        <v>43</v>
      </c>
      <c r="N508" s="145" t="s">
        <v>622</v>
      </c>
      <c r="O508" s="147">
        <v>6407680720</v>
      </c>
      <c r="P508" s="148">
        <v>2970696540</v>
      </c>
      <c r="Q508" s="169">
        <v>15000000</v>
      </c>
      <c r="R508" s="148">
        <f>54000000+108000000</f>
        <v>162000000</v>
      </c>
      <c r="S508" s="147">
        <f t="shared" si="517"/>
        <v>9555377260</v>
      </c>
      <c r="T508" s="158">
        <v>6407680720</v>
      </c>
      <c r="U508" s="158">
        <v>2970696540</v>
      </c>
      <c r="V508" s="147">
        <v>15000000</v>
      </c>
      <c r="W508" s="158">
        <v>54000000</v>
      </c>
      <c r="X508" s="143"/>
      <c r="Y508" s="151">
        <f t="shared" ref="Y508:AB508" si="997">AD508-T508</f>
        <v>0</v>
      </c>
      <c r="Z508" s="151">
        <f t="shared" si="997"/>
        <v>0</v>
      </c>
      <c r="AA508" s="151">
        <f t="shared" si="997"/>
        <v>0</v>
      </c>
      <c r="AB508" s="151">
        <f t="shared" si="997"/>
        <v>0</v>
      </c>
      <c r="AC508" s="165"/>
      <c r="AD508" s="181">
        <v>6407680720</v>
      </c>
      <c r="AE508" s="169">
        <v>2970696540</v>
      </c>
      <c r="AF508" s="148">
        <v>15000000</v>
      </c>
      <c r="AG508" s="169">
        <v>54000000</v>
      </c>
      <c r="AH508" s="166">
        <f t="shared" si="519"/>
        <v>0</v>
      </c>
      <c r="AI508" s="151"/>
      <c r="AJ508" s="151">
        <f t="shared" ref="AJ508:AL508" si="998">P508-AE508</f>
        <v>0</v>
      </c>
      <c r="AK508" s="151">
        <f t="shared" si="998"/>
        <v>0</v>
      </c>
      <c r="AL508" s="150">
        <f t="shared" si="998"/>
        <v>108000000</v>
      </c>
      <c r="AM508" s="145"/>
      <c r="AN508" s="139"/>
      <c r="AO508" s="139"/>
      <c r="AP508" s="139"/>
      <c r="AQ508" s="145" t="s">
        <v>2808</v>
      </c>
      <c r="AR508" s="145"/>
    </row>
    <row r="509" spans="1:44" s="156" customFormat="1" ht="47.25" x14ac:dyDescent="0.25">
      <c r="A509" s="143" t="s">
        <v>35</v>
      </c>
      <c r="B509" s="144">
        <v>496</v>
      </c>
      <c r="C509" s="143" t="s">
        <v>124</v>
      </c>
      <c r="D509" s="143" t="s">
        <v>2868</v>
      </c>
      <c r="E509" s="145"/>
      <c r="F509" s="146"/>
      <c r="G509" s="143" t="s">
        <v>2869</v>
      </c>
      <c r="H509" s="143"/>
      <c r="I509" s="143"/>
      <c r="J509" s="143"/>
      <c r="K509" s="143"/>
      <c r="L509" s="143" t="s">
        <v>2018</v>
      </c>
      <c r="M509" s="143" t="s">
        <v>43</v>
      </c>
      <c r="N509" s="143" t="s">
        <v>2870</v>
      </c>
      <c r="O509" s="147">
        <v>537732800</v>
      </c>
      <c r="P509" s="150"/>
      <c r="Q509" s="177">
        <v>7500000</v>
      </c>
      <c r="R509" s="150"/>
      <c r="S509" s="147">
        <f t="shared" si="517"/>
        <v>545232800</v>
      </c>
      <c r="T509" s="158">
        <v>537732800</v>
      </c>
      <c r="U509" s="143"/>
      <c r="V509" s="157"/>
      <c r="W509" s="143"/>
      <c r="X509" s="143"/>
      <c r="Y509" s="152">
        <f t="shared" ref="Y509:AB509" si="999">AD509-T509</f>
        <v>0</v>
      </c>
      <c r="Z509" s="151">
        <f t="shared" si="999"/>
        <v>0</v>
      </c>
      <c r="AA509" s="151">
        <f t="shared" si="999"/>
        <v>0</v>
      </c>
      <c r="AB509" s="151">
        <f t="shared" si="999"/>
        <v>0</v>
      </c>
      <c r="AC509" s="143"/>
      <c r="AD509" s="191">
        <v>537732800</v>
      </c>
      <c r="AE509" s="170"/>
      <c r="AF509" s="150"/>
      <c r="AG509" s="170"/>
      <c r="AH509" s="143">
        <f t="shared" si="519"/>
        <v>0</v>
      </c>
      <c r="AI509" s="151"/>
      <c r="AJ509" s="151">
        <f t="shared" ref="AJ509:AL509" si="1000">P509-AE509</f>
        <v>0</v>
      </c>
      <c r="AK509" s="151">
        <f t="shared" si="1000"/>
        <v>7500000</v>
      </c>
      <c r="AL509" s="151">
        <f t="shared" si="1000"/>
        <v>0</v>
      </c>
      <c r="AM509" s="145"/>
      <c r="AN509" s="139"/>
      <c r="AO509" s="139"/>
      <c r="AP509" s="162" t="s">
        <v>1579</v>
      </c>
      <c r="AQ509" s="145"/>
      <c r="AR509" s="145"/>
    </row>
    <row r="510" spans="1:44" s="156" customFormat="1" ht="47.25" x14ac:dyDescent="0.25">
      <c r="A510" s="143" t="s">
        <v>60</v>
      </c>
      <c r="B510" s="144">
        <v>497</v>
      </c>
      <c r="C510" s="143" t="s">
        <v>124</v>
      </c>
      <c r="D510" s="143" t="s">
        <v>2871</v>
      </c>
      <c r="E510" s="145"/>
      <c r="F510" s="146"/>
      <c r="G510" s="143" t="s">
        <v>2872</v>
      </c>
      <c r="H510" s="143"/>
      <c r="I510" s="143"/>
      <c r="J510" s="143"/>
      <c r="K510" s="143"/>
      <c r="L510" s="143" t="s">
        <v>2873</v>
      </c>
      <c r="M510" s="143" t="s">
        <v>43</v>
      </c>
      <c r="N510" s="143" t="s">
        <v>2874</v>
      </c>
      <c r="O510" s="147">
        <v>642104448</v>
      </c>
      <c r="P510" s="150"/>
      <c r="Q510" s="169">
        <v>7500000</v>
      </c>
      <c r="R510" s="150"/>
      <c r="S510" s="147">
        <f t="shared" si="517"/>
        <v>649604448</v>
      </c>
      <c r="T510" s="158">
        <v>642104448</v>
      </c>
      <c r="U510" s="143"/>
      <c r="V510" s="147">
        <v>7500000</v>
      </c>
      <c r="W510" s="143"/>
      <c r="X510" s="143"/>
      <c r="Y510" s="152">
        <f t="shared" ref="Y510:AB510" si="1001">AD510-T510</f>
        <v>0</v>
      </c>
      <c r="Z510" s="151">
        <f t="shared" si="1001"/>
        <v>0</v>
      </c>
      <c r="AA510" s="151">
        <f t="shared" si="1001"/>
        <v>0</v>
      </c>
      <c r="AB510" s="151">
        <f t="shared" si="1001"/>
        <v>0</v>
      </c>
      <c r="AC510" s="143"/>
      <c r="AD510" s="149">
        <v>642104448</v>
      </c>
      <c r="AE510" s="170"/>
      <c r="AF510" s="148">
        <v>7500000</v>
      </c>
      <c r="AG510" s="170"/>
      <c r="AH510" s="143">
        <f t="shared" si="519"/>
        <v>0</v>
      </c>
      <c r="AI510" s="151"/>
      <c r="AJ510" s="151">
        <f t="shared" ref="AJ510:AL510" si="1002">P510-AE510</f>
        <v>0</v>
      </c>
      <c r="AK510" s="151">
        <f t="shared" si="1002"/>
        <v>0</v>
      </c>
      <c r="AL510" s="151">
        <f t="shared" si="1002"/>
        <v>0</v>
      </c>
      <c r="AM510" s="145"/>
      <c r="AN510" s="139"/>
      <c r="AO510" s="139"/>
      <c r="AP510" s="139"/>
      <c r="AQ510" s="145"/>
      <c r="AR510" s="145"/>
    </row>
    <row r="511" spans="1:44" s="156" customFormat="1" ht="47.25" x14ac:dyDescent="0.25">
      <c r="A511" s="143" t="s">
        <v>35</v>
      </c>
      <c r="B511" s="144">
        <v>498</v>
      </c>
      <c r="C511" s="143" t="s">
        <v>124</v>
      </c>
      <c r="D511" s="143" t="s">
        <v>2875</v>
      </c>
      <c r="E511" s="145"/>
      <c r="F511" s="146"/>
      <c r="G511" s="143" t="s">
        <v>2876</v>
      </c>
      <c r="H511" s="143"/>
      <c r="I511" s="143"/>
      <c r="J511" s="143"/>
      <c r="K511" s="143"/>
      <c r="L511" s="143" t="s">
        <v>2877</v>
      </c>
      <c r="M511" s="143" t="s">
        <v>43</v>
      </c>
      <c r="N511" s="143" t="s">
        <v>2878</v>
      </c>
      <c r="O511" s="147">
        <v>3193098044</v>
      </c>
      <c r="P511" s="150"/>
      <c r="Q511" s="177">
        <v>15000000</v>
      </c>
      <c r="R511" s="150"/>
      <c r="S511" s="147">
        <f t="shared" si="517"/>
        <v>3208098044</v>
      </c>
      <c r="T511" s="158">
        <v>3193098044</v>
      </c>
      <c r="U511" s="143"/>
      <c r="V511" s="147">
        <v>15000000</v>
      </c>
      <c r="W511" s="143"/>
      <c r="X511" s="143"/>
      <c r="Y511" s="152">
        <f t="shared" ref="Y511:AB511" si="1003">AD511-T511</f>
        <v>0</v>
      </c>
      <c r="Z511" s="151">
        <f t="shared" si="1003"/>
        <v>0</v>
      </c>
      <c r="AA511" s="151">
        <f t="shared" si="1003"/>
        <v>0</v>
      </c>
      <c r="AB511" s="152">
        <f t="shared" si="1003"/>
        <v>0</v>
      </c>
      <c r="AC511" s="143"/>
      <c r="AD511" s="149">
        <v>3193098044</v>
      </c>
      <c r="AE511" s="170"/>
      <c r="AF511" s="148">
        <v>15000000</v>
      </c>
      <c r="AG511" s="193"/>
      <c r="AH511" s="143">
        <f t="shared" si="519"/>
        <v>0</v>
      </c>
      <c r="AI511" s="151"/>
      <c r="AJ511" s="151">
        <f t="shared" ref="AJ511:AL511" si="1004">P511-AE511</f>
        <v>0</v>
      </c>
      <c r="AK511" s="151">
        <f t="shared" si="1004"/>
        <v>0</v>
      </c>
      <c r="AL511" s="151">
        <f t="shared" si="1004"/>
        <v>0</v>
      </c>
      <c r="AM511" s="145"/>
      <c r="AN511" s="139"/>
      <c r="AO511" s="139"/>
      <c r="AP511" s="139"/>
      <c r="AQ511" s="145"/>
      <c r="AR511" s="145"/>
    </row>
    <row r="512" spans="1:44" s="156" customFormat="1" ht="31.5" x14ac:dyDescent="0.25">
      <c r="A512" s="143" t="s">
        <v>52</v>
      </c>
      <c r="B512" s="144">
        <v>499</v>
      </c>
      <c r="C512" s="143" t="s">
        <v>124</v>
      </c>
      <c r="D512" s="143" t="s">
        <v>2879</v>
      </c>
      <c r="E512" s="145"/>
      <c r="F512" s="146"/>
      <c r="G512" s="143" t="s">
        <v>2880</v>
      </c>
      <c r="H512" s="143"/>
      <c r="I512" s="143"/>
      <c r="J512" s="143"/>
      <c r="K512" s="143"/>
      <c r="L512" s="143" t="s">
        <v>2881</v>
      </c>
      <c r="M512" s="143" t="s">
        <v>43</v>
      </c>
      <c r="N512" s="143" t="s">
        <v>2882</v>
      </c>
      <c r="O512" s="147">
        <v>1244988472</v>
      </c>
      <c r="P512" s="150"/>
      <c r="Q512" s="169">
        <v>7500000</v>
      </c>
      <c r="R512" s="150"/>
      <c r="S512" s="147">
        <f t="shared" si="517"/>
        <v>1252488472</v>
      </c>
      <c r="T512" s="158">
        <v>1244988472</v>
      </c>
      <c r="U512" s="143"/>
      <c r="V512" s="147">
        <v>7500000</v>
      </c>
      <c r="W512" s="143"/>
      <c r="X512" s="143"/>
      <c r="Y512" s="152">
        <f t="shared" ref="Y512:AB512" si="1005">AD512-T512</f>
        <v>0</v>
      </c>
      <c r="Z512" s="151">
        <f t="shared" si="1005"/>
        <v>0</v>
      </c>
      <c r="AA512" s="151">
        <f t="shared" si="1005"/>
        <v>0</v>
      </c>
      <c r="AB512" s="151">
        <f t="shared" si="1005"/>
        <v>0</v>
      </c>
      <c r="AC512" s="143"/>
      <c r="AD512" s="194">
        <v>1244988472</v>
      </c>
      <c r="AE512" s="170"/>
      <c r="AF512" s="169">
        <v>7500000</v>
      </c>
      <c r="AG512" s="170"/>
      <c r="AH512" s="143">
        <f t="shared" si="519"/>
        <v>0</v>
      </c>
      <c r="AI512" s="151"/>
      <c r="AJ512" s="151">
        <f t="shared" ref="AJ512:AL512" si="1006">P512-AE512</f>
        <v>0</v>
      </c>
      <c r="AK512" s="151">
        <f t="shared" si="1006"/>
        <v>0</v>
      </c>
      <c r="AL512" s="151">
        <f t="shared" si="1006"/>
        <v>0</v>
      </c>
      <c r="AM512" s="145"/>
      <c r="AN512" s="139"/>
      <c r="AO512" s="139"/>
      <c r="AP512" s="139"/>
      <c r="AQ512" s="145"/>
      <c r="AR512" s="145"/>
    </row>
    <row r="513" spans="1:44" s="156" customFormat="1" ht="47.25" x14ac:dyDescent="0.25">
      <c r="A513" s="143" t="s">
        <v>46</v>
      </c>
      <c r="B513" s="144">
        <v>500</v>
      </c>
      <c r="C513" s="143" t="s">
        <v>124</v>
      </c>
      <c r="D513" s="143" t="s">
        <v>2883</v>
      </c>
      <c r="E513" s="145"/>
      <c r="F513" s="146"/>
      <c r="G513" s="143" t="s">
        <v>2884</v>
      </c>
      <c r="H513" s="143"/>
      <c r="I513" s="143"/>
      <c r="J513" s="143"/>
      <c r="K513" s="143"/>
      <c r="L513" s="143" t="s">
        <v>2885</v>
      </c>
      <c r="M513" s="143" t="s">
        <v>43</v>
      </c>
      <c r="N513" s="143" t="s">
        <v>2886</v>
      </c>
      <c r="O513" s="147">
        <v>2224532404</v>
      </c>
      <c r="P513" s="150"/>
      <c r="Q513" s="169">
        <v>15000000</v>
      </c>
      <c r="R513" s="150"/>
      <c r="S513" s="147">
        <f t="shared" si="517"/>
        <v>2239532404</v>
      </c>
      <c r="T513" s="158">
        <v>2224532404</v>
      </c>
      <c r="U513" s="143"/>
      <c r="V513" s="147">
        <v>15000000</v>
      </c>
      <c r="W513" s="143"/>
      <c r="X513" s="143"/>
      <c r="Y513" s="152">
        <f t="shared" ref="Y513:AB513" si="1007">AD513-T513</f>
        <v>0</v>
      </c>
      <c r="Z513" s="151">
        <f t="shared" si="1007"/>
        <v>0</v>
      </c>
      <c r="AA513" s="151">
        <f t="shared" si="1007"/>
        <v>0</v>
      </c>
      <c r="AB513" s="152">
        <f t="shared" si="1007"/>
        <v>0</v>
      </c>
      <c r="AC513" s="143"/>
      <c r="AD513" s="191">
        <v>2224532404</v>
      </c>
      <c r="AE513" s="150"/>
      <c r="AF513" s="148">
        <v>15000000</v>
      </c>
      <c r="AG513" s="155"/>
      <c r="AH513" s="143">
        <f t="shared" si="519"/>
        <v>0</v>
      </c>
      <c r="AI513" s="151"/>
      <c r="AJ513" s="151">
        <f t="shared" ref="AJ513:AL513" si="1008">P513-AE513</f>
        <v>0</v>
      </c>
      <c r="AK513" s="151">
        <f t="shared" si="1008"/>
        <v>0</v>
      </c>
      <c r="AL513" s="151">
        <f t="shared" si="1008"/>
        <v>0</v>
      </c>
      <c r="AM513" s="145"/>
      <c r="AN513" s="139"/>
      <c r="AO513" s="139"/>
      <c r="AP513" s="139"/>
      <c r="AQ513" s="145"/>
      <c r="AR513" s="145"/>
    </row>
    <row r="514" spans="1:44" s="156" customFormat="1" ht="47.25" x14ac:dyDescent="0.25">
      <c r="A514" s="143" t="s">
        <v>46</v>
      </c>
      <c r="B514" s="144">
        <v>501</v>
      </c>
      <c r="C514" s="143" t="s">
        <v>124</v>
      </c>
      <c r="D514" s="143" t="s">
        <v>2887</v>
      </c>
      <c r="E514" s="145"/>
      <c r="F514" s="146"/>
      <c r="G514" s="143" t="s">
        <v>2888</v>
      </c>
      <c r="H514" s="143"/>
      <c r="I514" s="143"/>
      <c r="J514" s="143"/>
      <c r="K514" s="143"/>
      <c r="L514" s="143" t="s">
        <v>2889</v>
      </c>
      <c r="M514" s="143" t="s">
        <v>43</v>
      </c>
      <c r="N514" s="143" t="s">
        <v>2890</v>
      </c>
      <c r="O514" s="147">
        <v>3356354008</v>
      </c>
      <c r="P514" s="150"/>
      <c r="Q514" s="169">
        <v>15000000</v>
      </c>
      <c r="R514" s="150"/>
      <c r="S514" s="147">
        <f t="shared" si="517"/>
        <v>3371354008</v>
      </c>
      <c r="T514" s="158">
        <v>3356354008</v>
      </c>
      <c r="U514" s="143"/>
      <c r="V514" s="147">
        <v>15000000</v>
      </c>
      <c r="W514" s="143"/>
      <c r="X514" s="143"/>
      <c r="Y514" s="152">
        <f t="shared" ref="Y514:AB514" si="1009">AD514-T514</f>
        <v>0</v>
      </c>
      <c r="Z514" s="151">
        <f t="shared" si="1009"/>
        <v>0</v>
      </c>
      <c r="AA514" s="151">
        <f t="shared" si="1009"/>
        <v>0</v>
      </c>
      <c r="AB514" s="152">
        <f t="shared" si="1009"/>
        <v>0</v>
      </c>
      <c r="AC514" s="143"/>
      <c r="AD514" s="149">
        <v>3356354008</v>
      </c>
      <c r="AE514" s="170"/>
      <c r="AF514" s="148">
        <v>15000000</v>
      </c>
      <c r="AG514" s="193"/>
      <c r="AH514" s="143">
        <f t="shared" si="519"/>
        <v>0</v>
      </c>
      <c r="AI514" s="151"/>
      <c r="AJ514" s="151">
        <f t="shared" ref="AJ514:AL514" si="1010">P514-AE514</f>
        <v>0</v>
      </c>
      <c r="AK514" s="151">
        <f t="shared" si="1010"/>
        <v>0</v>
      </c>
      <c r="AL514" s="151">
        <f t="shared" si="1010"/>
        <v>0</v>
      </c>
      <c r="AM514" s="145"/>
      <c r="AN514" s="139"/>
      <c r="AO514" s="139"/>
      <c r="AP514" s="139"/>
      <c r="AQ514" s="145"/>
      <c r="AR514" s="145"/>
    </row>
    <row r="515" spans="1:44" s="156" customFormat="1" ht="47.25" x14ac:dyDescent="0.25">
      <c r="A515" s="143" t="s">
        <v>88</v>
      </c>
      <c r="B515" s="144">
        <v>502</v>
      </c>
      <c r="C515" s="143" t="s">
        <v>124</v>
      </c>
      <c r="D515" s="143" t="s">
        <v>2891</v>
      </c>
      <c r="E515" s="145" t="s">
        <v>1821</v>
      </c>
      <c r="F515" s="146"/>
      <c r="G515" s="143" t="s">
        <v>2892</v>
      </c>
      <c r="H515" s="143" t="s">
        <v>2893</v>
      </c>
      <c r="I515" s="143"/>
      <c r="J515" s="143"/>
      <c r="K515" s="143"/>
      <c r="L515" s="143" t="s">
        <v>2894</v>
      </c>
      <c r="M515" s="143" t="s">
        <v>43</v>
      </c>
      <c r="N515" s="143" t="s">
        <v>2895</v>
      </c>
      <c r="O515" s="147">
        <v>5266510920</v>
      </c>
      <c r="P515" s="169">
        <v>737485460</v>
      </c>
      <c r="Q515" s="169">
        <v>7500000</v>
      </c>
      <c r="R515" s="150"/>
      <c r="S515" s="147">
        <f t="shared" si="517"/>
        <v>6011496380</v>
      </c>
      <c r="T515" s="158">
        <v>5266510920</v>
      </c>
      <c r="U515" s="158">
        <v>737485460</v>
      </c>
      <c r="V515" s="147">
        <v>7500000</v>
      </c>
      <c r="W515" s="143"/>
      <c r="X515" s="143"/>
      <c r="Y515" s="152">
        <f t="shared" ref="Y515:AB515" si="1011">AD515-T515</f>
        <v>0</v>
      </c>
      <c r="Z515" s="151">
        <f t="shared" si="1011"/>
        <v>0</v>
      </c>
      <c r="AA515" s="151">
        <f t="shared" si="1011"/>
        <v>0</v>
      </c>
      <c r="AB515" s="151">
        <f t="shared" si="1011"/>
        <v>0</v>
      </c>
      <c r="AC515" s="143"/>
      <c r="AD515" s="149">
        <v>5266510920</v>
      </c>
      <c r="AE515" s="148">
        <v>737485460</v>
      </c>
      <c r="AF515" s="148">
        <v>7500000</v>
      </c>
      <c r="AG515" s="150"/>
      <c r="AH515" s="143">
        <f t="shared" si="519"/>
        <v>0</v>
      </c>
      <c r="AI515" s="151"/>
      <c r="AJ515" s="151">
        <f t="shared" ref="AJ515:AL515" si="1012">P515-AE515</f>
        <v>0</v>
      </c>
      <c r="AK515" s="151">
        <f t="shared" si="1012"/>
        <v>0</v>
      </c>
      <c r="AL515" s="151">
        <f t="shared" si="1012"/>
        <v>0</v>
      </c>
      <c r="AM515" s="145"/>
      <c r="AN515" s="139"/>
      <c r="AO515" s="139"/>
      <c r="AP515" s="139"/>
      <c r="AQ515" s="145"/>
      <c r="AR515" s="145"/>
    </row>
    <row r="516" spans="1:44" s="156" customFormat="1" ht="63" x14ac:dyDescent="0.25">
      <c r="A516" s="143" t="s">
        <v>35</v>
      </c>
      <c r="B516" s="175">
        <v>503</v>
      </c>
      <c r="C516" s="145" t="s">
        <v>124</v>
      </c>
      <c r="D516" s="143" t="s">
        <v>771</v>
      </c>
      <c r="E516" s="145" t="s">
        <v>772</v>
      </c>
      <c r="F516" s="145" t="s">
        <v>757</v>
      </c>
      <c r="G516" s="145" t="s">
        <v>773</v>
      </c>
      <c r="H516" s="145" t="s">
        <v>774</v>
      </c>
      <c r="I516" s="145"/>
      <c r="J516" s="145"/>
      <c r="K516" s="146"/>
      <c r="L516" s="145" t="s">
        <v>775</v>
      </c>
      <c r="M516" s="145" t="s">
        <v>43</v>
      </c>
      <c r="N516" s="145" t="s">
        <v>776</v>
      </c>
      <c r="O516" s="147">
        <v>6096414328</v>
      </c>
      <c r="P516" s="148">
        <v>570602880</v>
      </c>
      <c r="Q516" s="177">
        <v>15000000</v>
      </c>
      <c r="R516" s="148">
        <v>48000000</v>
      </c>
      <c r="S516" s="147">
        <f t="shared" si="517"/>
        <v>6730017208</v>
      </c>
      <c r="T516" s="143"/>
      <c r="U516" s="143"/>
      <c r="V516" s="157"/>
      <c r="W516" s="143"/>
      <c r="X516" s="143"/>
      <c r="Y516" s="152">
        <f t="shared" ref="Y516:AB516" si="1013">AD516-T516</f>
        <v>0</v>
      </c>
      <c r="Z516" s="151">
        <f t="shared" si="1013"/>
        <v>0</v>
      </c>
      <c r="AA516" s="151">
        <f t="shared" si="1013"/>
        <v>0</v>
      </c>
      <c r="AB516" s="151">
        <f t="shared" si="1013"/>
        <v>0</v>
      </c>
      <c r="AC516" s="165"/>
      <c r="AD516" s="192"/>
      <c r="AE516" s="150"/>
      <c r="AF516" s="150"/>
      <c r="AG516" s="150"/>
      <c r="AH516" s="166">
        <f t="shared" si="519"/>
        <v>0</v>
      </c>
      <c r="AI516" s="151">
        <v>6096414328</v>
      </c>
      <c r="AJ516" s="151">
        <f t="shared" ref="AJ516:AL516" si="1014">P516-AE516</f>
        <v>570602880</v>
      </c>
      <c r="AK516" s="151">
        <f t="shared" si="1014"/>
        <v>15000000</v>
      </c>
      <c r="AL516" s="150">
        <f t="shared" si="1014"/>
        <v>48000000</v>
      </c>
      <c r="AM516" s="148">
        <v>6096414328</v>
      </c>
      <c r="AN516" s="195" t="s">
        <v>3808</v>
      </c>
      <c r="AO516" s="168" t="s">
        <v>3809</v>
      </c>
      <c r="AP516" s="162" t="s">
        <v>394</v>
      </c>
      <c r="AQ516" s="218" t="s">
        <v>3810</v>
      </c>
      <c r="AR516" s="218"/>
    </row>
    <row r="517" spans="1:44" s="156" customFormat="1" ht="47.25" x14ac:dyDescent="0.25">
      <c r="A517" s="143" t="s">
        <v>60</v>
      </c>
      <c r="B517" s="144">
        <v>504</v>
      </c>
      <c r="C517" s="143" t="s">
        <v>124</v>
      </c>
      <c r="D517" s="143" t="s">
        <v>2896</v>
      </c>
      <c r="E517" s="145"/>
      <c r="F517" s="146"/>
      <c r="G517" s="143" t="s">
        <v>2897</v>
      </c>
      <c r="H517" s="143"/>
      <c r="I517" s="143"/>
      <c r="J517" s="143"/>
      <c r="K517" s="143"/>
      <c r="L517" s="143" t="s">
        <v>2898</v>
      </c>
      <c r="M517" s="143" t="s">
        <v>43</v>
      </c>
      <c r="N517" s="143" t="s">
        <v>2899</v>
      </c>
      <c r="O517" s="147">
        <v>754321600</v>
      </c>
      <c r="P517" s="150"/>
      <c r="Q517" s="169">
        <v>15000000</v>
      </c>
      <c r="R517" s="150"/>
      <c r="S517" s="147">
        <f t="shared" si="517"/>
        <v>769321600</v>
      </c>
      <c r="T517" s="158">
        <v>754321600</v>
      </c>
      <c r="U517" s="143"/>
      <c r="V517" s="157"/>
      <c r="W517" s="143"/>
      <c r="X517" s="143"/>
      <c r="Y517" s="152">
        <f t="shared" ref="Y517:AB517" si="1015">AD517-T517</f>
        <v>0</v>
      </c>
      <c r="Z517" s="151">
        <f t="shared" si="1015"/>
        <v>0</v>
      </c>
      <c r="AA517" s="151">
        <f t="shared" si="1015"/>
        <v>0</v>
      </c>
      <c r="AB517" s="152">
        <f t="shared" si="1015"/>
        <v>0</v>
      </c>
      <c r="AC517" s="143"/>
      <c r="AD517" s="191">
        <v>754321600</v>
      </c>
      <c r="AE517" s="170"/>
      <c r="AF517" s="150"/>
      <c r="AG517" s="193"/>
      <c r="AH517" s="143">
        <f t="shared" si="519"/>
        <v>0</v>
      </c>
      <c r="AI517" s="151"/>
      <c r="AJ517" s="151">
        <f t="shared" ref="AJ517:AL517" si="1016">P517-AE517</f>
        <v>0</v>
      </c>
      <c r="AK517" s="151">
        <f t="shared" si="1016"/>
        <v>15000000</v>
      </c>
      <c r="AL517" s="151">
        <f t="shared" si="1016"/>
        <v>0</v>
      </c>
      <c r="AM517" s="145"/>
      <c r="AN517" s="139"/>
      <c r="AO517" s="139"/>
      <c r="AP517" s="162" t="s">
        <v>1579</v>
      </c>
      <c r="AQ517" s="145"/>
      <c r="AR517" s="145"/>
    </row>
    <row r="518" spans="1:44" s="156" customFormat="1" ht="47.25" x14ac:dyDescent="0.25">
      <c r="A518" s="143" t="s">
        <v>88</v>
      </c>
      <c r="B518" s="144">
        <v>505</v>
      </c>
      <c r="C518" s="143" t="s">
        <v>124</v>
      </c>
      <c r="D518" s="143" t="s">
        <v>2900</v>
      </c>
      <c r="E518" s="145"/>
      <c r="F518" s="146"/>
      <c r="G518" s="143" t="s">
        <v>2901</v>
      </c>
      <c r="H518" s="143"/>
      <c r="I518" s="143"/>
      <c r="J518" s="143"/>
      <c r="K518" s="143"/>
      <c r="L518" s="143" t="s">
        <v>2902</v>
      </c>
      <c r="M518" s="143" t="s">
        <v>43</v>
      </c>
      <c r="N518" s="143" t="s">
        <v>2903</v>
      </c>
      <c r="O518" s="147">
        <v>1084083840</v>
      </c>
      <c r="P518" s="150"/>
      <c r="Q518" s="169">
        <v>7500000</v>
      </c>
      <c r="R518" s="150"/>
      <c r="S518" s="147">
        <f t="shared" si="517"/>
        <v>1091583840</v>
      </c>
      <c r="T518" s="158">
        <v>1084083840</v>
      </c>
      <c r="U518" s="143"/>
      <c r="V518" s="147">
        <v>7500000</v>
      </c>
      <c r="W518" s="143"/>
      <c r="X518" s="143"/>
      <c r="Y518" s="152">
        <f t="shared" ref="Y518:AB518" si="1017">AD518-T518</f>
        <v>0</v>
      </c>
      <c r="Z518" s="151">
        <f t="shared" si="1017"/>
        <v>0</v>
      </c>
      <c r="AA518" s="151">
        <f t="shared" si="1017"/>
        <v>0</v>
      </c>
      <c r="AB518" s="151">
        <f t="shared" si="1017"/>
        <v>0</v>
      </c>
      <c r="AC518" s="143"/>
      <c r="AD518" s="191">
        <v>1084083840</v>
      </c>
      <c r="AE518" s="170"/>
      <c r="AF518" s="148">
        <v>7500000</v>
      </c>
      <c r="AG518" s="170"/>
      <c r="AH518" s="143">
        <f t="shared" si="519"/>
        <v>0</v>
      </c>
      <c r="AI518" s="151"/>
      <c r="AJ518" s="151">
        <f t="shared" ref="AJ518:AL518" si="1018">P518-AE518</f>
        <v>0</v>
      </c>
      <c r="AK518" s="151">
        <f t="shared" si="1018"/>
        <v>0</v>
      </c>
      <c r="AL518" s="151">
        <f t="shared" si="1018"/>
        <v>0</v>
      </c>
      <c r="AM518" s="145"/>
      <c r="AN518" s="139"/>
      <c r="AO518" s="139"/>
      <c r="AP518" s="139"/>
      <c r="AQ518" s="145"/>
      <c r="AR518" s="145"/>
    </row>
    <row r="519" spans="1:44" s="156" customFormat="1" ht="110.25" x14ac:dyDescent="0.25">
      <c r="A519" s="143" t="s">
        <v>46</v>
      </c>
      <c r="B519" s="144">
        <v>506</v>
      </c>
      <c r="C519" s="143" t="s">
        <v>124</v>
      </c>
      <c r="D519" s="143" t="s">
        <v>125</v>
      </c>
      <c r="E519" s="145"/>
      <c r="F519" s="145" t="s">
        <v>126</v>
      </c>
      <c r="G519" s="143" t="s">
        <v>127</v>
      </c>
      <c r="H519" s="143"/>
      <c r="I519" s="143"/>
      <c r="J519" s="143"/>
      <c r="K519" s="164"/>
      <c r="L519" s="143" t="s">
        <v>128</v>
      </c>
      <c r="M519" s="143" t="s">
        <v>43</v>
      </c>
      <c r="N519" s="143" t="s">
        <v>129</v>
      </c>
      <c r="O519" s="147">
        <v>3890846788</v>
      </c>
      <c r="P519" s="150"/>
      <c r="Q519" s="169">
        <v>15000000</v>
      </c>
      <c r="R519" s="148">
        <f>24000000+48000000</f>
        <v>72000000</v>
      </c>
      <c r="S519" s="147">
        <f t="shared" si="517"/>
        <v>3977846788</v>
      </c>
      <c r="T519" s="158">
        <v>3890846788</v>
      </c>
      <c r="U519" s="143"/>
      <c r="V519" s="147">
        <v>15000000</v>
      </c>
      <c r="W519" s="158">
        <v>72000000</v>
      </c>
      <c r="X519" s="143"/>
      <c r="Y519" s="152">
        <f t="shared" ref="Y519:AB519" si="1019">AD519-T519</f>
        <v>0</v>
      </c>
      <c r="Z519" s="151">
        <f t="shared" si="1019"/>
        <v>0</v>
      </c>
      <c r="AA519" s="151">
        <f t="shared" si="1019"/>
        <v>0</v>
      </c>
      <c r="AB519" s="152">
        <f t="shared" si="1019"/>
        <v>0</v>
      </c>
      <c r="AC519" s="143"/>
      <c r="AD519" s="149">
        <v>3890846788</v>
      </c>
      <c r="AE519" s="150"/>
      <c r="AF519" s="148">
        <v>15000000</v>
      </c>
      <c r="AG519" s="149">
        <f>24000000+48000000</f>
        <v>72000000</v>
      </c>
      <c r="AH519" s="143">
        <f t="shared" si="519"/>
        <v>0</v>
      </c>
      <c r="AI519" s="151"/>
      <c r="AJ519" s="151">
        <f t="shared" ref="AJ519:AL519" si="1020">P519-AE519</f>
        <v>0</v>
      </c>
      <c r="AK519" s="151">
        <f t="shared" si="1020"/>
        <v>0</v>
      </c>
      <c r="AL519" s="151">
        <f t="shared" si="1020"/>
        <v>0</v>
      </c>
      <c r="AM519" s="145"/>
      <c r="AN519" s="139"/>
      <c r="AO519" s="139"/>
      <c r="AP519" s="139"/>
      <c r="AQ519" s="145"/>
      <c r="AR519" s="145"/>
    </row>
    <row r="520" spans="1:44" s="156" customFormat="1" ht="47.25" x14ac:dyDescent="0.25">
      <c r="A520" s="143" t="s">
        <v>46</v>
      </c>
      <c r="B520" s="144">
        <v>507</v>
      </c>
      <c r="C520" s="143" t="s">
        <v>124</v>
      </c>
      <c r="D520" s="143" t="s">
        <v>2904</v>
      </c>
      <c r="E520" s="145"/>
      <c r="F520" s="146"/>
      <c r="G520" s="143" t="s">
        <v>2905</v>
      </c>
      <c r="H520" s="143"/>
      <c r="I520" s="143"/>
      <c r="J520" s="143"/>
      <c r="K520" s="143"/>
      <c r="L520" s="143" t="s">
        <v>2906</v>
      </c>
      <c r="M520" s="143" t="s">
        <v>43</v>
      </c>
      <c r="N520" s="143" t="s">
        <v>2907</v>
      </c>
      <c r="O520" s="147">
        <v>4157817700</v>
      </c>
      <c r="P520" s="150"/>
      <c r="Q520" s="169">
        <v>15000000</v>
      </c>
      <c r="R520" s="150"/>
      <c r="S520" s="147">
        <f t="shared" si="517"/>
        <v>4172817700</v>
      </c>
      <c r="T520" s="158">
        <v>4157817700</v>
      </c>
      <c r="U520" s="143"/>
      <c r="V520" s="147">
        <v>15000000</v>
      </c>
      <c r="W520" s="143"/>
      <c r="X520" s="143"/>
      <c r="Y520" s="152">
        <f t="shared" ref="Y520:AB520" si="1021">AD520-T520</f>
        <v>0</v>
      </c>
      <c r="Z520" s="151">
        <f t="shared" si="1021"/>
        <v>0</v>
      </c>
      <c r="AA520" s="151">
        <f t="shared" si="1021"/>
        <v>0</v>
      </c>
      <c r="AB520" s="152">
        <f t="shared" si="1021"/>
        <v>0</v>
      </c>
      <c r="AC520" s="143"/>
      <c r="AD520" s="149">
        <v>4157817700</v>
      </c>
      <c r="AE520" s="170"/>
      <c r="AF520" s="169">
        <v>15000000</v>
      </c>
      <c r="AG520" s="193"/>
      <c r="AH520" s="143">
        <f t="shared" si="519"/>
        <v>0</v>
      </c>
      <c r="AI520" s="151"/>
      <c r="AJ520" s="151">
        <f t="shared" ref="AJ520:AL520" si="1022">P520-AE520</f>
        <v>0</v>
      </c>
      <c r="AK520" s="151">
        <f t="shared" si="1022"/>
        <v>0</v>
      </c>
      <c r="AL520" s="151">
        <f t="shared" si="1022"/>
        <v>0</v>
      </c>
      <c r="AM520" s="145"/>
      <c r="AN520" s="139"/>
      <c r="AO520" s="139"/>
      <c r="AP520" s="139"/>
      <c r="AQ520" s="145"/>
      <c r="AR520" s="145"/>
    </row>
    <row r="521" spans="1:44" s="156" customFormat="1" ht="47.25" x14ac:dyDescent="0.25">
      <c r="A521" s="143" t="s">
        <v>60</v>
      </c>
      <c r="B521" s="144">
        <v>508</v>
      </c>
      <c r="C521" s="143" t="s">
        <v>124</v>
      </c>
      <c r="D521" s="143" t="s">
        <v>2908</v>
      </c>
      <c r="E521" s="145"/>
      <c r="F521" s="146"/>
      <c r="G521" s="143" t="s">
        <v>2909</v>
      </c>
      <c r="H521" s="143"/>
      <c r="I521" s="143"/>
      <c r="J521" s="143"/>
      <c r="K521" s="143"/>
      <c r="L521" s="143" t="s">
        <v>2910</v>
      </c>
      <c r="M521" s="143" t="s">
        <v>43</v>
      </c>
      <c r="N521" s="143" t="s">
        <v>2911</v>
      </c>
      <c r="O521" s="147">
        <v>2456562500</v>
      </c>
      <c r="P521" s="150"/>
      <c r="Q521" s="169">
        <v>15000000</v>
      </c>
      <c r="R521" s="150"/>
      <c r="S521" s="147">
        <f t="shared" si="517"/>
        <v>2471562500</v>
      </c>
      <c r="T521" s="158">
        <v>2456562500</v>
      </c>
      <c r="U521" s="143"/>
      <c r="V521" s="147">
        <v>15000000</v>
      </c>
      <c r="W521" s="143"/>
      <c r="X521" s="143"/>
      <c r="Y521" s="152">
        <f t="shared" ref="Y521:AB521" si="1023">AD521-T521</f>
        <v>0</v>
      </c>
      <c r="Z521" s="151">
        <f t="shared" si="1023"/>
        <v>0</v>
      </c>
      <c r="AA521" s="151">
        <f t="shared" si="1023"/>
        <v>0</v>
      </c>
      <c r="AB521" s="152">
        <f t="shared" si="1023"/>
        <v>0</v>
      </c>
      <c r="AC521" s="143"/>
      <c r="AD521" s="194">
        <v>2456562500</v>
      </c>
      <c r="AE521" s="150"/>
      <c r="AF521" s="148">
        <v>15000000</v>
      </c>
      <c r="AG521" s="155"/>
      <c r="AH521" s="143">
        <f t="shared" si="519"/>
        <v>0</v>
      </c>
      <c r="AI521" s="151"/>
      <c r="AJ521" s="151">
        <f t="shared" ref="AJ521:AL521" si="1024">P521-AE521</f>
        <v>0</v>
      </c>
      <c r="AK521" s="151">
        <f t="shared" si="1024"/>
        <v>0</v>
      </c>
      <c r="AL521" s="151">
        <f t="shared" si="1024"/>
        <v>0</v>
      </c>
      <c r="AM521" s="145"/>
      <c r="AN521" s="139"/>
      <c r="AO521" s="139"/>
      <c r="AP521" s="139"/>
      <c r="AQ521" s="145"/>
      <c r="AR521" s="145"/>
    </row>
    <row r="522" spans="1:44" s="156" customFormat="1" ht="31.5" x14ac:dyDescent="0.25">
      <c r="A522" s="143" t="s">
        <v>60</v>
      </c>
      <c r="B522" s="144">
        <v>509</v>
      </c>
      <c r="C522" s="143" t="s">
        <v>124</v>
      </c>
      <c r="D522" s="143" t="s">
        <v>2912</v>
      </c>
      <c r="E522" s="145"/>
      <c r="F522" s="146"/>
      <c r="G522" s="143" t="s">
        <v>2913</v>
      </c>
      <c r="H522" s="143"/>
      <c r="I522" s="143"/>
      <c r="J522" s="143"/>
      <c r="K522" s="143"/>
      <c r="L522" s="143" t="s">
        <v>2914</v>
      </c>
      <c r="M522" s="143" t="s">
        <v>43</v>
      </c>
      <c r="N522" s="143" t="s">
        <v>2915</v>
      </c>
      <c r="O522" s="147">
        <v>6601856928</v>
      </c>
      <c r="P522" s="150"/>
      <c r="Q522" s="169">
        <v>7500000</v>
      </c>
      <c r="R522" s="150"/>
      <c r="S522" s="147">
        <f t="shared" si="517"/>
        <v>6609356928</v>
      </c>
      <c r="T522" s="158">
        <v>6601856928</v>
      </c>
      <c r="U522" s="143"/>
      <c r="V522" s="147">
        <v>7500000</v>
      </c>
      <c r="W522" s="143"/>
      <c r="X522" s="143"/>
      <c r="Y522" s="152">
        <f t="shared" ref="Y522:AB522" si="1025">AD522-T522</f>
        <v>0</v>
      </c>
      <c r="Z522" s="151">
        <f t="shared" si="1025"/>
        <v>0</v>
      </c>
      <c r="AA522" s="151">
        <f t="shared" si="1025"/>
        <v>0</v>
      </c>
      <c r="AB522" s="152">
        <f t="shared" si="1025"/>
        <v>0</v>
      </c>
      <c r="AC522" s="143"/>
      <c r="AD522" s="191">
        <v>6601856928</v>
      </c>
      <c r="AE522" s="150"/>
      <c r="AF522" s="148">
        <v>7500000</v>
      </c>
      <c r="AG522" s="155"/>
      <c r="AH522" s="143">
        <f t="shared" si="519"/>
        <v>0</v>
      </c>
      <c r="AI522" s="151"/>
      <c r="AJ522" s="151">
        <f t="shared" ref="AJ522:AL522" si="1026">P522-AE522</f>
        <v>0</v>
      </c>
      <c r="AK522" s="151">
        <f t="shared" si="1026"/>
        <v>0</v>
      </c>
      <c r="AL522" s="151">
        <f t="shared" si="1026"/>
        <v>0</v>
      </c>
      <c r="AM522" s="145"/>
      <c r="AN522" s="139"/>
      <c r="AO522" s="139"/>
      <c r="AP522" s="139"/>
      <c r="AQ522" s="145"/>
      <c r="AR522" s="145"/>
    </row>
    <row r="523" spans="1:44" s="156" customFormat="1" ht="47.25" x14ac:dyDescent="0.25">
      <c r="A523" s="143" t="s">
        <v>35</v>
      </c>
      <c r="B523" s="144">
        <v>510</v>
      </c>
      <c r="C523" s="143" t="s">
        <v>124</v>
      </c>
      <c r="D523" s="143" t="s">
        <v>2916</v>
      </c>
      <c r="E523" s="145" t="s">
        <v>2917</v>
      </c>
      <c r="F523" s="146"/>
      <c r="G523" s="143" t="s">
        <v>2918</v>
      </c>
      <c r="H523" s="143" t="s">
        <v>2919</v>
      </c>
      <c r="I523" s="143" t="s">
        <v>85</v>
      </c>
      <c r="J523" s="143"/>
      <c r="K523" s="143"/>
      <c r="L523" s="143" t="s">
        <v>2920</v>
      </c>
      <c r="M523" s="143" t="s">
        <v>43</v>
      </c>
      <c r="N523" s="143" t="s">
        <v>2921</v>
      </c>
      <c r="O523" s="147"/>
      <c r="P523" s="169">
        <v>14059528830</v>
      </c>
      <c r="Q523" s="177">
        <v>3750000</v>
      </c>
      <c r="R523" s="150"/>
      <c r="S523" s="147">
        <f t="shared" si="517"/>
        <v>14063278830</v>
      </c>
      <c r="T523" s="144">
        <v>0</v>
      </c>
      <c r="U523" s="158">
        <v>14059528830</v>
      </c>
      <c r="V523" s="157">
        <v>3750000</v>
      </c>
      <c r="W523" s="143"/>
      <c r="X523" s="143"/>
      <c r="Y523" s="143">
        <f t="shared" ref="Y523:AB523" si="1027">AD523-T523</f>
        <v>0</v>
      </c>
      <c r="Z523" s="151">
        <f t="shared" si="1027"/>
        <v>0</v>
      </c>
      <c r="AA523" s="151">
        <f t="shared" si="1027"/>
        <v>0</v>
      </c>
      <c r="AB523" s="143">
        <f t="shared" si="1027"/>
        <v>0</v>
      </c>
      <c r="AC523" s="143"/>
      <c r="AD523" s="196">
        <v>0</v>
      </c>
      <c r="AE523" s="148">
        <v>14059528830</v>
      </c>
      <c r="AF523" s="148">
        <v>3750000</v>
      </c>
      <c r="AG523" s="145"/>
      <c r="AH523" s="143">
        <f t="shared" si="519"/>
        <v>0</v>
      </c>
      <c r="AI523" s="151"/>
      <c r="AJ523" s="151">
        <f t="shared" ref="AJ523:AL523" si="1028">P523-AE523</f>
        <v>0</v>
      </c>
      <c r="AK523" s="151">
        <f t="shared" si="1028"/>
        <v>0</v>
      </c>
      <c r="AL523" s="151">
        <f t="shared" si="1028"/>
        <v>0</v>
      </c>
      <c r="AM523" s="145"/>
      <c r="AN523" s="139"/>
      <c r="AO523" s="139"/>
      <c r="AP523" s="139"/>
      <c r="AQ523" s="145"/>
      <c r="AR523" s="145"/>
    </row>
    <row r="524" spans="1:44" s="156" customFormat="1" ht="47.25" x14ac:dyDescent="0.25">
      <c r="A524" s="143" t="s">
        <v>46</v>
      </c>
      <c r="B524" s="144">
        <v>511</v>
      </c>
      <c r="C524" s="143" t="s">
        <v>124</v>
      </c>
      <c r="D524" s="143" t="s">
        <v>347</v>
      </c>
      <c r="E524" s="145"/>
      <c r="F524" s="145" t="s">
        <v>348</v>
      </c>
      <c r="G524" s="143" t="s">
        <v>349</v>
      </c>
      <c r="H524" s="143"/>
      <c r="I524" s="143"/>
      <c r="J524" s="143"/>
      <c r="K524" s="164"/>
      <c r="L524" s="143" t="s">
        <v>350</v>
      </c>
      <c r="M524" s="143" t="s">
        <v>43</v>
      </c>
      <c r="N524" s="143" t="s">
        <v>351</v>
      </c>
      <c r="O524" s="147">
        <v>1160551680</v>
      </c>
      <c r="P524" s="150"/>
      <c r="Q524" s="169">
        <v>15000000</v>
      </c>
      <c r="R524" s="148">
        <v>24000000</v>
      </c>
      <c r="S524" s="147">
        <f t="shared" ref="S524:S778" si="1029">O524+P524+Q524+R524</f>
        <v>1199551680</v>
      </c>
      <c r="T524" s="158">
        <v>1160551680</v>
      </c>
      <c r="U524" s="143"/>
      <c r="V524" s="147">
        <v>15000000</v>
      </c>
      <c r="W524" s="158">
        <v>24000000</v>
      </c>
      <c r="X524" s="143"/>
      <c r="Y524" s="151">
        <f t="shared" ref="Y524:AB524" si="1030">AD524-T524</f>
        <v>0</v>
      </c>
      <c r="Z524" s="151">
        <f t="shared" si="1030"/>
        <v>0</v>
      </c>
      <c r="AA524" s="151">
        <f t="shared" si="1030"/>
        <v>0</v>
      </c>
      <c r="AB524" s="152">
        <f t="shared" si="1030"/>
        <v>0</v>
      </c>
      <c r="AC524" s="143"/>
      <c r="AD524" s="169">
        <v>1160551680</v>
      </c>
      <c r="AE524" s="150"/>
      <c r="AF524" s="148">
        <v>15000000</v>
      </c>
      <c r="AG524" s="149">
        <v>24000000</v>
      </c>
      <c r="AH524" s="143">
        <f t="shared" ref="AH524:AH778" si="1031">X524+AC524</f>
        <v>0</v>
      </c>
      <c r="AI524" s="151"/>
      <c r="AJ524" s="151">
        <f t="shared" ref="AJ524:AL524" si="1032">P524-AE524</f>
        <v>0</v>
      </c>
      <c r="AK524" s="151">
        <f t="shared" si="1032"/>
        <v>0</v>
      </c>
      <c r="AL524" s="151">
        <f t="shared" si="1032"/>
        <v>0</v>
      </c>
      <c r="AM524" s="145"/>
      <c r="AN524" s="139"/>
      <c r="AO524" s="139"/>
      <c r="AP524" s="139"/>
      <c r="AQ524" s="145"/>
      <c r="AR524" s="145"/>
    </row>
    <row r="525" spans="1:44" s="156" customFormat="1" ht="78.75" x14ac:dyDescent="0.25">
      <c r="A525" s="143" t="s">
        <v>46</v>
      </c>
      <c r="B525" s="175">
        <v>512</v>
      </c>
      <c r="C525" s="145" t="s">
        <v>124</v>
      </c>
      <c r="D525" s="143" t="s">
        <v>1319</v>
      </c>
      <c r="E525" s="145"/>
      <c r="F525" s="145" t="s">
        <v>464</v>
      </c>
      <c r="G525" s="145" t="s">
        <v>1320</v>
      </c>
      <c r="H525" s="145"/>
      <c r="I525" s="145"/>
      <c r="J525" s="145"/>
      <c r="K525" s="146"/>
      <c r="L525" s="145" t="s">
        <v>1321</v>
      </c>
      <c r="M525" s="145" t="s">
        <v>43</v>
      </c>
      <c r="N525" s="145" t="s">
        <v>1322</v>
      </c>
      <c r="O525" s="147">
        <v>15083899760</v>
      </c>
      <c r="P525" s="150"/>
      <c r="Q525" s="169">
        <v>15000000</v>
      </c>
      <c r="R525" s="148">
        <v>60000000</v>
      </c>
      <c r="S525" s="147">
        <f t="shared" si="1029"/>
        <v>15158899760</v>
      </c>
      <c r="T525" s="158">
        <v>15083899760</v>
      </c>
      <c r="U525" s="143"/>
      <c r="V525" s="157"/>
      <c r="W525" s="143"/>
      <c r="X525" s="143"/>
      <c r="Y525" s="152">
        <f t="shared" ref="Y525:AB525" si="1033">AD525-T525</f>
        <v>0</v>
      </c>
      <c r="Z525" s="151">
        <f t="shared" si="1033"/>
        <v>0</v>
      </c>
      <c r="AA525" s="151">
        <f t="shared" si="1033"/>
        <v>0</v>
      </c>
      <c r="AB525" s="152">
        <f t="shared" si="1033"/>
        <v>0</v>
      </c>
      <c r="AC525" s="165"/>
      <c r="AD525" s="149">
        <v>15083899760</v>
      </c>
      <c r="AE525" s="170"/>
      <c r="AF525" s="150"/>
      <c r="AG525" s="193"/>
      <c r="AH525" s="166">
        <f t="shared" si="1031"/>
        <v>0</v>
      </c>
      <c r="AI525" s="151"/>
      <c r="AJ525" s="151">
        <f t="shared" ref="AJ525:AL525" si="1034">P525-AE525</f>
        <v>0</v>
      </c>
      <c r="AK525" s="151">
        <f t="shared" si="1034"/>
        <v>15000000</v>
      </c>
      <c r="AL525" s="150">
        <f t="shared" si="1034"/>
        <v>60000000</v>
      </c>
      <c r="AM525" s="145"/>
      <c r="AN525" s="139"/>
      <c r="AO525" s="139"/>
      <c r="AP525" s="162" t="s">
        <v>3845</v>
      </c>
      <c r="AQ525" s="145" t="s">
        <v>3846</v>
      </c>
      <c r="AR525" s="145"/>
    </row>
    <row r="526" spans="1:44" s="156" customFormat="1" ht="31.5" x14ac:dyDescent="0.25">
      <c r="A526" s="143" t="s">
        <v>88</v>
      </c>
      <c r="B526" s="144">
        <v>513</v>
      </c>
      <c r="C526" s="143" t="s">
        <v>124</v>
      </c>
      <c r="D526" s="143" t="s">
        <v>2922</v>
      </c>
      <c r="E526" s="145"/>
      <c r="F526" s="146"/>
      <c r="G526" s="143" t="s">
        <v>2923</v>
      </c>
      <c r="H526" s="143"/>
      <c r="I526" s="143"/>
      <c r="J526" s="143"/>
      <c r="K526" s="143"/>
      <c r="L526" s="143" t="s">
        <v>2924</v>
      </c>
      <c r="M526" s="143" t="s">
        <v>43</v>
      </c>
      <c r="N526" s="143" t="s">
        <v>2925</v>
      </c>
      <c r="O526" s="147">
        <v>8035637053</v>
      </c>
      <c r="P526" s="150"/>
      <c r="Q526" s="169">
        <v>15000000</v>
      </c>
      <c r="R526" s="150"/>
      <c r="S526" s="147">
        <f t="shared" si="1029"/>
        <v>8050637053</v>
      </c>
      <c r="T526" s="143"/>
      <c r="U526" s="143"/>
      <c r="V526" s="157"/>
      <c r="W526" s="143"/>
      <c r="X526" s="143"/>
      <c r="Y526" s="152">
        <f t="shared" ref="Y526:AB526" si="1035">AD526-T526</f>
        <v>0</v>
      </c>
      <c r="Z526" s="151">
        <f t="shared" si="1035"/>
        <v>0</v>
      </c>
      <c r="AA526" s="151">
        <f t="shared" si="1035"/>
        <v>0</v>
      </c>
      <c r="AB526" s="152">
        <f t="shared" si="1035"/>
        <v>0</v>
      </c>
      <c r="AC526" s="143"/>
      <c r="AD526" s="192"/>
      <c r="AE526" s="150"/>
      <c r="AF526" s="150"/>
      <c r="AG526" s="155"/>
      <c r="AH526" s="143">
        <f t="shared" si="1031"/>
        <v>0</v>
      </c>
      <c r="AI526" s="151">
        <v>8035637053</v>
      </c>
      <c r="AJ526" s="151">
        <f t="shared" ref="AJ526:AL526" si="1036">P526-AE526</f>
        <v>0</v>
      </c>
      <c r="AK526" s="151">
        <f t="shared" si="1036"/>
        <v>15000000</v>
      </c>
      <c r="AL526" s="151">
        <f t="shared" si="1036"/>
        <v>0</v>
      </c>
      <c r="AM526" s="150">
        <v>8035637053</v>
      </c>
      <c r="AN526" s="159" t="s">
        <v>2160</v>
      </c>
      <c r="AO526" s="160"/>
      <c r="AP526" s="168" t="s">
        <v>2160</v>
      </c>
      <c r="AQ526" s="219"/>
      <c r="AR526" s="218"/>
    </row>
    <row r="527" spans="1:44" s="156" customFormat="1" ht="47.25" x14ac:dyDescent="0.25">
      <c r="A527" s="143" t="s">
        <v>60</v>
      </c>
      <c r="B527" s="144">
        <v>514</v>
      </c>
      <c r="C527" s="143" t="s">
        <v>124</v>
      </c>
      <c r="D527" s="143" t="s">
        <v>2927</v>
      </c>
      <c r="E527" s="145"/>
      <c r="F527" s="146"/>
      <c r="G527" s="143" t="s">
        <v>2928</v>
      </c>
      <c r="H527" s="143"/>
      <c r="I527" s="143"/>
      <c r="J527" s="143"/>
      <c r="K527" s="143"/>
      <c r="L527" s="143" t="s">
        <v>2929</v>
      </c>
      <c r="M527" s="143" t="s">
        <v>43</v>
      </c>
      <c r="N527" s="143" t="s">
        <v>2911</v>
      </c>
      <c r="O527" s="147">
        <v>3779809872</v>
      </c>
      <c r="P527" s="150"/>
      <c r="Q527" s="169">
        <v>15000000</v>
      </c>
      <c r="R527" s="150"/>
      <c r="S527" s="147">
        <f t="shared" si="1029"/>
        <v>3794809872</v>
      </c>
      <c r="T527" s="158">
        <v>3779809872</v>
      </c>
      <c r="U527" s="143"/>
      <c r="V527" s="147">
        <v>15000000</v>
      </c>
      <c r="W527" s="143"/>
      <c r="X527" s="143"/>
      <c r="Y527" s="152">
        <f t="shared" ref="Y527:AB527" si="1037">AD527-T527</f>
        <v>0</v>
      </c>
      <c r="Z527" s="151">
        <f t="shared" si="1037"/>
        <v>0</v>
      </c>
      <c r="AA527" s="151">
        <f t="shared" si="1037"/>
        <v>0</v>
      </c>
      <c r="AB527" s="152">
        <f t="shared" si="1037"/>
        <v>0</v>
      </c>
      <c r="AC527" s="143"/>
      <c r="AD527" s="191">
        <v>3779809872</v>
      </c>
      <c r="AE527" s="150"/>
      <c r="AF527" s="148">
        <v>15000000</v>
      </c>
      <c r="AG527" s="155"/>
      <c r="AH527" s="143">
        <f t="shared" si="1031"/>
        <v>0</v>
      </c>
      <c r="AI527" s="151"/>
      <c r="AJ527" s="151">
        <f t="shared" ref="AJ527:AL527" si="1038">P527-AE527</f>
        <v>0</v>
      </c>
      <c r="AK527" s="151">
        <f t="shared" si="1038"/>
        <v>0</v>
      </c>
      <c r="AL527" s="151">
        <f t="shared" si="1038"/>
        <v>0</v>
      </c>
      <c r="AM527" s="145"/>
      <c r="AN527" s="139"/>
      <c r="AO527" s="139"/>
      <c r="AP527" s="139"/>
      <c r="AQ527" s="145"/>
      <c r="AR527" s="145"/>
    </row>
    <row r="528" spans="1:44" s="156" customFormat="1" ht="47.25" x14ac:dyDescent="0.25">
      <c r="A528" s="143" t="s">
        <v>52</v>
      </c>
      <c r="B528" s="144">
        <v>515</v>
      </c>
      <c r="C528" s="143" t="s">
        <v>124</v>
      </c>
      <c r="D528" s="143" t="s">
        <v>2930</v>
      </c>
      <c r="E528" s="145" t="s">
        <v>2931</v>
      </c>
      <c r="F528" s="146"/>
      <c r="G528" s="143" t="s">
        <v>2932</v>
      </c>
      <c r="H528" s="143" t="s">
        <v>2933</v>
      </c>
      <c r="I528" s="143"/>
      <c r="J528" s="143"/>
      <c r="K528" s="143"/>
      <c r="L528" s="143" t="s">
        <v>2934</v>
      </c>
      <c r="M528" s="143" t="s">
        <v>43</v>
      </c>
      <c r="N528" s="143" t="s">
        <v>2935</v>
      </c>
      <c r="O528" s="147">
        <v>8381892826</v>
      </c>
      <c r="P528" s="169">
        <v>2048106900</v>
      </c>
      <c r="Q528" s="169">
        <v>15000000</v>
      </c>
      <c r="R528" s="150"/>
      <c r="S528" s="147">
        <f t="shared" si="1029"/>
        <v>10444999726</v>
      </c>
      <c r="T528" s="158">
        <v>8381892826</v>
      </c>
      <c r="U528" s="158">
        <v>2048106900</v>
      </c>
      <c r="V528" s="147">
        <v>15000000</v>
      </c>
      <c r="W528" s="143"/>
      <c r="X528" s="143"/>
      <c r="Y528" s="152">
        <f t="shared" ref="Y528:AB528" si="1039">AD528-T528</f>
        <v>0</v>
      </c>
      <c r="Z528" s="152">
        <f t="shared" si="1039"/>
        <v>0</v>
      </c>
      <c r="AA528" s="151">
        <f t="shared" si="1039"/>
        <v>0</v>
      </c>
      <c r="AB528" s="152">
        <f t="shared" si="1039"/>
        <v>0</v>
      </c>
      <c r="AC528" s="143"/>
      <c r="AD528" s="149">
        <v>8381892826</v>
      </c>
      <c r="AE528" s="149">
        <v>2048106900</v>
      </c>
      <c r="AF528" s="148">
        <v>15000000</v>
      </c>
      <c r="AG528" s="155"/>
      <c r="AH528" s="143">
        <f t="shared" si="1031"/>
        <v>0</v>
      </c>
      <c r="AI528" s="151"/>
      <c r="AJ528" s="151">
        <f t="shared" ref="AJ528:AL528" si="1040">P528-AE528</f>
        <v>0</v>
      </c>
      <c r="AK528" s="151">
        <f t="shared" si="1040"/>
        <v>0</v>
      </c>
      <c r="AL528" s="151">
        <f t="shared" si="1040"/>
        <v>0</v>
      </c>
      <c r="AM528" s="145"/>
      <c r="AN528" s="139"/>
      <c r="AO528" s="139"/>
      <c r="AP528" s="139"/>
      <c r="AQ528" s="145"/>
      <c r="AR528" s="145"/>
    </row>
    <row r="529" spans="1:44" s="156" customFormat="1" ht="47.25" x14ac:dyDescent="0.25">
      <c r="A529" s="143" t="s">
        <v>52</v>
      </c>
      <c r="B529" s="144">
        <v>516</v>
      </c>
      <c r="C529" s="143" t="s">
        <v>124</v>
      </c>
      <c r="D529" s="143" t="s">
        <v>2936</v>
      </c>
      <c r="E529" s="145" t="s">
        <v>3484</v>
      </c>
      <c r="F529" s="146"/>
      <c r="G529" s="143" t="s">
        <v>2937</v>
      </c>
      <c r="H529" s="143" t="s">
        <v>3485</v>
      </c>
      <c r="I529" s="143"/>
      <c r="J529" s="143"/>
      <c r="K529" s="143"/>
      <c r="L529" s="143" t="s">
        <v>2938</v>
      </c>
      <c r="M529" s="143" t="s">
        <v>43</v>
      </c>
      <c r="N529" s="143" t="s">
        <v>2939</v>
      </c>
      <c r="O529" s="147">
        <v>2219205004</v>
      </c>
      <c r="P529" s="148">
        <v>267226114</v>
      </c>
      <c r="Q529" s="169">
        <v>7500000</v>
      </c>
      <c r="R529" s="150"/>
      <c r="S529" s="147">
        <f t="shared" si="1029"/>
        <v>2493931118</v>
      </c>
      <c r="T529" s="158">
        <v>2219205004</v>
      </c>
      <c r="U529" s="151">
        <v>267226114</v>
      </c>
      <c r="V529" s="147">
        <v>7500000</v>
      </c>
      <c r="W529" s="143"/>
      <c r="X529" s="143"/>
      <c r="Y529" s="152">
        <f t="shared" ref="Y529:AB529" si="1041">AD529-T529</f>
        <v>0</v>
      </c>
      <c r="Z529" s="151">
        <f t="shared" si="1041"/>
        <v>0</v>
      </c>
      <c r="AA529" s="151">
        <f t="shared" si="1041"/>
        <v>0</v>
      </c>
      <c r="AB529" s="152">
        <f t="shared" si="1041"/>
        <v>0</v>
      </c>
      <c r="AC529" s="143"/>
      <c r="AD529" s="194">
        <v>2219205004</v>
      </c>
      <c r="AE529" s="148">
        <v>267226114</v>
      </c>
      <c r="AF529" s="169">
        <v>7500000</v>
      </c>
      <c r="AG529" s="155"/>
      <c r="AH529" s="143">
        <f t="shared" si="1031"/>
        <v>0</v>
      </c>
      <c r="AI529" s="151"/>
      <c r="AJ529" s="151">
        <f t="shared" ref="AJ529:AL529" si="1042">P529-AE529</f>
        <v>0</v>
      </c>
      <c r="AK529" s="151">
        <f t="shared" si="1042"/>
        <v>0</v>
      </c>
      <c r="AL529" s="151">
        <f t="shared" si="1042"/>
        <v>0</v>
      </c>
      <c r="AM529" s="145"/>
      <c r="AN529" s="139"/>
      <c r="AO529" s="139"/>
      <c r="AP529" s="139"/>
      <c r="AQ529" s="145"/>
      <c r="AR529" s="145"/>
    </row>
    <row r="530" spans="1:44" s="156" customFormat="1" ht="47.25" x14ac:dyDescent="0.25">
      <c r="A530" s="143" t="s">
        <v>46</v>
      </c>
      <c r="B530" s="144">
        <v>517</v>
      </c>
      <c r="C530" s="143" t="s">
        <v>124</v>
      </c>
      <c r="D530" s="143" t="s">
        <v>2940</v>
      </c>
      <c r="E530" s="145" t="s">
        <v>2941</v>
      </c>
      <c r="F530" s="146"/>
      <c r="G530" s="143" t="s">
        <v>2942</v>
      </c>
      <c r="H530" s="143" t="s">
        <v>2943</v>
      </c>
      <c r="I530" s="143"/>
      <c r="J530" s="143"/>
      <c r="K530" s="143"/>
      <c r="L530" s="143" t="s">
        <v>2944</v>
      </c>
      <c r="M530" s="143" t="s">
        <v>43</v>
      </c>
      <c r="N530" s="143" t="s">
        <v>2945</v>
      </c>
      <c r="O530" s="147">
        <v>2003285520</v>
      </c>
      <c r="P530" s="169">
        <v>13015264</v>
      </c>
      <c r="Q530" s="169">
        <v>7500000</v>
      </c>
      <c r="R530" s="150"/>
      <c r="S530" s="147">
        <f t="shared" si="1029"/>
        <v>2023800784</v>
      </c>
      <c r="T530" s="158">
        <v>2003285520</v>
      </c>
      <c r="U530" s="151">
        <v>13015264</v>
      </c>
      <c r="V530" s="147">
        <v>7500000</v>
      </c>
      <c r="W530" s="143"/>
      <c r="X530" s="143"/>
      <c r="Y530" s="152">
        <f t="shared" ref="Y530:AB530" si="1043">AD530-T530</f>
        <v>0</v>
      </c>
      <c r="Z530" s="151">
        <f t="shared" si="1043"/>
        <v>0</v>
      </c>
      <c r="AA530" s="151">
        <f t="shared" si="1043"/>
        <v>0</v>
      </c>
      <c r="AB530" s="152">
        <f t="shared" si="1043"/>
        <v>0</v>
      </c>
      <c r="AC530" s="143"/>
      <c r="AD530" s="191">
        <v>2003285520</v>
      </c>
      <c r="AE530" s="148">
        <v>13015264</v>
      </c>
      <c r="AF530" s="169">
        <v>7500000</v>
      </c>
      <c r="AG530" s="155"/>
      <c r="AH530" s="143">
        <f t="shared" si="1031"/>
        <v>0</v>
      </c>
      <c r="AI530" s="151"/>
      <c r="AJ530" s="151">
        <f t="shared" ref="AJ530:AL530" si="1044">P530-AE530</f>
        <v>0</v>
      </c>
      <c r="AK530" s="151">
        <f t="shared" si="1044"/>
        <v>0</v>
      </c>
      <c r="AL530" s="151">
        <f t="shared" si="1044"/>
        <v>0</v>
      </c>
      <c r="AM530" s="145"/>
      <c r="AN530" s="139"/>
      <c r="AO530" s="139"/>
      <c r="AP530" s="139"/>
      <c r="AQ530" s="145"/>
      <c r="AR530" s="145"/>
    </row>
    <row r="531" spans="1:44" s="156" customFormat="1" ht="47.25" x14ac:dyDescent="0.25">
      <c r="A531" s="143" t="s">
        <v>35</v>
      </c>
      <c r="B531" s="144">
        <v>518</v>
      </c>
      <c r="C531" s="143" t="s">
        <v>124</v>
      </c>
      <c r="D531" s="143" t="s">
        <v>398</v>
      </c>
      <c r="E531" s="145"/>
      <c r="F531" s="145" t="s">
        <v>388</v>
      </c>
      <c r="G531" s="143" t="s">
        <v>399</v>
      </c>
      <c r="H531" s="143"/>
      <c r="I531" s="143"/>
      <c r="J531" s="143"/>
      <c r="K531" s="164"/>
      <c r="L531" s="143" t="s">
        <v>400</v>
      </c>
      <c r="M531" s="143" t="s">
        <v>43</v>
      </c>
      <c r="N531" s="143" t="s">
        <v>401</v>
      </c>
      <c r="O531" s="147">
        <v>6145577620</v>
      </c>
      <c r="P531" s="150"/>
      <c r="Q531" s="177">
        <v>15000000</v>
      </c>
      <c r="R531" s="148">
        <v>38666675</v>
      </c>
      <c r="S531" s="147">
        <f t="shared" si="1029"/>
        <v>6199244295</v>
      </c>
      <c r="T531" s="158">
        <v>6145577620</v>
      </c>
      <c r="U531" s="143"/>
      <c r="V531" s="147">
        <v>15000000</v>
      </c>
      <c r="W531" s="158">
        <v>38666675</v>
      </c>
      <c r="X531" s="143"/>
      <c r="Y531" s="152">
        <f t="shared" ref="Y531:AB531" si="1045">AD531-T531</f>
        <v>0</v>
      </c>
      <c r="Z531" s="151">
        <f t="shared" si="1045"/>
        <v>0</v>
      </c>
      <c r="AA531" s="151">
        <f t="shared" si="1045"/>
        <v>0</v>
      </c>
      <c r="AB531" s="151">
        <f t="shared" si="1045"/>
        <v>0</v>
      </c>
      <c r="AC531" s="143"/>
      <c r="AD531" s="149">
        <v>6145577620</v>
      </c>
      <c r="AE531" s="150"/>
      <c r="AF531" s="177">
        <v>15000000</v>
      </c>
      <c r="AG531" s="148">
        <v>38666675</v>
      </c>
      <c r="AH531" s="143">
        <f t="shared" si="1031"/>
        <v>0</v>
      </c>
      <c r="AI531" s="151"/>
      <c r="AJ531" s="151">
        <f t="shared" ref="AJ531:AL531" si="1046">P531-AE531</f>
        <v>0</v>
      </c>
      <c r="AK531" s="151">
        <f t="shared" si="1046"/>
        <v>0</v>
      </c>
      <c r="AL531" s="151">
        <f t="shared" si="1046"/>
        <v>0</v>
      </c>
      <c r="AM531" s="145"/>
      <c r="AN531" s="139"/>
      <c r="AO531" s="139"/>
      <c r="AP531" s="139"/>
      <c r="AQ531" s="145"/>
      <c r="AR531" s="145"/>
    </row>
    <row r="532" spans="1:44" s="156" customFormat="1" ht="31.5" x14ac:dyDescent="0.25">
      <c r="A532" s="143" t="s">
        <v>88</v>
      </c>
      <c r="B532" s="144">
        <v>519</v>
      </c>
      <c r="C532" s="143" t="s">
        <v>124</v>
      </c>
      <c r="D532" s="143" t="s">
        <v>2946</v>
      </c>
      <c r="E532" s="145"/>
      <c r="F532" s="146"/>
      <c r="G532" s="143" t="s">
        <v>2947</v>
      </c>
      <c r="H532" s="143"/>
      <c r="I532" s="143"/>
      <c r="J532" s="143"/>
      <c r="K532" s="143"/>
      <c r="L532" s="143" t="s">
        <v>2948</v>
      </c>
      <c r="M532" s="143" t="s">
        <v>43</v>
      </c>
      <c r="N532" s="143" t="s">
        <v>2949</v>
      </c>
      <c r="O532" s="147">
        <v>3246566830</v>
      </c>
      <c r="P532" s="150"/>
      <c r="Q532" s="169">
        <v>15000000</v>
      </c>
      <c r="R532" s="150"/>
      <c r="S532" s="147">
        <f t="shared" si="1029"/>
        <v>3261566830</v>
      </c>
      <c r="T532" s="151">
        <v>3246566830</v>
      </c>
      <c r="U532" s="143"/>
      <c r="V532" s="147">
        <v>15000000</v>
      </c>
      <c r="W532" s="143"/>
      <c r="X532" s="143"/>
      <c r="Y532" s="152">
        <f t="shared" ref="Y532:AB532" si="1047">AD532-T532</f>
        <v>0</v>
      </c>
      <c r="Z532" s="151">
        <f t="shared" si="1047"/>
        <v>0</v>
      </c>
      <c r="AA532" s="151">
        <f t="shared" si="1047"/>
        <v>0</v>
      </c>
      <c r="AB532" s="152">
        <f t="shared" si="1047"/>
        <v>0</v>
      </c>
      <c r="AC532" s="143"/>
      <c r="AD532" s="155">
        <v>3246566830</v>
      </c>
      <c r="AE532" s="150"/>
      <c r="AF532" s="148">
        <v>15000000</v>
      </c>
      <c r="AG532" s="155"/>
      <c r="AH532" s="143">
        <f t="shared" si="1031"/>
        <v>0</v>
      </c>
      <c r="AI532" s="151"/>
      <c r="AJ532" s="151">
        <f t="shared" ref="AJ532:AL532" si="1048">P532-AE532</f>
        <v>0</v>
      </c>
      <c r="AK532" s="151">
        <f t="shared" si="1048"/>
        <v>0</v>
      </c>
      <c r="AL532" s="151">
        <f t="shared" si="1048"/>
        <v>0</v>
      </c>
      <c r="AM532" s="145"/>
      <c r="AN532" s="139"/>
      <c r="AO532" s="139"/>
      <c r="AP532" s="139"/>
      <c r="AQ532" s="145"/>
      <c r="AR532" s="145"/>
    </row>
    <row r="533" spans="1:44" s="156" customFormat="1" ht="31.5" x14ac:dyDescent="0.25">
      <c r="A533" s="143" t="s">
        <v>60</v>
      </c>
      <c r="B533" s="144">
        <v>520</v>
      </c>
      <c r="C533" s="143" t="s">
        <v>124</v>
      </c>
      <c r="D533" s="143" t="s">
        <v>2950</v>
      </c>
      <c r="E533" s="145"/>
      <c r="F533" s="146"/>
      <c r="G533" s="143" t="s">
        <v>2951</v>
      </c>
      <c r="H533" s="143"/>
      <c r="I533" s="143"/>
      <c r="J533" s="143"/>
      <c r="K533" s="143"/>
      <c r="L533" s="143" t="s">
        <v>2952</v>
      </c>
      <c r="M533" s="143" t="s">
        <v>43</v>
      </c>
      <c r="N533" s="143" t="s">
        <v>2953</v>
      </c>
      <c r="O533" s="147">
        <v>223729420</v>
      </c>
      <c r="P533" s="150"/>
      <c r="Q533" s="169">
        <v>7500000</v>
      </c>
      <c r="R533" s="150"/>
      <c r="S533" s="147">
        <f t="shared" si="1029"/>
        <v>231229420</v>
      </c>
      <c r="T533" s="158">
        <v>223729420</v>
      </c>
      <c r="U533" s="143"/>
      <c r="V533" s="147">
        <v>7500000</v>
      </c>
      <c r="W533" s="143"/>
      <c r="X533" s="143"/>
      <c r="Y533" s="152">
        <f t="shared" ref="Y533:AB533" si="1049">AD533-T533</f>
        <v>0</v>
      </c>
      <c r="Z533" s="151">
        <f t="shared" si="1049"/>
        <v>0</v>
      </c>
      <c r="AA533" s="151">
        <f t="shared" si="1049"/>
        <v>0</v>
      </c>
      <c r="AB533" s="151">
        <f t="shared" si="1049"/>
        <v>0</v>
      </c>
      <c r="AC533" s="143"/>
      <c r="AD533" s="194">
        <v>223729420</v>
      </c>
      <c r="AE533" s="170"/>
      <c r="AF533" s="148">
        <v>7500000</v>
      </c>
      <c r="AG533" s="170"/>
      <c r="AH533" s="143">
        <f t="shared" si="1031"/>
        <v>0</v>
      </c>
      <c r="AI533" s="151"/>
      <c r="AJ533" s="151">
        <f t="shared" ref="AJ533:AL533" si="1050">P533-AE533</f>
        <v>0</v>
      </c>
      <c r="AK533" s="151">
        <f t="shared" si="1050"/>
        <v>0</v>
      </c>
      <c r="AL533" s="151">
        <f t="shared" si="1050"/>
        <v>0</v>
      </c>
      <c r="AM533" s="145"/>
      <c r="AN533" s="139"/>
      <c r="AO533" s="139"/>
      <c r="AP533" s="139"/>
      <c r="AQ533" s="145"/>
      <c r="AR533" s="145"/>
    </row>
    <row r="534" spans="1:44" s="156" customFormat="1" ht="31.5" x14ac:dyDescent="0.25">
      <c r="A534" s="143" t="s">
        <v>60</v>
      </c>
      <c r="B534" s="144">
        <v>521</v>
      </c>
      <c r="C534" s="143" t="s">
        <v>124</v>
      </c>
      <c r="D534" s="143" t="s">
        <v>2954</v>
      </c>
      <c r="E534" s="145"/>
      <c r="F534" s="146"/>
      <c r="G534" s="143" t="s">
        <v>2955</v>
      </c>
      <c r="H534" s="143"/>
      <c r="I534" s="143"/>
      <c r="J534" s="143"/>
      <c r="K534" s="143"/>
      <c r="L534" s="143" t="s">
        <v>2956</v>
      </c>
      <c r="M534" s="143" t="s">
        <v>43</v>
      </c>
      <c r="N534" s="143" t="s">
        <v>2957</v>
      </c>
      <c r="O534" s="147">
        <v>1285007664</v>
      </c>
      <c r="P534" s="150"/>
      <c r="Q534" s="169">
        <v>7500000</v>
      </c>
      <c r="R534" s="150"/>
      <c r="S534" s="147">
        <f t="shared" si="1029"/>
        <v>1292507664</v>
      </c>
      <c r="T534" s="158">
        <v>1285007664</v>
      </c>
      <c r="U534" s="143"/>
      <c r="V534" s="147">
        <v>7500000</v>
      </c>
      <c r="W534" s="143"/>
      <c r="X534" s="143"/>
      <c r="Y534" s="152">
        <f t="shared" ref="Y534:AB534" si="1051">AD534-T534</f>
        <v>0</v>
      </c>
      <c r="Z534" s="151">
        <f t="shared" si="1051"/>
        <v>0</v>
      </c>
      <c r="AA534" s="151">
        <f t="shared" si="1051"/>
        <v>0</v>
      </c>
      <c r="AB534" s="151">
        <f t="shared" si="1051"/>
        <v>0</v>
      </c>
      <c r="AC534" s="143"/>
      <c r="AD534" s="191">
        <v>1285007664</v>
      </c>
      <c r="AE534" s="150"/>
      <c r="AF534" s="148">
        <v>7500000</v>
      </c>
      <c r="AG534" s="150"/>
      <c r="AH534" s="143">
        <f t="shared" si="1031"/>
        <v>0</v>
      </c>
      <c r="AI534" s="151"/>
      <c r="AJ534" s="151">
        <f t="shared" ref="AJ534:AL534" si="1052">P534-AE534</f>
        <v>0</v>
      </c>
      <c r="AK534" s="151">
        <f t="shared" si="1052"/>
        <v>0</v>
      </c>
      <c r="AL534" s="151">
        <f t="shared" si="1052"/>
        <v>0</v>
      </c>
      <c r="AM534" s="145"/>
      <c r="AN534" s="139"/>
      <c r="AO534" s="139"/>
      <c r="AP534" s="139"/>
      <c r="AQ534" s="145"/>
      <c r="AR534" s="145"/>
    </row>
    <row r="535" spans="1:44" s="156" customFormat="1" ht="31.5" x14ac:dyDescent="0.25">
      <c r="A535" s="143" t="s">
        <v>88</v>
      </c>
      <c r="B535" s="144">
        <v>522</v>
      </c>
      <c r="C535" s="143" t="s">
        <v>124</v>
      </c>
      <c r="D535" s="143" t="s">
        <v>2958</v>
      </c>
      <c r="E535" s="145"/>
      <c r="F535" s="146"/>
      <c r="G535" s="143" t="s">
        <v>2959</v>
      </c>
      <c r="H535" s="143"/>
      <c r="I535" s="143"/>
      <c r="J535" s="143"/>
      <c r="K535" s="143"/>
      <c r="L535" s="143" t="s">
        <v>1692</v>
      </c>
      <c r="M535" s="143" t="s">
        <v>43</v>
      </c>
      <c r="N535" s="143" t="s">
        <v>2960</v>
      </c>
      <c r="O535" s="147">
        <v>5627434044</v>
      </c>
      <c r="P535" s="150"/>
      <c r="Q535" s="169">
        <v>7500000</v>
      </c>
      <c r="R535" s="150"/>
      <c r="S535" s="147">
        <f t="shared" si="1029"/>
        <v>5634934044</v>
      </c>
      <c r="T535" s="151">
        <v>5627434044</v>
      </c>
      <c r="U535" s="143"/>
      <c r="V535" s="147">
        <v>7500000</v>
      </c>
      <c r="W535" s="143"/>
      <c r="X535" s="143"/>
      <c r="Y535" s="152">
        <f t="shared" ref="Y535:AB535" si="1053">AD535-T535</f>
        <v>0</v>
      </c>
      <c r="Z535" s="151">
        <f t="shared" si="1053"/>
        <v>0</v>
      </c>
      <c r="AA535" s="151">
        <f t="shared" si="1053"/>
        <v>0</v>
      </c>
      <c r="AB535" s="152">
        <f t="shared" si="1053"/>
        <v>0</v>
      </c>
      <c r="AC535" s="143"/>
      <c r="AD535" s="155">
        <v>5627434044</v>
      </c>
      <c r="AE535" s="197"/>
      <c r="AF535" s="148">
        <v>7500000</v>
      </c>
      <c r="AG535" s="198"/>
      <c r="AH535" s="143">
        <f t="shared" si="1031"/>
        <v>0</v>
      </c>
      <c r="AI535" s="151"/>
      <c r="AJ535" s="151">
        <f t="shared" ref="AJ535:AL535" si="1054">P535-AE535</f>
        <v>0</v>
      </c>
      <c r="AK535" s="151">
        <f t="shared" si="1054"/>
        <v>0</v>
      </c>
      <c r="AL535" s="151">
        <f t="shared" si="1054"/>
        <v>0</v>
      </c>
      <c r="AM535" s="145"/>
      <c r="AN535" s="139"/>
      <c r="AO535" s="139"/>
      <c r="AP535" s="139"/>
      <c r="AQ535" s="145"/>
      <c r="AR535" s="145"/>
    </row>
    <row r="536" spans="1:44" s="156" customFormat="1" ht="31.5" x14ac:dyDescent="0.25">
      <c r="A536" s="143" t="s">
        <v>60</v>
      </c>
      <c r="B536" s="144">
        <v>523</v>
      </c>
      <c r="C536" s="143" t="s">
        <v>124</v>
      </c>
      <c r="D536" s="143" t="s">
        <v>2961</v>
      </c>
      <c r="E536" s="145"/>
      <c r="F536" s="146"/>
      <c r="G536" s="143" t="s">
        <v>2962</v>
      </c>
      <c r="H536" s="143"/>
      <c r="I536" s="143"/>
      <c r="J536" s="143"/>
      <c r="K536" s="143"/>
      <c r="L536" s="143" t="s">
        <v>2963</v>
      </c>
      <c r="M536" s="143" t="s">
        <v>43</v>
      </c>
      <c r="N536" s="143" t="s">
        <v>2964</v>
      </c>
      <c r="O536" s="147">
        <v>538201300</v>
      </c>
      <c r="P536" s="150"/>
      <c r="Q536" s="169">
        <v>7500000</v>
      </c>
      <c r="R536" s="150"/>
      <c r="S536" s="147">
        <f t="shared" si="1029"/>
        <v>545701300</v>
      </c>
      <c r="T536" s="158">
        <v>538201300</v>
      </c>
      <c r="U536" s="143"/>
      <c r="V536" s="147">
        <v>7500000</v>
      </c>
      <c r="W536" s="143"/>
      <c r="X536" s="143"/>
      <c r="Y536" s="152">
        <f t="shared" ref="Y536:AB536" si="1055">AD536-T536</f>
        <v>0</v>
      </c>
      <c r="Z536" s="151">
        <f t="shared" si="1055"/>
        <v>0</v>
      </c>
      <c r="AA536" s="151">
        <f t="shared" si="1055"/>
        <v>0</v>
      </c>
      <c r="AB536" s="151">
        <f t="shared" si="1055"/>
        <v>0</v>
      </c>
      <c r="AC536" s="143"/>
      <c r="AD536" s="194">
        <v>538201300</v>
      </c>
      <c r="AE536" s="170"/>
      <c r="AF536" s="148">
        <v>7500000</v>
      </c>
      <c r="AG536" s="170"/>
      <c r="AH536" s="143">
        <f t="shared" si="1031"/>
        <v>0</v>
      </c>
      <c r="AI536" s="151"/>
      <c r="AJ536" s="151">
        <f t="shared" ref="AJ536:AL536" si="1056">P536-AE536</f>
        <v>0</v>
      </c>
      <c r="AK536" s="151">
        <f t="shared" si="1056"/>
        <v>0</v>
      </c>
      <c r="AL536" s="151">
        <f t="shared" si="1056"/>
        <v>0</v>
      </c>
      <c r="AM536" s="145"/>
      <c r="AN536" s="139"/>
      <c r="AO536" s="139"/>
      <c r="AP536" s="139"/>
      <c r="AQ536" s="145"/>
      <c r="AR536" s="145"/>
    </row>
    <row r="537" spans="1:44" s="156" customFormat="1" ht="31.5" x14ac:dyDescent="0.25">
      <c r="A537" s="143" t="s">
        <v>46</v>
      </c>
      <c r="B537" s="144">
        <v>524</v>
      </c>
      <c r="C537" s="143" t="s">
        <v>124</v>
      </c>
      <c r="D537" s="143" t="s">
        <v>2966</v>
      </c>
      <c r="E537" s="145"/>
      <c r="F537" s="145"/>
      <c r="G537" s="143" t="s">
        <v>2967</v>
      </c>
      <c r="H537" s="143"/>
      <c r="I537" s="143"/>
      <c r="J537" s="143"/>
      <c r="K537" s="143"/>
      <c r="L537" s="143" t="s">
        <v>2968</v>
      </c>
      <c r="M537" s="143" t="s">
        <v>43</v>
      </c>
      <c r="N537" s="143" t="s">
        <v>2969</v>
      </c>
      <c r="O537" s="147">
        <v>10000000</v>
      </c>
      <c r="P537" s="150"/>
      <c r="Q537" s="169">
        <v>15000000</v>
      </c>
      <c r="R537" s="150"/>
      <c r="S537" s="147">
        <f t="shared" si="1029"/>
        <v>25000000</v>
      </c>
      <c r="T537" s="143"/>
      <c r="U537" s="143"/>
      <c r="V537" s="157"/>
      <c r="W537" s="143"/>
      <c r="X537" s="143"/>
      <c r="Y537" s="152">
        <f t="shared" ref="Y537:AB537" si="1057">AD537-T537</f>
        <v>0</v>
      </c>
      <c r="Z537" s="151">
        <f t="shared" si="1057"/>
        <v>0</v>
      </c>
      <c r="AA537" s="151">
        <f t="shared" si="1057"/>
        <v>0</v>
      </c>
      <c r="AB537" s="151">
        <f t="shared" si="1057"/>
        <v>0</v>
      </c>
      <c r="AC537" s="143"/>
      <c r="AD537" s="155"/>
      <c r="AE537" s="150"/>
      <c r="AF537" s="150"/>
      <c r="AG537" s="150"/>
      <c r="AH537" s="143">
        <f t="shared" si="1031"/>
        <v>0</v>
      </c>
      <c r="AI537" s="151">
        <v>10000000</v>
      </c>
      <c r="AJ537" s="151">
        <f t="shared" ref="AJ537:AL537" si="1058">P537-AE537</f>
        <v>0</v>
      </c>
      <c r="AK537" s="151">
        <f t="shared" si="1058"/>
        <v>15000000</v>
      </c>
      <c r="AL537" s="151">
        <f t="shared" si="1058"/>
        <v>0</v>
      </c>
      <c r="AM537" s="148">
        <v>10000000</v>
      </c>
      <c r="AN537" s="159" t="s">
        <v>2160</v>
      </c>
      <c r="AO537" s="160"/>
      <c r="AP537" s="168" t="s">
        <v>2160</v>
      </c>
      <c r="AQ537" s="219"/>
      <c r="AR537" s="218"/>
    </row>
    <row r="538" spans="1:44" s="156" customFormat="1" ht="31.5" x14ac:dyDescent="0.25">
      <c r="A538" s="143" t="s">
        <v>52</v>
      </c>
      <c r="B538" s="144">
        <v>525</v>
      </c>
      <c r="C538" s="143" t="s">
        <v>124</v>
      </c>
      <c r="D538" s="143" t="s">
        <v>2970</v>
      </c>
      <c r="E538" s="145"/>
      <c r="F538" s="146"/>
      <c r="G538" s="143" t="s">
        <v>2971</v>
      </c>
      <c r="H538" s="143"/>
      <c r="I538" s="143"/>
      <c r="J538" s="143"/>
      <c r="K538" s="143"/>
      <c r="L538" s="143" t="s">
        <v>2973</v>
      </c>
      <c r="M538" s="143" t="s">
        <v>43</v>
      </c>
      <c r="N538" s="143" t="s">
        <v>2974</v>
      </c>
      <c r="O538" s="147">
        <v>4378292398</v>
      </c>
      <c r="P538" s="150"/>
      <c r="Q538" s="169">
        <v>15000000</v>
      </c>
      <c r="R538" s="150"/>
      <c r="S538" s="147">
        <f t="shared" si="1029"/>
        <v>4393292398</v>
      </c>
      <c r="T538" s="158">
        <v>4378292398</v>
      </c>
      <c r="U538" s="143"/>
      <c r="V538" s="147">
        <v>15000000</v>
      </c>
      <c r="W538" s="143"/>
      <c r="X538" s="143"/>
      <c r="Y538" s="152">
        <f t="shared" ref="Y538:AB538" si="1059">AD538-T538</f>
        <v>0</v>
      </c>
      <c r="Z538" s="151">
        <f t="shared" si="1059"/>
        <v>0</v>
      </c>
      <c r="AA538" s="151">
        <f t="shared" si="1059"/>
        <v>0</v>
      </c>
      <c r="AB538" s="152">
        <f t="shared" si="1059"/>
        <v>0</v>
      </c>
      <c r="AC538" s="143"/>
      <c r="AD538" s="149">
        <v>4378292398</v>
      </c>
      <c r="AE538" s="170"/>
      <c r="AF538" s="169">
        <v>15000000</v>
      </c>
      <c r="AG538" s="193"/>
      <c r="AH538" s="143">
        <f t="shared" si="1031"/>
        <v>0</v>
      </c>
      <c r="AI538" s="151"/>
      <c r="AJ538" s="151">
        <f t="shared" ref="AJ538:AL538" si="1060">P538-AE538</f>
        <v>0</v>
      </c>
      <c r="AK538" s="151">
        <f t="shared" si="1060"/>
        <v>0</v>
      </c>
      <c r="AL538" s="151">
        <f t="shared" si="1060"/>
        <v>0</v>
      </c>
      <c r="AM538" s="145"/>
      <c r="AN538" s="139"/>
      <c r="AO538" s="139"/>
      <c r="AP538" s="139"/>
      <c r="AQ538" s="145"/>
      <c r="AR538" s="145"/>
    </row>
    <row r="539" spans="1:44" s="156" customFormat="1" ht="47.25" x14ac:dyDescent="0.25">
      <c r="A539" s="143" t="s">
        <v>52</v>
      </c>
      <c r="B539" s="144">
        <v>526</v>
      </c>
      <c r="C539" s="143" t="s">
        <v>124</v>
      </c>
      <c r="D539" s="143" t="s">
        <v>2975</v>
      </c>
      <c r="E539" s="145" t="s">
        <v>2976</v>
      </c>
      <c r="F539" s="146"/>
      <c r="G539" s="143" t="s">
        <v>2977</v>
      </c>
      <c r="H539" s="143" t="s">
        <v>2978</v>
      </c>
      <c r="I539" s="143"/>
      <c r="J539" s="143"/>
      <c r="K539" s="143"/>
      <c r="L539" s="143" t="s">
        <v>2979</v>
      </c>
      <c r="M539" s="143" t="s">
        <v>43</v>
      </c>
      <c r="N539" s="143" t="s">
        <v>2980</v>
      </c>
      <c r="O539" s="147">
        <v>2656684480</v>
      </c>
      <c r="P539" s="169">
        <v>485244740</v>
      </c>
      <c r="Q539" s="169">
        <v>15000000</v>
      </c>
      <c r="R539" s="150"/>
      <c r="S539" s="147">
        <f t="shared" si="1029"/>
        <v>3156929220</v>
      </c>
      <c r="T539" s="158">
        <v>2656684480</v>
      </c>
      <c r="U539" s="158">
        <v>485244740</v>
      </c>
      <c r="V539" s="147">
        <v>15000000</v>
      </c>
      <c r="W539" s="143"/>
      <c r="X539" s="143"/>
      <c r="Y539" s="152">
        <f t="shared" ref="Y539:AB539" si="1061">AD539-T539</f>
        <v>0</v>
      </c>
      <c r="Z539" s="151">
        <f t="shared" si="1061"/>
        <v>0</v>
      </c>
      <c r="AA539" s="151">
        <f t="shared" si="1061"/>
        <v>0</v>
      </c>
      <c r="AB539" s="152">
        <f t="shared" si="1061"/>
        <v>0</v>
      </c>
      <c r="AC539" s="143"/>
      <c r="AD539" s="194">
        <v>2656684480</v>
      </c>
      <c r="AE539" s="169">
        <v>485244740</v>
      </c>
      <c r="AF539" s="169">
        <v>15000000</v>
      </c>
      <c r="AG539" s="193"/>
      <c r="AH539" s="143">
        <f t="shared" si="1031"/>
        <v>0</v>
      </c>
      <c r="AI539" s="151"/>
      <c r="AJ539" s="151">
        <f t="shared" ref="AJ539:AL539" si="1062">P539-AE539</f>
        <v>0</v>
      </c>
      <c r="AK539" s="151">
        <f t="shared" si="1062"/>
        <v>0</v>
      </c>
      <c r="AL539" s="151">
        <f t="shared" si="1062"/>
        <v>0</v>
      </c>
      <c r="AM539" s="145"/>
      <c r="AN539" s="139"/>
      <c r="AO539" s="139"/>
      <c r="AP539" s="139"/>
      <c r="AQ539" s="145"/>
      <c r="AR539" s="145"/>
    </row>
    <row r="540" spans="1:44" s="156" customFormat="1" ht="47.25" x14ac:dyDescent="0.25">
      <c r="A540" s="143" t="s">
        <v>52</v>
      </c>
      <c r="B540" s="144">
        <v>527</v>
      </c>
      <c r="C540" s="143" t="s">
        <v>124</v>
      </c>
      <c r="D540" s="143" t="s">
        <v>2981</v>
      </c>
      <c r="E540" s="145"/>
      <c r="F540" s="146"/>
      <c r="G540" s="143" t="s">
        <v>2982</v>
      </c>
      <c r="H540" s="143"/>
      <c r="I540" s="143"/>
      <c r="J540" s="143"/>
      <c r="K540" s="143"/>
      <c r="L540" s="143" t="s">
        <v>2983</v>
      </c>
      <c r="M540" s="143" t="s">
        <v>43</v>
      </c>
      <c r="N540" s="143" t="s">
        <v>2984</v>
      </c>
      <c r="O540" s="147">
        <v>4868496144</v>
      </c>
      <c r="P540" s="150"/>
      <c r="Q540" s="169">
        <v>15000000</v>
      </c>
      <c r="R540" s="150"/>
      <c r="S540" s="147">
        <f t="shared" si="1029"/>
        <v>4883496144</v>
      </c>
      <c r="T540" s="158">
        <v>4868496144</v>
      </c>
      <c r="U540" s="143"/>
      <c r="V540" s="147">
        <v>15000000</v>
      </c>
      <c r="W540" s="143"/>
      <c r="X540" s="143"/>
      <c r="Y540" s="152">
        <f t="shared" ref="Y540:AB540" si="1063">AD540-T540</f>
        <v>0</v>
      </c>
      <c r="Z540" s="151">
        <f t="shared" si="1063"/>
        <v>0</v>
      </c>
      <c r="AA540" s="151">
        <f t="shared" si="1063"/>
        <v>0</v>
      </c>
      <c r="AB540" s="152">
        <f t="shared" si="1063"/>
        <v>0</v>
      </c>
      <c r="AC540" s="143"/>
      <c r="AD540" s="191">
        <v>4868496144</v>
      </c>
      <c r="AE540" s="150"/>
      <c r="AF540" s="148">
        <v>15000000</v>
      </c>
      <c r="AG540" s="155"/>
      <c r="AH540" s="143">
        <f t="shared" si="1031"/>
        <v>0</v>
      </c>
      <c r="AI540" s="151"/>
      <c r="AJ540" s="151">
        <f t="shared" ref="AJ540:AL540" si="1064">P540-AE540</f>
        <v>0</v>
      </c>
      <c r="AK540" s="151">
        <f t="shared" si="1064"/>
        <v>0</v>
      </c>
      <c r="AL540" s="151">
        <f t="shared" si="1064"/>
        <v>0</v>
      </c>
      <c r="AM540" s="145"/>
      <c r="AN540" s="139"/>
      <c r="AO540" s="139"/>
      <c r="AP540" s="139"/>
      <c r="AQ540" s="145"/>
      <c r="AR540" s="145"/>
    </row>
    <row r="541" spans="1:44" s="156" customFormat="1" ht="47.25" x14ac:dyDescent="0.25">
      <c r="A541" s="143" t="s">
        <v>35</v>
      </c>
      <c r="B541" s="144">
        <v>528</v>
      </c>
      <c r="C541" s="143" t="s">
        <v>124</v>
      </c>
      <c r="D541" s="143" t="s">
        <v>954</v>
      </c>
      <c r="E541" s="145"/>
      <c r="F541" s="145" t="s">
        <v>872</v>
      </c>
      <c r="G541" s="143" t="s">
        <v>955</v>
      </c>
      <c r="H541" s="143"/>
      <c r="I541" s="143"/>
      <c r="J541" s="143"/>
      <c r="K541" s="164"/>
      <c r="L541" s="143" t="s">
        <v>956</v>
      </c>
      <c r="M541" s="143" t="s">
        <v>43</v>
      </c>
      <c r="N541" s="143" t="s">
        <v>957</v>
      </c>
      <c r="O541" s="147">
        <v>4199771950</v>
      </c>
      <c r="P541" s="150"/>
      <c r="Q541" s="177">
        <v>15000000</v>
      </c>
      <c r="R541" s="148">
        <v>144000000</v>
      </c>
      <c r="S541" s="147">
        <f t="shared" si="1029"/>
        <v>4358771950</v>
      </c>
      <c r="T541" s="158">
        <v>4199771950</v>
      </c>
      <c r="U541" s="143"/>
      <c r="V541" s="147">
        <v>15000000</v>
      </c>
      <c r="W541" s="158">
        <v>144000000</v>
      </c>
      <c r="X541" s="143"/>
      <c r="Y541" s="152">
        <f t="shared" ref="Y541:AB541" si="1065">AD541-T541</f>
        <v>0</v>
      </c>
      <c r="Z541" s="151">
        <f t="shared" si="1065"/>
        <v>0</v>
      </c>
      <c r="AA541" s="151">
        <f t="shared" si="1065"/>
        <v>0</v>
      </c>
      <c r="AB541" s="151">
        <f t="shared" si="1065"/>
        <v>0</v>
      </c>
      <c r="AC541" s="143"/>
      <c r="AD541" s="187">
        <v>4199771950</v>
      </c>
      <c r="AE541" s="184"/>
      <c r="AF541" s="148">
        <v>15000000</v>
      </c>
      <c r="AG541" s="173">
        <v>144000000</v>
      </c>
      <c r="AH541" s="143">
        <f t="shared" si="1031"/>
        <v>0</v>
      </c>
      <c r="AI541" s="151"/>
      <c r="AJ541" s="151">
        <f t="shared" ref="AJ541:AL541" si="1066">P541-AE541</f>
        <v>0</v>
      </c>
      <c r="AK541" s="151">
        <f t="shared" si="1066"/>
        <v>0</v>
      </c>
      <c r="AL541" s="151">
        <f t="shared" si="1066"/>
        <v>0</v>
      </c>
      <c r="AM541" s="145"/>
      <c r="AN541" s="139"/>
      <c r="AO541" s="139"/>
      <c r="AP541" s="139"/>
      <c r="AQ541" s="145"/>
      <c r="AR541" s="145"/>
    </row>
    <row r="542" spans="1:44" s="156" customFormat="1" ht="31.5" x14ac:dyDescent="0.25">
      <c r="A542" s="143" t="s">
        <v>88</v>
      </c>
      <c r="B542" s="144">
        <v>529</v>
      </c>
      <c r="C542" s="143" t="s">
        <v>124</v>
      </c>
      <c r="D542" s="143" t="s">
        <v>2985</v>
      </c>
      <c r="E542" s="145"/>
      <c r="F542" s="146"/>
      <c r="G542" s="143" t="s">
        <v>2986</v>
      </c>
      <c r="H542" s="143"/>
      <c r="I542" s="143"/>
      <c r="J542" s="143"/>
      <c r="K542" s="143"/>
      <c r="L542" s="143" t="s">
        <v>2987</v>
      </c>
      <c r="M542" s="143" t="s">
        <v>43</v>
      </c>
      <c r="N542" s="143" t="s">
        <v>2988</v>
      </c>
      <c r="O542" s="147">
        <v>4858859695</v>
      </c>
      <c r="P542" s="150"/>
      <c r="Q542" s="169">
        <v>15000000</v>
      </c>
      <c r="R542" s="150"/>
      <c r="S542" s="147">
        <f t="shared" si="1029"/>
        <v>4873859695</v>
      </c>
      <c r="T542" s="151">
        <v>4858859695</v>
      </c>
      <c r="U542" s="143"/>
      <c r="V542" s="147">
        <v>15000000</v>
      </c>
      <c r="W542" s="143"/>
      <c r="X542" s="143"/>
      <c r="Y542" s="152">
        <f t="shared" ref="Y542:AB542" si="1067">AD542-T542</f>
        <v>0</v>
      </c>
      <c r="Z542" s="151">
        <f t="shared" si="1067"/>
        <v>0</v>
      </c>
      <c r="AA542" s="151">
        <f t="shared" si="1067"/>
        <v>0</v>
      </c>
      <c r="AB542" s="152">
        <f t="shared" si="1067"/>
        <v>0</v>
      </c>
      <c r="AC542" s="143"/>
      <c r="AD542" s="182">
        <v>4858859695</v>
      </c>
      <c r="AE542" s="184"/>
      <c r="AF542" s="148">
        <v>15000000</v>
      </c>
      <c r="AG542" s="182"/>
      <c r="AH542" s="143">
        <f t="shared" si="1031"/>
        <v>0</v>
      </c>
      <c r="AI542" s="151"/>
      <c r="AJ542" s="151">
        <f t="shared" ref="AJ542:AL542" si="1068">P542-AE542</f>
        <v>0</v>
      </c>
      <c r="AK542" s="151">
        <f t="shared" si="1068"/>
        <v>0</v>
      </c>
      <c r="AL542" s="151">
        <f t="shared" si="1068"/>
        <v>0</v>
      </c>
      <c r="AM542" s="145"/>
      <c r="AN542" s="139"/>
      <c r="AO542" s="139"/>
      <c r="AP542" s="139"/>
      <c r="AQ542" s="145"/>
      <c r="AR542" s="145"/>
    </row>
    <row r="543" spans="1:44" s="156" customFormat="1" ht="47.25" x14ac:dyDescent="0.25">
      <c r="A543" s="143" t="s">
        <v>35</v>
      </c>
      <c r="B543" s="144">
        <v>530</v>
      </c>
      <c r="C543" s="143" t="s">
        <v>124</v>
      </c>
      <c r="D543" s="143" t="s">
        <v>959</v>
      </c>
      <c r="E543" s="199"/>
      <c r="F543" s="145" t="s">
        <v>872</v>
      </c>
      <c r="G543" s="143" t="s">
        <v>961</v>
      </c>
      <c r="H543" s="143"/>
      <c r="I543" s="143"/>
      <c r="J543" s="143"/>
      <c r="K543" s="164"/>
      <c r="L543" s="143" t="s">
        <v>963</v>
      </c>
      <c r="M543" s="143" t="s">
        <v>43</v>
      </c>
      <c r="N543" s="143" t="s">
        <v>964</v>
      </c>
      <c r="O543" s="147">
        <v>4879415244</v>
      </c>
      <c r="P543" s="150"/>
      <c r="Q543" s="177">
        <v>15000000</v>
      </c>
      <c r="R543" s="148">
        <v>72000000</v>
      </c>
      <c r="S543" s="147">
        <f t="shared" si="1029"/>
        <v>4966415244</v>
      </c>
      <c r="T543" s="158">
        <v>4879415244</v>
      </c>
      <c r="U543" s="143"/>
      <c r="V543" s="147">
        <v>15000000</v>
      </c>
      <c r="W543" s="158">
        <v>72000000</v>
      </c>
      <c r="X543" s="143"/>
      <c r="Y543" s="152">
        <f t="shared" ref="Y543:AB543" si="1069">AD543-T543</f>
        <v>0</v>
      </c>
      <c r="Z543" s="151">
        <f t="shared" si="1069"/>
        <v>0</v>
      </c>
      <c r="AA543" s="151">
        <f t="shared" si="1069"/>
        <v>0</v>
      </c>
      <c r="AB543" s="152">
        <f t="shared" si="1069"/>
        <v>0</v>
      </c>
      <c r="AC543" s="143"/>
      <c r="AD543" s="149">
        <v>4879415244</v>
      </c>
      <c r="AE543" s="170"/>
      <c r="AF543" s="148">
        <v>15000000</v>
      </c>
      <c r="AG543" s="191">
        <v>72000000</v>
      </c>
      <c r="AH543" s="143">
        <f t="shared" si="1031"/>
        <v>0</v>
      </c>
      <c r="AI543" s="151"/>
      <c r="AJ543" s="151">
        <f t="shared" ref="AJ543:AL543" si="1070">P543-AE543</f>
        <v>0</v>
      </c>
      <c r="AK543" s="151">
        <f t="shared" si="1070"/>
        <v>0</v>
      </c>
      <c r="AL543" s="151">
        <f t="shared" si="1070"/>
        <v>0</v>
      </c>
      <c r="AM543" s="145"/>
      <c r="AN543" s="139"/>
      <c r="AO543" s="139"/>
      <c r="AP543" s="139"/>
      <c r="AQ543" s="145"/>
      <c r="AR543" s="145"/>
    </row>
    <row r="544" spans="1:44" s="156" customFormat="1" ht="31.5" x14ac:dyDescent="0.25">
      <c r="A544" s="143" t="s">
        <v>52</v>
      </c>
      <c r="B544" s="144">
        <v>531</v>
      </c>
      <c r="C544" s="143" t="s">
        <v>124</v>
      </c>
      <c r="D544" s="143" t="s">
        <v>2989</v>
      </c>
      <c r="E544" s="199"/>
      <c r="F544" s="146"/>
      <c r="G544" s="143" t="s">
        <v>2990</v>
      </c>
      <c r="H544" s="143"/>
      <c r="I544" s="143"/>
      <c r="J544" s="143"/>
      <c r="K544" s="143"/>
      <c r="L544" s="143" t="s">
        <v>2991</v>
      </c>
      <c r="M544" s="143" t="s">
        <v>43</v>
      </c>
      <c r="N544" s="143" t="s">
        <v>2992</v>
      </c>
      <c r="O544" s="147">
        <v>31202908807</v>
      </c>
      <c r="P544" s="150"/>
      <c r="Q544" s="169">
        <v>15000000</v>
      </c>
      <c r="R544" s="150"/>
      <c r="S544" s="147">
        <f t="shared" si="1029"/>
        <v>31217908807</v>
      </c>
      <c r="T544" s="158">
        <v>31202908807</v>
      </c>
      <c r="U544" s="143"/>
      <c r="V544" s="147">
        <v>15000000</v>
      </c>
      <c r="W544" s="143"/>
      <c r="X544" s="143"/>
      <c r="Y544" s="152">
        <f t="shared" ref="Y544:AB544" si="1071">AD544-T544</f>
        <v>0</v>
      </c>
      <c r="Z544" s="151">
        <f t="shared" si="1071"/>
        <v>0</v>
      </c>
      <c r="AA544" s="151">
        <f t="shared" si="1071"/>
        <v>0</v>
      </c>
      <c r="AB544" s="151">
        <f t="shared" si="1071"/>
        <v>0</v>
      </c>
      <c r="AC544" s="143"/>
      <c r="AD544" s="149">
        <v>31202908807</v>
      </c>
      <c r="AE544" s="150"/>
      <c r="AF544" s="148">
        <v>15000000</v>
      </c>
      <c r="AG544" s="150"/>
      <c r="AH544" s="143">
        <f t="shared" si="1031"/>
        <v>0</v>
      </c>
      <c r="AI544" s="151"/>
      <c r="AJ544" s="151">
        <f t="shared" ref="AJ544:AL544" si="1072">P544-AE544</f>
        <v>0</v>
      </c>
      <c r="AK544" s="151">
        <f t="shared" si="1072"/>
        <v>0</v>
      </c>
      <c r="AL544" s="151">
        <f t="shared" si="1072"/>
        <v>0</v>
      </c>
      <c r="AM544" s="145"/>
      <c r="AN544" s="139"/>
      <c r="AO544" s="139"/>
      <c r="AP544" s="139"/>
      <c r="AQ544" s="145"/>
      <c r="AR544" s="145"/>
    </row>
    <row r="545" spans="1:44" s="156" customFormat="1" ht="47.25" x14ac:dyDescent="0.25">
      <c r="A545" s="143" t="s">
        <v>52</v>
      </c>
      <c r="B545" s="144">
        <v>532</v>
      </c>
      <c r="C545" s="143" t="s">
        <v>966</v>
      </c>
      <c r="D545" s="143" t="s">
        <v>2993</v>
      </c>
      <c r="E545" s="145"/>
      <c r="F545" s="146"/>
      <c r="G545" s="143" t="s">
        <v>2994</v>
      </c>
      <c r="H545" s="143"/>
      <c r="I545" s="143" t="s">
        <v>969</v>
      </c>
      <c r="J545" s="143"/>
      <c r="K545" s="143"/>
      <c r="L545" s="143" t="s">
        <v>2995</v>
      </c>
      <c r="M545" s="143" t="s">
        <v>43</v>
      </c>
      <c r="N545" s="143" t="s">
        <v>2996</v>
      </c>
      <c r="O545" s="147">
        <v>8812588488</v>
      </c>
      <c r="P545" s="150"/>
      <c r="Q545" s="177">
        <v>15000000</v>
      </c>
      <c r="R545" s="150"/>
      <c r="S545" s="147">
        <f t="shared" si="1029"/>
        <v>8827588488</v>
      </c>
      <c r="T545" s="158">
        <v>8812588488</v>
      </c>
      <c r="U545" s="143"/>
      <c r="V545" s="147">
        <v>15000000</v>
      </c>
      <c r="W545" s="143"/>
      <c r="X545" s="143"/>
      <c r="Y545" s="152">
        <f t="shared" ref="Y545:AB545" si="1073">AD545-T545</f>
        <v>0</v>
      </c>
      <c r="Z545" s="151">
        <f t="shared" si="1073"/>
        <v>0</v>
      </c>
      <c r="AA545" s="151">
        <f t="shared" si="1073"/>
        <v>0</v>
      </c>
      <c r="AB545" s="152">
        <f t="shared" si="1073"/>
        <v>0</v>
      </c>
      <c r="AC545" s="143"/>
      <c r="AD545" s="191">
        <v>8812588488</v>
      </c>
      <c r="AE545" s="184"/>
      <c r="AF545" s="177">
        <v>15000000</v>
      </c>
      <c r="AG545" s="182"/>
      <c r="AH545" s="143">
        <f t="shared" si="1031"/>
        <v>0</v>
      </c>
      <c r="AI545" s="151"/>
      <c r="AJ545" s="151">
        <f t="shared" ref="AJ545:AL545" si="1074">P545-AE545</f>
        <v>0</v>
      </c>
      <c r="AK545" s="151">
        <f t="shared" si="1074"/>
        <v>0</v>
      </c>
      <c r="AL545" s="151">
        <f t="shared" si="1074"/>
        <v>0</v>
      </c>
      <c r="AM545" s="145"/>
      <c r="AN545" s="139"/>
      <c r="AO545" s="139"/>
      <c r="AP545" s="139"/>
      <c r="AQ545" s="145"/>
      <c r="AR545" s="145"/>
    </row>
    <row r="546" spans="1:44" s="156" customFormat="1" ht="47.25" x14ac:dyDescent="0.25">
      <c r="A546" s="143" t="s">
        <v>88</v>
      </c>
      <c r="B546" s="144">
        <v>533</v>
      </c>
      <c r="C546" s="143" t="s">
        <v>966</v>
      </c>
      <c r="D546" s="143" t="s">
        <v>2997</v>
      </c>
      <c r="E546" s="145"/>
      <c r="F546" s="146"/>
      <c r="G546" s="143" t="s">
        <v>2998</v>
      </c>
      <c r="H546" s="143"/>
      <c r="I546" s="143" t="s">
        <v>969</v>
      </c>
      <c r="J546" s="143"/>
      <c r="K546" s="143"/>
      <c r="L546" s="143" t="s">
        <v>2999</v>
      </c>
      <c r="M546" s="143" t="s">
        <v>43</v>
      </c>
      <c r="N546" s="143" t="s">
        <v>3000</v>
      </c>
      <c r="O546" s="147">
        <v>4149891920</v>
      </c>
      <c r="P546" s="150"/>
      <c r="Q546" s="177">
        <v>15000000</v>
      </c>
      <c r="R546" s="150"/>
      <c r="S546" s="147">
        <f t="shared" si="1029"/>
        <v>4164891920</v>
      </c>
      <c r="T546" s="151">
        <v>4149891920</v>
      </c>
      <c r="U546" s="143"/>
      <c r="V546" s="147">
        <v>15000000</v>
      </c>
      <c r="W546" s="143"/>
      <c r="X546" s="143"/>
      <c r="Y546" s="152">
        <f t="shared" ref="Y546:AB546" si="1075">AD546-T546</f>
        <v>0</v>
      </c>
      <c r="Z546" s="151">
        <f t="shared" si="1075"/>
        <v>0</v>
      </c>
      <c r="AA546" s="151">
        <f t="shared" si="1075"/>
        <v>0</v>
      </c>
      <c r="AB546" s="152">
        <f t="shared" si="1075"/>
        <v>0</v>
      </c>
      <c r="AC546" s="143"/>
      <c r="AD546" s="155">
        <v>4149891920</v>
      </c>
      <c r="AE546" s="150"/>
      <c r="AF546" s="148">
        <v>15000000</v>
      </c>
      <c r="AG546" s="155"/>
      <c r="AH546" s="143">
        <f t="shared" si="1031"/>
        <v>0</v>
      </c>
      <c r="AI546" s="151"/>
      <c r="AJ546" s="151">
        <f t="shared" ref="AJ546:AL546" si="1076">P546-AE546</f>
        <v>0</v>
      </c>
      <c r="AK546" s="151">
        <f t="shared" si="1076"/>
        <v>0</v>
      </c>
      <c r="AL546" s="151">
        <f t="shared" si="1076"/>
        <v>0</v>
      </c>
      <c r="AM546" s="145"/>
      <c r="AN546" s="139"/>
      <c r="AO546" s="139"/>
      <c r="AP546" s="139"/>
      <c r="AQ546" s="145"/>
      <c r="AR546" s="145"/>
    </row>
    <row r="547" spans="1:44" s="156" customFormat="1" ht="31.5" x14ac:dyDescent="0.25">
      <c r="A547" s="143" t="s">
        <v>35</v>
      </c>
      <c r="B547" s="144">
        <v>534</v>
      </c>
      <c r="C547" s="143" t="s">
        <v>966</v>
      </c>
      <c r="D547" s="143" t="s">
        <v>3001</v>
      </c>
      <c r="E547" s="145"/>
      <c r="F547" s="145"/>
      <c r="G547" s="143" t="s">
        <v>3002</v>
      </c>
      <c r="H547" s="143"/>
      <c r="I547" s="143" t="s">
        <v>969</v>
      </c>
      <c r="J547" s="143"/>
      <c r="K547" s="143"/>
      <c r="L547" s="143" t="s">
        <v>3003</v>
      </c>
      <c r="M547" s="143" t="s">
        <v>43</v>
      </c>
      <c r="N547" s="143" t="s">
        <v>2969</v>
      </c>
      <c r="O547" s="147">
        <v>10000000</v>
      </c>
      <c r="P547" s="150"/>
      <c r="Q547" s="177">
        <v>7500000</v>
      </c>
      <c r="R547" s="150"/>
      <c r="S547" s="147">
        <f t="shared" si="1029"/>
        <v>17500000</v>
      </c>
      <c r="T547" s="143"/>
      <c r="U547" s="143"/>
      <c r="V547" s="157"/>
      <c r="W547" s="143"/>
      <c r="X547" s="143"/>
      <c r="Y547" s="152">
        <f t="shared" ref="Y547:AB547" si="1077">AD547-T547</f>
        <v>0</v>
      </c>
      <c r="Z547" s="151">
        <f t="shared" si="1077"/>
        <v>0</v>
      </c>
      <c r="AA547" s="151">
        <f t="shared" si="1077"/>
        <v>0</v>
      </c>
      <c r="AB547" s="151">
        <f t="shared" si="1077"/>
        <v>0</v>
      </c>
      <c r="AC547" s="143"/>
      <c r="AD547" s="155"/>
      <c r="AE547" s="150"/>
      <c r="AF547" s="150"/>
      <c r="AG547" s="150"/>
      <c r="AH547" s="143">
        <f t="shared" si="1031"/>
        <v>0</v>
      </c>
      <c r="AI547" s="151">
        <v>10000000</v>
      </c>
      <c r="AJ547" s="151">
        <f t="shared" ref="AJ547:AL547" si="1078">P547-AE547</f>
        <v>0</v>
      </c>
      <c r="AK547" s="151">
        <f t="shared" si="1078"/>
        <v>7500000</v>
      </c>
      <c r="AL547" s="151">
        <f t="shared" si="1078"/>
        <v>0</v>
      </c>
      <c r="AM547" s="148">
        <v>10000000</v>
      </c>
      <c r="AN547" s="159" t="s">
        <v>2160</v>
      </c>
      <c r="AO547" s="160"/>
      <c r="AP547" s="168" t="s">
        <v>2160</v>
      </c>
      <c r="AQ547" s="219"/>
      <c r="AR547" s="218"/>
    </row>
    <row r="548" spans="1:44" s="156" customFormat="1" ht="47.25" x14ac:dyDescent="0.25">
      <c r="A548" s="143" t="s">
        <v>35</v>
      </c>
      <c r="B548" s="144">
        <v>535</v>
      </c>
      <c r="C548" s="143" t="s">
        <v>966</v>
      </c>
      <c r="D548" s="143" t="s">
        <v>3004</v>
      </c>
      <c r="E548" s="145" t="s">
        <v>2941</v>
      </c>
      <c r="F548" s="145"/>
      <c r="G548" s="143" t="s">
        <v>3005</v>
      </c>
      <c r="H548" s="143" t="s">
        <v>3006</v>
      </c>
      <c r="I548" s="143" t="s">
        <v>969</v>
      </c>
      <c r="J548" s="143"/>
      <c r="K548" s="143"/>
      <c r="L548" s="143" t="s">
        <v>3007</v>
      </c>
      <c r="M548" s="143" t="s">
        <v>43</v>
      </c>
      <c r="N548" s="143" t="s">
        <v>3008</v>
      </c>
      <c r="O548" s="147">
        <v>1379679648</v>
      </c>
      <c r="P548" s="148">
        <v>3820831</v>
      </c>
      <c r="Q548" s="177">
        <v>7500000</v>
      </c>
      <c r="R548" s="150"/>
      <c r="S548" s="147">
        <f t="shared" si="1029"/>
        <v>1391000479</v>
      </c>
      <c r="T548" s="158">
        <v>1379679648</v>
      </c>
      <c r="U548" s="158">
        <v>3820831</v>
      </c>
      <c r="V548" s="147">
        <v>7500000</v>
      </c>
      <c r="W548" s="143"/>
      <c r="X548" s="143"/>
      <c r="Y548" s="152">
        <f t="shared" ref="Y548:AB548" si="1079">AD548-T548</f>
        <v>0</v>
      </c>
      <c r="Z548" s="151">
        <f t="shared" si="1079"/>
        <v>0</v>
      </c>
      <c r="AA548" s="151">
        <f t="shared" si="1079"/>
        <v>0</v>
      </c>
      <c r="AB548" s="152">
        <f t="shared" si="1079"/>
        <v>0</v>
      </c>
      <c r="AC548" s="143"/>
      <c r="AD548" s="149">
        <v>1379679648</v>
      </c>
      <c r="AE548" s="148">
        <v>3820831</v>
      </c>
      <c r="AF548" s="148">
        <v>7500000</v>
      </c>
      <c r="AG548" s="155"/>
      <c r="AH548" s="143">
        <f t="shared" si="1031"/>
        <v>0</v>
      </c>
      <c r="AI548" s="151"/>
      <c r="AJ548" s="151">
        <f t="shared" ref="AJ548:AL548" si="1080">P548-AE548</f>
        <v>0</v>
      </c>
      <c r="AK548" s="151">
        <f t="shared" si="1080"/>
        <v>0</v>
      </c>
      <c r="AL548" s="151">
        <f t="shared" si="1080"/>
        <v>0</v>
      </c>
      <c r="AM548" s="145"/>
      <c r="AN548" s="139"/>
      <c r="AO548" s="139"/>
      <c r="AP548" s="139"/>
      <c r="AQ548" s="145"/>
      <c r="AR548" s="145"/>
    </row>
    <row r="549" spans="1:44" s="156" customFormat="1" ht="63" x14ac:dyDescent="0.25">
      <c r="A549" s="143" t="s">
        <v>35</v>
      </c>
      <c r="B549" s="144">
        <v>536</v>
      </c>
      <c r="C549" s="143" t="s">
        <v>966</v>
      </c>
      <c r="D549" s="143" t="s">
        <v>3010</v>
      </c>
      <c r="E549" s="145" t="s">
        <v>3011</v>
      </c>
      <c r="F549" s="145"/>
      <c r="G549" s="143" t="s">
        <v>3012</v>
      </c>
      <c r="H549" s="143" t="s">
        <v>3013</v>
      </c>
      <c r="I549" s="143" t="s">
        <v>969</v>
      </c>
      <c r="J549" s="143"/>
      <c r="K549" s="143"/>
      <c r="L549" s="143" t="s">
        <v>3014</v>
      </c>
      <c r="M549" s="143" t="s">
        <v>43</v>
      </c>
      <c r="N549" s="143" t="s">
        <v>3015</v>
      </c>
      <c r="O549" s="147">
        <v>5979511743</v>
      </c>
      <c r="P549" s="148">
        <v>745875</v>
      </c>
      <c r="Q549" s="177">
        <v>7500000</v>
      </c>
      <c r="R549" s="150"/>
      <c r="S549" s="147">
        <f t="shared" si="1029"/>
        <v>5987757618</v>
      </c>
      <c r="T549" s="158">
        <v>5979511743</v>
      </c>
      <c r="U549" s="143"/>
      <c r="V549" s="147">
        <v>7500000</v>
      </c>
      <c r="W549" s="143"/>
      <c r="X549" s="143"/>
      <c r="Y549" s="152">
        <f t="shared" ref="Y549:AB549" si="1081">AD549-T549</f>
        <v>0</v>
      </c>
      <c r="Z549" s="151">
        <f t="shared" si="1081"/>
        <v>0</v>
      </c>
      <c r="AA549" s="151">
        <f t="shared" si="1081"/>
        <v>0</v>
      </c>
      <c r="AB549" s="151">
        <f t="shared" si="1081"/>
        <v>0</v>
      </c>
      <c r="AC549" s="143"/>
      <c r="AD549" s="149">
        <v>5979511743</v>
      </c>
      <c r="AE549" s="150"/>
      <c r="AF549" s="148">
        <v>7500000</v>
      </c>
      <c r="AG549" s="150"/>
      <c r="AH549" s="143">
        <f t="shared" si="1031"/>
        <v>0</v>
      </c>
      <c r="AI549" s="151"/>
      <c r="AJ549" s="151">
        <f t="shared" ref="AJ549:AL549" si="1082">P549-AE549</f>
        <v>745875</v>
      </c>
      <c r="AK549" s="151">
        <f t="shared" si="1082"/>
        <v>0</v>
      </c>
      <c r="AL549" s="151">
        <f t="shared" si="1082"/>
        <v>0</v>
      </c>
      <c r="AM549" s="145"/>
      <c r="AN549" s="139"/>
      <c r="AO549" s="162" t="s">
        <v>3948</v>
      </c>
      <c r="AP549" s="139"/>
      <c r="AQ549" s="145"/>
      <c r="AR549" s="145"/>
    </row>
    <row r="550" spans="1:44" s="156" customFormat="1" ht="31.5" x14ac:dyDescent="0.25">
      <c r="A550" s="143" t="s">
        <v>52</v>
      </c>
      <c r="B550" s="144">
        <v>537</v>
      </c>
      <c r="C550" s="143" t="s">
        <v>966</v>
      </c>
      <c r="D550" s="143" t="s">
        <v>3016</v>
      </c>
      <c r="E550" s="145"/>
      <c r="F550" s="146"/>
      <c r="G550" s="143" t="s">
        <v>3017</v>
      </c>
      <c r="H550" s="143"/>
      <c r="I550" s="143" t="s">
        <v>969</v>
      </c>
      <c r="J550" s="143"/>
      <c r="K550" s="143"/>
      <c r="L550" s="143" t="s">
        <v>3018</v>
      </c>
      <c r="M550" s="143" t="s">
        <v>43</v>
      </c>
      <c r="N550" s="143" t="s">
        <v>3019</v>
      </c>
      <c r="O550" s="147">
        <v>5710253116</v>
      </c>
      <c r="P550" s="150"/>
      <c r="Q550" s="177">
        <v>15000000</v>
      </c>
      <c r="R550" s="150"/>
      <c r="S550" s="147">
        <f t="shared" si="1029"/>
        <v>5725253116</v>
      </c>
      <c r="T550" s="158">
        <v>5710253116</v>
      </c>
      <c r="U550" s="143"/>
      <c r="V550" s="147">
        <v>15000000</v>
      </c>
      <c r="W550" s="143"/>
      <c r="X550" s="143"/>
      <c r="Y550" s="152">
        <f t="shared" ref="Y550:AB550" si="1083">AD550-T550</f>
        <v>0</v>
      </c>
      <c r="Z550" s="151">
        <f t="shared" si="1083"/>
        <v>0</v>
      </c>
      <c r="AA550" s="151">
        <f t="shared" si="1083"/>
        <v>0</v>
      </c>
      <c r="AB550" s="152">
        <f t="shared" si="1083"/>
        <v>0</v>
      </c>
      <c r="AC550" s="143"/>
      <c r="AD550" s="149">
        <v>5710253116</v>
      </c>
      <c r="AE550" s="184"/>
      <c r="AF550" s="177">
        <v>15000000</v>
      </c>
      <c r="AG550" s="182"/>
      <c r="AH550" s="143">
        <f t="shared" si="1031"/>
        <v>0</v>
      </c>
      <c r="AI550" s="151"/>
      <c r="AJ550" s="151">
        <f t="shared" ref="AJ550:AL550" si="1084">P550-AE550</f>
        <v>0</v>
      </c>
      <c r="AK550" s="151">
        <f t="shared" si="1084"/>
        <v>0</v>
      </c>
      <c r="AL550" s="151">
        <f t="shared" si="1084"/>
        <v>0</v>
      </c>
      <c r="AM550" s="145"/>
      <c r="AN550" s="139"/>
      <c r="AO550" s="139"/>
      <c r="AP550" s="139"/>
      <c r="AQ550" s="145"/>
      <c r="AR550" s="145"/>
    </row>
    <row r="551" spans="1:44" s="156" customFormat="1" ht="31.5" x14ac:dyDescent="0.25">
      <c r="A551" s="143" t="s">
        <v>88</v>
      </c>
      <c r="B551" s="144">
        <v>538</v>
      </c>
      <c r="C551" s="143" t="s">
        <v>966</v>
      </c>
      <c r="D551" s="143" t="s">
        <v>3020</v>
      </c>
      <c r="E551" s="145"/>
      <c r="F551" s="146"/>
      <c r="G551" s="143" t="s">
        <v>3021</v>
      </c>
      <c r="H551" s="143"/>
      <c r="I551" s="143"/>
      <c r="J551" s="143"/>
      <c r="K551" s="143"/>
      <c r="L551" s="143" t="s">
        <v>2554</v>
      </c>
      <c r="M551" s="143" t="s">
        <v>43</v>
      </c>
      <c r="N551" s="143" t="s">
        <v>3022</v>
      </c>
      <c r="O551" s="147">
        <v>1184198060</v>
      </c>
      <c r="P551" s="150"/>
      <c r="Q551" s="177">
        <v>7500000</v>
      </c>
      <c r="R551" s="150"/>
      <c r="S551" s="147">
        <f t="shared" si="1029"/>
        <v>1191698060</v>
      </c>
      <c r="T551" s="151">
        <v>1184198060</v>
      </c>
      <c r="U551" s="143"/>
      <c r="V551" s="157"/>
      <c r="W551" s="143"/>
      <c r="X551" s="143"/>
      <c r="Y551" s="152">
        <f t="shared" ref="Y551:AB551" si="1085">AD551-T551</f>
        <v>0</v>
      </c>
      <c r="Z551" s="151">
        <f t="shared" si="1085"/>
        <v>0</v>
      </c>
      <c r="AA551" s="151">
        <f t="shared" si="1085"/>
        <v>0</v>
      </c>
      <c r="AB551" s="152">
        <f t="shared" si="1085"/>
        <v>0</v>
      </c>
      <c r="AC551" s="143"/>
      <c r="AD551" s="155">
        <v>1184198060</v>
      </c>
      <c r="AE551" s="150"/>
      <c r="AF551" s="150"/>
      <c r="AG551" s="155"/>
      <c r="AH551" s="143">
        <f t="shared" si="1031"/>
        <v>0</v>
      </c>
      <c r="AI551" s="151"/>
      <c r="AJ551" s="151">
        <f t="shared" ref="AJ551:AL551" si="1086">P551-AE551</f>
        <v>0</v>
      </c>
      <c r="AK551" s="151">
        <f t="shared" si="1086"/>
        <v>7500000</v>
      </c>
      <c r="AL551" s="151">
        <f t="shared" si="1086"/>
        <v>0</v>
      </c>
      <c r="AM551" s="145"/>
      <c r="AN551" s="139"/>
      <c r="AO551" s="139"/>
      <c r="AP551" s="162" t="s">
        <v>3955</v>
      </c>
      <c r="AQ551" s="145"/>
      <c r="AR551" s="145"/>
    </row>
    <row r="552" spans="1:44" s="156" customFormat="1" ht="47.25" x14ac:dyDescent="0.25">
      <c r="A552" s="143" t="s">
        <v>88</v>
      </c>
      <c r="B552" s="144">
        <v>539</v>
      </c>
      <c r="C552" s="143" t="s">
        <v>966</v>
      </c>
      <c r="D552" s="143" t="s">
        <v>3024</v>
      </c>
      <c r="E552" s="145"/>
      <c r="F552" s="146"/>
      <c r="G552" s="143" t="s">
        <v>3025</v>
      </c>
      <c r="H552" s="143"/>
      <c r="I552" s="143" t="s">
        <v>969</v>
      </c>
      <c r="J552" s="143"/>
      <c r="K552" s="143"/>
      <c r="L552" s="143" t="s">
        <v>3026</v>
      </c>
      <c r="M552" s="143" t="s">
        <v>43</v>
      </c>
      <c r="N552" s="143" t="s">
        <v>3027</v>
      </c>
      <c r="O552" s="147">
        <v>124624714</v>
      </c>
      <c r="P552" s="150"/>
      <c r="Q552" s="177">
        <v>7500000</v>
      </c>
      <c r="R552" s="150"/>
      <c r="S552" s="147">
        <f t="shared" si="1029"/>
        <v>132124714</v>
      </c>
      <c r="T552" s="151">
        <v>124624714</v>
      </c>
      <c r="U552" s="143"/>
      <c r="V552" s="147">
        <v>7500000</v>
      </c>
      <c r="W552" s="143"/>
      <c r="X552" s="143"/>
      <c r="Y552" s="152">
        <f t="shared" ref="Y552:AB552" si="1087">AD552-T552</f>
        <v>0</v>
      </c>
      <c r="Z552" s="151">
        <f t="shared" si="1087"/>
        <v>0</v>
      </c>
      <c r="AA552" s="151">
        <f t="shared" si="1087"/>
        <v>0</v>
      </c>
      <c r="AB552" s="152">
        <f t="shared" si="1087"/>
        <v>0</v>
      </c>
      <c r="AC552" s="143"/>
      <c r="AD552" s="192">
        <v>124624714</v>
      </c>
      <c r="AE552" s="170"/>
      <c r="AF552" s="148">
        <v>7500000</v>
      </c>
      <c r="AG552" s="193"/>
      <c r="AH552" s="143">
        <f t="shared" si="1031"/>
        <v>0</v>
      </c>
      <c r="AI552" s="151"/>
      <c r="AJ552" s="151">
        <f t="shared" ref="AJ552:AL552" si="1088">P552-AE552</f>
        <v>0</v>
      </c>
      <c r="AK552" s="151">
        <f t="shared" si="1088"/>
        <v>0</v>
      </c>
      <c r="AL552" s="151">
        <f t="shared" si="1088"/>
        <v>0</v>
      </c>
      <c r="AM552" s="145"/>
      <c r="AN552" s="139"/>
      <c r="AO552" s="139"/>
      <c r="AP552" s="139"/>
      <c r="AQ552" s="145"/>
      <c r="AR552" s="145"/>
    </row>
    <row r="553" spans="1:44" s="156" customFormat="1" ht="47.25" x14ac:dyDescent="0.25">
      <c r="A553" s="143" t="s">
        <v>35</v>
      </c>
      <c r="B553" s="144">
        <v>540</v>
      </c>
      <c r="C553" s="143" t="s">
        <v>966</v>
      </c>
      <c r="D553" s="143" t="s">
        <v>3028</v>
      </c>
      <c r="E553" s="145" t="s">
        <v>3029</v>
      </c>
      <c r="F553" s="145"/>
      <c r="G553" s="143" t="s">
        <v>3030</v>
      </c>
      <c r="H553" s="143" t="s">
        <v>3031</v>
      </c>
      <c r="I553" s="143" t="s">
        <v>969</v>
      </c>
      <c r="J553" s="143"/>
      <c r="K553" s="143"/>
      <c r="L553" s="143" t="s">
        <v>3032</v>
      </c>
      <c r="M553" s="143" t="s">
        <v>43</v>
      </c>
      <c r="N553" s="143" t="s">
        <v>3033</v>
      </c>
      <c r="O553" s="147">
        <v>11205643442</v>
      </c>
      <c r="P553" s="177">
        <v>412168376</v>
      </c>
      <c r="Q553" s="177">
        <v>15000000</v>
      </c>
      <c r="R553" s="150"/>
      <c r="S553" s="147">
        <f t="shared" si="1029"/>
        <v>11632811818</v>
      </c>
      <c r="T553" s="158">
        <v>11205643442</v>
      </c>
      <c r="U553" s="158">
        <v>412168376</v>
      </c>
      <c r="V553" s="147">
        <v>15000000</v>
      </c>
      <c r="W553" s="143"/>
      <c r="X553" s="143"/>
      <c r="Y553" s="152">
        <f t="shared" ref="Y553:AB553" si="1089">AD553-T553</f>
        <v>0</v>
      </c>
      <c r="Z553" s="151">
        <f t="shared" si="1089"/>
        <v>0</v>
      </c>
      <c r="AA553" s="151">
        <f t="shared" si="1089"/>
        <v>0</v>
      </c>
      <c r="AB553" s="151">
        <f t="shared" si="1089"/>
        <v>0</v>
      </c>
      <c r="AC553" s="143"/>
      <c r="AD553" s="191">
        <v>11205643442</v>
      </c>
      <c r="AE553" s="169">
        <v>412168376</v>
      </c>
      <c r="AF553" s="148">
        <v>15000000</v>
      </c>
      <c r="AG553" s="170"/>
      <c r="AH553" s="143">
        <f t="shared" si="1031"/>
        <v>0</v>
      </c>
      <c r="AI553" s="151"/>
      <c r="AJ553" s="151">
        <f t="shared" ref="AJ553:AL553" si="1090">P553-AE553</f>
        <v>0</v>
      </c>
      <c r="AK553" s="151">
        <f t="shared" si="1090"/>
        <v>0</v>
      </c>
      <c r="AL553" s="151">
        <f t="shared" si="1090"/>
        <v>0</v>
      </c>
      <c r="AM553" s="145"/>
      <c r="AN553" s="139"/>
      <c r="AO553" s="139"/>
      <c r="AP553" s="139"/>
      <c r="AQ553" s="145"/>
      <c r="AR553" s="145"/>
    </row>
    <row r="554" spans="1:44" s="156" customFormat="1" ht="47.25" x14ac:dyDescent="0.25">
      <c r="A554" s="143" t="s">
        <v>275</v>
      </c>
      <c r="B554" s="144">
        <v>541</v>
      </c>
      <c r="C554" s="143" t="s">
        <v>966</v>
      </c>
      <c r="D554" s="143" t="s">
        <v>3034</v>
      </c>
      <c r="E554" s="145" t="s">
        <v>2099</v>
      </c>
      <c r="F554" s="146"/>
      <c r="G554" s="143" t="s">
        <v>3035</v>
      </c>
      <c r="H554" s="143" t="s">
        <v>592</v>
      </c>
      <c r="I554" s="143"/>
      <c r="J554" s="143"/>
      <c r="K554" s="143"/>
      <c r="L554" s="143" t="s">
        <v>3036</v>
      </c>
      <c r="M554" s="143" t="s">
        <v>43</v>
      </c>
      <c r="N554" s="143" t="s">
        <v>3037</v>
      </c>
      <c r="O554" s="147">
        <v>3903175140</v>
      </c>
      <c r="P554" s="177">
        <v>752143200</v>
      </c>
      <c r="Q554" s="177">
        <v>7500000</v>
      </c>
      <c r="R554" s="150"/>
      <c r="S554" s="147">
        <f t="shared" si="1029"/>
        <v>4662818340</v>
      </c>
      <c r="T554" s="158">
        <v>3903175140</v>
      </c>
      <c r="U554" s="158">
        <v>752143200</v>
      </c>
      <c r="V554" s="147">
        <v>7500000</v>
      </c>
      <c r="W554" s="143"/>
      <c r="X554" s="143"/>
      <c r="Y554" s="152">
        <f t="shared" ref="Y554:AB554" si="1091">AD554-T554</f>
        <v>0</v>
      </c>
      <c r="Z554" s="151">
        <f t="shared" si="1091"/>
        <v>0</v>
      </c>
      <c r="AA554" s="151">
        <f t="shared" si="1091"/>
        <v>0</v>
      </c>
      <c r="AB554" s="151">
        <f t="shared" si="1091"/>
        <v>0</v>
      </c>
      <c r="AC554" s="143"/>
      <c r="AD554" s="149">
        <v>3903175140</v>
      </c>
      <c r="AE554" s="148">
        <v>752143200</v>
      </c>
      <c r="AF554" s="148">
        <v>7500000</v>
      </c>
      <c r="AG554" s="150"/>
      <c r="AH554" s="143">
        <f t="shared" si="1031"/>
        <v>0</v>
      </c>
      <c r="AI554" s="151"/>
      <c r="AJ554" s="151">
        <f t="shared" ref="AJ554:AL554" si="1092">P554-AE554</f>
        <v>0</v>
      </c>
      <c r="AK554" s="151">
        <f t="shared" si="1092"/>
        <v>0</v>
      </c>
      <c r="AL554" s="151">
        <f t="shared" si="1092"/>
        <v>0</v>
      </c>
      <c r="AM554" s="145"/>
      <c r="AN554" s="139"/>
      <c r="AO554" s="139"/>
      <c r="AP554" s="139"/>
      <c r="AQ554" s="145"/>
      <c r="AR554" s="145"/>
    </row>
    <row r="555" spans="1:44" s="156" customFormat="1" ht="31.5" x14ac:dyDescent="0.25">
      <c r="A555" s="143" t="s">
        <v>60</v>
      </c>
      <c r="B555" s="144">
        <v>542</v>
      </c>
      <c r="C555" s="143" t="s">
        <v>966</v>
      </c>
      <c r="D555" s="143" t="s">
        <v>3038</v>
      </c>
      <c r="E555" s="145"/>
      <c r="F555" s="146"/>
      <c r="G555" s="143" t="s">
        <v>3039</v>
      </c>
      <c r="H555" s="143"/>
      <c r="I555" s="143"/>
      <c r="J555" s="143"/>
      <c r="K555" s="143"/>
      <c r="L555" s="143" t="s">
        <v>3040</v>
      </c>
      <c r="M555" s="143" t="s">
        <v>43</v>
      </c>
      <c r="N555" s="143" t="s">
        <v>3041</v>
      </c>
      <c r="O555" s="147">
        <v>32247210000</v>
      </c>
      <c r="P555" s="150"/>
      <c r="Q555" s="177">
        <v>15000000</v>
      </c>
      <c r="R555" s="150"/>
      <c r="S555" s="147">
        <f t="shared" si="1029"/>
        <v>32262210000</v>
      </c>
      <c r="T555" s="158">
        <v>32247210000</v>
      </c>
      <c r="U555" s="143"/>
      <c r="V555" s="157"/>
      <c r="W555" s="143"/>
      <c r="X555" s="143"/>
      <c r="Y555" s="152">
        <f t="shared" ref="Y555:AB555" si="1093">AD555-T555</f>
        <v>0</v>
      </c>
      <c r="Z555" s="151">
        <f t="shared" si="1093"/>
        <v>0</v>
      </c>
      <c r="AA555" s="151">
        <f t="shared" si="1093"/>
        <v>0</v>
      </c>
      <c r="AB555" s="152">
        <f t="shared" si="1093"/>
        <v>0</v>
      </c>
      <c r="AC555" s="143"/>
      <c r="AD555" s="194">
        <v>32247210000</v>
      </c>
      <c r="AE555" s="150"/>
      <c r="AF555" s="150"/>
      <c r="AG555" s="155"/>
      <c r="AH555" s="143">
        <f t="shared" si="1031"/>
        <v>0</v>
      </c>
      <c r="AI555" s="151"/>
      <c r="AJ555" s="151">
        <f t="shared" ref="AJ555:AL555" si="1094">P555-AE555</f>
        <v>0</v>
      </c>
      <c r="AK555" s="151">
        <f t="shared" si="1094"/>
        <v>15000000</v>
      </c>
      <c r="AL555" s="151">
        <f t="shared" si="1094"/>
        <v>0</v>
      </c>
      <c r="AM555" s="145"/>
      <c r="AN555" s="139"/>
      <c r="AO555" s="139"/>
      <c r="AP555" s="162" t="s">
        <v>3970</v>
      </c>
      <c r="AQ555" s="145"/>
      <c r="AR555" s="145"/>
    </row>
    <row r="556" spans="1:44" s="156" customFormat="1" ht="78.75" x14ac:dyDescent="0.25">
      <c r="A556" s="143" t="s">
        <v>60</v>
      </c>
      <c r="B556" s="144">
        <v>543</v>
      </c>
      <c r="C556" s="143" t="s">
        <v>966</v>
      </c>
      <c r="D556" s="143" t="s">
        <v>1471</v>
      </c>
      <c r="E556" s="145"/>
      <c r="F556" s="145" t="s">
        <v>1462</v>
      </c>
      <c r="G556" s="143" t="s">
        <v>1473</v>
      </c>
      <c r="H556" s="143"/>
      <c r="I556" s="143"/>
      <c r="J556" s="143"/>
      <c r="K556" s="164"/>
      <c r="L556" s="143" t="s">
        <v>1475</v>
      </c>
      <c r="M556" s="143" t="s">
        <v>43</v>
      </c>
      <c r="N556" s="143" t="s">
        <v>1477</v>
      </c>
      <c r="O556" s="147">
        <v>3019503424</v>
      </c>
      <c r="P556" s="150"/>
      <c r="Q556" s="177">
        <v>15000000</v>
      </c>
      <c r="R556" s="148">
        <f>120000000+120000000</f>
        <v>240000000</v>
      </c>
      <c r="S556" s="147">
        <f t="shared" si="1029"/>
        <v>3274503424</v>
      </c>
      <c r="T556" s="158">
        <v>3019503424</v>
      </c>
      <c r="U556" s="143"/>
      <c r="V556" s="147">
        <v>15000000</v>
      </c>
      <c r="W556" s="158">
        <v>240000000</v>
      </c>
      <c r="X556" s="143"/>
      <c r="Y556" s="152">
        <f t="shared" ref="Y556:AB556" si="1095">AD556-T556</f>
        <v>0</v>
      </c>
      <c r="Z556" s="151">
        <f t="shared" si="1095"/>
        <v>0</v>
      </c>
      <c r="AA556" s="151">
        <f t="shared" si="1095"/>
        <v>0</v>
      </c>
      <c r="AB556" s="152">
        <f t="shared" si="1095"/>
        <v>0</v>
      </c>
      <c r="AC556" s="143"/>
      <c r="AD556" s="149">
        <v>3019503424</v>
      </c>
      <c r="AE556" s="170"/>
      <c r="AF556" s="148">
        <v>15000000</v>
      </c>
      <c r="AG556" s="191">
        <f>120000000+120000000</f>
        <v>240000000</v>
      </c>
      <c r="AH556" s="143">
        <f t="shared" si="1031"/>
        <v>0</v>
      </c>
      <c r="AI556" s="151"/>
      <c r="AJ556" s="151">
        <f t="shared" ref="AJ556:AL556" si="1096">P556-AE556</f>
        <v>0</v>
      </c>
      <c r="AK556" s="151">
        <f t="shared" si="1096"/>
        <v>0</v>
      </c>
      <c r="AL556" s="151">
        <f t="shared" si="1096"/>
        <v>0</v>
      </c>
      <c r="AM556" s="145"/>
      <c r="AN556" s="139"/>
      <c r="AO556" s="139"/>
      <c r="AP556" s="139"/>
      <c r="AQ556" s="145"/>
      <c r="AR556" s="145"/>
    </row>
    <row r="557" spans="1:44" s="156" customFormat="1" ht="78.75" x14ac:dyDescent="0.25">
      <c r="A557" s="143" t="s">
        <v>60</v>
      </c>
      <c r="B557" s="144">
        <v>544</v>
      </c>
      <c r="C557" s="143" t="s">
        <v>966</v>
      </c>
      <c r="D557" s="143" t="s">
        <v>1131</v>
      </c>
      <c r="E557" s="145" t="s">
        <v>1132</v>
      </c>
      <c r="F557" s="145" t="s">
        <v>1124</v>
      </c>
      <c r="G557" s="143" t="s">
        <v>1133</v>
      </c>
      <c r="H557" s="143"/>
      <c r="I557" s="143"/>
      <c r="J557" s="143"/>
      <c r="K557" s="164"/>
      <c r="L557" s="143" t="s">
        <v>1134</v>
      </c>
      <c r="M557" s="143" t="s">
        <v>43</v>
      </c>
      <c r="N557" s="143" t="s">
        <v>1135</v>
      </c>
      <c r="O557" s="147">
        <v>4492043428</v>
      </c>
      <c r="P557" s="148">
        <v>1612138368</v>
      </c>
      <c r="Q557" s="177">
        <v>15000000</v>
      </c>
      <c r="R557" s="148">
        <f>24000000+48000000</f>
        <v>72000000</v>
      </c>
      <c r="S557" s="147">
        <f t="shared" si="1029"/>
        <v>6191181796</v>
      </c>
      <c r="T557" s="158">
        <v>4492043428</v>
      </c>
      <c r="U557" s="158">
        <v>1612138368</v>
      </c>
      <c r="V557" s="147">
        <v>15000000</v>
      </c>
      <c r="W557" s="158">
        <v>72000000</v>
      </c>
      <c r="X557" s="143"/>
      <c r="Y557" s="152">
        <f t="shared" ref="Y557:AB557" si="1097">AD557-T557</f>
        <v>0</v>
      </c>
      <c r="Z557" s="151">
        <f t="shared" si="1097"/>
        <v>0</v>
      </c>
      <c r="AA557" s="151">
        <f t="shared" si="1097"/>
        <v>0</v>
      </c>
      <c r="AB557" s="152">
        <f t="shared" si="1097"/>
        <v>0</v>
      </c>
      <c r="AC557" s="143"/>
      <c r="AD557" s="194">
        <v>4492043428</v>
      </c>
      <c r="AE557" s="148">
        <v>1612138368</v>
      </c>
      <c r="AF557" s="148">
        <v>15000000</v>
      </c>
      <c r="AG557" s="149">
        <f>24000000+48000000</f>
        <v>72000000</v>
      </c>
      <c r="AH557" s="143">
        <f t="shared" si="1031"/>
        <v>0</v>
      </c>
      <c r="AI557" s="151"/>
      <c r="AJ557" s="151">
        <f t="shared" ref="AJ557:AL557" si="1098">P557-AE557</f>
        <v>0</v>
      </c>
      <c r="AK557" s="151">
        <f t="shared" si="1098"/>
        <v>0</v>
      </c>
      <c r="AL557" s="151">
        <f t="shared" si="1098"/>
        <v>0</v>
      </c>
      <c r="AM557" s="145"/>
      <c r="AN557" s="139"/>
      <c r="AO557" s="139"/>
      <c r="AP557" s="139"/>
      <c r="AQ557" s="145"/>
      <c r="AR557" s="145"/>
    </row>
    <row r="558" spans="1:44" s="156" customFormat="1" ht="31.5" x14ac:dyDescent="0.25">
      <c r="A558" s="143" t="s">
        <v>35</v>
      </c>
      <c r="B558" s="144">
        <v>545</v>
      </c>
      <c r="C558" s="143" t="s">
        <v>966</v>
      </c>
      <c r="D558" s="143" t="s">
        <v>3042</v>
      </c>
      <c r="E558" s="145"/>
      <c r="F558" s="145"/>
      <c r="G558" s="143" t="s">
        <v>3043</v>
      </c>
      <c r="H558" s="143"/>
      <c r="I558" s="143" t="s">
        <v>969</v>
      </c>
      <c r="J558" s="143"/>
      <c r="K558" s="143"/>
      <c r="L558" s="143" t="s">
        <v>3044</v>
      </c>
      <c r="M558" s="143" t="s">
        <v>43</v>
      </c>
      <c r="N558" s="143" t="s">
        <v>2882</v>
      </c>
      <c r="O558" s="147">
        <v>4323287659</v>
      </c>
      <c r="P558" s="150"/>
      <c r="Q558" s="177">
        <v>7500000</v>
      </c>
      <c r="R558" s="150"/>
      <c r="S558" s="147">
        <f t="shared" si="1029"/>
        <v>4330787659</v>
      </c>
      <c r="T558" s="158">
        <v>4323287659</v>
      </c>
      <c r="U558" s="143"/>
      <c r="V558" s="147">
        <v>7500000</v>
      </c>
      <c r="W558" s="143"/>
      <c r="X558" s="143"/>
      <c r="Y558" s="152">
        <f t="shared" ref="Y558:AB558" si="1099">AD558-T558</f>
        <v>0</v>
      </c>
      <c r="Z558" s="151">
        <f t="shared" si="1099"/>
        <v>0</v>
      </c>
      <c r="AA558" s="151">
        <f t="shared" si="1099"/>
        <v>0</v>
      </c>
      <c r="AB558" s="151">
        <f t="shared" si="1099"/>
        <v>0</v>
      </c>
      <c r="AC558" s="143"/>
      <c r="AD558" s="191">
        <v>4323287659</v>
      </c>
      <c r="AE558" s="170"/>
      <c r="AF558" s="148">
        <v>7500000</v>
      </c>
      <c r="AG558" s="170"/>
      <c r="AH558" s="143">
        <f t="shared" si="1031"/>
        <v>0</v>
      </c>
      <c r="AI558" s="151"/>
      <c r="AJ558" s="151">
        <f t="shared" ref="AJ558:AL558" si="1100">P558-AE558</f>
        <v>0</v>
      </c>
      <c r="AK558" s="151">
        <f t="shared" si="1100"/>
        <v>0</v>
      </c>
      <c r="AL558" s="151">
        <f t="shared" si="1100"/>
        <v>0</v>
      </c>
      <c r="AM558" s="145"/>
      <c r="AN558" s="139"/>
      <c r="AO558" s="139"/>
      <c r="AP558" s="139"/>
      <c r="AQ558" s="145"/>
      <c r="AR558" s="145"/>
    </row>
    <row r="559" spans="1:44" s="156" customFormat="1" ht="63" x14ac:dyDescent="0.25">
      <c r="A559" s="143" t="s">
        <v>52</v>
      </c>
      <c r="B559" s="175">
        <v>546</v>
      </c>
      <c r="C559" s="145" t="s">
        <v>966</v>
      </c>
      <c r="D559" s="143" t="s">
        <v>967</v>
      </c>
      <c r="E559" s="145"/>
      <c r="F559" s="145" t="s">
        <v>872</v>
      </c>
      <c r="G559" s="145" t="s">
        <v>968</v>
      </c>
      <c r="H559" s="145"/>
      <c r="I559" s="145" t="s">
        <v>969</v>
      </c>
      <c r="J559" s="145"/>
      <c r="K559" s="146"/>
      <c r="L559" s="145" t="s">
        <v>970</v>
      </c>
      <c r="M559" s="145" t="s">
        <v>43</v>
      </c>
      <c r="N559" s="145" t="s">
        <v>971</v>
      </c>
      <c r="O559" s="147">
        <v>5670213620</v>
      </c>
      <c r="P559" s="150"/>
      <c r="Q559" s="177">
        <v>15000000</v>
      </c>
      <c r="R559" s="148">
        <v>42000000</v>
      </c>
      <c r="S559" s="147">
        <f t="shared" si="1029"/>
        <v>5727213620</v>
      </c>
      <c r="T559" s="158">
        <v>5670213620</v>
      </c>
      <c r="U559" s="143"/>
      <c r="V559" s="157"/>
      <c r="W559" s="143"/>
      <c r="X559" s="143"/>
      <c r="Y559" s="152">
        <f t="shared" ref="Y559:AB559" si="1101">AD559-T559</f>
        <v>0</v>
      </c>
      <c r="Z559" s="151">
        <f t="shared" si="1101"/>
        <v>0</v>
      </c>
      <c r="AA559" s="151">
        <f t="shared" si="1101"/>
        <v>0</v>
      </c>
      <c r="AB559" s="151">
        <f t="shared" si="1101"/>
        <v>0</v>
      </c>
      <c r="AC559" s="165"/>
      <c r="AD559" s="149">
        <v>5670213620</v>
      </c>
      <c r="AE559" s="150"/>
      <c r="AF559" s="150"/>
      <c r="AG559" s="150"/>
      <c r="AH559" s="166">
        <f t="shared" si="1031"/>
        <v>0</v>
      </c>
      <c r="AI559" s="151"/>
      <c r="AJ559" s="151">
        <f t="shared" ref="AJ559:AL559" si="1102">P559-AE559</f>
        <v>0</v>
      </c>
      <c r="AK559" s="151">
        <f t="shared" si="1102"/>
        <v>15000000</v>
      </c>
      <c r="AL559" s="150">
        <f t="shared" si="1102"/>
        <v>42000000</v>
      </c>
      <c r="AM559" s="145"/>
      <c r="AN559" s="139"/>
      <c r="AO559" s="139"/>
      <c r="AP559" s="162" t="s">
        <v>3989</v>
      </c>
      <c r="AQ559" s="145" t="s">
        <v>3990</v>
      </c>
      <c r="AR559" s="145"/>
    </row>
    <row r="560" spans="1:44" s="156" customFormat="1" ht="31.5" x14ac:dyDescent="0.25">
      <c r="A560" s="143" t="s">
        <v>35</v>
      </c>
      <c r="B560" s="144">
        <v>547</v>
      </c>
      <c r="C560" s="143" t="s">
        <v>966</v>
      </c>
      <c r="D560" s="143" t="s">
        <v>3045</v>
      </c>
      <c r="E560" s="145"/>
      <c r="F560" s="145"/>
      <c r="G560" s="143" t="s">
        <v>3046</v>
      </c>
      <c r="H560" s="143"/>
      <c r="I560" s="143" t="s">
        <v>969</v>
      </c>
      <c r="J560" s="143"/>
      <c r="K560" s="143"/>
      <c r="L560" s="143" t="s">
        <v>3047</v>
      </c>
      <c r="M560" s="143" t="s">
        <v>43</v>
      </c>
      <c r="N560" s="143" t="s">
        <v>3048</v>
      </c>
      <c r="O560" s="147">
        <v>2859676109</v>
      </c>
      <c r="P560" s="150"/>
      <c r="Q560" s="177">
        <v>7500000</v>
      </c>
      <c r="R560" s="150"/>
      <c r="S560" s="147">
        <f t="shared" si="1029"/>
        <v>2867176109</v>
      </c>
      <c r="T560" s="158">
        <v>2859676109</v>
      </c>
      <c r="U560" s="143"/>
      <c r="V560" s="147">
        <v>7500000</v>
      </c>
      <c r="W560" s="143"/>
      <c r="X560" s="143"/>
      <c r="Y560" s="152">
        <f t="shared" ref="Y560:AB560" si="1103">AD560-T560</f>
        <v>0</v>
      </c>
      <c r="Z560" s="151">
        <f t="shared" si="1103"/>
        <v>0</v>
      </c>
      <c r="AA560" s="151">
        <f t="shared" si="1103"/>
        <v>0</v>
      </c>
      <c r="AB560" s="151">
        <f t="shared" si="1103"/>
        <v>0</v>
      </c>
      <c r="AC560" s="143"/>
      <c r="AD560" s="194">
        <v>2859676109</v>
      </c>
      <c r="AE560" s="170"/>
      <c r="AF560" s="177">
        <v>7500000</v>
      </c>
      <c r="AG560" s="170"/>
      <c r="AH560" s="143">
        <f t="shared" si="1031"/>
        <v>0</v>
      </c>
      <c r="AI560" s="151"/>
      <c r="AJ560" s="151">
        <f t="shared" ref="AJ560:AL560" si="1104">P560-AE560</f>
        <v>0</v>
      </c>
      <c r="AK560" s="151">
        <f t="shared" si="1104"/>
        <v>0</v>
      </c>
      <c r="AL560" s="151">
        <f t="shared" si="1104"/>
        <v>0</v>
      </c>
      <c r="AM560" s="145"/>
      <c r="AN560" s="139"/>
      <c r="AO560" s="139"/>
      <c r="AP560" s="139"/>
      <c r="AQ560" s="145"/>
      <c r="AR560" s="145"/>
    </row>
    <row r="561" spans="1:44" s="156" customFormat="1" ht="31.5" x14ac:dyDescent="0.25">
      <c r="A561" s="143" t="s">
        <v>1327</v>
      </c>
      <c r="B561" s="144">
        <v>548</v>
      </c>
      <c r="C561" s="143" t="s">
        <v>966</v>
      </c>
      <c r="D561" s="143" t="s">
        <v>1328</v>
      </c>
      <c r="E561" s="145"/>
      <c r="F561" s="145" t="s">
        <v>464</v>
      </c>
      <c r="G561" s="143" t="s">
        <v>1329</v>
      </c>
      <c r="H561" s="143"/>
      <c r="I561" s="143"/>
      <c r="J561" s="143"/>
      <c r="K561" s="164"/>
      <c r="L561" s="143" t="s">
        <v>1330</v>
      </c>
      <c r="M561" s="143" t="s">
        <v>43</v>
      </c>
      <c r="N561" s="143" t="s">
        <v>1331</v>
      </c>
      <c r="O561" s="147">
        <v>8344894680</v>
      </c>
      <c r="P561" s="150"/>
      <c r="Q561" s="177">
        <v>15000000</v>
      </c>
      <c r="R561" s="148">
        <v>120000000</v>
      </c>
      <c r="S561" s="147">
        <f t="shared" si="1029"/>
        <v>8479894680</v>
      </c>
      <c r="T561" s="158">
        <v>8344894680</v>
      </c>
      <c r="U561" s="143"/>
      <c r="V561" s="147">
        <v>15000000</v>
      </c>
      <c r="W561" s="158">
        <v>120000000</v>
      </c>
      <c r="X561" s="143"/>
      <c r="Y561" s="151">
        <f t="shared" ref="Y561:AB561" si="1105">AD561-T561</f>
        <v>0</v>
      </c>
      <c r="Z561" s="151">
        <f t="shared" si="1105"/>
        <v>0</v>
      </c>
      <c r="AA561" s="151">
        <f t="shared" si="1105"/>
        <v>0</v>
      </c>
      <c r="AB561" s="151">
        <f t="shared" si="1105"/>
        <v>0</v>
      </c>
      <c r="AC561" s="143"/>
      <c r="AD561" s="169">
        <v>8344894680</v>
      </c>
      <c r="AE561" s="178"/>
      <c r="AF561" s="148">
        <v>15000000</v>
      </c>
      <c r="AG561" s="177">
        <v>120000000</v>
      </c>
      <c r="AH561" s="143">
        <f t="shared" si="1031"/>
        <v>0</v>
      </c>
      <c r="AI561" s="151"/>
      <c r="AJ561" s="151">
        <f t="shared" ref="AJ561:AL561" si="1106">P561-AE561</f>
        <v>0</v>
      </c>
      <c r="AK561" s="151">
        <f t="shared" si="1106"/>
        <v>0</v>
      </c>
      <c r="AL561" s="151">
        <f t="shared" si="1106"/>
        <v>0</v>
      </c>
      <c r="AM561" s="145"/>
      <c r="AN561" s="139"/>
      <c r="AO561" s="139"/>
      <c r="AP561" s="139"/>
      <c r="AQ561" s="145"/>
      <c r="AR561" s="145"/>
    </row>
    <row r="562" spans="1:44" s="156" customFormat="1" ht="63" x14ac:dyDescent="0.25">
      <c r="A562" s="143" t="s">
        <v>35</v>
      </c>
      <c r="B562" s="144">
        <v>549</v>
      </c>
      <c r="C562" s="143" t="s">
        <v>498</v>
      </c>
      <c r="D562" s="143" t="s">
        <v>3049</v>
      </c>
      <c r="E562" s="145" t="s">
        <v>3050</v>
      </c>
      <c r="F562" s="145"/>
      <c r="G562" s="143" t="s">
        <v>3051</v>
      </c>
      <c r="H562" s="143" t="s">
        <v>3052</v>
      </c>
      <c r="I562" s="143"/>
      <c r="J562" s="143"/>
      <c r="K562" s="143"/>
      <c r="L562" s="143" t="s">
        <v>3053</v>
      </c>
      <c r="M562" s="143" t="s">
        <v>43</v>
      </c>
      <c r="N562" s="143" t="s">
        <v>3054</v>
      </c>
      <c r="O562" s="147">
        <v>3029579080</v>
      </c>
      <c r="P562" s="169">
        <v>1093270920</v>
      </c>
      <c r="Q562" s="177">
        <v>15000000</v>
      </c>
      <c r="R562" s="150"/>
      <c r="S562" s="147">
        <f t="shared" si="1029"/>
        <v>4137850000</v>
      </c>
      <c r="T562" s="158">
        <v>3029579080</v>
      </c>
      <c r="U562" s="158">
        <v>1093270920</v>
      </c>
      <c r="V562" s="147">
        <v>15000000</v>
      </c>
      <c r="W562" s="143"/>
      <c r="X562" s="143"/>
      <c r="Y562" s="152">
        <f t="shared" ref="Y562:AB562" si="1107">AD562-T562</f>
        <v>0</v>
      </c>
      <c r="Z562" s="151">
        <f t="shared" si="1107"/>
        <v>0</v>
      </c>
      <c r="AA562" s="151">
        <f t="shared" si="1107"/>
        <v>0</v>
      </c>
      <c r="AB562" s="151">
        <f t="shared" si="1107"/>
        <v>0</v>
      </c>
      <c r="AC562" s="143"/>
      <c r="AD562" s="149">
        <v>3029579080</v>
      </c>
      <c r="AE562" s="148">
        <v>1093270920</v>
      </c>
      <c r="AF562" s="177">
        <v>15000000</v>
      </c>
      <c r="AG562" s="150"/>
      <c r="AH562" s="143">
        <f t="shared" si="1031"/>
        <v>0</v>
      </c>
      <c r="AI562" s="151"/>
      <c r="AJ562" s="151">
        <f t="shared" ref="AJ562:AL562" si="1108">P562-AE562</f>
        <v>0</v>
      </c>
      <c r="AK562" s="151">
        <f t="shared" si="1108"/>
        <v>0</v>
      </c>
      <c r="AL562" s="151">
        <f t="shared" si="1108"/>
        <v>0</v>
      </c>
      <c r="AM562" s="145"/>
      <c r="AN562" s="139"/>
      <c r="AO562" s="139"/>
      <c r="AP562" s="139"/>
      <c r="AQ562" s="145"/>
      <c r="AR562" s="145"/>
    </row>
    <row r="563" spans="1:44" s="156" customFormat="1" ht="31.5" x14ac:dyDescent="0.25">
      <c r="A563" s="143" t="s">
        <v>275</v>
      </c>
      <c r="B563" s="144">
        <v>550</v>
      </c>
      <c r="C563" s="143" t="s">
        <v>498</v>
      </c>
      <c r="D563" s="143" t="s">
        <v>3055</v>
      </c>
      <c r="E563" s="145"/>
      <c r="F563" s="146"/>
      <c r="G563" s="143" t="s">
        <v>3056</v>
      </c>
      <c r="H563" s="143"/>
      <c r="I563" s="143"/>
      <c r="J563" s="143"/>
      <c r="K563" s="143"/>
      <c r="L563" s="143" t="s">
        <v>3057</v>
      </c>
      <c r="M563" s="143" t="s">
        <v>43</v>
      </c>
      <c r="N563" s="143" t="s">
        <v>3058</v>
      </c>
      <c r="O563" s="147">
        <v>3126839264</v>
      </c>
      <c r="P563" s="150"/>
      <c r="Q563" s="169">
        <v>15000000</v>
      </c>
      <c r="R563" s="150"/>
      <c r="S563" s="147">
        <f t="shared" si="1029"/>
        <v>3141839264</v>
      </c>
      <c r="T563" s="158">
        <v>3126839264</v>
      </c>
      <c r="U563" s="143"/>
      <c r="V563" s="147">
        <v>15000000</v>
      </c>
      <c r="W563" s="143"/>
      <c r="X563" s="143"/>
      <c r="Y563" s="152">
        <f t="shared" ref="Y563:AB563" si="1109">AD563-T563</f>
        <v>0</v>
      </c>
      <c r="Z563" s="151">
        <f t="shared" si="1109"/>
        <v>0</v>
      </c>
      <c r="AA563" s="151">
        <f t="shared" si="1109"/>
        <v>0</v>
      </c>
      <c r="AB563" s="151">
        <f t="shared" si="1109"/>
        <v>0</v>
      </c>
      <c r="AC563" s="143"/>
      <c r="AD563" s="149">
        <v>3126839264</v>
      </c>
      <c r="AE563" s="150"/>
      <c r="AF563" s="169">
        <v>15000000</v>
      </c>
      <c r="AG563" s="150"/>
      <c r="AH563" s="143">
        <f t="shared" si="1031"/>
        <v>0</v>
      </c>
      <c r="AI563" s="151"/>
      <c r="AJ563" s="151">
        <f t="shared" ref="AJ563:AL563" si="1110">P563-AE563</f>
        <v>0</v>
      </c>
      <c r="AK563" s="151">
        <f t="shared" si="1110"/>
        <v>0</v>
      </c>
      <c r="AL563" s="151">
        <f t="shared" si="1110"/>
        <v>0</v>
      </c>
      <c r="AM563" s="145"/>
      <c r="AN563" s="139"/>
      <c r="AO563" s="139"/>
      <c r="AP563" s="139"/>
      <c r="AQ563" s="145"/>
      <c r="AR563" s="145"/>
    </row>
    <row r="564" spans="1:44" s="156" customFormat="1" ht="47.25" x14ac:dyDescent="0.25">
      <c r="A564" s="143" t="s">
        <v>275</v>
      </c>
      <c r="B564" s="144">
        <v>551</v>
      </c>
      <c r="C564" s="143" t="s">
        <v>498</v>
      </c>
      <c r="D564" s="143" t="s">
        <v>3059</v>
      </c>
      <c r="E564" s="145"/>
      <c r="F564" s="146"/>
      <c r="G564" s="143" t="s">
        <v>3060</v>
      </c>
      <c r="H564" s="143"/>
      <c r="I564" s="143"/>
      <c r="J564" s="143"/>
      <c r="K564" s="143"/>
      <c r="L564" s="143" t="s">
        <v>3061</v>
      </c>
      <c r="M564" s="143" t="s">
        <v>43</v>
      </c>
      <c r="N564" s="143" t="s">
        <v>3062</v>
      </c>
      <c r="O564" s="147">
        <v>4445642144</v>
      </c>
      <c r="P564" s="150"/>
      <c r="Q564" s="169">
        <v>15000000</v>
      </c>
      <c r="R564" s="150"/>
      <c r="S564" s="147">
        <f t="shared" si="1029"/>
        <v>4460642144</v>
      </c>
      <c r="T564" s="158">
        <v>4445642144</v>
      </c>
      <c r="U564" s="143"/>
      <c r="V564" s="147">
        <v>15000000</v>
      </c>
      <c r="W564" s="143"/>
      <c r="X564" s="143"/>
      <c r="Y564" s="152">
        <f t="shared" ref="Y564:AB564" si="1111">AD564-T564</f>
        <v>0</v>
      </c>
      <c r="Z564" s="151">
        <f t="shared" si="1111"/>
        <v>0</v>
      </c>
      <c r="AA564" s="151">
        <f t="shared" si="1111"/>
        <v>0</v>
      </c>
      <c r="AB564" s="152">
        <f t="shared" si="1111"/>
        <v>0</v>
      </c>
      <c r="AC564" s="143"/>
      <c r="AD564" s="149">
        <v>4445642144</v>
      </c>
      <c r="AE564" s="150"/>
      <c r="AF564" s="169">
        <v>15000000</v>
      </c>
      <c r="AG564" s="155"/>
      <c r="AH564" s="143">
        <f t="shared" si="1031"/>
        <v>0</v>
      </c>
      <c r="AI564" s="151"/>
      <c r="AJ564" s="151">
        <f t="shared" ref="AJ564:AL564" si="1112">P564-AE564</f>
        <v>0</v>
      </c>
      <c r="AK564" s="151">
        <f t="shared" si="1112"/>
        <v>0</v>
      </c>
      <c r="AL564" s="151">
        <f t="shared" si="1112"/>
        <v>0</v>
      </c>
      <c r="AM564" s="145"/>
      <c r="AN564" s="139"/>
      <c r="AO564" s="139"/>
      <c r="AP564" s="139"/>
      <c r="AQ564" s="145"/>
      <c r="AR564" s="145"/>
    </row>
    <row r="565" spans="1:44" s="156" customFormat="1" ht="47.25" x14ac:dyDescent="0.25">
      <c r="A565" s="143" t="s">
        <v>35</v>
      </c>
      <c r="B565" s="144">
        <v>552</v>
      </c>
      <c r="C565" s="143" t="s">
        <v>498</v>
      </c>
      <c r="D565" s="143" t="s">
        <v>3063</v>
      </c>
      <c r="E565" s="145"/>
      <c r="F565" s="145"/>
      <c r="G565" s="143" t="s">
        <v>3064</v>
      </c>
      <c r="H565" s="143"/>
      <c r="I565" s="143"/>
      <c r="J565" s="143"/>
      <c r="K565" s="143"/>
      <c r="L565" s="143" t="s">
        <v>3065</v>
      </c>
      <c r="M565" s="143" t="s">
        <v>43</v>
      </c>
      <c r="N565" s="143" t="s">
        <v>3066</v>
      </c>
      <c r="O565" s="147">
        <v>1583134434</v>
      </c>
      <c r="P565" s="150"/>
      <c r="Q565" s="177">
        <v>7500000</v>
      </c>
      <c r="R565" s="150"/>
      <c r="S565" s="147">
        <f t="shared" si="1029"/>
        <v>1590634434</v>
      </c>
      <c r="T565" s="158">
        <v>1583134434</v>
      </c>
      <c r="U565" s="143"/>
      <c r="V565" s="147">
        <v>7500000</v>
      </c>
      <c r="W565" s="143"/>
      <c r="X565" s="143"/>
      <c r="Y565" s="152">
        <f t="shared" ref="Y565:AB565" si="1113">AD565-T565</f>
        <v>0</v>
      </c>
      <c r="Z565" s="151">
        <f t="shared" si="1113"/>
        <v>0</v>
      </c>
      <c r="AA565" s="151">
        <f t="shared" si="1113"/>
        <v>0</v>
      </c>
      <c r="AB565" s="151">
        <f t="shared" si="1113"/>
        <v>0</v>
      </c>
      <c r="AC565" s="143"/>
      <c r="AD565" s="194">
        <v>1583134434</v>
      </c>
      <c r="AE565" s="170"/>
      <c r="AF565" s="148">
        <f>3750000+937500+2812500</f>
        <v>7500000</v>
      </c>
      <c r="AG565" s="170"/>
      <c r="AH565" s="143">
        <f t="shared" si="1031"/>
        <v>0</v>
      </c>
      <c r="AI565" s="151"/>
      <c r="AJ565" s="151">
        <f t="shared" ref="AJ565:AL565" si="1114">P565-AE565</f>
        <v>0</v>
      </c>
      <c r="AK565" s="151">
        <f t="shared" si="1114"/>
        <v>0</v>
      </c>
      <c r="AL565" s="151">
        <f t="shared" si="1114"/>
        <v>0</v>
      </c>
      <c r="AM565" s="145"/>
      <c r="AN565" s="139"/>
      <c r="AO565" s="139"/>
      <c r="AP565" s="139"/>
      <c r="AQ565" s="145"/>
      <c r="AR565" s="145"/>
    </row>
    <row r="566" spans="1:44" s="156" customFormat="1" ht="47.25" x14ac:dyDescent="0.25">
      <c r="A566" s="143" t="s">
        <v>275</v>
      </c>
      <c r="B566" s="144">
        <v>553</v>
      </c>
      <c r="C566" s="143" t="s">
        <v>498</v>
      </c>
      <c r="D566" s="143" t="s">
        <v>3067</v>
      </c>
      <c r="E566" s="145" t="s">
        <v>625</v>
      </c>
      <c r="F566" s="146"/>
      <c r="G566" s="143" t="s">
        <v>3068</v>
      </c>
      <c r="H566" s="143" t="s">
        <v>3069</v>
      </c>
      <c r="I566" s="143"/>
      <c r="J566" s="143"/>
      <c r="K566" s="143"/>
      <c r="L566" s="143" t="s">
        <v>3070</v>
      </c>
      <c r="M566" s="143" t="s">
        <v>43</v>
      </c>
      <c r="N566" s="143" t="s">
        <v>3071</v>
      </c>
      <c r="O566" s="147">
        <v>4323930590</v>
      </c>
      <c r="P566" s="177">
        <v>575679508</v>
      </c>
      <c r="Q566" s="177">
        <v>7500000</v>
      </c>
      <c r="R566" s="150"/>
      <c r="S566" s="147">
        <f t="shared" si="1029"/>
        <v>4907110098</v>
      </c>
      <c r="T566" s="158">
        <v>4323930590</v>
      </c>
      <c r="U566" s="158">
        <v>575679508</v>
      </c>
      <c r="V566" s="157">
        <v>7500000</v>
      </c>
      <c r="W566" s="143"/>
      <c r="X566" s="143"/>
      <c r="Y566" s="152">
        <f t="shared" ref="Y566:AB566" si="1115">AD566-T566</f>
        <v>0</v>
      </c>
      <c r="Z566" s="151">
        <f t="shared" si="1115"/>
        <v>0</v>
      </c>
      <c r="AA566" s="151">
        <f t="shared" si="1115"/>
        <v>0</v>
      </c>
      <c r="AB566" s="151">
        <f t="shared" si="1115"/>
        <v>0</v>
      </c>
      <c r="AC566" s="143"/>
      <c r="AD566" s="149">
        <v>4323930590</v>
      </c>
      <c r="AE566" s="148">
        <v>575679508</v>
      </c>
      <c r="AF566" s="148">
        <v>7500000</v>
      </c>
      <c r="AG566" s="150"/>
      <c r="AH566" s="143">
        <f t="shared" si="1031"/>
        <v>0</v>
      </c>
      <c r="AI566" s="151"/>
      <c r="AJ566" s="151">
        <f t="shared" ref="AJ566:AL566" si="1116">P566-AE566</f>
        <v>0</v>
      </c>
      <c r="AK566" s="151">
        <f t="shared" si="1116"/>
        <v>0</v>
      </c>
      <c r="AL566" s="151">
        <f t="shared" si="1116"/>
        <v>0</v>
      </c>
      <c r="AM566" s="145"/>
      <c r="AN566" s="139"/>
      <c r="AO566" s="139"/>
      <c r="AP566" s="139"/>
      <c r="AQ566" s="145"/>
      <c r="AR566" s="145"/>
    </row>
    <row r="567" spans="1:44" s="156" customFormat="1" ht="31.5" x14ac:dyDescent="0.25">
      <c r="A567" s="143" t="s">
        <v>60</v>
      </c>
      <c r="B567" s="144">
        <v>554</v>
      </c>
      <c r="C567" s="143" t="s">
        <v>498</v>
      </c>
      <c r="D567" s="143" t="s">
        <v>1332</v>
      </c>
      <c r="E567" s="145"/>
      <c r="F567" s="145" t="s">
        <v>464</v>
      </c>
      <c r="G567" s="143" t="s">
        <v>1333</v>
      </c>
      <c r="H567" s="143"/>
      <c r="I567" s="143"/>
      <c r="J567" s="143"/>
      <c r="K567" s="164"/>
      <c r="L567" s="143" t="s">
        <v>1334</v>
      </c>
      <c r="M567" s="143" t="s">
        <v>43</v>
      </c>
      <c r="N567" s="143" t="s">
        <v>1335</v>
      </c>
      <c r="O567" s="147">
        <v>13618798440</v>
      </c>
      <c r="P567" s="150"/>
      <c r="Q567" s="169">
        <v>15000000</v>
      </c>
      <c r="R567" s="148">
        <v>144000000</v>
      </c>
      <c r="S567" s="147">
        <f t="shared" si="1029"/>
        <v>13777798440</v>
      </c>
      <c r="T567" s="158">
        <v>13618798440</v>
      </c>
      <c r="U567" s="143"/>
      <c r="V567" s="147">
        <v>15000000</v>
      </c>
      <c r="W567" s="158">
        <v>144000000</v>
      </c>
      <c r="X567" s="143"/>
      <c r="Y567" s="152">
        <f t="shared" ref="Y567:AB567" si="1117">AD567-T567</f>
        <v>0</v>
      </c>
      <c r="Z567" s="151">
        <f t="shared" si="1117"/>
        <v>0</v>
      </c>
      <c r="AA567" s="151">
        <f t="shared" si="1117"/>
        <v>0</v>
      </c>
      <c r="AB567" s="151">
        <f t="shared" si="1117"/>
        <v>0</v>
      </c>
      <c r="AC567" s="143"/>
      <c r="AD567" s="149">
        <v>13618798440</v>
      </c>
      <c r="AE567" s="150"/>
      <c r="AF567" s="148">
        <v>15000000</v>
      </c>
      <c r="AG567" s="148">
        <v>144000000</v>
      </c>
      <c r="AH567" s="143">
        <f t="shared" si="1031"/>
        <v>0</v>
      </c>
      <c r="AI567" s="151"/>
      <c r="AJ567" s="151">
        <f t="shared" ref="AJ567:AL567" si="1118">P567-AE567</f>
        <v>0</v>
      </c>
      <c r="AK567" s="151">
        <f t="shared" si="1118"/>
        <v>0</v>
      </c>
      <c r="AL567" s="151">
        <f t="shared" si="1118"/>
        <v>0</v>
      </c>
      <c r="AM567" s="145"/>
      <c r="AN567" s="139"/>
      <c r="AO567" s="139"/>
      <c r="AP567" s="139"/>
      <c r="AQ567" s="145"/>
      <c r="AR567" s="145"/>
    </row>
    <row r="568" spans="1:44" s="156" customFormat="1" ht="31.5" x14ac:dyDescent="0.25">
      <c r="A568" s="143" t="s">
        <v>60</v>
      </c>
      <c r="B568" s="144">
        <v>555</v>
      </c>
      <c r="C568" s="143" t="s">
        <v>498</v>
      </c>
      <c r="D568" s="143" t="s">
        <v>3072</v>
      </c>
      <c r="E568" s="145"/>
      <c r="F568" s="146"/>
      <c r="G568" s="143" t="s">
        <v>3073</v>
      </c>
      <c r="H568" s="143"/>
      <c r="I568" s="143"/>
      <c r="J568" s="143"/>
      <c r="K568" s="143"/>
      <c r="L568" s="143" t="s">
        <v>3074</v>
      </c>
      <c r="M568" s="143" t="s">
        <v>43</v>
      </c>
      <c r="N568" s="143" t="s">
        <v>3075</v>
      </c>
      <c r="O568" s="147">
        <v>7567136540</v>
      </c>
      <c r="P568" s="150"/>
      <c r="Q568" s="169">
        <v>15000000</v>
      </c>
      <c r="R568" s="150"/>
      <c r="S568" s="147">
        <f t="shared" si="1029"/>
        <v>7582136540</v>
      </c>
      <c r="T568" s="158">
        <v>7567136540</v>
      </c>
      <c r="U568" s="143"/>
      <c r="V568" s="147">
        <v>15000000</v>
      </c>
      <c r="W568" s="143"/>
      <c r="X568" s="143"/>
      <c r="Y568" s="152">
        <f t="shared" ref="Y568:AB568" si="1119">AD568-T568</f>
        <v>0</v>
      </c>
      <c r="Z568" s="151">
        <f t="shared" si="1119"/>
        <v>0</v>
      </c>
      <c r="AA568" s="151">
        <f t="shared" si="1119"/>
        <v>0</v>
      </c>
      <c r="AB568" s="151">
        <f t="shared" si="1119"/>
        <v>0</v>
      </c>
      <c r="AC568" s="143"/>
      <c r="AD568" s="194">
        <v>7567136540</v>
      </c>
      <c r="AE568" s="170"/>
      <c r="AF568" s="148">
        <v>15000000</v>
      </c>
      <c r="AG568" s="170"/>
      <c r="AH568" s="143">
        <f t="shared" si="1031"/>
        <v>0</v>
      </c>
      <c r="AI568" s="151"/>
      <c r="AJ568" s="151">
        <f t="shared" ref="AJ568:AL568" si="1120">P568-AE568</f>
        <v>0</v>
      </c>
      <c r="AK568" s="151">
        <f t="shared" si="1120"/>
        <v>0</v>
      </c>
      <c r="AL568" s="151">
        <f t="shared" si="1120"/>
        <v>0</v>
      </c>
      <c r="AM568" s="145"/>
      <c r="AN568" s="139"/>
      <c r="AO568" s="139"/>
      <c r="AP568" s="139"/>
      <c r="AQ568" s="145"/>
      <c r="AR568" s="145"/>
    </row>
    <row r="569" spans="1:44" s="156" customFormat="1" ht="31.5" x14ac:dyDescent="0.25">
      <c r="A569" s="143" t="s">
        <v>35</v>
      </c>
      <c r="B569" s="144">
        <v>556</v>
      </c>
      <c r="C569" s="143" t="s">
        <v>498</v>
      </c>
      <c r="D569" s="143" t="s">
        <v>3076</v>
      </c>
      <c r="E569" s="145"/>
      <c r="F569" s="145"/>
      <c r="G569" s="143" t="s">
        <v>3077</v>
      </c>
      <c r="H569" s="143"/>
      <c r="I569" s="143"/>
      <c r="J569" s="143"/>
      <c r="K569" s="143"/>
      <c r="L569" s="143" t="s">
        <v>3078</v>
      </c>
      <c r="M569" s="143" t="s">
        <v>43</v>
      </c>
      <c r="N569" s="143" t="s">
        <v>2543</v>
      </c>
      <c r="O569" s="147">
        <v>5507929500</v>
      </c>
      <c r="P569" s="150"/>
      <c r="Q569" s="177">
        <v>7500000</v>
      </c>
      <c r="R569" s="150"/>
      <c r="S569" s="147">
        <f t="shared" si="1029"/>
        <v>5515429500</v>
      </c>
      <c r="T569" s="158">
        <v>5507929500</v>
      </c>
      <c r="U569" s="143"/>
      <c r="V569" s="147">
        <v>7500000</v>
      </c>
      <c r="W569" s="143"/>
      <c r="X569" s="143"/>
      <c r="Y569" s="152">
        <f t="shared" ref="Y569:AB569" si="1121">AD569-T569</f>
        <v>0</v>
      </c>
      <c r="Z569" s="151">
        <f t="shared" si="1121"/>
        <v>0</v>
      </c>
      <c r="AA569" s="151">
        <f t="shared" si="1121"/>
        <v>0</v>
      </c>
      <c r="AB569" s="152">
        <f t="shared" si="1121"/>
        <v>0</v>
      </c>
      <c r="AC569" s="143"/>
      <c r="AD569" s="149">
        <v>5507929500</v>
      </c>
      <c r="AE569" s="170"/>
      <c r="AF569" s="148">
        <v>7500000</v>
      </c>
      <c r="AG569" s="193"/>
      <c r="AH569" s="143">
        <f t="shared" si="1031"/>
        <v>0</v>
      </c>
      <c r="AI569" s="151"/>
      <c r="AJ569" s="151">
        <f t="shared" ref="AJ569:AL569" si="1122">P569-AE569</f>
        <v>0</v>
      </c>
      <c r="AK569" s="151">
        <f t="shared" si="1122"/>
        <v>0</v>
      </c>
      <c r="AL569" s="151">
        <f t="shared" si="1122"/>
        <v>0</v>
      </c>
      <c r="AM569" s="145"/>
      <c r="AN569" s="139"/>
      <c r="AO569" s="139"/>
      <c r="AP569" s="139"/>
      <c r="AQ569" s="145"/>
      <c r="AR569" s="145"/>
    </row>
    <row r="570" spans="1:44" s="156" customFormat="1" ht="47.25" x14ac:dyDescent="0.25">
      <c r="A570" s="143" t="s">
        <v>52</v>
      </c>
      <c r="B570" s="144">
        <v>557</v>
      </c>
      <c r="C570" s="143" t="s">
        <v>498</v>
      </c>
      <c r="D570" s="143" t="s">
        <v>3079</v>
      </c>
      <c r="E570" s="145" t="s">
        <v>3080</v>
      </c>
      <c r="F570" s="146"/>
      <c r="G570" s="143" t="s">
        <v>3081</v>
      </c>
      <c r="H570" s="143" t="s">
        <v>3082</v>
      </c>
      <c r="I570" s="143"/>
      <c r="J570" s="143"/>
      <c r="K570" s="143"/>
      <c r="L570" s="143" t="s">
        <v>3083</v>
      </c>
      <c r="M570" s="143" t="s">
        <v>43</v>
      </c>
      <c r="N570" s="143" t="s">
        <v>3084</v>
      </c>
      <c r="O570" s="147">
        <v>3526135072</v>
      </c>
      <c r="P570" s="169">
        <v>192607800</v>
      </c>
      <c r="Q570" s="169">
        <v>15000000</v>
      </c>
      <c r="R570" s="150"/>
      <c r="S570" s="147">
        <f t="shared" si="1029"/>
        <v>3733742872</v>
      </c>
      <c r="T570" s="158">
        <v>3526135072</v>
      </c>
      <c r="U570" s="158">
        <v>192607800</v>
      </c>
      <c r="V570" s="147">
        <v>15000000</v>
      </c>
      <c r="W570" s="143"/>
      <c r="X570" s="143"/>
      <c r="Y570" s="152">
        <f t="shared" ref="Y570:AB570" si="1123">AD570-T570</f>
        <v>0</v>
      </c>
      <c r="Z570" s="151">
        <f t="shared" si="1123"/>
        <v>0</v>
      </c>
      <c r="AA570" s="151">
        <f t="shared" si="1123"/>
        <v>0</v>
      </c>
      <c r="AB570" s="151">
        <f t="shared" si="1123"/>
        <v>0</v>
      </c>
      <c r="AC570" s="143"/>
      <c r="AD570" s="194">
        <v>3526135072</v>
      </c>
      <c r="AE570" s="169">
        <v>192607800</v>
      </c>
      <c r="AF570" s="148">
        <v>15000000</v>
      </c>
      <c r="AG570" s="170"/>
      <c r="AH570" s="143">
        <f t="shared" si="1031"/>
        <v>0</v>
      </c>
      <c r="AI570" s="151"/>
      <c r="AJ570" s="151">
        <f t="shared" ref="AJ570:AL570" si="1124">P570-AE570</f>
        <v>0</v>
      </c>
      <c r="AK570" s="151">
        <f t="shared" si="1124"/>
        <v>0</v>
      </c>
      <c r="AL570" s="151">
        <f t="shared" si="1124"/>
        <v>0</v>
      </c>
      <c r="AM570" s="145"/>
      <c r="AN570" s="139"/>
      <c r="AO570" s="139"/>
      <c r="AP570" s="139"/>
      <c r="AQ570" s="145"/>
      <c r="AR570" s="145"/>
    </row>
    <row r="571" spans="1:44" s="156" customFormat="1" ht="47.25" x14ac:dyDescent="0.25">
      <c r="A571" s="143" t="s">
        <v>52</v>
      </c>
      <c r="B571" s="144">
        <v>558</v>
      </c>
      <c r="C571" s="143" t="s">
        <v>498</v>
      </c>
      <c r="D571" s="143" t="s">
        <v>3085</v>
      </c>
      <c r="E571" s="145"/>
      <c r="F571" s="146"/>
      <c r="G571" s="143" t="s">
        <v>3086</v>
      </c>
      <c r="H571" s="143"/>
      <c r="I571" s="143"/>
      <c r="J571" s="143"/>
      <c r="K571" s="143"/>
      <c r="L571" s="143" t="s">
        <v>3087</v>
      </c>
      <c r="M571" s="143" t="s">
        <v>43</v>
      </c>
      <c r="N571" s="143" t="s">
        <v>3088</v>
      </c>
      <c r="O571" s="147">
        <v>3090219698</v>
      </c>
      <c r="P571" s="150"/>
      <c r="Q571" s="169">
        <v>15000000</v>
      </c>
      <c r="R571" s="150"/>
      <c r="S571" s="147">
        <f t="shared" si="1029"/>
        <v>3105219698</v>
      </c>
      <c r="T571" s="158">
        <v>3090219698</v>
      </c>
      <c r="U571" s="143"/>
      <c r="V571" s="147">
        <v>15000000</v>
      </c>
      <c r="W571" s="143"/>
      <c r="X571" s="143"/>
      <c r="Y571" s="152">
        <f t="shared" ref="Y571:AB571" si="1125">AD571-T571</f>
        <v>0</v>
      </c>
      <c r="Z571" s="151">
        <f t="shared" si="1125"/>
        <v>0</v>
      </c>
      <c r="AA571" s="151">
        <f t="shared" si="1125"/>
        <v>0</v>
      </c>
      <c r="AB571" s="152">
        <f t="shared" si="1125"/>
        <v>0</v>
      </c>
      <c r="AC571" s="143"/>
      <c r="AD571" s="149">
        <v>3090219698</v>
      </c>
      <c r="AE571" s="184"/>
      <c r="AF571" s="169">
        <v>15000000</v>
      </c>
      <c r="AG571" s="182"/>
      <c r="AH571" s="143">
        <f t="shared" si="1031"/>
        <v>0</v>
      </c>
      <c r="AI571" s="151"/>
      <c r="AJ571" s="151">
        <f t="shared" ref="AJ571:AL571" si="1126">P571-AE571</f>
        <v>0</v>
      </c>
      <c r="AK571" s="151">
        <f t="shared" si="1126"/>
        <v>0</v>
      </c>
      <c r="AL571" s="151">
        <f t="shared" si="1126"/>
        <v>0</v>
      </c>
      <c r="AM571" s="145"/>
      <c r="AN571" s="139"/>
      <c r="AO571" s="139"/>
      <c r="AP571" s="139"/>
      <c r="AQ571" s="145"/>
      <c r="AR571" s="145"/>
    </row>
    <row r="572" spans="1:44" s="156" customFormat="1" ht="31.5" x14ac:dyDescent="0.25">
      <c r="A572" s="143" t="s">
        <v>52</v>
      </c>
      <c r="B572" s="144">
        <v>559</v>
      </c>
      <c r="C572" s="143" t="s">
        <v>498</v>
      </c>
      <c r="D572" s="143" t="s">
        <v>1745</v>
      </c>
      <c r="E572" s="145"/>
      <c r="F572" s="145" t="s">
        <v>1736</v>
      </c>
      <c r="G572" s="143" t="s">
        <v>1746</v>
      </c>
      <c r="H572" s="143"/>
      <c r="I572" s="143"/>
      <c r="J572" s="143"/>
      <c r="K572" s="164"/>
      <c r="L572" s="143" t="s">
        <v>1747</v>
      </c>
      <c r="M572" s="143" t="s">
        <v>43</v>
      </c>
      <c r="N572" s="143" t="s">
        <v>1748</v>
      </c>
      <c r="O572" s="147">
        <v>1153919632</v>
      </c>
      <c r="P572" s="150"/>
      <c r="Q572" s="169">
        <v>15000000</v>
      </c>
      <c r="R572" s="148">
        <v>8000000</v>
      </c>
      <c r="S572" s="147">
        <f t="shared" si="1029"/>
        <v>1176919632</v>
      </c>
      <c r="T572" s="158">
        <v>1153919632</v>
      </c>
      <c r="U572" s="143"/>
      <c r="V572" s="147">
        <v>15000000</v>
      </c>
      <c r="W572" s="158">
        <v>8000000</v>
      </c>
      <c r="X572" s="143"/>
      <c r="Y572" s="152">
        <f t="shared" ref="Y572:AB572" si="1127">AD572-T572</f>
        <v>0</v>
      </c>
      <c r="Z572" s="151">
        <f t="shared" si="1127"/>
        <v>0</v>
      </c>
      <c r="AA572" s="151">
        <f t="shared" si="1127"/>
        <v>0</v>
      </c>
      <c r="AB572" s="151">
        <f t="shared" si="1127"/>
        <v>0</v>
      </c>
      <c r="AC572" s="143"/>
      <c r="AD572" s="194">
        <v>1153919632</v>
      </c>
      <c r="AE572" s="170"/>
      <c r="AF572" s="148">
        <v>15000000</v>
      </c>
      <c r="AG572" s="169">
        <v>8000000</v>
      </c>
      <c r="AH572" s="143">
        <f t="shared" si="1031"/>
        <v>0</v>
      </c>
      <c r="AI572" s="151"/>
      <c r="AJ572" s="151">
        <f t="shared" ref="AJ572:AL572" si="1128">P572-AE572</f>
        <v>0</v>
      </c>
      <c r="AK572" s="151">
        <f t="shared" si="1128"/>
        <v>0</v>
      </c>
      <c r="AL572" s="151">
        <f t="shared" si="1128"/>
        <v>0</v>
      </c>
      <c r="AM572" s="145"/>
      <c r="AN572" s="139"/>
      <c r="AO572" s="139"/>
      <c r="AP572" s="139"/>
      <c r="AQ572" s="145"/>
      <c r="AR572" s="145"/>
    </row>
    <row r="573" spans="1:44" s="156" customFormat="1" ht="47.25" x14ac:dyDescent="0.25">
      <c r="A573" s="143" t="s">
        <v>52</v>
      </c>
      <c r="B573" s="144">
        <v>560</v>
      </c>
      <c r="C573" s="143" t="s">
        <v>498</v>
      </c>
      <c r="D573" s="143" t="s">
        <v>3089</v>
      </c>
      <c r="E573" s="145"/>
      <c r="F573" s="146"/>
      <c r="G573" s="143" t="s">
        <v>3090</v>
      </c>
      <c r="H573" s="143"/>
      <c r="I573" s="143"/>
      <c r="J573" s="143"/>
      <c r="K573" s="143"/>
      <c r="L573" s="143" t="s">
        <v>3091</v>
      </c>
      <c r="M573" s="143" t="s">
        <v>43</v>
      </c>
      <c r="N573" s="143" t="s">
        <v>3092</v>
      </c>
      <c r="O573" s="147">
        <v>8227078695</v>
      </c>
      <c r="P573" s="150"/>
      <c r="Q573" s="169">
        <v>15000000</v>
      </c>
      <c r="R573" s="150"/>
      <c r="S573" s="147">
        <f t="shared" si="1029"/>
        <v>8242078695</v>
      </c>
      <c r="T573" s="158">
        <v>8227078695</v>
      </c>
      <c r="U573" s="143"/>
      <c r="V573" s="147">
        <v>15000000</v>
      </c>
      <c r="W573" s="143"/>
      <c r="X573" s="143"/>
      <c r="Y573" s="152">
        <f t="shared" ref="Y573:AB573" si="1129">AD573-T573</f>
        <v>0</v>
      </c>
      <c r="Z573" s="151">
        <f t="shared" si="1129"/>
        <v>0</v>
      </c>
      <c r="AA573" s="151">
        <f t="shared" si="1129"/>
        <v>0</v>
      </c>
      <c r="AB573" s="152">
        <f t="shared" si="1129"/>
        <v>0</v>
      </c>
      <c r="AC573" s="143"/>
      <c r="AD573" s="187">
        <v>8227078695</v>
      </c>
      <c r="AE573" s="170"/>
      <c r="AF573" s="169">
        <v>15000000</v>
      </c>
      <c r="AG573" s="193"/>
      <c r="AH573" s="143">
        <f t="shared" si="1031"/>
        <v>0</v>
      </c>
      <c r="AI573" s="151"/>
      <c r="AJ573" s="151">
        <f t="shared" ref="AJ573:AL573" si="1130">P573-AE573</f>
        <v>0</v>
      </c>
      <c r="AK573" s="151">
        <f t="shared" si="1130"/>
        <v>0</v>
      </c>
      <c r="AL573" s="151">
        <f t="shared" si="1130"/>
        <v>0</v>
      </c>
      <c r="AM573" s="145"/>
      <c r="AN573" s="139"/>
      <c r="AO573" s="139"/>
      <c r="AP573" s="139"/>
      <c r="AQ573" s="145"/>
      <c r="AR573" s="145"/>
    </row>
    <row r="574" spans="1:44" s="156" customFormat="1" ht="31.5" x14ac:dyDescent="0.25">
      <c r="A574" s="143" t="s">
        <v>88</v>
      </c>
      <c r="B574" s="144">
        <v>561</v>
      </c>
      <c r="C574" s="143" t="s">
        <v>498</v>
      </c>
      <c r="D574" s="143" t="s">
        <v>3093</v>
      </c>
      <c r="E574" s="145"/>
      <c r="F574" s="146"/>
      <c r="G574" s="143" t="s">
        <v>3094</v>
      </c>
      <c r="H574" s="143"/>
      <c r="I574" s="143"/>
      <c r="J574" s="143"/>
      <c r="K574" s="143"/>
      <c r="L574" s="143" t="s">
        <v>3095</v>
      </c>
      <c r="M574" s="143" t="s">
        <v>43</v>
      </c>
      <c r="N574" s="143" t="s">
        <v>3096</v>
      </c>
      <c r="O574" s="147">
        <v>5211174260</v>
      </c>
      <c r="P574" s="150"/>
      <c r="Q574" s="169">
        <v>15000000</v>
      </c>
      <c r="R574" s="150"/>
      <c r="S574" s="147">
        <f t="shared" si="1029"/>
        <v>5226174260</v>
      </c>
      <c r="T574" s="151">
        <v>5211174260</v>
      </c>
      <c r="U574" s="143"/>
      <c r="V574" s="147">
        <v>15000000</v>
      </c>
      <c r="W574" s="143"/>
      <c r="X574" s="143"/>
      <c r="Y574" s="152">
        <f t="shared" ref="Y574:AB574" si="1131">AD574-T574</f>
        <v>0</v>
      </c>
      <c r="Z574" s="151">
        <f t="shared" si="1131"/>
        <v>0</v>
      </c>
      <c r="AA574" s="151">
        <f t="shared" si="1131"/>
        <v>0</v>
      </c>
      <c r="AB574" s="152">
        <f t="shared" si="1131"/>
        <v>0</v>
      </c>
      <c r="AC574" s="143"/>
      <c r="AD574" s="155">
        <v>5211174260</v>
      </c>
      <c r="AE574" s="170"/>
      <c r="AF574" s="148">
        <v>15000000</v>
      </c>
      <c r="AG574" s="193"/>
      <c r="AH574" s="143">
        <f t="shared" si="1031"/>
        <v>0</v>
      </c>
      <c r="AI574" s="151"/>
      <c r="AJ574" s="151">
        <f t="shared" ref="AJ574:AL574" si="1132">P574-AE574</f>
        <v>0</v>
      </c>
      <c r="AK574" s="151">
        <f t="shared" si="1132"/>
        <v>0</v>
      </c>
      <c r="AL574" s="151">
        <f t="shared" si="1132"/>
        <v>0</v>
      </c>
      <c r="AM574" s="145"/>
      <c r="AN574" s="139"/>
      <c r="AO574" s="139"/>
      <c r="AP574" s="139"/>
      <c r="AQ574" s="145"/>
      <c r="AR574" s="145"/>
    </row>
    <row r="575" spans="1:44" s="156" customFormat="1" ht="47.25" x14ac:dyDescent="0.25">
      <c r="A575" s="143" t="s">
        <v>52</v>
      </c>
      <c r="B575" s="144">
        <v>562</v>
      </c>
      <c r="C575" s="143" t="s">
        <v>498</v>
      </c>
      <c r="D575" s="143" t="s">
        <v>875</v>
      </c>
      <c r="E575" s="145"/>
      <c r="F575" s="145" t="s">
        <v>877</v>
      </c>
      <c r="G575" s="143" t="s">
        <v>879</v>
      </c>
      <c r="H575" s="143"/>
      <c r="I575" s="143"/>
      <c r="J575" s="143"/>
      <c r="K575" s="164"/>
      <c r="L575" s="143" t="s">
        <v>880</v>
      </c>
      <c r="M575" s="143" t="s">
        <v>43</v>
      </c>
      <c r="N575" s="143" t="s">
        <v>881</v>
      </c>
      <c r="O575" s="147">
        <v>1118352476</v>
      </c>
      <c r="P575" s="150"/>
      <c r="Q575" s="169">
        <v>15000000</v>
      </c>
      <c r="R575" s="148">
        <v>108000000</v>
      </c>
      <c r="S575" s="147">
        <f t="shared" si="1029"/>
        <v>1241352476</v>
      </c>
      <c r="T575" s="158">
        <v>1118352476</v>
      </c>
      <c r="U575" s="143"/>
      <c r="V575" s="147">
        <v>15000000</v>
      </c>
      <c r="W575" s="151">
        <v>108000000</v>
      </c>
      <c r="X575" s="143"/>
      <c r="Y575" s="151">
        <f t="shared" ref="Y575:AB575" si="1133">AD575-T575</f>
        <v>0</v>
      </c>
      <c r="Z575" s="151">
        <f t="shared" si="1133"/>
        <v>0</v>
      </c>
      <c r="AA575" s="151">
        <f t="shared" si="1133"/>
        <v>0</v>
      </c>
      <c r="AB575" s="151">
        <f t="shared" si="1133"/>
        <v>0</v>
      </c>
      <c r="AC575" s="143"/>
      <c r="AD575" s="148">
        <v>1118352476</v>
      </c>
      <c r="AE575" s="150"/>
      <c r="AF575" s="148">
        <v>15000000</v>
      </c>
      <c r="AG575" s="148">
        <v>108000000</v>
      </c>
      <c r="AH575" s="143">
        <f t="shared" si="1031"/>
        <v>0</v>
      </c>
      <c r="AI575" s="151"/>
      <c r="AJ575" s="151">
        <f t="shared" ref="AJ575:AL575" si="1134">P575-AE575</f>
        <v>0</v>
      </c>
      <c r="AK575" s="151">
        <f t="shared" si="1134"/>
        <v>0</v>
      </c>
      <c r="AL575" s="151">
        <f t="shared" si="1134"/>
        <v>0</v>
      </c>
      <c r="AM575" s="145"/>
      <c r="AN575" s="139"/>
      <c r="AO575" s="139"/>
      <c r="AP575" s="139"/>
      <c r="AQ575" s="145"/>
      <c r="AR575" s="145"/>
    </row>
    <row r="576" spans="1:44" s="156" customFormat="1" ht="31.5" x14ac:dyDescent="0.25">
      <c r="A576" s="143" t="s">
        <v>52</v>
      </c>
      <c r="B576" s="144">
        <v>563</v>
      </c>
      <c r="C576" s="143" t="s">
        <v>498</v>
      </c>
      <c r="D576" s="143" t="s">
        <v>3098</v>
      </c>
      <c r="E576" s="145"/>
      <c r="F576" s="146"/>
      <c r="G576" s="143" t="s">
        <v>3099</v>
      </c>
      <c r="H576" s="143"/>
      <c r="I576" s="143"/>
      <c r="J576" s="143"/>
      <c r="K576" s="143"/>
      <c r="L576" s="143" t="s">
        <v>3100</v>
      </c>
      <c r="M576" s="143" t="s">
        <v>43</v>
      </c>
      <c r="N576" s="143" t="s">
        <v>3101</v>
      </c>
      <c r="O576" s="147">
        <v>4009786804</v>
      </c>
      <c r="P576" s="150"/>
      <c r="Q576" s="169">
        <v>7500000</v>
      </c>
      <c r="R576" s="150"/>
      <c r="S576" s="147">
        <f t="shared" si="1029"/>
        <v>4017286804</v>
      </c>
      <c r="T576" s="158">
        <v>4009786804</v>
      </c>
      <c r="U576" s="143"/>
      <c r="V576" s="147">
        <v>7500000</v>
      </c>
      <c r="W576" s="143"/>
      <c r="X576" s="143"/>
      <c r="Y576" s="152">
        <f t="shared" ref="Y576:AB576" si="1135">AD576-T576</f>
        <v>0</v>
      </c>
      <c r="Z576" s="151">
        <f t="shared" si="1135"/>
        <v>0</v>
      </c>
      <c r="AA576" s="151">
        <f t="shared" si="1135"/>
        <v>0</v>
      </c>
      <c r="AB576" s="152">
        <f t="shared" si="1135"/>
        <v>0</v>
      </c>
      <c r="AC576" s="143"/>
      <c r="AD576" s="149">
        <v>4009786804</v>
      </c>
      <c r="AE576" s="150"/>
      <c r="AF576" s="169">
        <v>7500000</v>
      </c>
      <c r="AG576" s="155"/>
      <c r="AH576" s="143">
        <f t="shared" si="1031"/>
        <v>0</v>
      </c>
      <c r="AI576" s="151"/>
      <c r="AJ576" s="151">
        <f t="shared" ref="AJ576:AL576" si="1136">P576-AE576</f>
        <v>0</v>
      </c>
      <c r="AK576" s="151">
        <f t="shared" si="1136"/>
        <v>0</v>
      </c>
      <c r="AL576" s="151">
        <f t="shared" si="1136"/>
        <v>0</v>
      </c>
      <c r="AM576" s="145"/>
      <c r="AN576" s="139"/>
      <c r="AO576" s="139"/>
      <c r="AP576" s="139"/>
      <c r="AQ576" s="145"/>
      <c r="AR576" s="145"/>
    </row>
    <row r="577" spans="1:44" s="156" customFormat="1" ht="31.5" x14ac:dyDescent="0.25">
      <c r="A577" s="143" t="s">
        <v>52</v>
      </c>
      <c r="B577" s="144">
        <v>564</v>
      </c>
      <c r="C577" s="143" t="s">
        <v>498</v>
      </c>
      <c r="D577" s="143" t="s">
        <v>3102</v>
      </c>
      <c r="E577" s="145"/>
      <c r="F577" s="146"/>
      <c r="G577" s="143" t="s">
        <v>3103</v>
      </c>
      <c r="H577" s="143"/>
      <c r="I577" s="143"/>
      <c r="J577" s="143"/>
      <c r="K577" s="143"/>
      <c r="L577" s="143" t="s">
        <v>3104</v>
      </c>
      <c r="M577" s="143" t="s">
        <v>43</v>
      </c>
      <c r="N577" s="143" t="s">
        <v>3105</v>
      </c>
      <c r="O577" s="147">
        <v>1650178250</v>
      </c>
      <c r="P577" s="150"/>
      <c r="Q577" s="169">
        <v>7500000</v>
      </c>
      <c r="R577" s="150"/>
      <c r="S577" s="147">
        <f t="shared" si="1029"/>
        <v>1657678250</v>
      </c>
      <c r="T577" s="158">
        <v>1650178250</v>
      </c>
      <c r="U577" s="143"/>
      <c r="V577" s="147">
        <v>7500000</v>
      </c>
      <c r="W577" s="143"/>
      <c r="X577" s="143"/>
      <c r="Y577" s="152">
        <f t="shared" ref="Y577:AB577" si="1137">AD577-T577</f>
        <v>0</v>
      </c>
      <c r="Z577" s="151">
        <f t="shared" si="1137"/>
        <v>0</v>
      </c>
      <c r="AA577" s="151">
        <f t="shared" si="1137"/>
        <v>0</v>
      </c>
      <c r="AB577" s="152">
        <f t="shared" si="1137"/>
        <v>0</v>
      </c>
      <c r="AC577" s="143"/>
      <c r="AD577" s="194">
        <v>1650178250</v>
      </c>
      <c r="AE577" s="184"/>
      <c r="AF577" s="169">
        <v>7500000</v>
      </c>
      <c r="AG577" s="182"/>
      <c r="AH577" s="143">
        <f t="shared" si="1031"/>
        <v>0</v>
      </c>
      <c r="AI577" s="151"/>
      <c r="AJ577" s="151">
        <f t="shared" ref="AJ577:AL577" si="1138">P577-AE577</f>
        <v>0</v>
      </c>
      <c r="AK577" s="151">
        <f t="shared" si="1138"/>
        <v>0</v>
      </c>
      <c r="AL577" s="151">
        <f t="shared" si="1138"/>
        <v>0</v>
      </c>
      <c r="AM577" s="145"/>
      <c r="AN577" s="139"/>
      <c r="AO577" s="139"/>
      <c r="AP577" s="139"/>
      <c r="AQ577" s="145"/>
      <c r="AR577" s="145"/>
    </row>
    <row r="578" spans="1:44" s="156" customFormat="1" ht="31.5" x14ac:dyDescent="0.25">
      <c r="A578" s="143" t="s">
        <v>35</v>
      </c>
      <c r="B578" s="144">
        <v>565</v>
      </c>
      <c r="C578" s="143" t="s">
        <v>498</v>
      </c>
      <c r="D578" s="143" t="s">
        <v>1265</v>
      </c>
      <c r="E578" s="145"/>
      <c r="F578" s="145" t="s">
        <v>1227</v>
      </c>
      <c r="G578" s="143" t="s">
        <v>1266</v>
      </c>
      <c r="H578" s="143"/>
      <c r="I578" s="143"/>
      <c r="J578" s="143"/>
      <c r="K578" s="164"/>
      <c r="L578" s="143" t="s">
        <v>1267</v>
      </c>
      <c r="M578" s="143" t="s">
        <v>43</v>
      </c>
      <c r="N578" s="143" t="s">
        <v>1268</v>
      </c>
      <c r="O578" s="147">
        <v>1871632320</v>
      </c>
      <c r="P578" s="150"/>
      <c r="Q578" s="177">
        <v>15000000</v>
      </c>
      <c r="R578" s="148">
        <v>24000000</v>
      </c>
      <c r="S578" s="147">
        <f t="shared" si="1029"/>
        <v>1910632320</v>
      </c>
      <c r="T578" s="158">
        <v>1871632320</v>
      </c>
      <c r="U578" s="143"/>
      <c r="V578" s="147">
        <v>15000000</v>
      </c>
      <c r="W578" s="158">
        <v>24000000</v>
      </c>
      <c r="X578" s="143"/>
      <c r="Y578" s="152">
        <f t="shared" ref="Y578:AB578" si="1139">AD578-T578</f>
        <v>0</v>
      </c>
      <c r="Z578" s="151">
        <f t="shared" si="1139"/>
        <v>0</v>
      </c>
      <c r="AA578" s="151">
        <f t="shared" si="1139"/>
        <v>0</v>
      </c>
      <c r="AB578" s="151">
        <f t="shared" si="1139"/>
        <v>0</v>
      </c>
      <c r="AC578" s="143"/>
      <c r="AD578" s="191">
        <v>1871632320</v>
      </c>
      <c r="AE578" s="178"/>
      <c r="AF578" s="148">
        <v>15000000</v>
      </c>
      <c r="AG578" s="177">
        <v>24000000</v>
      </c>
      <c r="AH578" s="143">
        <f t="shared" si="1031"/>
        <v>0</v>
      </c>
      <c r="AI578" s="151"/>
      <c r="AJ578" s="151">
        <f t="shared" ref="AJ578:AL578" si="1140">P578-AE578</f>
        <v>0</v>
      </c>
      <c r="AK578" s="151">
        <f t="shared" si="1140"/>
        <v>0</v>
      </c>
      <c r="AL578" s="151">
        <f t="shared" si="1140"/>
        <v>0</v>
      </c>
      <c r="AM578" s="145"/>
      <c r="AN578" s="139"/>
      <c r="AO578" s="139"/>
      <c r="AP578" s="139"/>
      <c r="AQ578" s="145"/>
      <c r="AR578" s="145"/>
    </row>
    <row r="579" spans="1:44" s="156" customFormat="1" ht="31.5" x14ac:dyDescent="0.25">
      <c r="A579" s="143" t="s">
        <v>60</v>
      </c>
      <c r="B579" s="144">
        <v>566</v>
      </c>
      <c r="C579" s="143" t="s">
        <v>498</v>
      </c>
      <c r="D579" s="143" t="s">
        <v>3106</v>
      </c>
      <c r="E579" s="145"/>
      <c r="F579" s="145"/>
      <c r="G579" s="143" t="s">
        <v>3107</v>
      </c>
      <c r="H579" s="143"/>
      <c r="I579" s="143"/>
      <c r="J579" s="143"/>
      <c r="K579" s="143"/>
      <c r="L579" s="143" t="s">
        <v>3108</v>
      </c>
      <c r="M579" s="143" t="s">
        <v>43</v>
      </c>
      <c r="N579" s="143" t="s">
        <v>3109</v>
      </c>
      <c r="O579" s="147">
        <v>41760857447</v>
      </c>
      <c r="P579" s="150"/>
      <c r="Q579" s="169">
        <v>15000000</v>
      </c>
      <c r="R579" s="150"/>
      <c r="S579" s="147">
        <f t="shared" si="1029"/>
        <v>41775857447</v>
      </c>
      <c r="T579" s="158">
        <v>41760857447</v>
      </c>
      <c r="U579" s="143"/>
      <c r="V579" s="157"/>
      <c r="W579" s="143"/>
      <c r="X579" s="143"/>
      <c r="Y579" s="152">
        <f t="shared" ref="Y579:AB579" si="1141">AD579-T579</f>
        <v>0</v>
      </c>
      <c r="Z579" s="151">
        <f t="shared" si="1141"/>
        <v>0</v>
      </c>
      <c r="AA579" s="151">
        <f t="shared" si="1141"/>
        <v>0</v>
      </c>
      <c r="AB579" s="151">
        <f t="shared" si="1141"/>
        <v>0</v>
      </c>
      <c r="AC579" s="143"/>
      <c r="AD579" s="191">
        <v>41760857447</v>
      </c>
      <c r="AE579" s="170"/>
      <c r="AF579" s="150"/>
      <c r="AG579" s="170"/>
      <c r="AH579" s="143">
        <f t="shared" si="1031"/>
        <v>0</v>
      </c>
      <c r="AI579" s="151"/>
      <c r="AJ579" s="151">
        <f t="shared" ref="AJ579:AL579" si="1142">P579-AE579</f>
        <v>0</v>
      </c>
      <c r="AK579" s="151">
        <f t="shared" si="1142"/>
        <v>15000000</v>
      </c>
      <c r="AL579" s="151">
        <f t="shared" si="1142"/>
        <v>0</v>
      </c>
      <c r="AM579" s="145"/>
      <c r="AN579" s="139"/>
      <c r="AO579" s="139"/>
      <c r="AP579" s="162" t="s">
        <v>3970</v>
      </c>
      <c r="AQ579" s="145"/>
      <c r="AR579" s="145"/>
    </row>
    <row r="580" spans="1:44" s="156" customFormat="1" ht="47.25" x14ac:dyDescent="0.25">
      <c r="A580" s="143" t="s">
        <v>275</v>
      </c>
      <c r="B580" s="144">
        <v>567</v>
      </c>
      <c r="C580" s="143" t="s">
        <v>498</v>
      </c>
      <c r="D580" s="143" t="s">
        <v>3110</v>
      </c>
      <c r="E580" s="145" t="s">
        <v>3111</v>
      </c>
      <c r="F580" s="146"/>
      <c r="G580" s="143" t="s">
        <v>3112</v>
      </c>
      <c r="H580" s="143"/>
      <c r="I580" s="143"/>
      <c r="J580" s="143"/>
      <c r="K580" s="143"/>
      <c r="L580" s="143" t="s">
        <v>3113</v>
      </c>
      <c r="M580" s="143" t="s">
        <v>43</v>
      </c>
      <c r="N580" s="143" t="s">
        <v>3114</v>
      </c>
      <c r="O580" s="147">
        <v>2967127072</v>
      </c>
      <c r="P580" s="169">
        <v>394557580</v>
      </c>
      <c r="Q580" s="169">
        <v>15000000</v>
      </c>
      <c r="R580" s="150"/>
      <c r="S580" s="147">
        <f t="shared" si="1029"/>
        <v>3376684652</v>
      </c>
      <c r="T580" s="158">
        <v>2967127072</v>
      </c>
      <c r="U580" s="158">
        <v>394557580</v>
      </c>
      <c r="V580" s="147">
        <v>15000000</v>
      </c>
      <c r="W580" s="143"/>
      <c r="X580" s="143"/>
      <c r="Y580" s="152">
        <f t="shared" ref="Y580:AB580" si="1143">AD580-T580</f>
        <v>0</v>
      </c>
      <c r="Z580" s="152">
        <f t="shared" si="1143"/>
        <v>0</v>
      </c>
      <c r="AA580" s="151">
        <f t="shared" si="1143"/>
        <v>0</v>
      </c>
      <c r="AB580" s="151">
        <f t="shared" si="1143"/>
        <v>0</v>
      </c>
      <c r="AC580" s="143"/>
      <c r="AD580" s="149">
        <v>2967127072</v>
      </c>
      <c r="AE580" s="191">
        <v>394557580</v>
      </c>
      <c r="AF580" s="148">
        <v>15000000</v>
      </c>
      <c r="AG580" s="150"/>
      <c r="AH580" s="143">
        <f t="shared" si="1031"/>
        <v>0</v>
      </c>
      <c r="AI580" s="151"/>
      <c r="AJ580" s="151">
        <f t="shared" ref="AJ580:AL580" si="1144">P580-AE580</f>
        <v>0</v>
      </c>
      <c r="AK580" s="151">
        <f t="shared" si="1144"/>
        <v>0</v>
      </c>
      <c r="AL580" s="151">
        <f t="shared" si="1144"/>
        <v>0</v>
      </c>
      <c r="AM580" s="145"/>
      <c r="AN580" s="139"/>
      <c r="AO580" s="139"/>
      <c r="AP580" s="139"/>
      <c r="AQ580" s="145"/>
      <c r="AR580" s="145"/>
    </row>
    <row r="581" spans="1:44" s="156" customFormat="1" ht="78.75" x14ac:dyDescent="0.25">
      <c r="A581" s="143" t="s">
        <v>60</v>
      </c>
      <c r="B581" s="144">
        <v>568</v>
      </c>
      <c r="C581" s="143" t="s">
        <v>498</v>
      </c>
      <c r="D581" s="143" t="s">
        <v>1367</v>
      </c>
      <c r="E581" s="145"/>
      <c r="F581" s="145" t="s">
        <v>1368</v>
      </c>
      <c r="G581" s="143" t="s">
        <v>1371</v>
      </c>
      <c r="H581" s="143"/>
      <c r="I581" s="143"/>
      <c r="J581" s="143"/>
      <c r="K581" s="164"/>
      <c r="L581" s="143" t="s">
        <v>1373</v>
      </c>
      <c r="M581" s="143" t="s">
        <v>43</v>
      </c>
      <c r="N581" s="143" t="s">
        <v>1374</v>
      </c>
      <c r="O581" s="147">
        <v>3684148720</v>
      </c>
      <c r="P581" s="150"/>
      <c r="Q581" s="169">
        <v>15000000</v>
      </c>
      <c r="R581" s="148">
        <f>24000000+48000000</f>
        <v>72000000</v>
      </c>
      <c r="S581" s="147">
        <f t="shared" si="1029"/>
        <v>3771148720</v>
      </c>
      <c r="T581" s="158">
        <v>3684148720</v>
      </c>
      <c r="U581" s="143"/>
      <c r="V581" s="147">
        <v>15000000</v>
      </c>
      <c r="W581" s="158">
        <v>72000000</v>
      </c>
      <c r="X581" s="143"/>
      <c r="Y581" s="152">
        <f t="shared" ref="Y581:AB581" si="1145">AD581-T581</f>
        <v>0</v>
      </c>
      <c r="Z581" s="151">
        <f t="shared" si="1145"/>
        <v>0</v>
      </c>
      <c r="AA581" s="151">
        <f t="shared" si="1145"/>
        <v>0</v>
      </c>
      <c r="AB581" s="151">
        <f t="shared" si="1145"/>
        <v>0</v>
      </c>
      <c r="AC581" s="143"/>
      <c r="AD581" s="149">
        <v>3684148720</v>
      </c>
      <c r="AE581" s="170"/>
      <c r="AF581" s="148">
        <v>15000000</v>
      </c>
      <c r="AG581" s="169">
        <f>24000000+48000000</f>
        <v>72000000</v>
      </c>
      <c r="AH581" s="143">
        <f t="shared" si="1031"/>
        <v>0</v>
      </c>
      <c r="AI581" s="151"/>
      <c r="AJ581" s="151">
        <f t="shared" ref="AJ581:AL581" si="1146">P581-AE581</f>
        <v>0</v>
      </c>
      <c r="AK581" s="151">
        <f t="shared" si="1146"/>
        <v>0</v>
      </c>
      <c r="AL581" s="151">
        <f t="shared" si="1146"/>
        <v>0</v>
      </c>
      <c r="AM581" s="145"/>
      <c r="AN581" s="139"/>
      <c r="AO581" s="139"/>
      <c r="AP581" s="139"/>
      <c r="AQ581" s="145"/>
      <c r="AR581" s="145"/>
    </row>
    <row r="582" spans="1:44" s="156" customFormat="1" ht="31.5" x14ac:dyDescent="0.25">
      <c r="A582" s="143" t="s">
        <v>60</v>
      </c>
      <c r="B582" s="144">
        <v>569</v>
      </c>
      <c r="C582" s="143" t="s">
        <v>498</v>
      </c>
      <c r="D582" s="143" t="s">
        <v>3119</v>
      </c>
      <c r="E582" s="145"/>
      <c r="F582" s="145"/>
      <c r="G582" s="143" t="s">
        <v>3120</v>
      </c>
      <c r="H582" s="143"/>
      <c r="I582" s="143"/>
      <c r="J582" s="143"/>
      <c r="K582" s="143"/>
      <c r="L582" s="143" t="s">
        <v>3121</v>
      </c>
      <c r="M582" s="143" t="s">
        <v>43</v>
      </c>
      <c r="N582" s="143" t="s">
        <v>3122</v>
      </c>
      <c r="O582" s="147">
        <v>6823115420</v>
      </c>
      <c r="P582" s="150"/>
      <c r="Q582" s="169">
        <v>15000000</v>
      </c>
      <c r="R582" s="150"/>
      <c r="S582" s="147">
        <f t="shared" si="1029"/>
        <v>6838115420</v>
      </c>
      <c r="T582" s="158">
        <v>6823115420</v>
      </c>
      <c r="U582" s="143"/>
      <c r="V582" s="147">
        <v>15000000</v>
      </c>
      <c r="W582" s="143"/>
      <c r="X582" s="143"/>
      <c r="Y582" s="152">
        <f t="shared" ref="Y582:AB582" si="1147">AD582-T582</f>
        <v>0</v>
      </c>
      <c r="Z582" s="151">
        <f t="shared" si="1147"/>
        <v>0</v>
      </c>
      <c r="AA582" s="151">
        <f t="shared" si="1147"/>
        <v>0</v>
      </c>
      <c r="AB582" s="152">
        <f t="shared" si="1147"/>
        <v>0</v>
      </c>
      <c r="AC582" s="143"/>
      <c r="AD582" s="149">
        <v>6823115420</v>
      </c>
      <c r="AE582" s="170"/>
      <c r="AF582" s="148">
        <v>15000000</v>
      </c>
      <c r="AG582" s="193"/>
      <c r="AH582" s="143">
        <f t="shared" si="1031"/>
        <v>0</v>
      </c>
      <c r="AI582" s="151"/>
      <c r="AJ582" s="151">
        <f t="shared" ref="AJ582:AL582" si="1148">P582-AE582</f>
        <v>0</v>
      </c>
      <c r="AK582" s="151">
        <f t="shared" si="1148"/>
        <v>0</v>
      </c>
      <c r="AL582" s="151">
        <f t="shared" si="1148"/>
        <v>0</v>
      </c>
      <c r="AM582" s="145"/>
      <c r="AN582" s="139"/>
      <c r="AO582" s="139"/>
      <c r="AP582" s="139"/>
      <c r="AQ582" s="145"/>
      <c r="AR582" s="145"/>
    </row>
    <row r="583" spans="1:44" s="156" customFormat="1" ht="47.25" x14ac:dyDescent="0.25">
      <c r="A583" s="143" t="s">
        <v>88</v>
      </c>
      <c r="B583" s="144">
        <v>570</v>
      </c>
      <c r="C583" s="143" t="s">
        <v>498</v>
      </c>
      <c r="D583" s="143" t="s">
        <v>3125</v>
      </c>
      <c r="E583" s="145"/>
      <c r="F583" s="145"/>
      <c r="G583" s="143" t="s">
        <v>3126</v>
      </c>
      <c r="H583" s="143"/>
      <c r="I583" s="143"/>
      <c r="J583" s="143"/>
      <c r="K583" s="143"/>
      <c r="L583" s="143" t="s">
        <v>3127</v>
      </c>
      <c r="M583" s="143" t="s">
        <v>43</v>
      </c>
      <c r="N583" s="143" t="s">
        <v>3128</v>
      </c>
      <c r="O583" s="147">
        <v>223003630</v>
      </c>
      <c r="P583" s="150"/>
      <c r="Q583" s="169">
        <v>7500000</v>
      </c>
      <c r="R583" s="150"/>
      <c r="S583" s="147">
        <f t="shared" si="1029"/>
        <v>230503630</v>
      </c>
      <c r="T583" s="158">
        <v>223003630</v>
      </c>
      <c r="U583" s="143"/>
      <c r="V583" s="147">
        <v>7500000</v>
      </c>
      <c r="W583" s="143"/>
      <c r="X583" s="143"/>
      <c r="Y583" s="152">
        <f t="shared" ref="Y583:AB583" si="1149">AD583-T583</f>
        <v>0</v>
      </c>
      <c r="Z583" s="151">
        <f t="shared" si="1149"/>
        <v>0</v>
      </c>
      <c r="AA583" s="151">
        <f t="shared" si="1149"/>
        <v>0</v>
      </c>
      <c r="AB583" s="151">
        <f t="shared" si="1149"/>
        <v>0</v>
      </c>
      <c r="AC583" s="143"/>
      <c r="AD583" s="194">
        <v>223003630</v>
      </c>
      <c r="AE583" s="170"/>
      <c r="AF583" s="148">
        <v>7500000</v>
      </c>
      <c r="AG583" s="170"/>
      <c r="AH583" s="143">
        <f t="shared" si="1031"/>
        <v>0</v>
      </c>
      <c r="AI583" s="151"/>
      <c r="AJ583" s="151">
        <f t="shared" ref="AJ583:AL583" si="1150">P583-AE583</f>
        <v>0</v>
      </c>
      <c r="AK583" s="151">
        <f t="shared" si="1150"/>
        <v>0</v>
      </c>
      <c r="AL583" s="151">
        <f t="shared" si="1150"/>
        <v>0</v>
      </c>
      <c r="AM583" s="145"/>
      <c r="AN583" s="139"/>
      <c r="AO583" s="139"/>
      <c r="AP583" s="139"/>
      <c r="AQ583" s="145"/>
      <c r="AR583" s="145"/>
    </row>
    <row r="584" spans="1:44" s="156" customFormat="1" ht="31.5" x14ac:dyDescent="0.25">
      <c r="A584" s="143" t="s">
        <v>88</v>
      </c>
      <c r="B584" s="144">
        <v>571</v>
      </c>
      <c r="C584" s="143" t="s">
        <v>498</v>
      </c>
      <c r="D584" s="143" t="s">
        <v>3129</v>
      </c>
      <c r="E584" s="145"/>
      <c r="F584" s="146"/>
      <c r="G584" s="143" t="s">
        <v>3130</v>
      </c>
      <c r="H584" s="143"/>
      <c r="I584" s="143"/>
      <c r="J584" s="143"/>
      <c r="K584" s="143"/>
      <c r="L584" s="143" t="s">
        <v>2362</v>
      </c>
      <c r="M584" s="143" t="s">
        <v>43</v>
      </c>
      <c r="N584" s="143" t="s">
        <v>3131</v>
      </c>
      <c r="O584" s="147">
        <v>4591185242</v>
      </c>
      <c r="P584" s="150"/>
      <c r="Q584" s="169">
        <v>7500000</v>
      </c>
      <c r="R584" s="150"/>
      <c r="S584" s="147">
        <f t="shared" si="1029"/>
        <v>4598685242</v>
      </c>
      <c r="T584" s="151">
        <v>4591185242</v>
      </c>
      <c r="U584" s="143"/>
      <c r="V584" s="147">
        <v>7500000</v>
      </c>
      <c r="W584" s="143"/>
      <c r="X584" s="143"/>
      <c r="Y584" s="152">
        <f t="shared" ref="Y584:AB584" si="1151">AD584-T584</f>
        <v>0</v>
      </c>
      <c r="Z584" s="151">
        <f t="shared" si="1151"/>
        <v>0</v>
      </c>
      <c r="AA584" s="151">
        <f t="shared" si="1151"/>
        <v>0</v>
      </c>
      <c r="AB584" s="152">
        <f t="shared" si="1151"/>
        <v>0</v>
      </c>
      <c r="AC584" s="143"/>
      <c r="AD584" s="155">
        <v>4591185242</v>
      </c>
      <c r="AE584" s="150"/>
      <c r="AF584" s="148">
        <v>7500000</v>
      </c>
      <c r="AG584" s="155"/>
      <c r="AH584" s="143">
        <f t="shared" si="1031"/>
        <v>0</v>
      </c>
      <c r="AI584" s="151"/>
      <c r="AJ584" s="151">
        <f t="shared" ref="AJ584:AL584" si="1152">P584-AE584</f>
        <v>0</v>
      </c>
      <c r="AK584" s="151">
        <f t="shared" si="1152"/>
        <v>0</v>
      </c>
      <c r="AL584" s="151">
        <f t="shared" si="1152"/>
        <v>0</v>
      </c>
      <c r="AM584" s="145"/>
      <c r="AN584" s="139"/>
      <c r="AO584" s="139"/>
      <c r="AP584" s="139"/>
      <c r="AQ584" s="145"/>
      <c r="AR584" s="145"/>
    </row>
    <row r="585" spans="1:44" s="156" customFormat="1" ht="31.5" x14ac:dyDescent="0.25">
      <c r="A585" s="143" t="s">
        <v>52</v>
      </c>
      <c r="B585" s="144">
        <v>572</v>
      </c>
      <c r="C585" s="143" t="s">
        <v>498</v>
      </c>
      <c r="D585" s="143" t="s">
        <v>3132</v>
      </c>
      <c r="E585" s="145"/>
      <c r="F585" s="146"/>
      <c r="G585" s="143" t="s">
        <v>3133</v>
      </c>
      <c r="H585" s="143"/>
      <c r="I585" s="143"/>
      <c r="J585" s="143"/>
      <c r="K585" s="143"/>
      <c r="L585" s="143" t="s">
        <v>3134</v>
      </c>
      <c r="M585" s="143" t="s">
        <v>43</v>
      </c>
      <c r="N585" s="143" t="s">
        <v>3135</v>
      </c>
      <c r="O585" s="147">
        <v>1598877052</v>
      </c>
      <c r="P585" s="150"/>
      <c r="Q585" s="169">
        <v>7500000</v>
      </c>
      <c r="R585" s="150"/>
      <c r="S585" s="147">
        <f t="shared" si="1029"/>
        <v>1606377052</v>
      </c>
      <c r="T585" s="158">
        <v>1598877052</v>
      </c>
      <c r="U585" s="143"/>
      <c r="V585" s="147">
        <v>7500000</v>
      </c>
      <c r="W585" s="143"/>
      <c r="X585" s="143"/>
      <c r="Y585" s="152">
        <f t="shared" ref="Y585:AB585" si="1153">AD585-T585</f>
        <v>0</v>
      </c>
      <c r="Z585" s="151">
        <f t="shared" si="1153"/>
        <v>0</v>
      </c>
      <c r="AA585" s="151">
        <f t="shared" si="1153"/>
        <v>0</v>
      </c>
      <c r="AB585" s="152">
        <f t="shared" si="1153"/>
        <v>0</v>
      </c>
      <c r="AC585" s="143"/>
      <c r="AD585" s="149">
        <v>1598877052</v>
      </c>
      <c r="AE585" s="150"/>
      <c r="AF585" s="148">
        <v>7500000</v>
      </c>
      <c r="AG585" s="155"/>
      <c r="AH585" s="143">
        <f t="shared" si="1031"/>
        <v>0</v>
      </c>
      <c r="AI585" s="151"/>
      <c r="AJ585" s="151">
        <f t="shared" ref="AJ585:AL585" si="1154">P585-AE585</f>
        <v>0</v>
      </c>
      <c r="AK585" s="151">
        <f t="shared" si="1154"/>
        <v>0</v>
      </c>
      <c r="AL585" s="151">
        <f t="shared" si="1154"/>
        <v>0</v>
      </c>
      <c r="AM585" s="145"/>
      <c r="AN585" s="139"/>
      <c r="AO585" s="139"/>
      <c r="AP585" s="139"/>
      <c r="AQ585" s="145"/>
      <c r="AR585" s="145"/>
    </row>
    <row r="586" spans="1:44" s="156" customFormat="1" ht="63" x14ac:dyDescent="0.25">
      <c r="A586" s="143" t="s">
        <v>52</v>
      </c>
      <c r="B586" s="144">
        <v>573</v>
      </c>
      <c r="C586" s="143" t="s">
        <v>498</v>
      </c>
      <c r="D586" s="143" t="s">
        <v>3136</v>
      </c>
      <c r="E586" s="145" t="s">
        <v>3137</v>
      </c>
      <c r="F586" s="146"/>
      <c r="G586" s="143" t="s">
        <v>3138</v>
      </c>
      <c r="H586" s="143"/>
      <c r="I586" s="143"/>
      <c r="J586" s="143"/>
      <c r="K586" s="143"/>
      <c r="L586" s="143" t="s">
        <v>3139</v>
      </c>
      <c r="M586" s="143" t="s">
        <v>43</v>
      </c>
      <c r="N586" s="143" t="s">
        <v>3140</v>
      </c>
      <c r="O586" s="147">
        <v>4657154105</v>
      </c>
      <c r="P586" s="150"/>
      <c r="Q586" s="177">
        <v>15000000</v>
      </c>
      <c r="R586" s="150"/>
      <c r="S586" s="147">
        <f t="shared" si="1029"/>
        <v>4672154105</v>
      </c>
      <c r="T586" s="143"/>
      <c r="U586" s="143"/>
      <c r="V586" s="157"/>
      <c r="W586" s="143"/>
      <c r="X586" s="143"/>
      <c r="Y586" s="152">
        <f t="shared" ref="Y586:AB586" si="1155">AD586-T586</f>
        <v>0</v>
      </c>
      <c r="Z586" s="151">
        <f t="shared" si="1155"/>
        <v>0</v>
      </c>
      <c r="AA586" s="151">
        <f t="shared" si="1155"/>
        <v>0</v>
      </c>
      <c r="AB586" s="151">
        <f t="shared" si="1155"/>
        <v>0</v>
      </c>
      <c r="AC586" s="143"/>
      <c r="AD586" s="155"/>
      <c r="AE586" s="150"/>
      <c r="AF586" s="150"/>
      <c r="AG586" s="150"/>
      <c r="AH586" s="143">
        <f t="shared" si="1031"/>
        <v>0</v>
      </c>
      <c r="AI586" s="151">
        <v>4657154105</v>
      </c>
      <c r="AJ586" s="151">
        <f t="shared" ref="AJ586:AL586" si="1156">P586-AE586</f>
        <v>0</v>
      </c>
      <c r="AK586" s="151">
        <f t="shared" si="1156"/>
        <v>15000000</v>
      </c>
      <c r="AL586" s="151">
        <f t="shared" si="1156"/>
        <v>0</v>
      </c>
      <c r="AM586" s="148">
        <v>4657154105</v>
      </c>
      <c r="AN586" s="159" t="s">
        <v>4005</v>
      </c>
      <c r="AO586" s="160"/>
      <c r="AP586" s="168" t="s">
        <v>4006</v>
      </c>
      <c r="AQ586" s="219"/>
      <c r="AR586" s="218"/>
    </row>
    <row r="587" spans="1:44" s="156" customFormat="1" ht="31.5" x14ac:dyDescent="0.25">
      <c r="A587" s="143" t="s">
        <v>88</v>
      </c>
      <c r="B587" s="144">
        <v>574</v>
      </c>
      <c r="C587" s="143" t="s">
        <v>498</v>
      </c>
      <c r="D587" s="143" t="s">
        <v>3141</v>
      </c>
      <c r="E587" s="145"/>
      <c r="F587" s="146"/>
      <c r="G587" s="143" t="s">
        <v>3142</v>
      </c>
      <c r="H587" s="143"/>
      <c r="I587" s="143"/>
      <c r="J587" s="143"/>
      <c r="K587" s="143"/>
      <c r="L587" s="143" t="s">
        <v>3143</v>
      </c>
      <c r="M587" s="143" t="s">
        <v>43</v>
      </c>
      <c r="N587" s="143" t="s">
        <v>3144</v>
      </c>
      <c r="O587" s="147">
        <v>2293726938</v>
      </c>
      <c r="P587" s="150"/>
      <c r="Q587" s="169">
        <v>7500000</v>
      </c>
      <c r="R587" s="150"/>
      <c r="S587" s="147">
        <f t="shared" si="1029"/>
        <v>2301226938</v>
      </c>
      <c r="T587" s="151">
        <v>2293726938</v>
      </c>
      <c r="U587" s="143"/>
      <c r="V587" s="147">
        <v>7500000</v>
      </c>
      <c r="W587" s="143"/>
      <c r="X587" s="143"/>
      <c r="Y587" s="152">
        <f t="shared" ref="Y587:AB587" si="1157">AD587-T587</f>
        <v>0</v>
      </c>
      <c r="Z587" s="151">
        <f t="shared" si="1157"/>
        <v>0</v>
      </c>
      <c r="AA587" s="151">
        <f t="shared" si="1157"/>
        <v>0</v>
      </c>
      <c r="AB587" s="152">
        <f t="shared" si="1157"/>
        <v>0</v>
      </c>
      <c r="AC587" s="143"/>
      <c r="AD587" s="155">
        <v>2293726938</v>
      </c>
      <c r="AE587" s="150"/>
      <c r="AF587" s="148">
        <v>7500000</v>
      </c>
      <c r="AG587" s="155"/>
      <c r="AH587" s="143">
        <f t="shared" si="1031"/>
        <v>0</v>
      </c>
      <c r="AI587" s="151"/>
      <c r="AJ587" s="151">
        <f t="shared" ref="AJ587:AL587" si="1158">P587-AE587</f>
        <v>0</v>
      </c>
      <c r="AK587" s="151">
        <f t="shared" si="1158"/>
        <v>0</v>
      </c>
      <c r="AL587" s="151">
        <f t="shared" si="1158"/>
        <v>0</v>
      </c>
      <c r="AM587" s="145"/>
      <c r="AN587" s="139"/>
      <c r="AO587" s="139"/>
      <c r="AP587" s="139"/>
      <c r="AQ587" s="145"/>
      <c r="AR587" s="145"/>
    </row>
    <row r="588" spans="1:44" s="156" customFormat="1" ht="63" x14ac:dyDescent="0.25">
      <c r="A588" s="143" t="s">
        <v>52</v>
      </c>
      <c r="B588" s="144">
        <v>575</v>
      </c>
      <c r="C588" s="143" t="s">
        <v>498</v>
      </c>
      <c r="D588" s="143" t="s">
        <v>934</v>
      </c>
      <c r="E588" s="145" t="s">
        <v>935</v>
      </c>
      <c r="F588" s="145" t="s">
        <v>3661</v>
      </c>
      <c r="G588" s="143" t="s">
        <v>936</v>
      </c>
      <c r="H588" s="143" t="s">
        <v>937</v>
      </c>
      <c r="I588" s="143"/>
      <c r="J588" s="143"/>
      <c r="K588" s="164"/>
      <c r="L588" s="143" t="s">
        <v>938</v>
      </c>
      <c r="M588" s="143" t="s">
        <v>43</v>
      </c>
      <c r="N588" s="143" t="s">
        <v>939</v>
      </c>
      <c r="O588" s="147">
        <v>2862700618</v>
      </c>
      <c r="P588" s="169">
        <v>122707142</v>
      </c>
      <c r="Q588" s="169">
        <v>15000000</v>
      </c>
      <c r="R588" s="148">
        <v>60000000</v>
      </c>
      <c r="S588" s="147">
        <f t="shared" si="1029"/>
        <v>3060407760</v>
      </c>
      <c r="T588" s="158">
        <v>2862700618</v>
      </c>
      <c r="U588" s="158">
        <v>122707142</v>
      </c>
      <c r="V588" s="147">
        <v>15000000</v>
      </c>
      <c r="W588" s="143"/>
      <c r="X588" s="143"/>
      <c r="Y588" s="152">
        <f t="shared" ref="Y588:AB588" si="1159">AD588-T588</f>
        <v>0</v>
      </c>
      <c r="Z588" s="151">
        <f t="shared" si="1159"/>
        <v>0</v>
      </c>
      <c r="AA588" s="151">
        <f t="shared" si="1159"/>
        <v>0</v>
      </c>
      <c r="AB588" s="151">
        <f t="shared" si="1159"/>
        <v>60000000</v>
      </c>
      <c r="AC588" s="165"/>
      <c r="AD588" s="194">
        <v>2862700618</v>
      </c>
      <c r="AE588" s="169">
        <v>122707142</v>
      </c>
      <c r="AF588" s="148">
        <v>15000000</v>
      </c>
      <c r="AG588" s="169">
        <v>60000000</v>
      </c>
      <c r="AH588" s="166">
        <f t="shared" si="1031"/>
        <v>0</v>
      </c>
      <c r="AI588" s="151"/>
      <c r="AJ588" s="151">
        <f t="shared" ref="AJ588:AL588" si="1160">P588-AE588</f>
        <v>0</v>
      </c>
      <c r="AK588" s="151">
        <f t="shared" si="1160"/>
        <v>0</v>
      </c>
      <c r="AL588" s="151">
        <f t="shared" si="1160"/>
        <v>0</v>
      </c>
      <c r="AM588" s="145"/>
      <c r="AN588" s="139"/>
      <c r="AO588" s="139"/>
      <c r="AP588" s="139"/>
      <c r="AQ588" s="145" t="s">
        <v>2745</v>
      </c>
      <c r="AR588" s="145"/>
    </row>
    <row r="589" spans="1:44" s="156" customFormat="1" ht="94.5" x14ac:dyDescent="0.25">
      <c r="A589" s="143" t="s">
        <v>60</v>
      </c>
      <c r="B589" s="175">
        <v>576</v>
      </c>
      <c r="C589" s="145" t="s">
        <v>498</v>
      </c>
      <c r="D589" s="143" t="s">
        <v>1831</v>
      </c>
      <c r="E589" s="145" t="s">
        <v>784</v>
      </c>
      <c r="F589" s="145" t="s">
        <v>2865</v>
      </c>
      <c r="G589" s="145" t="s">
        <v>1832</v>
      </c>
      <c r="H589" s="145"/>
      <c r="I589" s="145"/>
      <c r="J589" s="145"/>
      <c r="K589" s="146"/>
      <c r="L589" s="145" t="s">
        <v>1833</v>
      </c>
      <c r="M589" s="145" t="s">
        <v>43</v>
      </c>
      <c r="N589" s="145" t="s">
        <v>1834</v>
      </c>
      <c r="O589" s="147">
        <v>490595850</v>
      </c>
      <c r="P589" s="169">
        <v>2336428122</v>
      </c>
      <c r="Q589" s="169">
        <v>15000000</v>
      </c>
      <c r="R589" s="148">
        <f>42000000+84000000</f>
        <v>126000000</v>
      </c>
      <c r="S589" s="147">
        <f t="shared" si="1029"/>
        <v>2968023972</v>
      </c>
      <c r="T589" s="158">
        <v>490595850</v>
      </c>
      <c r="U589" s="158">
        <v>2336428122</v>
      </c>
      <c r="V589" s="147">
        <v>15000000</v>
      </c>
      <c r="W589" s="158">
        <v>42000000</v>
      </c>
      <c r="X589" s="143"/>
      <c r="Y589" s="151">
        <f t="shared" ref="Y589:AB589" si="1161">AD589-T589</f>
        <v>0</v>
      </c>
      <c r="Z589" s="151">
        <f t="shared" si="1161"/>
        <v>0</v>
      </c>
      <c r="AA589" s="151">
        <f t="shared" si="1161"/>
        <v>0</v>
      </c>
      <c r="AB589" s="151">
        <f t="shared" si="1161"/>
        <v>0</v>
      </c>
      <c r="AC589" s="165"/>
      <c r="AD589" s="169">
        <v>490595850</v>
      </c>
      <c r="AE589" s="169">
        <v>2336428122</v>
      </c>
      <c r="AF589" s="148">
        <v>15000000</v>
      </c>
      <c r="AG589" s="169">
        <v>42000000</v>
      </c>
      <c r="AH589" s="166">
        <f t="shared" si="1031"/>
        <v>0</v>
      </c>
      <c r="AI589" s="151"/>
      <c r="AJ589" s="151">
        <f t="shared" ref="AJ589:AL589" si="1162">P589-AE589</f>
        <v>0</v>
      </c>
      <c r="AK589" s="151">
        <f t="shared" si="1162"/>
        <v>0</v>
      </c>
      <c r="AL589" s="150">
        <f t="shared" si="1162"/>
        <v>84000000</v>
      </c>
      <c r="AM589" s="145"/>
      <c r="AN589" s="172"/>
      <c r="AO589" s="139"/>
      <c r="AP589" s="139"/>
      <c r="AQ589" s="145" t="s">
        <v>2808</v>
      </c>
      <c r="AR589" s="145"/>
    </row>
    <row r="590" spans="1:44" s="156" customFormat="1" ht="78.75" x14ac:dyDescent="0.25">
      <c r="A590" s="143" t="s">
        <v>60</v>
      </c>
      <c r="B590" s="175">
        <v>577</v>
      </c>
      <c r="C590" s="145" t="s">
        <v>498</v>
      </c>
      <c r="D590" s="143" t="s">
        <v>1278</v>
      </c>
      <c r="E590" s="145" t="s">
        <v>377</v>
      </c>
      <c r="F590" s="145" t="s">
        <v>1279</v>
      </c>
      <c r="G590" s="145" t="s">
        <v>1280</v>
      </c>
      <c r="H590" s="145" t="s">
        <v>1281</v>
      </c>
      <c r="I590" s="145"/>
      <c r="J590" s="145"/>
      <c r="K590" s="146"/>
      <c r="L590" s="145" t="s">
        <v>1282</v>
      </c>
      <c r="M590" s="145" t="s">
        <v>43</v>
      </c>
      <c r="N590" s="145" t="s">
        <v>1283</v>
      </c>
      <c r="O590" s="147">
        <v>3664901998</v>
      </c>
      <c r="P590" s="169">
        <v>306209442</v>
      </c>
      <c r="Q590" s="169">
        <v>15000000</v>
      </c>
      <c r="R590" s="148">
        <f>54000000+108000000</f>
        <v>162000000</v>
      </c>
      <c r="S590" s="147">
        <f t="shared" si="1029"/>
        <v>4148111440</v>
      </c>
      <c r="T590" s="158">
        <v>3664901998</v>
      </c>
      <c r="U590" s="158">
        <v>306209442</v>
      </c>
      <c r="V590" s="147">
        <v>15000000</v>
      </c>
      <c r="W590" s="158">
        <v>54000000</v>
      </c>
      <c r="X590" s="143"/>
      <c r="Y590" s="152">
        <f t="shared" ref="Y590:AB590" si="1163">AD590-T590</f>
        <v>0</v>
      </c>
      <c r="Z590" s="151">
        <f t="shared" si="1163"/>
        <v>0</v>
      </c>
      <c r="AA590" s="151">
        <f t="shared" si="1163"/>
        <v>0</v>
      </c>
      <c r="AB590" s="151">
        <f t="shared" si="1163"/>
        <v>0</v>
      </c>
      <c r="AC590" s="165"/>
      <c r="AD590" s="191">
        <v>3664901998</v>
      </c>
      <c r="AE590" s="169">
        <v>306209442</v>
      </c>
      <c r="AF590" s="148">
        <v>15000000</v>
      </c>
      <c r="AG590" s="169">
        <v>54000000</v>
      </c>
      <c r="AH590" s="166">
        <f t="shared" si="1031"/>
        <v>0</v>
      </c>
      <c r="AI590" s="151"/>
      <c r="AJ590" s="151">
        <f t="shared" ref="AJ590:AL590" si="1164">P590-AE590</f>
        <v>0</v>
      </c>
      <c r="AK590" s="151">
        <f t="shared" si="1164"/>
        <v>0</v>
      </c>
      <c r="AL590" s="150">
        <f t="shared" si="1164"/>
        <v>108000000</v>
      </c>
      <c r="AM590" s="145"/>
      <c r="AN590" s="139"/>
      <c r="AO590" s="139"/>
      <c r="AP590" s="139"/>
      <c r="AQ590" s="145" t="s">
        <v>2745</v>
      </c>
      <c r="AR590" s="145"/>
    </row>
    <row r="591" spans="1:44" s="156" customFormat="1" ht="47.25" x14ac:dyDescent="0.25">
      <c r="A591" s="143" t="s">
        <v>88</v>
      </c>
      <c r="B591" s="144">
        <v>578</v>
      </c>
      <c r="C591" s="143" t="s">
        <v>498</v>
      </c>
      <c r="D591" s="143" t="s">
        <v>3147</v>
      </c>
      <c r="E591" s="145"/>
      <c r="F591" s="145"/>
      <c r="G591" s="143" t="s">
        <v>3148</v>
      </c>
      <c r="H591" s="143"/>
      <c r="I591" s="143"/>
      <c r="J591" s="143"/>
      <c r="K591" s="143"/>
      <c r="L591" s="143" t="s">
        <v>3149</v>
      </c>
      <c r="M591" s="143" t="s">
        <v>43</v>
      </c>
      <c r="N591" s="143" t="s">
        <v>3150</v>
      </c>
      <c r="O591" s="147">
        <v>2671997320</v>
      </c>
      <c r="P591" s="150"/>
      <c r="Q591" s="169">
        <v>15000000</v>
      </c>
      <c r="R591" s="150"/>
      <c r="S591" s="147">
        <f t="shared" si="1029"/>
        <v>2686997320</v>
      </c>
      <c r="T591" s="151">
        <v>2671997320</v>
      </c>
      <c r="U591" s="143"/>
      <c r="V591" s="147">
        <v>15000000</v>
      </c>
      <c r="W591" s="143"/>
      <c r="X591" s="143"/>
      <c r="Y591" s="152">
        <f t="shared" ref="Y591:AB591" si="1165">AD591-T591</f>
        <v>0</v>
      </c>
      <c r="Z591" s="151">
        <f t="shared" si="1165"/>
        <v>0</v>
      </c>
      <c r="AA591" s="151">
        <f t="shared" si="1165"/>
        <v>0</v>
      </c>
      <c r="AB591" s="152">
        <f t="shared" si="1165"/>
        <v>0</v>
      </c>
      <c r="AC591" s="143"/>
      <c r="AD591" s="155">
        <v>2671997320</v>
      </c>
      <c r="AE591" s="150"/>
      <c r="AF591" s="148">
        <v>15000000</v>
      </c>
      <c r="AG591" s="155"/>
      <c r="AH591" s="143">
        <f t="shared" si="1031"/>
        <v>0</v>
      </c>
      <c r="AI591" s="151"/>
      <c r="AJ591" s="151">
        <f t="shared" ref="AJ591:AL591" si="1166">P591-AE591</f>
        <v>0</v>
      </c>
      <c r="AK591" s="151">
        <f t="shared" si="1166"/>
        <v>0</v>
      </c>
      <c r="AL591" s="151">
        <f t="shared" si="1166"/>
        <v>0</v>
      </c>
      <c r="AM591" s="145"/>
      <c r="AN591" s="139"/>
      <c r="AO591" s="139"/>
      <c r="AP591" s="139"/>
      <c r="AQ591" s="145"/>
      <c r="AR591" s="145"/>
    </row>
    <row r="592" spans="1:44" s="156" customFormat="1" ht="47.25" x14ac:dyDescent="0.25">
      <c r="A592" s="143" t="s">
        <v>88</v>
      </c>
      <c r="B592" s="144">
        <v>579</v>
      </c>
      <c r="C592" s="143" t="s">
        <v>498</v>
      </c>
      <c r="D592" s="143" t="s">
        <v>3151</v>
      </c>
      <c r="E592" s="145" t="s">
        <v>3152</v>
      </c>
      <c r="F592" s="146"/>
      <c r="G592" s="143" t="s">
        <v>3153</v>
      </c>
      <c r="H592" s="143" t="s">
        <v>1125</v>
      </c>
      <c r="I592" s="143"/>
      <c r="J592" s="143"/>
      <c r="K592" s="143"/>
      <c r="L592" s="143" t="s">
        <v>3154</v>
      </c>
      <c r="M592" s="143" t="s">
        <v>43</v>
      </c>
      <c r="N592" s="143" t="s">
        <v>3155</v>
      </c>
      <c r="O592" s="147">
        <v>68554474200</v>
      </c>
      <c r="P592" s="169">
        <f>6045925550+65877660</f>
        <v>6111803210</v>
      </c>
      <c r="Q592" s="169">
        <v>7500000</v>
      </c>
      <c r="R592" s="150"/>
      <c r="S592" s="147">
        <f t="shared" si="1029"/>
        <v>74673777410</v>
      </c>
      <c r="T592" s="151">
        <v>68554474200</v>
      </c>
      <c r="U592" s="158">
        <v>6111803210</v>
      </c>
      <c r="V592" s="147">
        <v>7500000</v>
      </c>
      <c r="W592" s="143"/>
      <c r="X592" s="143"/>
      <c r="Y592" s="152">
        <f t="shared" ref="Y592:AB592" si="1167">AD592-T592</f>
        <v>0</v>
      </c>
      <c r="Z592" s="151">
        <f t="shared" si="1167"/>
        <v>0</v>
      </c>
      <c r="AA592" s="151">
        <f t="shared" si="1167"/>
        <v>0</v>
      </c>
      <c r="AB592" s="152">
        <f t="shared" si="1167"/>
        <v>0</v>
      </c>
      <c r="AC592" s="143"/>
      <c r="AD592" s="155">
        <v>68554474200</v>
      </c>
      <c r="AE592" s="148">
        <v>6111803210</v>
      </c>
      <c r="AF592" s="148">
        <v>7500000</v>
      </c>
      <c r="AG592" s="155"/>
      <c r="AH592" s="143">
        <f t="shared" si="1031"/>
        <v>0</v>
      </c>
      <c r="AI592" s="151"/>
      <c r="AJ592" s="151">
        <f t="shared" ref="AJ592:AL592" si="1168">P592-AE592</f>
        <v>0</v>
      </c>
      <c r="AK592" s="151">
        <f t="shared" si="1168"/>
        <v>0</v>
      </c>
      <c r="AL592" s="151">
        <f t="shared" si="1168"/>
        <v>0</v>
      </c>
      <c r="AM592" s="145"/>
      <c r="AN592" s="139"/>
      <c r="AO592" s="139"/>
      <c r="AP592" s="139"/>
      <c r="AQ592" s="145"/>
      <c r="AR592" s="145"/>
    </row>
    <row r="593" spans="1:44" s="156" customFormat="1" ht="220.5" x14ac:dyDescent="0.25">
      <c r="A593" s="143" t="s">
        <v>275</v>
      </c>
      <c r="B593" s="144">
        <v>580</v>
      </c>
      <c r="C593" s="143" t="s">
        <v>498</v>
      </c>
      <c r="D593" s="143" t="s">
        <v>3156</v>
      </c>
      <c r="E593" s="145"/>
      <c r="F593" s="146"/>
      <c r="G593" s="143" t="s">
        <v>3157</v>
      </c>
      <c r="H593" s="189" t="s">
        <v>3158</v>
      </c>
      <c r="I593" s="143"/>
      <c r="J593" s="143"/>
      <c r="K593" s="143"/>
      <c r="L593" s="143" t="s">
        <v>1704</v>
      </c>
      <c r="M593" s="143" t="s">
        <v>43</v>
      </c>
      <c r="N593" s="143" t="s">
        <v>3159</v>
      </c>
      <c r="O593" s="147">
        <v>1711695248</v>
      </c>
      <c r="P593" s="150"/>
      <c r="Q593" s="177">
        <v>7500000</v>
      </c>
      <c r="R593" s="150"/>
      <c r="S593" s="147">
        <f t="shared" si="1029"/>
        <v>1719195248</v>
      </c>
      <c r="T593" s="158">
        <v>1711695248</v>
      </c>
      <c r="U593" s="143"/>
      <c r="V593" s="157"/>
      <c r="W593" s="143"/>
      <c r="X593" s="143"/>
      <c r="Y593" s="152">
        <f t="shared" ref="Y593:AB593" si="1169">AD593-T593</f>
        <v>0</v>
      </c>
      <c r="Z593" s="151">
        <f t="shared" si="1169"/>
        <v>0</v>
      </c>
      <c r="AA593" s="151">
        <f t="shared" si="1169"/>
        <v>0</v>
      </c>
      <c r="AB593" s="151">
        <f t="shared" si="1169"/>
        <v>0</v>
      </c>
      <c r="AC593" s="143"/>
      <c r="AD593" s="149">
        <v>1711695248</v>
      </c>
      <c r="AE593" s="150"/>
      <c r="AF593" s="150"/>
      <c r="AG593" s="150"/>
      <c r="AH593" s="143">
        <f t="shared" si="1031"/>
        <v>0</v>
      </c>
      <c r="AI593" s="151"/>
      <c r="AJ593" s="151">
        <f t="shared" ref="AJ593:AL593" si="1170">P593-AE593</f>
        <v>0</v>
      </c>
      <c r="AK593" s="151">
        <f t="shared" si="1170"/>
        <v>7500000</v>
      </c>
      <c r="AL593" s="151">
        <f t="shared" si="1170"/>
        <v>0</v>
      </c>
      <c r="AM593" s="145"/>
      <c r="AN593" s="139"/>
      <c r="AO593" s="139"/>
      <c r="AP593" s="162" t="s">
        <v>4007</v>
      </c>
      <c r="AQ593" s="145"/>
      <c r="AR593" s="145"/>
    </row>
    <row r="594" spans="1:44" s="156" customFormat="1" ht="31.5" x14ac:dyDescent="0.25">
      <c r="A594" s="143" t="s">
        <v>88</v>
      </c>
      <c r="B594" s="144">
        <v>581</v>
      </c>
      <c r="C594" s="143" t="s">
        <v>498</v>
      </c>
      <c r="D594" s="143" t="s">
        <v>3160</v>
      </c>
      <c r="E594" s="145"/>
      <c r="F594" s="146"/>
      <c r="G594" s="143" t="s">
        <v>3161</v>
      </c>
      <c r="H594" s="143"/>
      <c r="I594" s="143"/>
      <c r="J594" s="143"/>
      <c r="K594" s="143"/>
      <c r="L594" s="143" t="s">
        <v>3162</v>
      </c>
      <c r="M594" s="143" t="s">
        <v>43</v>
      </c>
      <c r="N594" s="143" t="s">
        <v>3163</v>
      </c>
      <c r="O594" s="147">
        <v>7112339220</v>
      </c>
      <c r="P594" s="150"/>
      <c r="Q594" s="177">
        <v>7500000</v>
      </c>
      <c r="R594" s="150"/>
      <c r="S594" s="147">
        <f t="shared" si="1029"/>
        <v>7119839220</v>
      </c>
      <c r="T594" s="151">
        <v>7112339220</v>
      </c>
      <c r="U594" s="143"/>
      <c r="V594" s="157">
        <v>7500000</v>
      </c>
      <c r="W594" s="143"/>
      <c r="X594" s="143"/>
      <c r="Y594" s="152">
        <f t="shared" ref="Y594:AB594" si="1171">AD594-T594</f>
        <v>0</v>
      </c>
      <c r="Z594" s="151">
        <f t="shared" si="1171"/>
        <v>0</v>
      </c>
      <c r="AA594" s="151">
        <f t="shared" si="1171"/>
        <v>0</v>
      </c>
      <c r="AB594" s="151">
        <f t="shared" si="1171"/>
        <v>0</v>
      </c>
      <c r="AC594" s="143"/>
      <c r="AD594" s="155">
        <v>7112339220</v>
      </c>
      <c r="AE594" s="178"/>
      <c r="AF594" s="148">
        <v>7500000</v>
      </c>
      <c r="AG594" s="178"/>
      <c r="AH594" s="143">
        <f t="shared" si="1031"/>
        <v>0</v>
      </c>
      <c r="AI594" s="151"/>
      <c r="AJ594" s="151">
        <f t="shared" ref="AJ594:AL594" si="1172">P594-AE594</f>
        <v>0</v>
      </c>
      <c r="AK594" s="151">
        <f t="shared" si="1172"/>
        <v>0</v>
      </c>
      <c r="AL594" s="151">
        <f t="shared" si="1172"/>
        <v>0</v>
      </c>
      <c r="AM594" s="145"/>
      <c r="AN594" s="139"/>
      <c r="AO594" s="139"/>
      <c r="AP594" s="139"/>
      <c r="AQ594" s="145"/>
      <c r="AR594" s="145"/>
    </row>
    <row r="595" spans="1:44" s="156" customFormat="1" ht="47.25" x14ac:dyDescent="0.25">
      <c r="A595" s="143" t="s">
        <v>60</v>
      </c>
      <c r="B595" s="144">
        <v>582</v>
      </c>
      <c r="C595" s="143" t="s">
        <v>498</v>
      </c>
      <c r="D595" s="143" t="s">
        <v>566</v>
      </c>
      <c r="E595" s="145" t="s">
        <v>567</v>
      </c>
      <c r="F595" s="145" t="s">
        <v>568</v>
      </c>
      <c r="G595" s="143" t="s">
        <v>569</v>
      </c>
      <c r="H595" s="143"/>
      <c r="I595" s="143"/>
      <c r="J595" s="143"/>
      <c r="K595" s="164"/>
      <c r="L595" s="143" t="s">
        <v>570</v>
      </c>
      <c r="M595" s="143" t="s">
        <v>43</v>
      </c>
      <c r="N595" s="143" t="s">
        <v>571</v>
      </c>
      <c r="O595" s="147">
        <v>9159919264</v>
      </c>
      <c r="P595" s="169">
        <v>705698588</v>
      </c>
      <c r="Q595" s="169">
        <v>15000000</v>
      </c>
      <c r="R595" s="148">
        <v>24000000</v>
      </c>
      <c r="S595" s="147">
        <f t="shared" si="1029"/>
        <v>9904617852</v>
      </c>
      <c r="T595" s="158">
        <v>9159919264</v>
      </c>
      <c r="U595" s="158">
        <v>705698588</v>
      </c>
      <c r="V595" s="157"/>
      <c r="W595" s="158">
        <v>24000000</v>
      </c>
      <c r="X595" s="143"/>
      <c r="Y595" s="151">
        <f t="shared" ref="Y595:AB595" si="1173">AD595-T595</f>
        <v>0</v>
      </c>
      <c r="Z595" s="151">
        <f t="shared" si="1173"/>
        <v>0</v>
      </c>
      <c r="AA595" s="151">
        <f t="shared" si="1173"/>
        <v>0</v>
      </c>
      <c r="AB595" s="151">
        <f t="shared" si="1173"/>
        <v>0</v>
      </c>
      <c r="AC595" s="143"/>
      <c r="AD595" s="181">
        <v>9159919264</v>
      </c>
      <c r="AE595" s="169">
        <v>705698588</v>
      </c>
      <c r="AF595" s="150"/>
      <c r="AG595" s="169">
        <v>24000000</v>
      </c>
      <c r="AH595" s="143">
        <f t="shared" si="1031"/>
        <v>0</v>
      </c>
      <c r="AI595" s="151"/>
      <c r="AJ595" s="151">
        <f t="shared" ref="AJ595:AL595" si="1174">P595-AE595</f>
        <v>0</v>
      </c>
      <c r="AK595" s="151">
        <f t="shared" si="1174"/>
        <v>15000000</v>
      </c>
      <c r="AL595" s="151">
        <f t="shared" si="1174"/>
        <v>0</v>
      </c>
      <c r="AM595" s="145"/>
      <c r="AN595" s="139"/>
      <c r="AO595" s="139"/>
      <c r="AP595" s="162" t="s">
        <v>4008</v>
      </c>
      <c r="AQ595" s="145"/>
      <c r="AR595" s="145"/>
    </row>
    <row r="596" spans="1:44" s="156" customFormat="1" ht="63" x14ac:dyDescent="0.25">
      <c r="A596" s="143" t="s">
        <v>60</v>
      </c>
      <c r="B596" s="144">
        <v>583</v>
      </c>
      <c r="C596" s="143" t="s">
        <v>498</v>
      </c>
      <c r="D596" s="143" t="s">
        <v>3164</v>
      </c>
      <c r="E596" s="145"/>
      <c r="F596" s="145"/>
      <c r="G596" s="143" t="s">
        <v>3165</v>
      </c>
      <c r="H596" s="143"/>
      <c r="I596" s="143"/>
      <c r="J596" s="143"/>
      <c r="K596" s="143"/>
      <c r="L596" s="143" t="s">
        <v>3166</v>
      </c>
      <c r="M596" s="143" t="s">
        <v>43</v>
      </c>
      <c r="N596" s="143" t="s">
        <v>3167</v>
      </c>
      <c r="O596" s="147">
        <v>10795952385</v>
      </c>
      <c r="P596" s="150"/>
      <c r="Q596" s="169">
        <v>7500000</v>
      </c>
      <c r="R596" s="150"/>
      <c r="S596" s="147">
        <f t="shared" si="1029"/>
        <v>10803452385</v>
      </c>
      <c r="T596" s="158">
        <v>10795952385</v>
      </c>
      <c r="U596" s="143"/>
      <c r="V596" s="157"/>
      <c r="W596" s="143"/>
      <c r="X596" s="143"/>
      <c r="Y596" s="152">
        <f t="shared" ref="Y596:AB596" si="1175">AD596-T596</f>
        <v>0</v>
      </c>
      <c r="Z596" s="151">
        <f t="shared" si="1175"/>
        <v>0</v>
      </c>
      <c r="AA596" s="151">
        <f t="shared" si="1175"/>
        <v>0</v>
      </c>
      <c r="AB596" s="152">
        <f t="shared" si="1175"/>
        <v>0</v>
      </c>
      <c r="AC596" s="143"/>
      <c r="AD596" s="149">
        <v>10795952385</v>
      </c>
      <c r="AE596" s="150"/>
      <c r="AF596" s="150"/>
      <c r="AG596" s="155"/>
      <c r="AH596" s="143">
        <f t="shared" si="1031"/>
        <v>0</v>
      </c>
      <c r="AI596" s="151"/>
      <c r="AJ596" s="151">
        <f t="shared" ref="AJ596:AL596" si="1176">P596-AE596</f>
        <v>0</v>
      </c>
      <c r="AK596" s="151">
        <f t="shared" si="1176"/>
        <v>7500000</v>
      </c>
      <c r="AL596" s="151">
        <f t="shared" si="1176"/>
        <v>0</v>
      </c>
      <c r="AM596" s="145"/>
      <c r="AN596" s="139"/>
      <c r="AO596" s="139"/>
      <c r="AP596" s="162" t="s">
        <v>4009</v>
      </c>
      <c r="AQ596" s="145"/>
      <c r="AR596" s="145"/>
    </row>
    <row r="597" spans="1:44" s="156" customFormat="1" ht="47.25" x14ac:dyDescent="0.25">
      <c r="A597" s="143" t="s">
        <v>275</v>
      </c>
      <c r="B597" s="144">
        <v>584</v>
      </c>
      <c r="C597" s="143" t="s">
        <v>498</v>
      </c>
      <c r="D597" s="143" t="s">
        <v>3168</v>
      </c>
      <c r="E597" s="145" t="s">
        <v>4010</v>
      </c>
      <c r="F597" s="146"/>
      <c r="G597" s="143" t="s">
        <v>3169</v>
      </c>
      <c r="H597" s="143"/>
      <c r="I597" s="143"/>
      <c r="J597" s="143"/>
      <c r="K597" s="143"/>
      <c r="L597" s="143" t="s">
        <v>3170</v>
      </c>
      <c r="M597" s="143" t="s">
        <v>43</v>
      </c>
      <c r="N597" s="143" t="s">
        <v>3171</v>
      </c>
      <c r="O597" s="147">
        <v>2819871600</v>
      </c>
      <c r="P597" s="148">
        <v>253201560</v>
      </c>
      <c r="Q597" s="177">
        <v>7500000</v>
      </c>
      <c r="R597" s="150"/>
      <c r="S597" s="147">
        <f t="shared" si="1029"/>
        <v>3080573160</v>
      </c>
      <c r="T597" s="158">
        <v>2819871600</v>
      </c>
      <c r="U597" s="143"/>
      <c r="V597" s="157">
        <v>7500000</v>
      </c>
      <c r="W597" s="143"/>
      <c r="X597" s="143"/>
      <c r="Y597" s="152">
        <f t="shared" ref="Y597:AB597" si="1177">AD597-T597</f>
        <v>0</v>
      </c>
      <c r="Z597" s="151">
        <f t="shared" si="1177"/>
        <v>0</v>
      </c>
      <c r="AA597" s="151">
        <f t="shared" si="1177"/>
        <v>0</v>
      </c>
      <c r="AB597" s="151">
        <f t="shared" si="1177"/>
        <v>0</v>
      </c>
      <c r="AC597" s="143"/>
      <c r="AD597" s="194">
        <v>2819871600</v>
      </c>
      <c r="AE597" s="178"/>
      <c r="AF597" s="148">
        <v>7500000</v>
      </c>
      <c r="AG597" s="178"/>
      <c r="AH597" s="143">
        <f t="shared" si="1031"/>
        <v>0</v>
      </c>
      <c r="AI597" s="151"/>
      <c r="AJ597" s="151">
        <f t="shared" ref="AJ597:AL597" si="1178">P597-AE597</f>
        <v>253201560</v>
      </c>
      <c r="AK597" s="151">
        <f t="shared" si="1178"/>
        <v>0</v>
      </c>
      <c r="AL597" s="151">
        <f t="shared" si="1178"/>
        <v>0</v>
      </c>
      <c r="AM597" s="145"/>
      <c r="AN597" s="139"/>
      <c r="AO597" s="139" t="s">
        <v>2129</v>
      </c>
      <c r="AP597" s="139"/>
      <c r="AQ597" s="145"/>
      <c r="AR597" s="145"/>
    </row>
    <row r="598" spans="1:44" s="156" customFormat="1" ht="31.5" x14ac:dyDescent="0.25">
      <c r="A598" s="143" t="s">
        <v>60</v>
      </c>
      <c r="B598" s="144">
        <v>585</v>
      </c>
      <c r="C598" s="143" t="s">
        <v>498</v>
      </c>
      <c r="D598" s="143" t="s">
        <v>3172</v>
      </c>
      <c r="E598" s="145"/>
      <c r="F598" s="146"/>
      <c r="G598" s="143" t="s">
        <v>3173</v>
      </c>
      <c r="H598" s="143"/>
      <c r="I598" s="143"/>
      <c r="J598" s="143"/>
      <c r="K598" s="143"/>
      <c r="L598" s="143" t="s">
        <v>3174</v>
      </c>
      <c r="M598" s="143" t="s">
        <v>43</v>
      </c>
      <c r="N598" s="143" t="s">
        <v>3175</v>
      </c>
      <c r="O598" s="147">
        <v>22402051899</v>
      </c>
      <c r="P598" s="150"/>
      <c r="Q598" s="169">
        <v>15000000</v>
      </c>
      <c r="R598" s="150"/>
      <c r="S598" s="147">
        <f t="shared" si="1029"/>
        <v>22417051899</v>
      </c>
      <c r="T598" s="158">
        <v>22402051899</v>
      </c>
      <c r="U598" s="143"/>
      <c r="V598" s="147">
        <v>15000000</v>
      </c>
      <c r="W598" s="143"/>
      <c r="X598" s="143"/>
      <c r="Y598" s="152">
        <f t="shared" ref="Y598:AB598" si="1179">AD598-T598</f>
        <v>0</v>
      </c>
      <c r="Z598" s="151">
        <f t="shared" si="1179"/>
        <v>0</v>
      </c>
      <c r="AA598" s="151">
        <f t="shared" si="1179"/>
        <v>0</v>
      </c>
      <c r="AB598" s="151">
        <f t="shared" si="1179"/>
        <v>0</v>
      </c>
      <c r="AC598" s="143"/>
      <c r="AD598" s="191">
        <v>22402051899</v>
      </c>
      <c r="AE598" s="150"/>
      <c r="AF598" s="148">
        <v>15000000</v>
      </c>
      <c r="AG598" s="150"/>
      <c r="AH598" s="143">
        <f t="shared" si="1031"/>
        <v>0</v>
      </c>
      <c r="AI598" s="151"/>
      <c r="AJ598" s="151">
        <f t="shared" ref="AJ598:AL598" si="1180">P598-AE598</f>
        <v>0</v>
      </c>
      <c r="AK598" s="151">
        <f t="shared" si="1180"/>
        <v>0</v>
      </c>
      <c r="AL598" s="151">
        <f t="shared" si="1180"/>
        <v>0</v>
      </c>
      <c r="AM598" s="145"/>
      <c r="AN598" s="139"/>
      <c r="AO598" s="139"/>
      <c r="AP598" s="139"/>
      <c r="AQ598" s="145"/>
      <c r="AR598" s="145"/>
    </row>
    <row r="599" spans="1:44" s="156" customFormat="1" ht="78.75" x14ac:dyDescent="0.25">
      <c r="A599" s="143" t="s">
        <v>60</v>
      </c>
      <c r="B599" s="144">
        <v>586</v>
      </c>
      <c r="C599" s="143" t="s">
        <v>498</v>
      </c>
      <c r="D599" s="143" t="s">
        <v>1510</v>
      </c>
      <c r="E599" s="145"/>
      <c r="F599" s="145" t="s">
        <v>1503</v>
      </c>
      <c r="G599" s="143" t="s">
        <v>1511</v>
      </c>
      <c r="H599" s="143"/>
      <c r="I599" s="143"/>
      <c r="J599" s="143"/>
      <c r="K599" s="164"/>
      <c r="L599" s="143" t="s">
        <v>1512</v>
      </c>
      <c r="M599" s="143" t="s">
        <v>43</v>
      </c>
      <c r="N599" s="143" t="s">
        <v>1513</v>
      </c>
      <c r="O599" s="147">
        <v>3912494400</v>
      </c>
      <c r="P599" s="150"/>
      <c r="Q599" s="169">
        <v>15000000</v>
      </c>
      <c r="R599" s="148">
        <f>24000000+24000000</f>
        <v>48000000</v>
      </c>
      <c r="S599" s="147">
        <f t="shared" si="1029"/>
        <v>3975494400</v>
      </c>
      <c r="T599" s="158">
        <v>3912494400</v>
      </c>
      <c r="U599" s="143"/>
      <c r="V599" s="147">
        <v>15000000</v>
      </c>
      <c r="W599" s="158">
        <v>48000000</v>
      </c>
      <c r="X599" s="143"/>
      <c r="Y599" s="152">
        <f t="shared" ref="Y599:AB599" si="1181">AD599-T599</f>
        <v>0</v>
      </c>
      <c r="Z599" s="151">
        <f t="shared" si="1181"/>
        <v>0</v>
      </c>
      <c r="AA599" s="151">
        <f t="shared" si="1181"/>
        <v>0</v>
      </c>
      <c r="AB599" s="151">
        <f t="shared" si="1181"/>
        <v>0</v>
      </c>
      <c r="AC599" s="143"/>
      <c r="AD599" s="191">
        <v>3912494400</v>
      </c>
      <c r="AE599" s="170"/>
      <c r="AF599" s="148">
        <v>15000000</v>
      </c>
      <c r="AG599" s="169">
        <f>24000000+24000000</f>
        <v>48000000</v>
      </c>
      <c r="AH599" s="143">
        <f t="shared" si="1031"/>
        <v>0</v>
      </c>
      <c r="AI599" s="151"/>
      <c r="AJ599" s="151">
        <f t="shared" ref="AJ599:AL599" si="1182">P599-AE599</f>
        <v>0</v>
      </c>
      <c r="AK599" s="151">
        <f t="shared" si="1182"/>
        <v>0</v>
      </c>
      <c r="AL599" s="151">
        <f t="shared" si="1182"/>
        <v>0</v>
      </c>
      <c r="AM599" s="145"/>
      <c r="AN599" s="139"/>
      <c r="AO599" s="139"/>
      <c r="AP599" s="139"/>
      <c r="AQ599" s="145"/>
      <c r="AR599" s="145"/>
    </row>
    <row r="600" spans="1:44" s="156" customFormat="1" ht="47.25" x14ac:dyDescent="0.25">
      <c r="A600" s="143" t="s">
        <v>275</v>
      </c>
      <c r="B600" s="144">
        <v>587</v>
      </c>
      <c r="C600" s="143" t="s">
        <v>498</v>
      </c>
      <c r="D600" s="143" t="s">
        <v>3176</v>
      </c>
      <c r="E600" s="145" t="s">
        <v>1993</v>
      </c>
      <c r="F600" s="146"/>
      <c r="G600" s="143" t="s">
        <v>3177</v>
      </c>
      <c r="H600" s="143"/>
      <c r="I600" s="143"/>
      <c r="J600" s="143"/>
      <c r="K600" s="143"/>
      <c r="L600" s="143" t="s">
        <v>3178</v>
      </c>
      <c r="M600" s="143" t="s">
        <v>43</v>
      </c>
      <c r="N600" s="143" t="s">
        <v>3179</v>
      </c>
      <c r="O600" s="147">
        <v>1123628598</v>
      </c>
      <c r="P600" s="169">
        <v>258107850</v>
      </c>
      <c r="Q600" s="169">
        <v>7500000</v>
      </c>
      <c r="R600" s="150"/>
      <c r="S600" s="147">
        <f t="shared" si="1029"/>
        <v>1389236448</v>
      </c>
      <c r="T600" s="158">
        <v>1123628598</v>
      </c>
      <c r="U600" s="158">
        <v>258107850</v>
      </c>
      <c r="V600" s="147">
        <v>7500000</v>
      </c>
      <c r="W600" s="143"/>
      <c r="X600" s="143"/>
      <c r="Y600" s="152">
        <f t="shared" ref="Y600:AB600" si="1183">AD600-T600</f>
        <v>0</v>
      </c>
      <c r="Z600" s="151">
        <f t="shared" si="1183"/>
        <v>0</v>
      </c>
      <c r="AA600" s="151">
        <f t="shared" si="1183"/>
        <v>0</v>
      </c>
      <c r="AB600" s="152">
        <f t="shared" si="1183"/>
        <v>0</v>
      </c>
      <c r="AC600" s="143"/>
      <c r="AD600" s="191">
        <v>1123628598</v>
      </c>
      <c r="AE600" s="169">
        <v>258107850</v>
      </c>
      <c r="AF600" s="169">
        <v>7500000</v>
      </c>
      <c r="AG600" s="193"/>
      <c r="AH600" s="143">
        <f t="shared" si="1031"/>
        <v>0</v>
      </c>
      <c r="AI600" s="151"/>
      <c r="AJ600" s="151">
        <f t="shared" ref="AJ600:AL600" si="1184">P600-AE600</f>
        <v>0</v>
      </c>
      <c r="AK600" s="151">
        <f t="shared" si="1184"/>
        <v>0</v>
      </c>
      <c r="AL600" s="151">
        <f t="shared" si="1184"/>
        <v>0</v>
      </c>
      <c r="AM600" s="145"/>
      <c r="AN600" s="139"/>
      <c r="AO600" s="139"/>
      <c r="AP600" s="139"/>
      <c r="AQ600" s="145"/>
      <c r="AR600" s="145"/>
    </row>
    <row r="601" spans="1:44" s="156" customFormat="1" ht="47.25" x14ac:dyDescent="0.25">
      <c r="A601" s="143" t="s">
        <v>88</v>
      </c>
      <c r="B601" s="144">
        <v>588</v>
      </c>
      <c r="C601" s="143" t="s">
        <v>498</v>
      </c>
      <c r="D601" s="143" t="s">
        <v>3180</v>
      </c>
      <c r="E601" s="145" t="s">
        <v>1993</v>
      </c>
      <c r="F601" s="146"/>
      <c r="G601" s="143" t="s">
        <v>3181</v>
      </c>
      <c r="H601" s="143"/>
      <c r="I601" s="143"/>
      <c r="J601" s="143"/>
      <c r="K601" s="143"/>
      <c r="L601" s="143" t="s">
        <v>3182</v>
      </c>
      <c r="M601" s="143" t="s">
        <v>43</v>
      </c>
      <c r="N601" s="143" t="s">
        <v>3183</v>
      </c>
      <c r="O601" s="147">
        <v>289367750</v>
      </c>
      <c r="P601" s="169">
        <v>66783150</v>
      </c>
      <c r="Q601" s="169">
        <v>7500000</v>
      </c>
      <c r="R601" s="150"/>
      <c r="S601" s="147">
        <f t="shared" si="1029"/>
        <v>363650900</v>
      </c>
      <c r="T601" s="158">
        <v>289367750</v>
      </c>
      <c r="U601" s="158">
        <v>66783150</v>
      </c>
      <c r="V601" s="147">
        <v>7500000</v>
      </c>
      <c r="W601" s="143"/>
      <c r="X601" s="143"/>
      <c r="Y601" s="152">
        <f t="shared" ref="Y601:AB601" si="1185">AD601-T601</f>
        <v>0</v>
      </c>
      <c r="Z601" s="151">
        <f t="shared" si="1185"/>
        <v>0</v>
      </c>
      <c r="AA601" s="151">
        <f t="shared" si="1185"/>
        <v>0</v>
      </c>
      <c r="AB601" s="151">
        <f t="shared" si="1185"/>
        <v>0</v>
      </c>
      <c r="AC601" s="143"/>
      <c r="AD601" s="191">
        <v>289367750</v>
      </c>
      <c r="AE601" s="169">
        <v>66783150</v>
      </c>
      <c r="AF601" s="169">
        <v>7500000</v>
      </c>
      <c r="AG601" s="170"/>
      <c r="AH601" s="143">
        <f t="shared" si="1031"/>
        <v>0</v>
      </c>
      <c r="AI601" s="151"/>
      <c r="AJ601" s="151">
        <f t="shared" ref="AJ601:AL601" si="1186">P601-AE601</f>
        <v>0</v>
      </c>
      <c r="AK601" s="151">
        <f t="shared" si="1186"/>
        <v>0</v>
      </c>
      <c r="AL601" s="151">
        <f t="shared" si="1186"/>
        <v>0</v>
      </c>
      <c r="AM601" s="145"/>
      <c r="AN601" s="139"/>
      <c r="AO601" s="139"/>
      <c r="AP601" s="139"/>
      <c r="AQ601" s="145"/>
      <c r="AR601" s="145"/>
    </row>
    <row r="602" spans="1:44" s="156" customFormat="1" ht="94.5" x14ac:dyDescent="0.25">
      <c r="A602" s="143" t="s">
        <v>88</v>
      </c>
      <c r="B602" s="175">
        <v>589</v>
      </c>
      <c r="C602" s="145" t="s">
        <v>498</v>
      </c>
      <c r="D602" s="143" t="s">
        <v>1274</v>
      </c>
      <c r="E602" s="145"/>
      <c r="F602" s="145" t="s">
        <v>3519</v>
      </c>
      <c r="G602" s="145" t="s">
        <v>1275</v>
      </c>
      <c r="H602" s="145"/>
      <c r="I602" s="145"/>
      <c r="J602" s="145"/>
      <c r="K602" s="146"/>
      <c r="L602" s="145" t="s">
        <v>1276</v>
      </c>
      <c r="M602" s="145" t="s">
        <v>43</v>
      </c>
      <c r="N602" s="145" t="s">
        <v>1277</v>
      </c>
      <c r="O602" s="147">
        <v>1143797868</v>
      </c>
      <c r="P602" s="150"/>
      <c r="Q602" s="169">
        <v>15000000</v>
      </c>
      <c r="R602" s="148">
        <f>24000000+48000000</f>
        <v>72000000</v>
      </c>
      <c r="S602" s="147">
        <f t="shared" si="1029"/>
        <v>1230797868</v>
      </c>
      <c r="T602" s="151">
        <v>1143797868</v>
      </c>
      <c r="U602" s="143"/>
      <c r="V602" s="147">
        <v>15000000</v>
      </c>
      <c r="W602" s="158">
        <v>24000000</v>
      </c>
      <c r="X602" s="143"/>
      <c r="Y602" s="152">
        <f t="shared" ref="Y602:AB602" si="1187">AD602-T602</f>
        <v>0</v>
      </c>
      <c r="Z602" s="151">
        <f t="shared" si="1187"/>
        <v>0</v>
      </c>
      <c r="AA602" s="151">
        <f t="shared" si="1187"/>
        <v>0</v>
      </c>
      <c r="AB602" s="152">
        <f t="shared" si="1187"/>
        <v>0</v>
      </c>
      <c r="AC602" s="165"/>
      <c r="AD602" s="155">
        <v>1143797868</v>
      </c>
      <c r="AE602" s="150"/>
      <c r="AF602" s="148">
        <v>15000000</v>
      </c>
      <c r="AG602" s="149">
        <v>24000000</v>
      </c>
      <c r="AH602" s="166">
        <f t="shared" si="1031"/>
        <v>0</v>
      </c>
      <c r="AI602" s="151"/>
      <c r="AJ602" s="151">
        <f t="shared" ref="AJ602:AL602" si="1188">P602-AE602</f>
        <v>0</v>
      </c>
      <c r="AK602" s="151">
        <f t="shared" si="1188"/>
        <v>0</v>
      </c>
      <c r="AL602" s="150">
        <f t="shared" si="1188"/>
        <v>48000000</v>
      </c>
      <c r="AM602" s="145"/>
      <c r="AN602" s="139"/>
      <c r="AO602" s="139"/>
      <c r="AP602" s="139"/>
      <c r="AQ602" s="145" t="s">
        <v>2808</v>
      </c>
      <c r="AR602" s="145"/>
    </row>
    <row r="603" spans="1:44" s="156" customFormat="1" ht="31.5" x14ac:dyDescent="0.25">
      <c r="A603" s="143" t="s">
        <v>52</v>
      </c>
      <c r="B603" s="144">
        <v>590</v>
      </c>
      <c r="C603" s="143" t="s">
        <v>498</v>
      </c>
      <c r="D603" s="143" t="s">
        <v>3185</v>
      </c>
      <c r="E603" s="145"/>
      <c r="F603" s="146"/>
      <c r="G603" s="143" t="s">
        <v>3186</v>
      </c>
      <c r="H603" s="143"/>
      <c r="I603" s="143"/>
      <c r="J603" s="143"/>
      <c r="K603" s="143"/>
      <c r="L603" s="143" t="s">
        <v>3187</v>
      </c>
      <c r="M603" s="143" t="s">
        <v>43</v>
      </c>
      <c r="N603" s="143" t="s">
        <v>3188</v>
      </c>
      <c r="O603" s="147">
        <v>1667596776</v>
      </c>
      <c r="P603" s="150"/>
      <c r="Q603" s="169">
        <v>7500000</v>
      </c>
      <c r="R603" s="150"/>
      <c r="S603" s="147">
        <f t="shared" si="1029"/>
        <v>1675096776</v>
      </c>
      <c r="T603" s="158">
        <v>1667596776</v>
      </c>
      <c r="U603" s="143"/>
      <c r="V603" s="147">
        <v>7500000</v>
      </c>
      <c r="W603" s="143"/>
      <c r="X603" s="143"/>
      <c r="Y603" s="152">
        <f t="shared" ref="Y603:AB603" si="1189">AD603-T603</f>
        <v>0</v>
      </c>
      <c r="Z603" s="151">
        <f t="shared" si="1189"/>
        <v>0</v>
      </c>
      <c r="AA603" s="151">
        <f t="shared" si="1189"/>
        <v>0</v>
      </c>
      <c r="AB603" s="151">
        <f t="shared" si="1189"/>
        <v>0</v>
      </c>
      <c r="AC603" s="143"/>
      <c r="AD603" s="194">
        <v>1667596776</v>
      </c>
      <c r="AE603" s="170"/>
      <c r="AF603" s="169">
        <v>7500000</v>
      </c>
      <c r="AG603" s="170"/>
      <c r="AH603" s="143">
        <f t="shared" si="1031"/>
        <v>0</v>
      </c>
      <c r="AI603" s="151"/>
      <c r="AJ603" s="151">
        <f t="shared" ref="AJ603:AL603" si="1190">P603-AE603</f>
        <v>0</v>
      </c>
      <c r="AK603" s="151">
        <f t="shared" si="1190"/>
        <v>0</v>
      </c>
      <c r="AL603" s="151">
        <f t="shared" si="1190"/>
        <v>0</v>
      </c>
      <c r="AM603" s="145"/>
      <c r="AN603" s="139"/>
      <c r="AO603" s="139"/>
      <c r="AP603" s="139"/>
      <c r="AQ603" s="145"/>
      <c r="AR603" s="145"/>
    </row>
    <row r="604" spans="1:44" s="156" customFormat="1" ht="78.75" x14ac:dyDescent="0.25">
      <c r="A604" s="145" t="s">
        <v>60</v>
      </c>
      <c r="B604" s="175">
        <v>591</v>
      </c>
      <c r="C604" s="145" t="s">
        <v>498</v>
      </c>
      <c r="D604" s="143" t="s">
        <v>1393</v>
      </c>
      <c r="E604" s="145" t="s">
        <v>1395</v>
      </c>
      <c r="F604" s="145" t="s">
        <v>1186</v>
      </c>
      <c r="G604" s="145" t="s">
        <v>1396</v>
      </c>
      <c r="H604" s="145" t="s">
        <v>1397</v>
      </c>
      <c r="I604" s="145"/>
      <c r="J604" s="145"/>
      <c r="K604" s="146"/>
      <c r="L604" s="145" t="s">
        <v>1398</v>
      </c>
      <c r="M604" s="145" t="s">
        <v>43</v>
      </c>
      <c r="N604" s="145" t="s">
        <v>1399</v>
      </c>
      <c r="O604" s="147">
        <v>1856869939</v>
      </c>
      <c r="P604" s="169">
        <v>461717485</v>
      </c>
      <c r="Q604" s="169">
        <v>15000000</v>
      </c>
      <c r="R604" s="148">
        <v>8000000</v>
      </c>
      <c r="S604" s="147">
        <f t="shared" si="1029"/>
        <v>2341587424</v>
      </c>
      <c r="T604" s="151">
        <v>1856869939</v>
      </c>
      <c r="U604" s="151">
        <v>461717485</v>
      </c>
      <c r="V604" s="147">
        <v>15000000</v>
      </c>
      <c r="W604" s="143"/>
      <c r="X604" s="143"/>
      <c r="Y604" s="151">
        <f t="shared" ref="Y604:AB604" si="1191">AD604-T604</f>
        <v>0</v>
      </c>
      <c r="Z604" s="151">
        <f t="shared" si="1191"/>
        <v>0</v>
      </c>
      <c r="AA604" s="151">
        <f t="shared" si="1191"/>
        <v>0</v>
      </c>
      <c r="AB604" s="151">
        <f t="shared" si="1191"/>
        <v>0</v>
      </c>
      <c r="AC604" s="165"/>
      <c r="AD604" s="169">
        <v>1856869939</v>
      </c>
      <c r="AE604" s="169">
        <v>461717485</v>
      </c>
      <c r="AF604" s="148">
        <v>15000000</v>
      </c>
      <c r="AG604" s="170"/>
      <c r="AH604" s="166">
        <f t="shared" si="1031"/>
        <v>0</v>
      </c>
      <c r="AI604" s="151"/>
      <c r="AJ604" s="151">
        <f t="shared" ref="AJ604:AL604" si="1192">P604-AE604</f>
        <v>0</v>
      </c>
      <c r="AK604" s="151">
        <f t="shared" si="1192"/>
        <v>0</v>
      </c>
      <c r="AL604" s="150">
        <f t="shared" si="1192"/>
        <v>8000000</v>
      </c>
      <c r="AM604" s="148"/>
      <c r="AN604" s="160"/>
      <c r="AO604" s="160"/>
      <c r="AP604" s="160"/>
      <c r="AQ604" s="145" t="s">
        <v>4011</v>
      </c>
      <c r="AR604" s="145"/>
    </row>
    <row r="605" spans="1:44" s="156" customFormat="1" ht="94.5" x14ac:dyDescent="0.25">
      <c r="A605" s="143" t="s">
        <v>88</v>
      </c>
      <c r="B605" s="144">
        <v>592</v>
      </c>
      <c r="C605" s="143" t="s">
        <v>498</v>
      </c>
      <c r="D605" s="143" t="s">
        <v>739</v>
      </c>
      <c r="E605" s="145" t="s">
        <v>740</v>
      </c>
      <c r="F605" s="145" t="s">
        <v>741</v>
      </c>
      <c r="G605" s="143" t="s">
        <v>742</v>
      </c>
      <c r="H605" s="143" t="s">
        <v>743</v>
      </c>
      <c r="I605" s="143"/>
      <c r="J605" s="143"/>
      <c r="K605" s="164"/>
      <c r="L605" s="143" t="s">
        <v>744</v>
      </c>
      <c r="M605" s="143" t="s">
        <v>43</v>
      </c>
      <c r="N605" s="143" t="s">
        <v>745</v>
      </c>
      <c r="O605" s="147">
        <v>9029596830</v>
      </c>
      <c r="P605" s="169">
        <f>1111289520+10000000</f>
        <v>1121289520</v>
      </c>
      <c r="Q605" s="169">
        <f>7500000+7500000</f>
        <v>15000000</v>
      </c>
      <c r="R605" s="148">
        <v>48000000</v>
      </c>
      <c r="S605" s="147">
        <f t="shared" si="1029"/>
        <v>10213886350</v>
      </c>
      <c r="T605" s="151">
        <v>9029596830</v>
      </c>
      <c r="U605" s="158">
        <v>1121289520</v>
      </c>
      <c r="V605" s="157">
        <v>15000000</v>
      </c>
      <c r="W605" s="158">
        <v>48000000</v>
      </c>
      <c r="X605" s="143"/>
      <c r="Y605" s="152">
        <f t="shared" ref="Y605:AB605" si="1193">AD605-T605</f>
        <v>0</v>
      </c>
      <c r="Z605" s="151">
        <f t="shared" si="1193"/>
        <v>0</v>
      </c>
      <c r="AA605" s="151">
        <f t="shared" si="1193"/>
        <v>0</v>
      </c>
      <c r="AB605" s="152">
        <f t="shared" si="1193"/>
        <v>0</v>
      </c>
      <c r="AC605" s="143"/>
      <c r="AD605" s="155">
        <v>9029596830</v>
      </c>
      <c r="AE605" s="169">
        <f>1111289520+10000000</f>
        <v>1121289520</v>
      </c>
      <c r="AF605" s="148">
        <v>15000000</v>
      </c>
      <c r="AG605" s="191">
        <v>48000000</v>
      </c>
      <c r="AH605" s="143">
        <f t="shared" si="1031"/>
        <v>0</v>
      </c>
      <c r="AI605" s="151"/>
      <c r="AJ605" s="151">
        <f t="shared" ref="AJ605:AL605" si="1194">P605-AE605</f>
        <v>0</v>
      </c>
      <c r="AK605" s="151">
        <f t="shared" si="1194"/>
        <v>0</v>
      </c>
      <c r="AL605" s="151">
        <f t="shared" si="1194"/>
        <v>0</v>
      </c>
      <c r="AM605" s="145"/>
      <c r="AN605" s="139"/>
      <c r="AO605" s="139"/>
      <c r="AP605" s="139"/>
      <c r="AQ605" s="145"/>
      <c r="AR605" s="145"/>
    </row>
    <row r="606" spans="1:44" s="156" customFormat="1" ht="31.5" x14ac:dyDescent="0.25">
      <c r="A606" s="143" t="s">
        <v>88</v>
      </c>
      <c r="B606" s="144">
        <v>593</v>
      </c>
      <c r="C606" s="143" t="s">
        <v>498</v>
      </c>
      <c r="D606" s="143" t="s">
        <v>3191</v>
      </c>
      <c r="E606" s="145"/>
      <c r="F606" s="146"/>
      <c r="G606" s="143" t="s">
        <v>3192</v>
      </c>
      <c r="H606" s="143"/>
      <c r="I606" s="143"/>
      <c r="J606" s="143"/>
      <c r="K606" s="143"/>
      <c r="L606" s="143" t="s">
        <v>3193</v>
      </c>
      <c r="M606" s="143" t="s">
        <v>43</v>
      </c>
      <c r="N606" s="143" t="s">
        <v>3194</v>
      </c>
      <c r="O606" s="147">
        <v>4657447500</v>
      </c>
      <c r="P606" s="150"/>
      <c r="Q606" s="177">
        <v>7500000</v>
      </c>
      <c r="R606" s="150"/>
      <c r="S606" s="147">
        <f t="shared" si="1029"/>
        <v>4664947500</v>
      </c>
      <c r="T606" s="158">
        <v>4657447500</v>
      </c>
      <c r="U606" s="143"/>
      <c r="V606" s="147">
        <v>7500000</v>
      </c>
      <c r="W606" s="143"/>
      <c r="X606" s="143"/>
      <c r="Y606" s="152">
        <f t="shared" ref="Y606:AB606" si="1195">AD606-T606</f>
        <v>0</v>
      </c>
      <c r="Z606" s="151">
        <f t="shared" si="1195"/>
        <v>0</v>
      </c>
      <c r="AA606" s="151">
        <f t="shared" si="1195"/>
        <v>0</v>
      </c>
      <c r="AB606" s="152">
        <f t="shared" si="1195"/>
        <v>0</v>
      </c>
      <c r="AC606" s="143"/>
      <c r="AD606" s="149">
        <v>4657447500</v>
      </c>
      <c r="AE606" s="150"/>
      <c r="AF606" s="169">
        <v>7500000</v>
      </c>
      <c r="AG606" s="155"/>
      <c r="AH606" s="143">
        <f t="shared" si="1031"/>
        <v>0</v>
      </c>
      <c r="AI606" s="151"/>
      <c r="AJ606" s="151">
        <f t="shared" ref="AJ606:AL606" si="1196">P606-AE606</f>
        <v>0</v>
      </c>
      <c r="AK606" s="151">
        <f t="shared" si="1196"/>
        <v>0</v>
      </c>
      <c r="AL606" s="151">
        <f t="shared" si="1196"/>
        <v>0</v>
      </c>
      <c r="AM606" s="145"/>
      <c r="AN606" s="139"/>
      <c r="AO606" s="139"/>
      <c r="AP606" s="139"/>
      <c r="AQ606" s="145"/>
      <c r="AR606" s="145"/>
    </row>
    <row r="607" spans="1:44" s="156" customFormat="1" ht="31.5" x14ac:dyDescent="0.25">
      <c r="A607" s="143" t="s">
        <v>88</v>
      </c>
      <c r="B607" s="144">
        <v>594</v>
      </c>
      <c r="C607" s="143" t="s">
        <v>498</v>
      </c>
      <c r="D607" s="143" t="s">
        <v>3195</v>
      </c>
      <c r="E607" s="145"/>
      <c r="F607" s="145"/>
      <c r="G607" s="143" t="s">
        <v>3196</v>
      </c>
      <c r="H607" s="143"/>
      <c r="I607" s="143"/>
      <c r="J607" s="143"/>
      <c r="K607" s="143"/>
      <c r="L607" s="143" t="s">
        <v>1064</v>
      </c>
      <c r="M607" s="143" t="s">
        <v>43</v>
      </c>
      <c r="N607" s="143" t="s">
        <v>3197</v>
      </c>
      <c r="O607" s="147">
        <v>3031671576</v>
      </c>
      <c r="P607" s="150"/>
      <c r="Q607" s="169">
        <v>15000000</v>
      </c>
      <c r="R607" s="150"/>
      <c r="S607" s="147">
        <f t="shared" si="1029"/>
        <v>3046671576</v>
      </c>
      <c r="T607" s="151">
        <v>3031671576</v>
      </c>
      <c r="U607" s="143"/>
      <c r="V607" s="147">
        <v>15000000</v>
      </c>
      <c r="W607" s="143"/>
      <c r="X607" s="143"/>
      <c r="Y607" s="152">
        <f t="shared" ref="Y607:AB607" si="1197">AD607-T607</f>
        <v>0</v>
      </c>
      <c r="Z607" s="151">
        <f t="shared" si="1197"/>
        <v>0</v>
      </c>
      <c r="AA607" s="151">
        <f t="shared" si="1197"/>
        <v>0</v>
      </c>
      <c r="AB607" s="152">
        <f t="shared" si="1197"/>
        <v>0</v>
      </c>
      <c r="AC607" s="143"/>
      <c r="AD607" s="155">
        <v>3031671576</v>
      </c>
      <c r="AE607" s="150"/>
      <c r="AF607" s="148">
        <v>15000000</v>
      </c>
      <c r="AG607" s="155"/>
      <c r="AH607" s="143">
        <f t="shared" si="1031"/>
        <v>0</v>
      </c>
      <c r="AI607" s="151"/>
      <c r="AJ607" s="151">
        <f t="shared" ref="AJ607:AL607" si="1198">P607-AE607</f>
        <v>0</v>
      </c>
      <c r="AK607" s="151">
        <f t="shared" si="1198"/>
        <v>0</v>
      </c>
      <c r="AL607" s="151">
        <f t="shared" si="1198"/>
        <v>0</v>
      </c>
      <c r="AM607" s="145"/>
      <c r="AN607" s="139"/>
      <c r="AO607" s="139"/>
      <c r="AP607" s="139"/>
      <c r="AQ607" s="145"/>
      <c r="AR607" s="145"/>
    </row>
    <row r="608" spans="1:44" s="156" customFormat="1" ht="31.5" x14ac:dyDescent="0.25">
      <c r="A608" s="143" t="s">
        <v>35</v>
      </c>
      <c r="B608" s="144">
        <v>595</v>
      </c>
      <c r="C608" s="143" t="s">
        <v>498</v>
      </c>
      <c r="D608" s="143" t="s">
        <v>3198</v>
      </c>
      <c r="E608" s="145"/>
      <c r="F608" s="145"/>
      <c r="G608" s="143" t="s">
        <v>3199</v>
      </c>
      <c r="H608" s="143"/>
      <c r="I608" s="143"/>
      <c r="J608" s="143"/>
      <c r="K608" s="143"/>
      <c r="L608" s="143" t="s">
        <v>3200</v>
      </c>
      <c r="M608" s="143" t="s">
        <v>43</v>
      </c>
      <c r="N608" s="143" t="s">
        <v>3201</v>
      </c>
      <c r="O608" s="147">
        <v>3664053620</v>
      </c>
      <c r="P608" s="150"/>
      <c r="Q608" s="177">
        <v>15000000</v>
      </c>
      <c r="R608" s="150"/>
      <c r="S608" s="147">
        <f t="shared" si="1029"/>
        <v>3679053620</v>
      </c>
      <c r="T608" s="158">
        <v>3664053620</v>
      </c>
      <c r="U608" s="143"/>
      <c r="V608" s="147">
        <v>15000000</v>
      </c>
      <c r="W608" s="143"/>
      <c r="X608" s="143"/>
      <c r="Y608" s="152">
        <f t="shared" ref="Y608:AB608" si="1199">AD608-T608</f>
        <v>0</v>
      </c>
      <c r="Z608" s="151">
        <f t="shared" si="1199"/>
        <v>0</v>
      </c>
      <c r="AA608" s="151">
        <f t="shared" si="1199"/>
        <v>0</v>
      </c>
      <c r="AB608" s="151">
        <f t="shared" si="1199"/>
        <v>0</v>
      </c>
      <c r="AC608" s="143"/>
      <c r="AD608" s="149">
        <v>3664053620</v>
      </c>
      <c r="AE608" s="150"/>
      <c r="AF608" s="148">
        <v>15000000</v>
      </c>
      <c r="AG608" s="150"/>
      <c r="AH608" s="143">
        <f t="shared" si="1031"/>
        <v>0</v>
      </c>
      <c r="AI608" s="151"/>
      <c r="AJ608" s="151">
        <f t="shared" ref="AJ608:AL608" si="1200">P608-AE608</f>
        <v>0</v>
      </c>
      <c r="AK608" s="151">
        <f t="shared" si="1200"/>
        <v>0</v>
      </c>
      <c r="AL608" s="151">
        <f t="shared" si="1200"/>
        <v>0</v>
      </c>
      <c r="AM608" s="145"/>
      <c r="AN608" s="139"/>
      <c r="AO608" s="139"/>
      <c r="AP608" s="139"/>
      <c r="AQ608" s="145"/>
      <c r="AR608" s="145"/>
    </row>
    <row r="609" spans="1:44" s="156" customFormat="1" ht="47.25" x14ac:dyDescent="0.25">
      <c r="A609" s="143" t="s">
        <v>60</v>
      </c>
      <c r="B609" s="144">
        <v>596</v>
      </c>
      <c r="C609" s="143" t="s">
        <v>498</v>
      </c>
      <c r="D609" s="143" t="s">
        <v>3202</v>
      </c>
      <c r="E609" s="145"/>
      <c r="F609" s="145"/>
      <c r="G609" s="143" t="s">
        <v>3203</v>
      </c>
      <c r="H609" s="143"/>
      <c r="I609" s="143"/>
      <c r="J609" s="143"/>
      <c r="K609" s="143"/>
      <c r="L609" s="143" t="s">
        <v>3204</v>
      </c>
      <c r="M609" s="143" t="s">
        <v>43</v>
      </c>
      <c r="N609" s="143" t="s">
        <v>3206</v>
      </c>
      <c r="O609" s="147">
        <v>4539694518</v>
      </c>
      <c r="P609" s="150"/>
      <c r="Q609" s="169">
        <v>15000000</v>
      </c>
      <c r="R609" s="150"/>
      <c r="S609" s="147">
        <f t="shared" si="1029"/>
        <v>4554694518</v>
      </c>
      <c r="T609" s="158">
        <v>4539694518</v>
      </c>
      <c r="U609" s="143"/>
      <c r="V609" s="147">
        <v>15000000</v>
      </c>
      <c r="W609" s="143"/>
      <c r="X609" s="143"/>
      <c r="Y609" s="152">
        <f t="shared" ref="Y609:AB609" si="1201">AD609-T609</f>
        <v>0</v>
      </c>
      <c r="Z609" s="151">
        <f t="shared" si="1201"/>
        <v>0</v>
      </c>
      <c r="AA609" s="151">
        <f t="shared" si="1201"/>
        <v>0</v>
      </c>
      <c r="AB609" s="152">
        <f t="shared" si="1201"/>
        <v>0</v>
      </c>
      <c r="AC609" s="143"/>
      <c r="AD609" s="194">
        <v>4539694518</v>
      </c>
      <c r="AE609" s="150"/>
      <c r="AF609" s="148">
        <v>15000000</v>
      </c>
      <c r="AG609" s="155"/>
      <c r="AH609" s="143">
        <f t="shared" si="1031"/>
        <v>0</v>
      </c>
      <c r="AI609" s="151"/>
      <c r="AJ609" s="151">
        <f t="shared" ref="AJ609:AL609" si="1202">P609-AE609</f>
        <v>0</v>
      </c>
      <c r="AK609" s="151">
        <f t="shared" si="1202"/>
        <v>0</v>
      </c>
      <c r="AL609" s="151">
        <f t="shared" si="1202"/>
        <v>0</v>
      </c>
      <c r="AM609" s="145"/>
      <c r="AN609" s="139"/>
      <c r="AO609" s="139"/>
      <c r="AP609" s="139"/>
      <c r="AQ609" s="145"/>
      <c r="AR609" s="145"/>
    </row>
    <row r="610" spans="1:44" s="156" customFormat="1" ht="94.5" x14ac:dyDescent="0.25">
      <c r="A610" s="143" t="s">
        <v>60</v>
      </c>
      <c r="B610" s="175">
        <v>597</v>
      </c>
      <c r="C610" s="145" t="s">
        <v>498</v>
      </c>
      <c r="D610" s="143" t="s">
        <v>1835</v>
      </c>
      <c r="E610" s="145"/>
      <c r="F610" s="145" t="s">
        <v>2865</v>
      </c>
      <c r="G610" s="145" t="s">
        <v>1836</v>
      </c>
      <c r="H610" s="145"/>
      <c r="I610" s="145"/>
      <c r="J610" s="145"/>
      <c r="K610" s="146"/>
      <c r="L610" s="145" t="s">
        <v>1837</v>
      </c>
      <c r="M610" s="145" t="s">
        <v>43</v>
      </c>
      <c r="N610" s="145" t="s">
        <v>1838</v>
      </c>
      <c r="O610" s="147">
        <v>594243660</v>
      </c>
      <c r="P610" s="150"/>
      <c r="Q610" s="169">
        <v>15000000</v>
      </c>
      <c r="R610" s="148">
        <f>60000000+60000000</f>
        <v>120000000</v>
      </c>
      <c r="S610" s="147">
        <f t="shared" si="1029"/>
        <v>729243660</v>
      </c>
      <c r="T610" s="158">
        <v>594243660</v>
      </c>
      <c r="U610" s="143"/>
      <c r="V610" s="147">
        <v>15000000</v>
      </c>
      <c r="W610" s="158">
        <v>60000000</v>
      </c>
      <c r="X610" s="143"/>
      <c r="Y610" s="152">
        <f t="shared" ref="Y610:AB610" si="1203">AD610-T610</f>
        <v>0</v>
      </c>
      <c r="Z610" s="151">
        <f t="shared" si="1203"/>
        <v>0</v>
      </c>
      <c r="AA610" s="151">
        <f t="shared" si="1203"/>
        <v>0</v>
      </c>
      <c r="AB610" s="151">
        <f t="shared" si="1203"/>
        <v>0</v>
      </c>
      <c r="AC610" s="165"/>
      <c r="AD610" s="191">
        <v>594243660</v>
      </c>
      <c r="AE610" s="170"/>
      <c r="AF610" s="148">
        <v>15000000</v>
      </c>
      <c r="AG610" s="169">
        <v>60000000</v>
      </c>
      <c r="AH610" s="166">
        <f t="shared" si="1031"/>
        <v>0</v>
      </c>
      <c r="AI610" s="151"/>
      <c r="AJ610" s="151">
        <f t="shared" ref="AJ610:AL610" si="1204">P610-AE610</f>
        <v>0</v>
      </c>
      <c r="AK610" s="151">
        <f t="shared" si="1204"/>
        <v>0</v>
      </c>
      <c r="AL610" s="150">
        <f t="shared" si="1204"/>
        <v>60000000</v>
      </c>
      <c r="AM610" s="145"/>
      <c r="AN610" s="139"/>
      <c r="AO610" s="139"/>
      <c r="AP610" s="139"/>
      <c r="AQ610" s="145" t="s">
        <v>3506</v>
      </c>
      <c r="AR610" s="145"/>
    </row>
    <row r="611" spans="1:44" s="156" customFormat="1" ht="47.25" x14ac:dyDescent="0.25">
      <c r="A611" s="143" t="s">
        <v>60</v>
      </c>
      <c r="B611" s="144">
        <v>598</v>
      </c>
      <c r="C611" s="143" t="s">
        <v>498</v>
      </c>
      <c r="D611" s="143" t="s">
        <v>3207</v>
      </c>
      <c r="E611" s="145"/>
      <c r="F611" s="145"/>
      <c r="G611" s="143" t="s">
        <v>3208</v>
      </c>
      <c r="H611" s="143"/>
      <c r="I611" s="143"/>
      <c r="J611" s="143"/>
      <c r="K611" s="143"/>
      <c r="L611" s="143" t="s">
        <v>3209</v>
      </c>
      <c r="M611" s="143" t="s">
        <v>43</v>
      </c>
      <c r="N611" s="143" t="s">
        <v>242</v>
      </c>
      <c r="O611" s="147">
        <v>1167043337</v>
      </c>
      <c r="P611" s="150"/>
      <c r="Q611" s="169">
        <v>15000000</v>
      </c>
      <c r="R611" s="150"/>
      <c r="S611" s="147">
        <f t="shared" si="1029"/>
        <v>1182043337</v>
      </c>
      <c r="T611" s="158">
        <v>1167043337</v>
      </c>
      <c r="U611" s="143"/>
      <c r="V611" s="147">
        <v>15000000</v>
      </c>
      <c r="W611" s="143"/>
      <c r="X611" s="143"/>
      <c r="Y611" s="152">
        <f t="shared" ref="Y611:AB611" si="1205">AD611-T611</f>
        <v>0</v>
      </c>
      <c r="Z611" s="151">
        <f t="shared" si="1205"/>
        <v>0</v>
      </c>
      <c r="AA611" s="151">
        <f t="shared" si="1205"/>
        <v>0</v>
      </c>
      <c r="AB611" s="152">
        <f t="shared" si="1205"/>
        <v>0</v>
      </c>
      <c r="AC611" s="143"/>
      <c r="AD611" s="149">
        <v>1167043337</v>
      </c>
      <c r="AE611" s="150"/>
      <c r="AF611" s="148">
        <v>15000000</v>
      </c>
      <c r="AG611" s="155"/>
      <c r="AH611" s="143">
        <f t="shared" si="1031"/>
        <v>0</v>
      </c>
      <c r="AI611" s="151"/>
      <c r="AJ611" s="151">
        <f t="shared" ref="AJ611:AL611" si="1206">P611-AE611</f>
        <v>0</v>
      </c>
      <c r="AK611" s="151">
        <f t="shared" si="1206"/>
        <v>0</v>
      </c>
      <c r="AL611" s="151">
        <f t="shared" si="1206"/>
        <v>0</v>
      </c>
      <c r="AM611" s="145"/>
      <c r="AN611" s="139"/>
      <c r="AO611" s="139"/>
      <c r="AP611" s="139"/>
      <c r="AQ611" s="145"/>
      <c r="AR611" s="145"/>
    </row>
    <row r="612" spans="1:44" s="156" customFormat="1" ht="47.25" x14ac:dyDescent="0.25">
      <c r="A612" s="143" t="s">
        <v>35</v>
      </c>
      <c r="B612" s="144">
        <v>599</v>
      </c>
      <c r="C612" s="143" t="s">
        <v>498</v>
      </c>
      <c r="D612" s="143" t="s">
        <v>499</v>
      </c>
      <c r="E612" s="145" t="s">
        <v>500</v>
      </c>
      <c r="F612" s="145" t="s">
        <v>501</v>
      </c>
      <c r="G612" s="143" t="s">
        <v>502</v>
      </c>
      <c r="H612" s="143"/>
      <c r="I612" s="143"/>
      <c r="J612" s="143"/>
      <c r="K612" s="164"/>
      <c r="L612" s="143" t="s">
        <v>504</v>
      </c>
      <c r="M612" s="143" t="s">
        <v>43</v>
      </c>
      <c r="N612" s="143" t="s">
        <v>507</v>
      </c>
      <c r="O612" s="147">
        <v>1021855390</v>
      </c>
      <c r="P612" s="177">
        <v>627822258</v>
      </c>
      <c r="Q612" s="177">
        <v>15000000</v>
      </c>
      <c r="R612" s="148">
        <v>24000000</v>
      </c>
      <c r="S612" s="147">
        <f t="shared" si="1029"/>
        <v>1688677648</v>
      </c>
      <c r="T612" s="158">
        <v>1021855390</v>
      </c>
      <c r="U612" s="158">
        <v>627822258</v>
      </c>
      <c r="V612" s="147">
        <v>15000000</v>
      </c>
      <c r="W612" s="158">
        <v>24000000</v>
      </c>
      <c r="X612" s="143"/>
      <c r="Y612" s="152">
        <f t="shared" ref="Y612:AB612" si="1207">AD612-T612</f>
        <v>0</v>
      </c>
      <c r="Z612" s="151">
        <f t="shared" si="1207"/>
        <v>0</v>
      </c>
      <c r="AA612" s="151">
        <f t="shared" si="1207"/>
        <v>0</v>
      </c>
      <c r="AB612" s="151">
        <f t="shared" si="1207"/>
        <v>0</v>
      </c>
      <c r="AC612" s="143"/>
      <c r="AD612" s="194">
        <v>1021855390</v>
      </c>
      <c r="AE612" s="177">
        <v>627822258</v>
      </c>
      <c r="AF612" s="148">
        <v>15000000</v>
      </c>
      <c r="AG612" s="177">
        <v>24000000</v>
      </c>
      <c r="AH612" s="143">
        <f t="shared" si="1031"/>
        <v>0</v>
      </c>
      <c r="AI612" s="151"/>
      <c r="AJ612" s="151">
        <f t="shared" ref="AJ612:AL612" si="1208">P612-AE612</f>
        <v>0</v>
      </c>
      <c r="AK612" s="151">
        <f t="shared" si="1208"/>
        <v>0</v>
      </c>
      <c r="AL612" s="151">
        <f t="shared" si="1208"/>
        <v>0</v>
      </c>
      <c r="AM612" s="145"/>
      <c r="AN612" s="139"/>
      <c r="AO612" s="139"/>
      <c r="AP612" s="139"/>
      <c r="AQ612" s="145"/>
      <c r="AR612" s="145"/>
    </row>
    <row r="613" spans="1:44" s="156" customFormat="1" ht="47.25" x14ac:dyDescent="0.25">
      <c r="A613" s="143" t="s">
        <v>52</v>
      </c>
      <c r="B613" s="144">
        <v>600</v>
      </c>
      <c r="C613" s="143" t="s">
        <v>498</v>
      </c>
      <c r="D613" s="143" t="s">
        <v>3210</v>
      </c>
      <c r="E613" s="145" t="s">
        <v>3211</v>
      </c>
      <c r="F613" s="146"/>
      <c r="G613" s="143" t="s">
        <v>3212</v>
      </c>
      <c r="H613" s="143" t="s">
        <v>3213</v>
      </c>
      <c r="I613" s="143"/>
      <c r="J613" s="143"/>
      <c r="K613" s="143"/>
      <c r="L613" s="143" t="s">
        <v>3214</v>
      </c>
      <c r="M613" s="143" t="s">
        <v>43</v>
      </c>
      <c r="N613" s="143" t="s">
        <v>3215</v>
      </c>
      <c r="O613" s="147">
        <v>1144818850</v>
      </c>
      <c r="P613" s="169">
        <v>312256350</v>
      </c>
      <c r="Q613" s="169">
        <v>7500000</v>
      </c>
      <c r="R613" s="150"/>
      <c r="S613" s="147">
        <f t="shared" si="1029"/>
        <v>1464575200</v>
      </c>
      <c r="T613" s="158">
        <v>1144818850</v>
      </c>
      <c r="U613" s="158">
        <v>312256350</v>
      </c>
      <c r="V613" s="147">
        <v>7500000</v>
      </c>
      <c r="W613" s="143"/>
      <c r="X613" s="143"/>
      <c r="Y613" s="152">
        <f t="shared" ref="Y613:AB613" si="1209">AD613-T613</f>
        <v>0</v>
      </c>
      <c r="Z613" s="151">
        <f t="shared" si="1209"/>
        <v>0</v>
      </c>
      <c r="AA613" s="151">
        <f t="shared" si="1209"/>
        <v>0</v>
      </c>
      <c r="AB613" s="151">
        <f t="shared" si="1209"/>
        <v>0</v>
      </c>
      <c r="AC613" s="143"/>
      <c r="AD613" s="149">
        <v>1144818850</v>
      </c>
      <c r="AE613" s="148">
        <v>312256350</v>
      </c>
      <c r="AF613" s="148">
        <v>7500000</v>
      </c>
      <c r="AG613" s="150"/>
      <c r="AH613" s="143">
        <f t="shared" si="1031"/>
        <v>0</v>
      </c>
      <c r="AI613" s="151"/>
      <c r="AJ613" s="151">
        <f t="shared" ref="AJ613:AL613" si="1210">P613-AE613</f>
        <v>0</v>
      </c>
      <c r="AK613" s="151">
        <f t="shared" si="1210"/>
        <v>0</v>
      </c>
      <c r="AL613" s="151">
        <f t="shared" si="1210"/>
        <v>0</v>
      </c>
      <c r="AM613" s="145"/>
      <c r="AN613" s="139"/>
      <c r="AO613" s="139"/>
      <c r="AP613" s="139"/>
      <c r="AQ613" s="145"/>
      <c r="AR613" s="145"/>
    </row>
    <row r="614" spans="1:44" s="156" customFormat="1" ht="94.5" x14ac:dyDescent="0.25">
      <c r="A614" s="143" t="s">
        <v>60</v>
      </c>
      <c r="B614" s="144">
        <v>601</v>
      </c>
      <c r="C614" s="143" t="s">
        <v>498</v>
      </c>
      <c r="D614" s="143" t="s">
        <v>539</v>
      </c>
      <c r="E614" s="145" t="s">
        <v>540</v>
      </c>
      <c r="F614" s="145" t="s">
        <v>541</v>
      </c>
      <c r="G614" s="143" t="s">
        <v>542</v>
      </c>
      <c r="H614" s="143"/>
      <c r="I614" s="143"/>
      <c r="J614" s="143"/>
      <c r="K614" s="164"/>
      <c r="L614" s="143" t="s">
        <v>543</v>
      </c>
      <c r="M614" s="143" t="s">
        <v>43</v>
      </c>
      <c r="N614" s="143" t="s">
        <v>544</v>
      </c>
      <c r="O614" s="147">
        <v>9937143048</v>
      </c>
      <c r="P614" s="169">
        <v>11165154312</v>
      </c>
      <c r="Q614" s="169">
        <v>15000000</v>
      </c>
      <c r="R614" s="148">
        <f>72000000+144000000</f>
        <v>216000000</v>
      </c>
      <c r="S614" s="147">
        <f t="shared" si="1029"/>
        <v>21333297360</v>
      </c>
      <c r="T614" s="158">
        <v>9937143048</v>
      </c>
      <c r="U614" s="158">
        <v>11165154312</v>
      </c>
      <c r="V614" s="147">
        <v>15000000</v>
      </c>
      <c r="W614" s="158">
        <v>72000000</v>
      </c>
      <c r="X614" s="143"/>
      <c r="Y614" s="152">
        <f t="shared" ref="Y614:AB614" si="1211">AD614-T614</f>
        <v>0</v>
      </c>
      <c r="Z614" s="151">
        <f t="shared" si="1211"/>
        <v>0</v>
      </c>
      <c r="AA614" s="151">
        <f t="shared" si="1211"/>
        <v>0</v>
      </c>
      <c r="AB614" s="151">
        <f t="shared" si="1211"/>
        <v>144000000</v>
      </c>
      <c r="AC614" s="165"/>
      <c r="AD614" s="149">
        <v>9937143048</v>
      </c>
      <c r="AE614" s="148">
        <v>11165154312</v>
      </c>
      <c r="AF614" s="148">
        <v>15000000</v>
      </c>
      <c r="AG614" s="148">
        <f>72000000+144000000</f>
        <v>216000000</v>
      </c>
      <c r="AH614" s="166">
        <f t="shared" si="1031"/>
        <v>0</v>
      </c>
      <c r="AI614" s="151"/>
      <c r="AJ614" s="151">
        <f t="shared" ref="AJ614:AL614" si="1212">P614-AE614</f>
        <v>0</v>
      </c>
      <c r="AK614" s="151">
        <f t="shared" si="1212"/>
        <v>0</v>
      </c>
      <c r="AL614" s="151">
        <f t="shared" si="1212"/>
        <v>0</v>
      </c>
      <c r="AM614" s="145"/>
      <c r="AN614" s="139"/>
      <c r="AO614" s="139"/>
      <c r="AP614" s="139"/>
      <c r="AQ614" s="145" t="s">
        <v>2745</v>
      </c>
      <c r="AR614" s="145"/>
    </row>
    <row r="615" spans="1:44" s="156" customFormat="1" ht="31.5" x14ac:dyDescent="0.25">
      <c r="A615" s="143" t="s">
        <v>88</v>
      </c>
      <c r="B615" s="144">
        <v>602</v>
      </c>
      <c r="C615" s="143" t="s">
        <v>498</v>
      </c>
      <c r="D615" s="143" t="s">
        <v>3216</v>
      </c>
      <c r="E615" s="145"/>
      <c r="F615" s="146"/>
      <c r="G615" s="143" t="s">
        <v>3217</v>
      </c>
      <c r="H615" s="143"/>
      <c r="I615" s="143"/>
      <c r="J615" s="143"/>
      <c r="K615" s="143"/>
      <c r="L615" s="143" t="s">
        <v>3218</v>
      </c>
      <c r="M615" s="143" t="s">
        <v>43</v>
      </c>
      <c r="N615" s="143" t="s">
        <v>3219</v>
      </c>
      <c r="O615" s="147">
        <v>3859546610</v>
      </c>
      <c r="P615" s="150"/>
      <c r="Q615" s="169">
        <v>15000000</v>
      </c>
      <c r="R615" s="150"/>
      <c r="S615" s="147">
        <f t="shared" si="1029"/>
        <v>3874546610</v>
      </c>
      <c r="T615" s="143"/>
      <c r="U615" s="143"/>
      <c r="V615" s="157"/>
      <c r="W615" s="143"/>
      <c r="X615" s="143"/>
      <c r="Y615" s="152">
        <f t="shared" ref="Y615:AB615" si="1213">AD615-T615</f>
        <v>0</v>
      </c>
      <c r="Z615" s="151">
        <f t="shared" si="1213"/>
        <v>0</v>
      </c>
      <c r="AA615" s="151">
        <f t="shared" si="1213"/>
        <v>0</v>
      </c>
      <c r="AB615" s="152">
        <f t="shared" si="1213"/>
        <v>0</v>
      </c>
      <c r="AC615" s="143"/>
      <c r="AD615" s="155"/>
      <c r="AE615" s="170"/>
      <c r="AF615" s="150"/>
      <c r="AG615" s="193"/>
      <c r="AH615" s="143">
        <f t="shared" si="1031"/>
        <v>0</v>
      </c>
      <c r="AI615" s="151">
        <v>3859546610</v>
      </c>
      <c r="AJ615" s="151">
        <f t="shared" ref="AJ615:AL615" si="1214">P615-AE615</f>
        <v>0</v>
      </c>
      <c r="AK615" s="151">
        <f t="shared" si="1214"/>
        <v>15000000</v>
      </c>
      <c r="AL615" s="151">
        <f t="shared" si="1214"/>
        <v>0</v>
      </c>
      <c r="AM615" s="150">
        <v>3859546610</v>
      </c>
      <c r="AN615" s="159" t="s">
        <v>3527</v>
      </c>
      <c r="AO615" s="160"/>
      <c r="AP615" s="168" t="s">
        <v>3527</v>
      </c>
      <c r="AQ615" s="219"/>
      <c r="AR615" s="218"/>
    </row>
    <row r="616" spans="1:44" s="156" customFormat="1" ht="31.5" x14ac:dyDescent="0.25">
      <c r="A616" s="143" t="s">
        <v>46</v>
      </c>
      <c r="B616" s="144">
        <v>603</v>
      </c>
      <c r="C616" s="143" t="s">
        <v>53</v>
      </c>
      <c r="D616" s="143" t="s">
        <v>3220</v>
      </c>
      <c r="E616" s="145"/>
      <c r="F616" s="145"/>
      <c r="G616" s="143" t="s">
        <v>3221</v>
      </c>
      <c r="H616" s="143"/>
      <c r="I616" s="143" t="s">
        <v>261</v>
      </c>
      <c r="J616" s="143"/>
      <c r="K616" s="143"/>
      <c r="L616" s="143" t="s">
        <v>3222</v>
      </c>
      <c r="M616" s="143" t="s">
        <v>43</v>
      </c>
      <c r="N616" s="143" t="s">
        <v>3223</v>
      </c>
      <c r="O616" s="147">
        <v>8125156619</v>
      </c>
      <c r="P616" s="150"/>
      <c r="Q616" s="169">
        <v>15000000</v>
      </c>
      <c r="R616" s="150"/>
      <c r="S616" s="147">
        <f t="shared" si="1029"/>
        <v>8140156619</v>
      </c>
      <c r="T616" s="158">
        <v>8125156619</v>
      </c>
      <c r="U616" s="143"/>
      <c r="V616" s="147">
        <v>15000000</v>
      </c>
      <c r="W616" s="143"/>
      <c r="X616" s="143"/>
      <c r="Y616" s="152">
        <f t="shared" ref="Y616:AB616" si="1215">AD616-T616</f>
        <v>0</v>
      </c>
      <c r="Z616" s="151">
        <f t="shared" si="1215"/>
        <v>0</v>
      </c>
      <c r="AA616" s="151">
        <f t="shared" si="1215"/>
        <v>0</v>
      </c>
      <c r="AB616" s="151">
        <f t="shared" si="1215"/>
        <v>0</v>
      </c>
      <c r="AC616" s="143"/>
      <c r="AD616" s="194">
        <v>8125156619</v>
      </c>
      <c r="AE616" s="170"/>
      <c r="AF616" s="148">
        <v>15000000</v>
      </c>
      <c r="AG616" s="170"/>
      <c r="AH616" s="143">
        <f t="shared" si="1031"/>
        <v>0</v>
      </c>
      <c r="AI616" s="151"/>
      <c r="AJ616" s="151">
        <f t="shared" ref="AJ616:AL616" si="1216">P616-AE616</f>
        <v>0</v>
      </c>
      <c r="AK616" s="151">
        <f t="shared" si="1216"/>
        <v>0</v>
      </c>
      <c r="AL616" s="151">
        <f t="shared" si="1216"/>
        <v>0</v>
      </c>
      <c r="AM616" s="145"/>
      <c r="AN616" s="139"/>
      <c r="AO616" s="139"/>
      <c r="AP616" s="139"/>
      <c r="AQ616" s="145"/>
      <c r="AR616" s="145"/>
    </row>
    <row r="617" spans="1:44" s="156" customFormat="1" ht="94.5" x14ac:dyDescent="0.25">
      <c r="A617" s="143" t="s">
        <v>35</v>
      </c>
      <c r="B617" s="144">
        <v>604</v>
      </c>
      <c r="C617" s="143" t="s">
        <v>53</v>
      </c>
      <c r="D617" s="143" t="s">
        <v>258</v>
      </c>
      <c r="E617" s="145"/>
      <c r="F617" s="145" t="s">
        <v>259</v>
      </c>
      <c r="G617" s="143" t="s">
        <v>260</v>
      </c>
      <c r="H617" s="143"/>
      <c r="I617" s="143" t="s">
        <v>261</v>
      </c>
      <c r="J617" s="143"/>
      <c r="K617" s="164"/>
      <c r="L617" s="143" t="s">
        <v>262</v>
      </c>
      <c r="M617" s="143" t="s">
        <v>43</v>
      </c>
      <c r="N617" s="143" t="s">
        <v>263</v>
      </c>
      <c r="O617" s="147">
        <v>1552944130</v>
      </c>
      <c r="P617" s="150"/>
      <c r="Q617" s="177">
        <v>15000000</v>
      </c>
      <c r="R617" s="148">
        <f>48000000+48000000</f>
        <v>96000000</v>
      </c>
      <c r="S617" s="147">
        <f t="shared" si="1029"/>
        <v>1663944130</v>
      </c>
      <c r="T617" s="158">
        <v>1552944130</v>
      </c>
      <c r="U617" s="143"/>
      <c r="V617" s="147">
        <v>15000000</v>
      </c>
      <c r="W617" s="158">
        <v>96000000</v>
      </c>
      <c r="X617" s="143"/>
      <c r="Y617" s="152">
        <f t="shared" ref="Y617:AB617" si="1217">AD617-T617</f>
        <v>0</v>
      </c>
      <c r="Z617" s="151">
        <f t="shared" si="1217"/>
        <v>0</v>
      </c>
      <c r="AA617" s="151">
        <f t="shared" si="1217"/>
        <v>0</v>
      </c>
      <c r="AB617" s="151">
        <f t="shared" si="1217"/>
        <v>0</v>
      </c>
      <c r="AC617" s="143"/>
      <c r="AD617" s="191">
        <v>1552944130</v>
      </c>
      <c r="AE617" s="170"/>
      <c r="AF617" s="148">
        <v>15000000</v>
      </c>
      <c r="AG617" s="169">
        <f>48000000+48000000</f>
        <v>96000000</v>
      </c>
      <c r="AH617" s="143">
        <f t="shared" si="1031"/>
        <v>0</v>
      </c>
      <c r="AI617" s="151"/>
      <c r="AJ617" s="151">
        <f t="shared" ref="AJ617:AL617" si="1218">P617-AE617</f>
        <v>0</v>
      </c>
      <c r="AK617" s="151">
        <f t="shared" si="1218"/>
        <v>0</v>
      </c>
      <c r="AL617" s="151">
        <f t="shared" si="1218"/>
        <v>0</v>
      </c>
      <c r="AM617" s="145"/>
      <c r="AN617" s="139"/>
      <c r="AO617" s="139"/>
      <c r="AP617" s="139"/>
      <c r="AQ617" s="145"/>
      <c r="AR617" s="145"/>
    </row>
    <row r="618" spans="1:44" s="156" customFormat="1" ht="47.25" x14ac:dyDescent="0.25">
      <c r="A618" s="143" t="s">
        <v>52</v>
      </c>
      <c r="B618" s="144">
        <v>605</v>
      </c>
      <c r="C618" s="143" t="s">
        <v>53</v>
      </c>
      <c r="D618" s="143" t="s">
        <v>3224</v>
      </c>
      <c r="E618" s="145" t="s">
        <v>3225</v>
      </c>
      <c r="F618" s="146"/>
      <c r="G618" s="143" t="s">
        <v>3226</v>
      </c>
      <c r="H618" s="143" t="s">
        <v>3227</v>
      </c>
      <c r="I618" s="143"/>
      <c r="J618" s="143"/>
      <c r="K618" s="143"/>
      <c r="L618" s="143" t="s">
        <v>3228</v>
      </c>
      <c r="M618" s="143" t="s">
        <v>43</v>
      </c>
      <c r="N618" s="143" t="s">
        <v>3229</v>
      </c>
      <c r="O618" s="147">
        <v>1671793805</v>
      </c>
      <c r="P618" s="169">
        <v>397954999</v>
      </c>
      <c r="Q618" s="169">
        <v>7500000</v>
      </c>
      <c r="R618" s="150"/>
      <c r="S618" s="147">
        <f t="shared" si="1029"/>
        <v>2077248804</v>
      </c>
      <c r="T618" s="158">
        <v>1671793805</v>
      </c>
      <c r="U618" s="158">
        <v>397954999</v>
      </c>
      <c r="V618" s="157"/>
      <c r="W618" s="143"/>
      <c r="X618" s="143"/>
      <c r="Y618" s="152">
        <f t="shared" ref="Y618:AB618" si="1219">AD618-T618</f>
        <v>0</v>
      </c>
      <c r="Z618" s="151">
        <f t="shared" si="1219"/>
        <v>0</v>
      </c>
      <c r="AA618" s="151">
        <f t="shared" si="1219"/>
        <v>0</v>
      </c>
      <c r="AB618" s="152">
        <f t="shared" si="1219"/>
        <v>0</v>
      </c>
      <c r="AC618" s="143"/>
      <c r="AD618" s="191">
        <v>1671793805</v>
      </c>
      <c r="AE618" s="169">
        <v>397954999</v>
      </c>
      <c r="AF618" s="150"/>
      <c r="AG618" s="193"/>
      <c r="AH618" s="143">
        <f t="shared" si="1031"/>
        <v>0</v>
      </c>
      <c r="AI618" s="151"/>
      <c r="AJ618" s="151">
        <f t="shared" ref="AJ618:AL618" si="1220">P618-AE618</f>
        <v>0</v>
      </c>
      <c r="AK618" s="151">
        <f t="shared" si="1220"/>
        <v>7500000</v>
      </c>
      <c r="AL618" s="151">
        <f t="shared" si="1220"/>
        <v>0</v>
      </c>
      <c r="AM618" s="145"/>
      <c r="AN618" s="139"/>
      <c r="AO618" s="139"/>
      <c r="AP618" s="162" t="s">
        <v>4008</v>
      </c>
      <c r="AQ618" s="145"/>
      <c r="AR618" s="145"/>
    </row>
    <row r="619" spans="1:44" s="156" customFormat="1" ht="47.25" x14ac:dyDescent="0.25">
      <c r="A619" s="143" t="s">
        <v>52</v>
      </c>
      <c r="B619" s="144">
        <v>606</v>
      </c>
      <c r="C619" s="143" t="s">
        <v>53</v>
      </c>
      <c r="D619" s="143" t="s">
        <v>54</v>
      </c>
      <c r="E619" s="145" t="s">
        <v>55</v>
      </c>
      <c r="F619" s="145" t="s">
        <v>39</v>
      </c>
      <c r="G619" s="143" t="s">
        <v>56</v>
      </c>
      <c r="H619" s="143" t="s">
        <v>57</v>
      </c>
      <c r="I619" s="143"/>
      <c r="J619" s="143"/>
      <c r="K619" s="164"/>
      <c r="L619" s="143" t="s">
        <v>58</v>
      </c>
      <c r="M619" s="143" t="s">
        <v>43</v>
      </c>
      <c r="N619" s="143" t="s">
        <v>59</v>
      </c>
      <c r="O619" s="147">
        <v>1335262372</v>
      </c>
      <c r="P619" s="169">
        <v>1131203544</v>
      </c>
      <c r="Q619" s="169">
        <v>15000000</v>
      </c>
      <c r="R619" s="148">
        <v>24000000</v>
      </c>
      <c r="S619" s="147">
        <f t="shared" si="1029"/>
        <v>2505465916</v>
      </c>
      <c r="T619" s="158">
        <v>1335262372</v>
      </c>
      <c r="U619" s="158">
        <v>1131203544</v>
      </c>
      <c r="V619" s="147">
        <v>15000000</v>
      </c>
      <c r="W619" s="158">
        <v>24000000</v>
      </c>
      <c r="X619" s="143"/>
      <c r="Y619" s="152">
        <f t="shared" ref="Y619:AB619" si="1221">AD619-T619</f>
        <v>0</v>
      </c>
      <c r="Z619" s="151">
        <f t="shared" si="1221"/>
        <v>0</v>
      </c>
      <c r="AA619" s="151">
        <f t="shared" si="1221"/>
        <v>0</v>
      </c>
      <c r="AB619" s="151">
        <f t="shared" si="1221"/>
        <v>0</v>
      </c>
      <c r="AC619" s="143"/>
      <c r="AD619" s="149">
        <v>1335262372</v>
      </c>
      <c r="AE619" s="148">
        <v>1131203544</v>
      </c>
      <c r="AF619" s="148">
        <v>15000000</v>
      </c>
      <c r="AG619" s="148">
        <v>24000000</v>
      </c>
      <c r="AH619" s="143">
        <f t="shared" si="1031"/>
        <v>0</v>
      </c>
      <c r="AI619" s="151"/>
      <c r="AJ619" s="151">
        <f t="shared" ref="AJ619:AL619" si="1222">P619-AE619</f>
        <v>0</v>
      </c>
      <c r="AK619" s="151">
        <f t="shared" si="1222"/>
        <v>0</v>
      </c>
      <c r="AL619" s="151">
        <f t="shared" si="1222"/>
        <v>0</v>
      </c>
      <c r="AM619" s="145"/>
      <c r="AN619" s="139"/>
      <c r="AO619" s="139"/>
      <c r="AP619" s="139"/>
      <c r="AQ619" s="145"/>
      <c r="AR619" s="145"/>
    </row>
    <row r="620" spans="1:44" s="156" customFormat="1" ht="31.5" x14ac:dyDescent="0.25">
      <c r="A620" s="143" t="s">
        <v>52</v>
      </c>
      <c r="B620" s="144">
        <v>607</v>
      </c>
      <c r="C620" s="143" t="s">
        <v>53</v>
      </c>
      <c r="D620" s="143" t="s">
        <v>3230</v>
      </c>
      <c r="E620" s="145"/>
      <c r="F620" s="146"/>
      <c r="G620" s="143" t="s">
        <v>3231</v>
      </c>
      <c r="H620" s="143"/>
      <c r="I620" s="143"/>
      <c r="J620" s="143"/>
      <c r="K620" s="143"/>
      <c r="L620" s="143" t="s">
        <v>3232</v>
      </c>
      <c r="M620" s="143" t="s">
        <v>43</v>
      </c>
      <c r="N620" s="143" t="s">
        <v>3197</v>
      </c>
      <c r="O620" s="147">
        <v>49275408</v>
      </c>
      <c r="P620" s="150"/>
      <c r="Q620" s="169">
        <v>7500000</v>
      </c>
      <c r="R620" s="150"/>
      <c r="S620" s="147">
        <f t="shared" si="1029"/>
        <v>56775408</v>
      </c>
      <c r="T620" s="158">
        <v>49275408</v>
      </c>
      <c r="U620" s="143"/>
      <c r="V620" s="147">
        <v>7500000</v>
      </c>
      <c r="W620" s="143"/>
      <c r="X620" s="143"/>
      <c r="Y620" s="152">
        <f t="shared" ref="Y620:AB620" si="1223">AD620-T620</f>
        <v>0</v>
      </c>
      <c r="Z620" s="151">
        <f t="shared" si="1223"/>
        <v>0</v>
      </c>
      <c r="AA620" s="151">
        <f t="shared" si="1223"/>
        <v>0</v>
      </c>
      <c r="AB620" s="151">
        <f t="shared" si="1223"/>
        <v>0</v>
      </c>
      <c r="AC620" s="143"/>
      <c r="AD620" s="149">
        <v>49275408</v>
      </c>
      <c r="AE620" s="150"/>
      <c r="AF620" s="148">
        <v>7500000</v>
      </c>
      <c r="AG620" s="150"/>
      <c r="AH620" s="143">
        <f t="shared" si="1031"/>
        <v>0</v>
      </c>
      <c r="AI620" s="151"/>
      <c r="AJ620" s="151">
        <f t="shared" ref="AJ620:AL620" si="1224">P620-AE620</f>
        <v>0</v>
      </c>
      <c r="AK620" s="151">
        <f t="shared" si="1224"/>
        <v>0</v>
      </c>
      <c r="AL620" s="151">
        <f t="shared" si="1224"/>
        <v>0</v>
      </c>
      <c r="AM620" s="145"/>
      <c r="AN620" s="139"/>
      <c r="AO620" s="139"/>
      <c r="AP620" s="139"/>
      <c r="AQ620" s="145"/>
      <c r="AR620" s="145"/>
    </row>
    <row r="621" spans="1:44" s="156" customFormat="1" ht="47.25" x14ac:dyDescent="0.25">
      <c r="A621" s="143" t="s">
        <v>52</v>
      </c>
      <c r="B621" s="144">
        <v>608</v>
      </c>
      <c r="C621" s="143" t="s">
        <v>53</v>
      </c>
      <c r="D621" s="143" t="s">
        <v>3233</v>
      </c>
      <c r="E621" s="145"/>
      <c r="F621" s="146"/>
      <c r="G621" s="143" t="s">
        <v>3234</v>
      </c>
      <c r="H621" s="143"/>
      <c r="I621" s="143"/>
      <c r="J621" s="143"/>
      <c r="K621" s="143"/>
      <c r="L621" s="143" t="s">
        <v>3235</v>
      </c>
      <c r="M621" s="143" t="s">
        <v>43</v>
      </c>
      <c r="N621" s="143" t="s">
        <v>3236</v>
      </c>
      <c r="O621" s="147">
        <v>2200225188</v>
      </c>
      <c r="P621" s="150"/>
      <c r="Q621" s="169">
        <v>7500000</v>
      </c>
      <c r="R621" s="150"/>
      <c r="S621" s="147">
        <f t="shared" si="1029"/>
        <v>2207725188</v>
      </c>
      <c r="T621" s="158">
        <v>2200225188</v>
      </c>
      <c r="U621" s="143"/>
      <c r="V621" s="147">
        <v>7500000</v>
      </c>
      <c r="W621" s="143"/>
      <c r="X621" s="143"/>
      <c r="Y621" s="152">
        <f t="shared" ref="Y621:AB621" si="1225">AD621-T621</f>
        <v>0</v>
      </c>
      <c r="Z621" s="151">
        <f t="shared" si="1225"/>
        <v>0</v>
      </c>
      <c r="AA621" s="151">
        <f t="shared" si="1225"/>
        <v>0</v>
      </c>
      <c r="AB621" s="152">
        <f t="shared" si="1225"/>
        <v>0</v>
      </c>
      <c r="AC621" s="143"/>
      <c r="AD621" s="187">
        <v>2200225188</v>
      </c>
      <c r="AE621" s="170"/>
      <c r="AF621" s="148">
        <v>7500000</v>
      </c>
      <c r="AG621" s="193"/>
      <c r="AH621" s="143">
        <f t="shared" si="1031"/>
        <v>0</v>
      </c>
      <c r="AI621" s="151"/>
      <c r="AJ621" s="151">
        <f t="shared" ref="AJ621:AL621" si="1226">P621-AE621</f>
        <v>0</v>
      </c>
      <c r="AK621" s="151">
        <f t="shared" si="1226"/>
        <v>0</v>
      </c>
      <c r="AL621" s="151">
        <f t="shared" si="1226"/>
        <v>0</v>
      </c>
      <c r="AM621" s="145"/>
      <c r="AN621" s="139"/>
      <c r="AO621" s="139"/>
      <c r="AP621" s="139"/>
      <c r="AQ621" s="145"/>
      <c r="AR621" s="145"/>
    </row>
    <row r="622" spans="1:44" s="156" customFormat="1" ht="31.5" x14ac:dyDescent="0.25">
      <c r="A622" s="143" t="s">
        <v>60</v>
      </c>
      <c r="B622" s="144">
        <v>609</v>
      </c>
      <c r="C622" s="143" t="s">
        <v>53</v>
      </c>
      <c r="D622" s="143" t="s">
        <v>3237</v>
      </c>
      <c r="E622" s="145"/>
      <c r="F622" s="146"/>
      <c r="G622" s="143" t="s">
        <v>3238</v>
      </c>
      <c r="H622" s="143"/>
      <c r="I622" s="143"/>
      <c r="J622" s="143"/>
      <c r="K622" s="143"/>
      <c r="L622" s="143" t="s">
        <v>3239</v>
      </c>
      <c r="M622" s="143" t="s">
        <v>43</v>
      </c>
      <c r="N622" s="143" t="s">
        <v>3240</v>
      </c>
      <c r="O622" s="147">
        <v>1053577380</v>
      </c>
      <c r="P622" s="150"/>
      <c r="Q622" s="169">
        <v>7500000</v>
      </c>
      <c r="R622" s="150"/>
      <c r="S622" s="147">
        <f t="shared" si="1029"/>
        <v>1061077380</v>
      </c>
      <c r="T622" s="158">
        <v>1053577380</v>
      </c>
      <c r="U622" s="143"/>
      <c r="V622" s="157">
        <v>7500000</v>
      </c>
      <c r="W622" s="143"/>
      <c r="X622" s="143"/>
      <c r="Y622" s="152">
        <f t="shared" ref="Y622:AB622" si="1227">AD622-T622</f>
        <v>0</v>
      </c>
      <c r="Z622" s="151">
        <f t="shared" si="1227"/>
        <v>0</v>
      </c>
      <c r="AA622" s="151">
        <f t="shared" si="1227"/>
        <v>0</v>
      </c>
      <c r="AB622" s="151">
        <f t="shared" si="1227"/>
        <v>0</v>
      </c>
      <c r="AC622" s="143"/>
      <c r="AD622" s="191">
        <v>1053577380</v>
      </c>
      <c r="AE622" s="170"/>
      <c r="AF622" s="148">
        <v>7500000</v>
      </c>
      <c r="AG622" s="170"/>
      <c r="AH622" s="143">
        <f t="shared" si="1031"/>
        <v>0</v>
      </c>
      <c r="AI622" s="151"/>
      <c r="AJ622" s="151">
        <f t="shared" ref="AJ622:AL622" si="1228">P622-AE622</f>
        <v>0</v>
      </c>
      <c r="AK622" s="151">
        <f t="shared" si="1228"/>
        <v>0</v>
      </c>
      <c r="AL622" s="151">
        <f t="shared" si="1228"/>
        <v>0</v>
      </c>
      <c r="AM622" s="145"/>
      <c r="AN622" s="139"/>
      <c r="AO622" s="139"/>
      <c r="AP622" s="139"/>
      <c r="AQ622" s="145"/>
      <c r="AR622" s="145"/>
    </row>
    <row r="623" spans="1:44" s="156" customFormat="1" ht="47.25" x14ac:dyDescent="0.25">
      <c r="A623" s="143" t="s">
        <v>52</v>
      </c>
      <c r="B623" s="144">
        <v>610</v>
      </c>
      <c r="C623" s="143" t="s">
        <v>53</v>
      </c>
      <c r="D623" s="143" t="s">
        <v>3241</v>
      </c>
      <c r="E623" s="145" t="s">
        <v>3242</v>
      </c>
      <c r="F623" s="146"/>
      <c r="G623" s="143" t="s">
        <v>3243</v>
      </c>
      <c r="H623" s="143" t="s">
        <v>3244</v>
      </c>
      <c r="I623" s="143"/>
      <c r="J623" s="143"/>
      <c r="K623" s="143"/>
      <c r="L623" s="143" t="s">
        <v>3245</v>
      </c>
      <c r="M623" s="143" t="s">
        <v>43</v>
      </c>
      <c r="N623" s="143" t="s">
        <v>3246</v>
      </c>
      <c r="O623" s="147">
        <v>1419150880</v>
      </c>
      <c r="P623" s="169">
        <v>91469952</v>
      </c>
      <c r="Q623" s="169">
        <v>7500000</v>
      </c>
      <c r="R623" s="150"/>
      <c r="S623" s="147">
        <f t="shared" si="1029"/>
        <v>1518120832</v>
      </c>
      <c r="T623" s="158">
        <v>1419150880</v>
      </c>
      <c r="U623" s="158">
        <v>91469952</v>
      </c>
      <c r="V623" s="147">
        <v>7500000</v>
      </c>
      <c r="W623" s="143"/>
      <c r="X623" s="143"/>
      <c r="Y623" s="152">
        <f t="shared" ref="Y623:AB623" si="1229">AD623-T623</f>
        <v>0</v>
      </c>
      <c r="Z623" s="151">
        <f t="shared" si="1229"/>
        <v>0</v>
      </c>
      <c r="AA623" s="151">
        <f t="shared" si="1229"/>
        <v>0</v>
      </c>
      <c r="AB623" s="152">
        <f t="shared" si="1229"/>
        <v>0</v>
      </c>
      <c r="AC623" s="143"/>
      <c r="AD623" s="191">
        <v>1419150880</v>
      </c>
      <c r="AE623" s="148">
        <v>91469952</v>
      </c>
      <c r="AF623" s="169">
        <v>7500000</v>
      </c>
      <c r="AG623" s="155"/>
      <c r="AH623" s="143">
        <f t="shared" si="1031"/>
        <v>0</v>
      </c>
      <c r="AI623" s="151"/>
      <c r="AJ623" s="151">
        <f t="shared" ref="AJ623:AL623" si="1230">P623-AE623</f>
        <v>0</v>
      </c>
      <c r="AK623" s="151">
        <f t="shared" si="1230"/>
        <v>0</v>
      </c>
      <c r="AL623" s="151">
        <f t="shared" si="1230"/>
        <v>0</v>
      </c>
      <c r="AM623" s="145"/>
      <c r="AN623" s="139"/>
      <c r="AO623" s="139"/>
      <c r="AP623" s="139"/>
      <c r="AQ623" s="145"/>
      <c r="AR623" s="145"/>
    </row>
    <row r="624" spans="1:44" s="156" customFormat="1" ht="47.25" x14ac:dyDescent="0.25">
      <c r="A624" s="143" t="s">
        <v>52</v>
      </c>
      <c r="B624" s="144">
        <v>611</v>
      </c>
      <c r="C624" s="143" t="s">
        <v>53</v>
      </c>
      <c r="D624" s="143" t="s">
        <v>3247</v>
      </c>
      <c r="E624" s="145"/>
      <c r="F624" s="146"/>
      <c r="G624" s="143" t="s">
        <v>3248</v>
      </c>
      <c r="H624" s="143"/>
      <c r="I624" s="143"/>
      <c r="J624" s="143"/>
      <c r="K624" s="143"/>
      <c r="L624" s="143" t="s">
        <v>3249</v>
      </c>
      <c r="M624" s="143" t="s">
        <v>43</v>
      </c>
      <c r="N624" s="143" t="s">
        <v>3250</v>
      </c>
      <c r="O624" s="147">
        <v>2821214140</v>
      </c>
      <c r="P624" s="150"/>
      <c r="Q624" s="169">
        <v>15000000</v>
      </c>
      <c r="R624" s="150"/>
      <c r="S624" s="147">
        <f t="shared" si="1029"/>
        <v>2836214140</v>
      </c>
      <c r="T624" s="158">
        <v>2821214140</v>
      </c>
      <c r="U624" s="143"/>
      <c r="V624" s="147">
        <v>15000000</v>
      </c>
      <c r="W624" s="143"/>
      <c r="X624" s="143"/>
      <c r="Y624" s="152">
        <f t="shared" ref="Y624:AB624" si="1231">AD624-T624</f>
        <v>0</v>
      </c>
      <c r="Z624" s="151">
        <f t="shared" si="1231"/>
        <v>0</v>
      </c>
      <c r="AA624" s="151">
        <f t="shared" si="1231"/>
        <v>0</v>
      </c>
      <c r="AB624" s="151">
        <f t="shared" si="1231"/>
        <v>0</v>
      </c>
      <c r="AC624" s="143"/>
      <c r="AD624" s="191">
        <v>2821214140</v>
      </c>
      <c r="AE624" s="170"/>
      <c r="AF624" s="169">
        <v>15000000</v>
      </c>
      <c r="AG624" s="170"/>
      <c r="AH624" s="143">
        <f t="shared" si="1031"/>
        <v>0</v>
      </c>
      <c r="AI624" s="151"/>
      <c r="AJ624" s="151">
        <f t="shared" ref="AJ624:AL624" si="1232">P624-AE624</f>
        <v>0</v>
      </c>
      <c r="AK624" s="151">
        <f t="shared" si="1232"/>
        <v>0</v>
      </c>
      <c r="AL624" s="151">
        <f t="shared" si="1232"/>
        <v>0</v>
      </c>
      <c r="AM624" s="145"/>
      <c r="AN624" s="139"/>
      <c r="AO624" s="139"/>
      <c r="AP624" s="139"/>
      <c r="AQ624" s="145"/>
      <c r="AR624" s="145"/>
    </row>
    <row r="625" spans="1:44" s="156" customFormat="1" ht="47.25" x14ac:dyDescent="0.25">
      <c r="A625" s="143" t="s">
        <v>88</v>
      </c>
      <c r="B625" s="144">
        <v>612</v>
      </c>
      <c r="C625" s="143" t="s">
        <v>53</v>
      </c>
      <c r="D625" s="143" t="s">
        <v>3251</v>
      </c>
      <c r="E625" s="145"/>
      <c r="F625" s="146"/>
      <c r="G625" s="143" t="s">
        <v>3252</v>
      </c>
      <c r="H625" s="143"/>
      <c r="I625" s="143"/>
      <c r="J625" s="143"/>
      <c r="K625" s="143"/>
      <c r="L625" s="143" t="s">
        <v>3253</v>
      </c>
      <c r="M625" s="143" t="s">
        <v>43</v>
      </c>
      <c r="N625" s="143" t="s">
        <v>3254</v>
      </c>
      <c r="O625" s="147">
        <v>4672084520</v>
      </c>
      <c r="P625" s="150"/>
      <c r="Q625" s="169">
        <v>7500000</v>
      </c>
      <c r="R625" s="150"/>
      <c r="S625" s="147">
        <f t="shared" si="1029"/>
        <v>4679584520</v>
      </c>
      <c r="T625" s="151">
        <v>4672084520</v>
      </c>
      <c r="U625" s="143"/>
      <c r="V625" s="147">
        <v>7500000</v>
      </c>
      <c r="W625" s="143"/>
      <c r="X625" s="143"/>
      <c r="Y625" s="152">
        <f t="shared" ref="Y625:AB625" si="1233">AD625-T625</f>
        <v>0</v>
      </c>
      <c r="Z625" s="151">
        <f t="shared" si="1233"/>
        <v>0</v>
      </c>
      <c r="AA625" s="151">
        <f t="shared" si="1233"/>
        <v>0</v>
      </c>
      <c r="AB625" s="152">
        <f t="shared" si="1233"/>
        <v>0</v>
      </c>
      <c r="AC625" s="143"/>
      <c r="AD625" s="193">
        <v>4672084520</v>
      </c>
      <c r="AE625" s="150"/>
      <c r="AF625" s="148">
        <v>7500000</v>
      </c>
      <c r="AG625" s="155"/>
      <c r="AH625" s="143">
        <f t="shared" si="1031"/>
        <v>0</v>
      </c>
      <c r="AI625" s="151"/>
      <c r="AJ625" s="151">
        <f t="shared" ref="AJ625:AL625" si="1234">P625-AE625</f>
        <v>0</v>
      </c>
      <c r="AK625" s="151">
        <f t="shared" si="1234"/>
        <v>0</v>
      </c>
      <c r="AL625" s="151">
        <f t="shared" si="1234"/>
        <v>0</v>
      </c>
      <c r="AM625" s="145"/>
      <c r="AN625" s="139"/>
      <c r="AO625" s="139"/>
      <c r="AP625" s="139"/>
      <c r="AQ625" s="145"/>
      <c r="AR625" s="145"/>
    </row>
    <row r="626" spans="1:44" s="156" customFormat="1" ht="31.5" x14ac:dyDescent="0.25">
      <c r="A626" s="143" t="s">
        <v>60</v>
      </c>
      <c r="B626" s="144">
        <v>613</v>
      </c>
      <c r="C626" s="143" t="s">
        <v>53</v>
      </c>
      <c r="D626" s="143" t="s">
        <v>3255</v>
      </c>
      <c r="E626" s="145"/>
      <c r="F626" s="145"/>
      <c r="G626" s="143" t="s">
        <v>3256</v>
      </c>
      <c r="H626" s="143"/>
      <c r="I626" s="143" t="s">
        <v>261</v>
      </c>
      <c r="J626" s="143"/>
      <c r="K626" s="143"/>
      <c r="L626" s="143" t="s">
        <v>3257</v>
      </c>
      <c r="M626" s="143" t="s">
        <v>43</v>
      </c>
      <c r="N626" s="143" t="s">
        <v>3258</v>
      </c>
      <c r="O626" s="147">
        <v>2648940180</v>
      </c>
      <c r="P626" s="150"/>
      <c r="Q626" s="169">
        <v>15000000</v>
      </c>
      <c r="R626" s="150"/>
      <c r="S626" s="147">
        <f t="shared" si="1029"/>
        <v>2663940180</v>
      </c>
      <c r="T626" s="158">
        <v>2648940180</v>
      </c>
      <c r="U626" s="143"/>
      <c r="V626" s="147">
        <v>15000000</v>
      </c>
      <c r="W626" s="143"/>
      <c r="X626" s="143"/>
      <c r="Y626" s="152">
        <f t="shared" ref="Y626:AB626" si="1235">AD626-T626</f>
        <v>0</v>
      </c>
      <c r="Z626" s="151">
        <f t="shared" si="1235"/>
        <v>0</v>
      </c>
      <c r="AA626" s="151">
        <f t="shared" si="1235"/>
        <v>0</v>
      </c>
      <c r="AB626" s="152">
        <f t="shared" si="1235"/>
        <v>0</v>
      </c>
      <c r="AC626" s="143"/>
      <c r="AD626" s="191">
        <v>2648940180</v>
      </c>
      <c r="AE626" s="170"/>
      <c r="AF626" s="148">
        <v>15000000</v>
      </c>
      <c r="AG626" s="193"/>
      <c r="AH626" s="143">
        <f t="shared" si="1031"/>
        <v>0</v>
      </c>
      <c r="AI626" s="151"/>
      <c r="AJ626" s="151">
        <f t="shared" ref="AJ626:AL626" si="1236">P626-AE626</f>
        <v>0</v>
      </c>
      <c r="AK626" s="151">
        <f t="shared" si="1236"/>
        <v>0</v>
      </c>
      <c r="AL626" s="151">
        <f t="shared" si="1236"/>
        <v>0</v>
      </c>
      <c r="AM626" s="145"/>
      <c r="AN626" s="139"/>
      <c r="AO626" s="139"/>
      <c r="AP626" s="139"/>
      <c r="AQ626" s="145"/>
      <c r="AR626" s="145"/>
    </row>
    <row r="627" spans="1:44" s="156" customFormat="1" ht="31.5" x14ac:dyDescent="0.25">
      <c r="A627" s="143" t="s">
        <v>46</v>
      </c>
      <c r="B627" s="144">
        <v>614</v>
      </c>
      <c r="C627" s="143" t="s">
        <v>53</v>
      </c>
      <c r="D627" s="143" t="s">
        <v>3259</v>
      </c>
      <c r="E627" s="145"/>
      <c r="F627" s="145"/>
      <c r="G627" s="143" t="s">
        <v>3260</v>
      </c>
      <c r="H627" s="143"/>
      <c r="I627" s="143" t="s">
        <v>261</v>
      </c>
      <c r="J627" s="143"/>
      <c r="K627" s="143"/>
      <c r="L627" s="143" t="s">
        <v>3261</v>
      </c>
      <c r="M627" s="143" t="s">
        <v>43</v>
      </c>
      <c r="N627" s="143" t="s">
        <v>1322</v>
      </c>
      <c r="O627" s="147">
        <v>13040553670</v>
      </c>
      <c r="P627" s="150"/>
      <c r="Q627" s="169">
        <v>15000000</v>
      </c>
      <c r="R627" s="150"/>
      <c r="S627" s="147">
        <f t="shared" si="1029"/>
        <v>13055553670</v>
      </c>
      <c r="T627" s="151">
        <v>13040553670</v>
      </c>
      <c r="U627" s="143"/>
      <c r="V627" s="147">
        <v>15000000</v>
      </c>
      <c r="W627" s="143"/>
      <c r="X627" s="143"/>
      <c r="Y627" s="152">
        <f t="shared" ref="Y627:AB627" si="1237">AD627-T627</f>
        <v>0</v>
      </c>
      <c r="Z627" s="151">
        <f t="shared" si="1237"/>
        <v>0</v>
      </c>
      <c r="AA627" s="151">
        <f t="shared" si="1237"/>
        <v>0</v>
      </c>
      <c r="AB627" s="152">
        <f t="shared" si="1237"/>
        <v>0</v>
      </c>
      <c r="AC627" s="143"/>
      <c r="AD627" s="155">
        <v>13040553670</v>
      </c>
      <c r="AE627" s="150"/>
      <c r="AF627" s="148">
        <v>15000000</v>
      </c>
      <c r="AG627" s="155"/>
      <c r="AH627" s="143">
        <f t="shared" si="1031"/>
        <v>0</v>
      </c>
      <c r="AI627" s="151"/>
      <c r="AJ627" s="151">
        <f t="shared" ref="AJ627:AL627" si="1238">P627-AE627</f>
        <v>0</v>
      </c>
      <c r="AK627" s="151">
        <f t="shared" si="1238"/>
        <v>0</v>
      </c>
      <c r="AL627" s="151">
        <f t="shared" si="1238"/>
        <v>0</v>
      </c>
      <c r="AM627" s="145"/>
      <c r="AN627" s="139"/>
      <c r="AO627" s="139"/>
      <c r="AP627" s="139"/>
      <c r="AQ627" s="145"/>
      <c r="AR627" s="145"/>
    </row>
    <row r="628" spans="1:44" s="156" customFormat="1" ht="94.5" x14ac:dyDescent="0.25">
      <c r="A628" s="143" t="s">
        <v>46</v>
      </c>
      <c r="B628" s="144">
        <v>615</v>
      </c>
      <c r="C628" s="143" t="s">
        <v>53</v>
      </c>
      <c r="D628" s="143" t="s">
        <v>1552</v>
      </c>
      <c r="E628" s="145" t="s">
        <v>883</v>
      </c>
      <c r="F628" s="145" t="s">
        <v>1554</v>
      </c>
      <c r="G628" s="143" t="s">
        <v>1555</v>
      </c>
      <c r="H628" s="143" t="s">
        <v>1556</v>
      </c>
      <c r="I628" s="143" t="s">
        <v>261</v>
      </c>
      <c r="J628" s="143"/>
      <c r="K628" s="164"/>
      <c r="L628" s="143" t="s">
        <v>1557</v>
      </c>
      <c r="M628" s="143" t="s">
        <v>43</v>
      </c>
      <c r="N628" s="143" t="s">
        <v>1558</v>
      </c>
      <c r="O628" s="147">
        <v>4270717238</v>
      </c>
      <c r="P628" s="148">
        <v>523546590</v>
      </c>
      <c r="Q628" s="169">
        <v>15000000</v>
      </c>
      <c r="R628" s="148">
        <f>72000000+144000000</f>
        <v>216000000</v>
      </c>
      <c r="S628" s="147">
        <f t="shared" si="1029"/>
        <v>5025263828</v>
      </c>
      <c r="T628" s="151">
        <v>4270717238</v>
      </c>
      <c r="U628" s="158">
        <v>523546590</v>
      </c>
      <c r="V628" s="147">
        <v>15000000</v>
      </c>
      <c r="W628" s="158">
        <v>216000000</v>
      </c>
      <c r="X628" s="143"/>
      <c r="Y628" s="152">
        <f t="shared" ref="Y628:AB628" si="1239">AD628-T628</f>
        <v>0</v>
      </c>
      <c r="Z628" s="151">
        <f t="shared" si="1239"/>
        <v>0</v>
      </c>
      <c r="AA628" s="151">
        <f t="shared" si="1239"/>
        <v>0</v>
      </c>
      <c r="AB628" s="151">
        <f t="shared" si="1239"/>
        <v>0</v>
      </c>
      <c r="AC628" s="143"/>
      <c r="AD628" s="155">
        <v>4270717238</v>
      </c>
      <c r="AE628" s="148">
        <v>523546590</v>
      </c>
      <c r="AF628" s="148">
        <v>15000000</v>
      </c>
      <c r="AG628" s="148">
        <f>72000000+144000000</f>
        <v>216000000</v>
      </c>
      <c r="AH628" s="143">
        <f t="shared" si="1031"/>
        <v>0</v>
      </c>
      <c r="AI628" s="151"/>
      <c r="AJ628" s="151">
        <f t="shared" ref="AJ628:AL628" si="1240">P628-AE628</f>
        <v>0</v>
      </c>
      <c r="AK628" s="151">
        <f t="shared" si="1240"/>
        <v>0</v>
      </c>
      <c r="AL628" s="151">
        <f t="shared" si="1240"/>
        <v>0</v>
      </c>
      <c r="AM628" s="145"/>
      <c r="AN628" s="139"/>
      <c r="AO628" s="139"/>
      <c r="AP628" s="139"/>
      <c r="AQ628" s="145"/>
      <c r="AR628" s="145"/>
    </row>
    <row r="629" spans="1:44" s="156" customFormat="1" ht="47.25" x14ac:dyDescent="0.25">
      <c r="A629" s="143" t="s">
        <v>35</v>
      </c>
      <c r="B629" s="144">
        <v>616</v>
      </c>
      <c r="C629" s="143" t="s">
        <v>53</v>
      </c>
      <c r="D629" s="143" t="s">
        <v>3262</v>
      </c>
      <c r="E629" s="145"/>
      <c r="F629" s="145"/>
      <c r="G629" s="143" t="s">
        <v>3263</v>
      </c>
      <c r="H629" s="143"/>
      <c r="I629" s="143" t="s">
        <v>261</v>
      </c>
      <c r="J629" s="143"/>
      <c r="K629" s="143"/>
      <c r="L629" s="143" t="s">
        <v>3264</v>
      </c>
      <c r="M629" s="143" t="s">
        <v>43</v>
      </c>
      <c r="N629" s="143" t="s">
        <v>3265</v>
      </c>
      <c r="O629" s="147">
        <v>5176307722</v>
      </c>
      <c r="P629" s="150"/>
      <c r="Q629" s="177">
        <v>7500000</v>
      </c>
      <c r="R629" s="150"/>
      <c r="S629" s="147">
        <f t="shared" si="1029"/>
        <v>5183807722</v>
      </c>
      <c r="T629" s="158">
        <v>5176307722</v>
      </c>
      <c r="U629" s="143"/>
      <c r="V629" s="147">
        <v>7500000</v>
      </c>
      <c r="W629" s="143"/>
      <c r="X629" s="143"/>
      <c r="Y629" s="152">
        <f t="shared" ref="Y629:AB629" si="1241">AD629-T629</f>
        <v>0</v>
      </c>
      <c r="Z629" s="151">
        <f t="shared" si="1241"/>
        <v>0</v>
      </c>
      <c r="AA629" s="151">
        <f t="shared" si="1241"/>
        <v>0</v>
      </c>
      <c r="AB629" s="151">
        <f t="shared" si="1241"/>
        <v>0</v>
      </c>
      <c r="AC629" s="143"/>
      <c r="AD629" s="194">
        <v>5176307722</v>
      </c>
      <c r="AE629" s="170"/>
      <c r="AF629" s="148">
        <v>7500000</v>
      </c>
      <c r="AG629" s="170"/>
      <c r="AH629" s="143">
        <f t="shared" si="1031"/>
        <v>0</v>
      </c>
      <c r="AI629" s="151"/>
      <c r="AJ629" s="151">
        <f t="shared" ref="AJ629:AL629" si="1242">P629-AE629</f>
        <v>0</v>
      </c>
      <c r="AK629" s="151">
        <f t="shared" si="1242"/>
        <v>0</v>
      </c>
      <c r="AL629" s="151">
        <f t="shared" si="1242"/>
        <v>0</v>
      </c>
      <c r="AM629" s="145"/>
      <c r="AN629" s="139"/>
      <c r="AO629" s="139"/>
      <c r="AP629" s="139"/>
      <c r="AQ629" s="145"/>
      <c r="AR629" s="145"/>
    </row>
    <row r="630" spans="1:44" s="156" customFormat="1" ht="141.75" x14ac:dyDescent="0.25">
      <c r="A630" s="143" t="s">
        <v>52</v>
      </c>
      <c r="B630" s="144">
        <v>617</v>
      </c>
      <c r="C630" s="143" t="s">
        <v>53</v>
      </c>
      <c r="D630" s="143" t="s">
        <v>3266</v>
      </c>
      <c r="E630" s="145" t="s">
        <v>3267</v>
      </c>
      <c r="F630" s="146"/>
      <c r="G630" s="143" t="s">
        <v>3268</v>
      </c>
      <c r="H630" s="143" t="s">
        <v>3269</v>
      </c>
      <c r="I630" s="143"/>
      <c r="J630" s="143"/>
      <c r="K630" s="143"/>
      <c r="L630" s="143" t="s">
        <v>3270</v>
      </c>
      <c r="M630" s="143" t="s">
        <v>43</v>
      </c>
      <c r="N630" s="143" t="s">
        <v>449</v>
      </c>
      <c r="O630" s="147">
        <v>1147124800</v>
      </c>
      <c r="P630" s="169">
        <v>605553600</v>
      </c>
      <c r="Q630" s="169">
        <v>15000000</v>
      </c>
      <c r="R630" s="150"/>
      <c r="S630" s="147">
        <f t="shared" si="1029"/>
        <v>1767678400</v>
      </c>
      <c r="T630" s="158">
        <v>1147124800</v>
      </c>
      <c r="U630" s="143"/>
      <c r="V630" s="147">
        <v>15000000</v>
      </c>
      <c r="W630" s="143"/>
      <c r="X630" s="143"/>
      <c r="Y630" s="152">
        <f t="shared" ref="Y630:AB630" si="1243">AD630-T630</f>
        <v>0</v>
      </c>
      <c r="Z630" s="151">
        <f t="shared" si="1243"/>
        <v>0</v>
      </c>
      <c r="AA630" s="151">
        <f t="shared" si="1243"/>
        <v>0</v>
      </c>
      <c r="AB630" s="151">
        <f t="shared" si="1243"/>
        <v>0</v>
      </c>
      <c r="AC630" s="143"/>
      <c r="AD630" s="191">
        <v>1147124800</v>
      </c>
      <c r="AE630" s="170"/>
      <c r="AF630" s="169">
        <v>15000000</v>
      </c>
      <c r="AG630" s="170"/>
      <c r="AH630" s="143">
        <f t="shared" si="1031"/>
        <v>0</v>
      </c>
      <c r="AI630" s="151"/>
      <c r="AJ630" s="151">
        <f t="shared" ref="AJ630:AL630" si="1244">P630-AE630</f>
        <v>605553600</v>
      </c>
      <c r="AK630" s="151">
        <f t="shared" si="1244"/>
        <v>0</v>
      </c>
      <c r="AL630" s="151">
        <f t="shared" si="1244"/>
        <v>0</v>
      </c>
      <c r="AM630" s="145"/>
      <c r="AN630" s="139"/>
      <c r="AO630" s="162" t="s">
        <v>4012</v>
      </c>
      <c r="AP630" s="139"/>
      <c r="AQ630" s="145"/>
      <c r="AR630" s="145" t="s">
        <v>4013</v>
      </c>
    </row>
    <row r="631" spans="1:44" s="156" customFormat="1" ht="94.5" x14ac:dyDescent="0.25">
      <c r="A631" s="143" t="s">
        <v>46</v>
      </c>
      <c r="B631" s="144">
        <v>618</v>
      </c>
      <c r="C631" s="143" t="s">
        <v>53</v>
      </c>
      <c r="D631" s="143" t="s">
        <v>3271</v>
      </c>
      <c r="E631" s="145" t="s">
        <v>3272</v>
      </c>
      <c r="F631" s="145"/>
      <c r="G631" s="143" t="s">
        <v>3273</v>
      </c>
      <c r="H631" s="143" t="s">
        <v>3274</v>
      </c>
      <c r="I631" s="143" t="s">
        <v>261</v>
      </c>
      <c r="J631" s="143"/>
      <c r="K631" s="143"/>
      <c r="L631" s="143" t="s">
        <v>3275</v>
      </c>
      <c r="M631" s="143" t="s">
        <v>43</v>
      </c>
      <c r="N631" s="143" t="s">
        <v>3276</v>
      </c>
      <c r="O631" s="147">
        <v>13354478286</v>
      </c>
      <c r="P631" s="169">
        <f>1026885600+383098800</f>
        <v>1409984400</v>
      </c>
      <c r="Q631" s="169">
        <v>7500000</v>
      </c>
      <c r="R631" s="150"/>
      <c r="S631" s="147">
        <f t="shared" si="1029"/>
        <v>14771962686</v>
      </c>
      <c r="T631" s="158">
        <v>13354478286</v>
      </c>
      <c r="U631" s="158">
        <v>1409984400</v>
      </c>
      <c r="V631" s="157"/>
      <c r="W631" s="143"/>
      <c r="X631" s="143"/>
      <c r="Y631" s="151">
        <f t="shared" ref="Y631:AB631" si="1245">AD631-T631</f>
        <v>0</v>
      </c>
      <c r="Z631" s="151">
        <f t="shared" si="1245"/>
        <v>0</v>
      </c>
      <c r="AA631" s="151">
        <f t="shared" si="1245"/>
        <v>0</v>
      </c>
      <c r="AB631" s="151">
        <f t="shared" si="1245"/>
        <v>0</v>
      </c>
      <c r="AC631" s="143"/>
      <c r="AD631" s="148">
        <v>13354478286</v>
      </c>
      <c r="AE631" s="148">
        <f>1026885600+383098800</f>
        <v>1409984400</v>
      </c>
      <c r="AF631" s="150"/>
      <c r="AG631" s="150"/>
      <c r="AH631" s="143">
        <f t="shared" si="1031"/>
        <v>0</v>
      </c>
      <c r="AI631" s="151"/>
      <c r="AJ631" s="151">
        <f t="shared" ref="AJ631:AL631" si="1246">P631-AE631</f>
        <v>0</v>
      </c>
      <c r="AK631" s="151">
        <f t="shared" si="1246"/>
        <v>7500000</v>
      </c>
      <c r="AL631" s="151">
        <f t="shared" si="1246"/>
        <v>0</v>
      </c>
      <c r="AM631" s="145"/>
      <c r="AN631" s="139"/>
      <c r="AO631" s="139"/>
      <c r="AP631" s="162" t="s">
        <v>394</v>
      </c>
      <c r="AQ631" s="145"/>
      <c r="AR631" s="145"/>
    </row>
    <row r="632" spans="1:44" s="156" customFormat="1" ht="47.25" x14ac:dyDescent="0.25">
      <c r="A632" s="143" t="s">
        <v>35</v>
      </c>
      <c r="B632" s="144">
        <v>619</v>
      </c>
      <c r="C632" s="143" t="s">
        <v>53</v>
      </c>
      <c r="D632" s="143" t="s">
        <v>3277</v>
      </c>
      <c r="E632" s="145" t="s">
        <v>3628</v>
      </c>
      <c r="F632" s="145"/>
      <c r="G632" s="143" t="s">
        <v>3278</v>
      </c>
      <c r="H632" s="143" t="s">
        <v>3629</v>
      </c>
      <c r="I632" s="143"/>
      <c r="J632" s="143"/>
      <c r="K632" s="143"/>
      <c r="L632" s="143" t="s">
        <v>3279</v>
      </c>
      <c r="M632" s="143" t="s">
        <v>43</v>
      </c>
      <c r="N632" s="143" t="s">
        <v>3280</v>
      </c>
      <c r="O632" s="147">
        <v>5798938856</v>
      </c>
      <c r="P632" s="148">
        <v>40182912</v>
      </c>
      <c r="Q632" s="177">
        <v>15000000</v>
      </c>
      <c r="R632" s="150"/>
      <c r="S632" s="147">
        <f t="shared" si="1029"/>
        <v>5854121768</v>
      </c>
      <c r="T632" s="158">
        <v>5798938856</v>
      </c>
      <c r="U632" s="151">
        <v>40182912</v>
      </c>
      <c r="V632" s="147">
        <v>15000000</v>
      </c>
      <c r="W632" s="143"/>
      <c r="X632" s="143"/>
      <c r="Y632" s="152">
        <f t="shared" ref="Y632:AB632" si="1247">AD632-T632</f>
        <v>0</v>
      </c>
      <c r="Z632" s="151">
        <f t="shared" si="1247"/>
        <v>0</v>
      </c>
      <c r="AA632" s="151">
        <f t="shared" si="1247"/>
        <v>0</v>
      </c>
      <c r="AB632" s="151">
        <f t="shared" si="1247"/>
        <v>0</v>
      </c>
      <c r="AC632" s="143"/>
      <c r="AD632" s="194">
        <v>5798938856</v>
      </c>
      <c r="AE632" s="169">
        <v>40182912</v>
      </c>
      <c r="AF632" s="148">
        <v>15000000</v>
      </c>
      <c r="AG632" s="170"/>
      <c r="AH632" s="143">
        <f t="shared" si="1031"/>
        <v>0</v>
      </c>
      <c r="AI632" s="151"/>
      <c r="AJ632" s="151">
        <f t="shared" ref="AJ632:AL632" si="1248">P632-AE632</f>
        <v>0</v>
      </c>
      <c r="AK632" s="151">
        <f t="shared" si="1248"/>
        <v>0</v>
      </c>
      <c r="AL632" s="151">
        <f t="shared" si="1248"/>
        <v>0</v>
      </c>
      <c r="AM632" s="145"/>
      <c r="AN632" s="139"/>
      <c r="AO632" s="139"/>
      <c r="AP632" s="139"/>
      <c r="AQ632" s="145"/>
      <c r="AR632" s="145"/>
    </row>
    <row r="633" spans="1:44" s="156" customFormat="1" ht="31.5" x14ac:dyDescent="0.25">
      <c r="A633" s="143" t="s">
        <v>60</v>
      </c>
      <c r="B633" s="144">
        <v>620</v>
      </c>
      <c r="C633" s="143" t="s">
        <v>53</v>
      </c>
      <c r="D633" s="143" t="s">
        <v>3281</v>
      </c>
      <c r="E633" s="145"/>
      <c r="F633" s="145"/>
      <c r="G633" s="143" t="s">
        <v>3282</v>
      </c>
      <c r="H633" s="143"/>
      <c r="I633" s="143"/>
      <c r="J633" s="143"/>
      <c r="K633" s="143"/>
      <c r="L633" s="143" t="s">
        <v>3283</v>
      </c>
      <c r="M633" s="143" t="s">
        <v>43</v>
      </c>
      <c r="N633" s="143" t="s">
        <v>3284</v>
      </c>
      <c r="O633" s="147">
        <v>4209356424</v>
      </c>
      <c r="P633" s="150"/>
      <c r="Q633" s="169">
        <v>7500000</v>
      </c>
      <c r="R633" s="150"/>
      <c r="S633" s="147">
        <f t="shared" si="1029"/>
        <v>4216856424</v>
      </c>
      <c r="T633" s="158">
        <v>4209356424</v>
      </c>
      <c r="U633" s="143"/>
      <c r="V633" s="147">
        <v>7500000</v>
      </c>
      <c r="W633" s="143"/>
      <c r="X633" s="143"/>
      <c r="Y633" s="152">
        <f t="shared" ref="Y633:AB633" si="1249">AD633-T633</f>
        <v>0</v>
      </c>
      <c r="Z633" s="151">
        <f t="shared" si="1249"/>
        <v>0</v>
      </c>
      <c r="AA633" s="151">
        <f t="shared" si="1249"/>
        <v>0</v>
      </c>
      <c r="AB633" s="152">
        <f t="shared" si="1249"/>
        <v>0</v>
      </c>
      <c r="AC633" s="143"/>
      <c r="AD633" s="191">
        <v>4209356424</v>
      </c>
      <c r="AE633" s="170"/>
      <c r="AF633" s="148">
        <v>7500000</v>
      </c>
      <c r="AG633" s="193"/>
      <c r="AH633" s="143">
        <f t="shared" si="1031"/>
        <v>0</v>
      </c>
      <c r="AI633" s="151"/>
      <c r="AJ633" s="151">
        <f t="shared" ref="AJ633:AL633" si="1250">P633-AE633</f>
        <v>0</v>
      </c>
      <c r="AK633" s="151">
        <f t="shared" si="1250"/>
        <v>0</v>
      </c>
      <c r="AL633" s="151">
        <f t="shared" si="1250"/>
        <v>0</v>
      </c>
      <c r="AM633" s="145"/>
      <c r="AN633" s="139"/>
      <c r="AO633" s="139"/>
      <c r="AP633" s="139"/>
      <c r="AQ633" s="145"/>
      <c r="AR633" s="145"/>
    </row>
    <row r="634" spans="1:44" s="156" customFormat="1" ht="94.5" x14ac:dyDescent="0.25">
      <c r="A634" s="143" t="s">
        <v>52</v>
      </c>
      <c r="B634" s="144">
        <v>621</v>
      </c>
      <c r="C634" s="143" t="s">
        <v>53</v>
      </c>
      <c r="D634" s="143" t="s">
        <v>225</v>
      </c>
      <c r="E634" s="145" t="s">
        <v>227</v>
      </c>
      <c r="F634" s="145" t="s">
        <v>228</v>
      </c>
      <c r="G634" s="143" t="s">
        <v>230</v>
      </c>
      <c r="H634" s="143" t="s">
        <v>231</v>
      </c>
      <c r="I634" s="143"/>
      <c r="J634" s="143"/>
      <c r="K634" s="164"/>
      <c r="L634" s="143" t="s">
        <v>232</v>
      </c>
      <c r="M634" s="143" t="s">
        <v>43</v>
      </c>
      <c r="N634" s="143" t="s">
        <v>233</v>
      </c>
      <c r="O634" s="147">
        <v>1634989243</v>
      </c>
      <c r="P634" s="177">
        <v>115406760</v>
      </c>
      <c r="Q634" s="177">
        <v>15000000</v>
      </c>
      <c r="R634" s="148">
        <f>30000000+60000000</f>
        <v>90000000</v>
      </c>
      <c r="S634" s="147">
        <f t="shared" si="1029"/>
        <v>1855396003</v>
      </c>
      <c r="T634" s="158">
        <v>1634989243</v>
      </c>
      <c r="U634" s="158">
        <v>115406760</v>
      </c>
      <c r="V634" s="147">
        <v>15000000</v>
      </c>
      <c r="W634" s="158">
        <v>90000000</v>
      </c>
      <c r="X634" s="143"/>
      <c r="Y634" s="152">
        <f t="shared" ref="Y634:AB634" si="1251">AD634-T634</f>
        <v>0</v>
      </c>
      <c r="Z634" s="151">
        <f t="shared" si="1251"/>
        <v>0</v>
      </c>
      <c r="AA634" s="151">
        <f t="shared" si="1251"/>
        <v>0</v>
      </c>
      <c r="AB634" s="151">
        <f t="shared" si="1251"/>
        <v>0</v>
      </c>
      <c r="AC634" s="143"/>
      <c r="AD634" s="149">
        <v>1634989243</v>
      </c>
      <c r="AE634" s="148">
        <v>115406760</v>
      </c>
      <c r="AF634" s="148">
        <v>15000000</v>
      </c>
      <c r="AG634" s="148">
        <f>30000000+60000000</f>
        <v>90000000</v>
      </c>
      <c r="AH634" s="143">
        <f t="shared" si="1031"/>
        <v>0</v>
      </c>
      <c r="AI634" s="151"/>
      <c r="AJ634" s="151">
        <f t="shared" ref="AJ634:AL634" si="1252">P634-AE634</f>
        <v>0</v>
      </c>
      <c r="AK634" s="151">
        <f t="shared" si="1252"/>
        <v>0</v>
      </c>
      <c r="AL634" s="151">
        <f t="shared" si="1252"/>
        <v>0</v>
      </c>
      <c r="AM634" s="145"/>
      <c r="AN634" s="139"/>
      <c r="AO634" s="139"/>
      <c r="AP634" s="139"/>
      <c r="AQ634" s="145"/>
      <c r="AR634" s="145"/>
    </row>
    <row r="635" spans="1:44" s="156" customFormat="1" ht="78.75" x14ac:dyDescent="0.25">
      <c r="A635" s="143" t="s">
        <v>46</v>
      </c>
      <c r="B635" s="144">
        <v>622</v>
      </c>
      <c r="C635" s="143" t="s">
        <v>53</v>
      </c>
      <c r="D635" s="143" t="s">
        <v>1376</v>
      </c>
      <c r="E635" s="145"/>
      <c r="F635" s="145" t="s">
        <v>1377</v>
      </c>
      <c r="G635" s="143" t="s">
        <v>1378</v>
      </c>
      <c r="H635" s="143"/>
      <c r="I635" s="143" t="s">
        <v>261</v>
      </c>
      <c r="J635" s="143"/>
      <c r="K635" s="164"/>
      <c r="L635" s="143" t="s">
        <v>1379</v>
      </c>
      <c r="M635" s="143" t="s">
        <v>43</v>
      </c>
      <c r="N635" s="143" t="s">
        <v>1380</v>
      </c>
      <c r="O635" s="147">
        <v>3463769620</v>
      </c>
      <c r="P635" s="150"/>
      <c r="Q635" s="169">
        <v>15000000</v>
      </c>
      <c r="R635" s="148">
        <f>24000000+48000000</f>
        <v>72000000</v>
      </c>
      <c r="S635" s="147">
        <f t="shared" si="1029"/>
        <v>3550769620</v>
      </c>
      <c r="T635" s="158">
        <v>3463769620</v>
      </c>
      <c r="U635" s="143"/>
      <c r="V635" s="157">
        <v>15000000</v>
      </c>
      <c r="W635" s="158">
        <v>72000000</v>
      </c>
      <c r="X635" s="143"/>
      <c r="Y635" s="152">
        <f t="shared" ref="Y635:AB635" si="1253">AD635-T635</f>
        <v>0</v>
      </c>
      <c r="Z635" s="151">
        <f t="shared" si="1253"/>
        <v>0</v>
      </c>
      <c r="AA635" s="151">
        <f t="shared" si="1253"/>
        <v>0</v>
      </c>
      <c r="AB635" s="151">
        <f t="shared" si="1253"/>
        <v>0</v>
      </c>
      <c r="AC635" s="143"/>
      <c r="AD635" s="149">
        <v>3463769620</v>
      </c>
      <c r="AE635" s="150"/>
      <c r="AF635" s="148">
        <v>15000000</v>
      </c>
      <c r="AG635" s="148">
        <f>24000000+48000000</f>
        <v>72000000</v>
      </c>
      <c r="AH635" s="143">
        <f t="shared" si="1031"/>
        <v>0</v>
      </c>
      <c r="AI635" s="151"/>
      <c r="AJ635" s="151">
        <f t="shared" ref="AJ635:AL635" si="1254">P635-AE635</f>
        <v>0</v>
      </c>
      <c r="AK635" s="151">
        <f t="shared" si="1254"/>
        <v>0</v>
      </c>
      <c r="AL635" s="151">
        <f t="shared" si="1254"/>
        <v>0</v>
      </c>
      <c r="AM635" s="145"/>
      <c r="AN635" s="139"/>
      <c r="AO635" s="139"/>
      <c r="AP635" s="139"/>
      <c r="AQ635" s="145"/>
      <c r="AR635" s="145"/>
    </row>
    <row r="636" spans="1:44" s="156" customFormat="1" ht="47.25" x14ac:dyDescent="0.25">
      <c r="A636" s="143" t="s">
        <v>52</v>
      </c>
      <c r="B636" s="144">
        <v>623</v>
      </c>
      <c r="C636" s="143" t="s">
        <v>53</v>
      </c>
      <c r="D636" s="143" t="s">
        <v>3287</v>
      </c>
      <c r="E636" s="145" t="s">
        <v>3288</v>
      </c>
      <c r="F636" s="145"/>
      <c r="G636" s="143" t="s">
        <v>3289</v>
      </c>
      <c r="H636" s="143" t="s">
        <v>3290</v>
      </c>
      <c r="I636" s="143"/>
      <c r="J636" s="143"/>
      <c r="K636" s="143"/>
      <c r="L636" s="143" t="s">
        <v>3291</v>
      </c>
      <c r="M636" s="143" t="s">
        <v>43</v>
      </c>
      <c r="N636" s="143" t="s">
        <v>3292</v>
      </c>
      <c r="O636" s="147">
        <v>6147723971</v>
      </c>
      <c r="P636" s="177">
        <v>491859703</v>
      </c>
      <c r="Q636" s="177">
        <v>15000000</v>
      </c>
      <c r="R636" s="150"/>
      <c r="S636" s="147">
        <f t="shared" si="1029"/>
        <v>6654583674</v>
      </c>
      <c r="T636" s="158">
        <v>6147723971</v>
      </c>
      <c r="U636" s="158">
        <v>491859703</v>
      </c>
      <c r="V636" s="147">
        <v>15000000</v>
      </c>
      <c r="W636" s="143"/>
      <c r="X636" s="143"/>
      <c r="Y636" s="152">
        <f t="shared" ref="Y636:AB636" si="1255">AD636-T636</f>
        <v>0</v>
      </c>
      <c r="Z636" s="151">
        <f t="shared" si="1255"/>
        <v>0</v>
      </c>
      <c r="AA636" s="151">
        <f t="shared" si="1255"/>
        <v>0</v>
      </c>
      <c r="AB636" s="151">
        <f t="shared" si="1255"/>
        <v>0</v>
      </c>
      <c r="AC636" s="143"/>
      <c r="AD636" s="194">
        <v>6147723971</v>
      </c>
      <c r="AE636" s="177">
        <v>491859703</v>
      </c>
      <c r="AF636" s="177">
        <v>15000000</v>
      </c>
      <c r="AG636" s="178"/>
      <c r="AH636" s="143">
        <f t="shared" si="1031"/>
        <v>0</v>
      </c>
      <c r="AI636" s="151"/>
      <c r="AJ636" s="151">
        <f t="shared" ref="AJ636:AL636" si="1256">P636-AE636</f>
        <v>0</v>
      </c>
      <c r="AK636" s="151">
        <f t="shared" si="1256"/>
        <v>0</v>
      </c>
      <c r="AL636" s="151">
        <f t="shared" si="1256"/>
        <v>0</v>
      </c>
      <c r="AM636" s="145"/>
      <c r="AN636" s="139"/>
      <c r="AO636" s="139"/>
      <c r="AP636" s="139"/>
      <c r="AQ636" s="145"/>
      <c r="AR636" s="145"/>
    </row>
    <row r="637" spans="1:44" s="156" customFormat="1" ht="31.5" x14ac:dyDescent="0.25">
      <c r="A637" s="143" t="s">
        <v>88</v>
      </c>
      <c r="B637" s="144">
        <v>624</v>
      </c>
      <c r="C637" s="143" t="s">
        <v>53</v>
      </c>
      <c r="D637" s="143" t="s">
        <v>3294</v>
      </c>
      <c r="E637" s="145"/>
      <c r="F637" s="146"/>
      <c r="G637" s="143" t="s">
        <v>3295</v>
      </c>
      <c r="H637" s="143"/>
      <c r="I637" s="143"/>
      <c r="J637" s="143"/>
      <c r="K637" s="143"/>
      <c r="L637" s="143" t="s">
        <v>3296</v>
      </c>
      <c r="M637" s="143" t="s">
        <v>43</v>
      </c>
      <c r="N637" s="143" t="s">
        <v>745</v>
      </c>
      <c r="O637" s="147">
        <v>4471431370</v>
      </c>
      <c r="P637" s="150"/>
      <c r="Q637" s="169">
        <v>15000000</v>
      </c>
      <c r="R637" s="150"/>
      <c r="S637" s="147">
        <f t="shared" si="1029"/>
        <v>4486431370</v>
      </c>
      <c r="T637" s="151">
        <v>4471431370</v>
      </c>
      <c r="U637" s="143"/>
      <c r="V637" s="147">
        <v>15000000</v>
      </c>
      <c r="W637" s="143"/>
      <c r="X637" s="143"/>
      <c r="Y637" s="152">
        <f t="shared" ref="Y637:AB637" si="1257">AD637-T637</f>
        <v>0</v>
      </c>
      <c r="Z637" s="151">
        <f t="shared" si="1257"/>
        <v>0</v>
      </c>
      <c r="AA637" s="151">
        <f t="shared" si="1257"/>
        <v>0</v>
      </c>
      <c r="AB637" s="152">
        <f t="shared" si="1257"/>
        <v>0</v>
      </c>
      <c r="AC637" s="143"/>
      <c r="AD637" s="193">
        <v>4471431370</v>
      </c>
      <c r="AE637" s="170"/>
      <c r="AF637" s="148">
        <v>15000000</v>
      </c>
      <c r="AG637" s="193"/>
      <c r="AH637" s="143">
        <f t="shared" si="1031"/>
        <v>0</v>
      </c>
      <c r="AI637" s="151"/>
      <c r="AJ637" s="151">
        <f t="shared" ref="AJ637:AL637" si="1258">P637-AE637</f>
        <v>0</v>
      </c>
      <c r="AK637" s="151">
        <f t="shared" si="1258"/>
        <v>0</v>
      </c>
      <c r="AL637" s="151">
        <f t="shared" si="1258"/>
        <v>0</v>
      </c>
      <c r="AM637" s="145"/>
      <c r="AN637" s="139"/>
      <c r="AO637" s="139"/>
      <c r="AP637" s="139"/>
      <c r="AQ637" s="145"/>
      <c r="AR637" s="145"/>
    </row>
    <row r="638" spans="1:44" s="156" customFormat="1" ht="47.25" x14ac:dyDescent="0.25">
      <c r="A638" s="143" t="s">
        <v>88</v>
      </c>
      <c r="B638" s="144">
        <v>625</v>
      </c>
      <c r="C638" s="143" t="s">
        <v>53</v>
      </c>
      <c r="D638" s="143" t="s">
        <v>3297</v>
      </c>
      <c r="E638" s="145" t="s">
        <v>3298</v>
      </c>
      <c r="F638" s="146"/>
      <c r="G638" s="143" t="s">
        <v>3299</v>
      </c>
      <c r="H638" s="143" t="s">
        <v>3300</v>
      </c>
      <c r="I638" s="143"/>
      <c r="J638" s="143"/>
      <c r="K638" s="143"/>
      <c r="L638" s="143" t="s">
        <v>3301</v>
      </c>
      <c r="M638" s="143" t="s">
        <v>43</v>
      </c>
      <c r="N638" s="143" t="s">
        <v>3302</v>
      </c>
      <c r="O638" s="147">
        <v>3044214687</v>
      </c>
      <c r="P638" s="177">
        <v>148963795</v>
      </c>
      <c r="Q638" s="177">
        <v>15000000</v>
      </c>
      <c r="R638" s="150"/>
      <c r="S638" s="147">
        <f t="shared" si="1029"/>
        <v>3208178482</v>
      </c>
      <c r="T638" s="151">
        <v>3044214687</v>
      </c>
      <c r="U638" s="158">
        <v>148963795</v>
      </c>
      <c r="V638" s="147">
        <v>15000000</v>
      </c>
      <c r="W638" s="143"/>
      <c r="X638" s="143"/>
      <c r="Y638" s="152">
        <f t="shared" ref="Y638:AB638" si="1259">AD638-T638</f>
        <v>0</v>
      </c>
      <c r="Z638" s="151">
        <f t="shared" si="1259"/>
        <v>0</v>
      </c>
      <c r="AA638" s="151">
        <f t="shared" si="1259"/>
        <v>0</v>
      </c>
      <c r="AB638" s="152">
        <f t="shared" si="1259"/>
        <v>0</v>
      </c>
      <c r="AC638" s="143"/>
      <c r="AD638" s="155">
        <v>3044214687</v>
      </c>
      <c r="AE638" s="148">
        <v>148963795</v>
      </c>
      <c r="AF638" s="148">
        <v>15000000</v>
      </c>
      <c r="AG638" s="155"/>
      <c r="AH638" s="143">
        <f t="shared" si="1031"/>
        <v>0</v>
      </c>
      <c r="AI638" s="151"/>
      <c r="AJ638" s="151">
        <f t="shared" ref="AJ638:AL638" si="1260">P638-AE638</f>
        <v>0</v>
      </c>
      <c r="AK638" s="151">
        <f t="shared" si="1260"/>
        <v>0</v>
      </c>
      <c r="AL638" s="151">
        <f t="shared" si="1260"/>
        <v>0</v>
      </c>
      <c r="AM638" s="145"/>
      <c r="AN638" s="139"/>
      <c r="AO638" s="139"/>
      <c r="AP638" s="139"/>
      <c r="AQ638" s="145"/>
      <c r="AR638" s="145"/>
    </row>
    <row r="639" spans="1:44" s="156" customFormat="1" ht="31.5" x14ac:dyDescent="0.25">
      <c r="A639" s="143" t="s">
        <v>46</v>
      </c>
      <c r="B639" s="144">
        <v>626</v>
      </c>
      <c r="C639" s="143" t="s">
        <v>53</v>
      </c>
      <c r="D639" s="143" t="s">
        <v>1058</v>
      </c>
      <c r="E639" s="145"/>
      <c r="F639" s="145" t="s">
        <v>1012</v>
      </c>
      <c r="G639" s="143" t="s">
        <v>1059</v>
      </c>
      <c r="H639" s="143"/>
      <c r="I639" s="143"/>
      <c r="J639" s="143"/>
      <c r="K639" s="164"/>
      <c r="L639" s="143" t="s">
        <v>1060</v>
      </c>
      <c r="M639" s="143" t="s">
        <v>43</v>
      </c>
      <c r="N639" s="143" t="s">
        <v>1061</v>
      </c>
      <c r="O639" s="147">
        <v>13885095762</v>
      </c>
      <c r="P639" s="150"/>
      <c r="Q639" s="169">
        <v>15000000</v>
      </c>
      <c r="R639" s="148">
        <v>72000000</v>
      </c>
      <c r="S639" s="147">
        <f t="shared" si="1029"/>
        <v>13972095762</v>
      </c>
      <c r="T639" s="158">
        <v>13885095762</v>
      </c>
      <c r="U639" s="143"/>
      <c r="V639" s="147">
        <v>15000000</v>
      </c>
      <c r="W639" s="158">
        <v>72000000</v>
      </c>
      <c r="X639" s="143"/>
      <c r="Y639" s="152">
        <f t="shared" ref="Y639:AB639" si="1261">AD639-T639</f>
        <v>0</v>
      </c>
      <c r="Z639" s="151">
        <f t="shared" si="1261"/>
        <v>0</v>
      </c>
      <c r="AA639" s="151">
        <f t="shared" si="1261"/>
        <v>0</v>
      </c>
      <c r="AB639" s="152">
        <f t="shared" si="1261"/>
        <v>0</v>
      </c>
      <c r="AC639" s="143"/>
      <c r="AD639" s="149">
        <v>13885095762</v>
      </c>
      <c r="AE639" s="150"/>
      <c r="AF639" s="148">
        <v>15000000</v>
      </c>
      <c r="AG639" s="149">
        <v>72000000</v>
      </c>
      <c r="AH639" s="143">
        <f t="shared" si="1031"/>
        <v>0</v>
      </c>
      <c r="AI639" s="151"/>
      <c r="AJ639" s="151">
        <f t="shared" ref="AJ639:AL639" si="1262">P639-AE639</f>
        <v>0</v>
      </c>
      <c r="AK639" s="151">
        <f t="shared" si="1262"/>
        <v>0</v>
      </c>
      <c r="AL639" s="151">
        <f t="shared" si="1262"/>
        <v>0</v>
      </c>
      <c r="AM639" s="145"/>
      <c r="AN639" s="139"/>
      <c r="AO639" s="139"/>
      <c r="AP639" s="139"/>
      <c r="AQ639" s="145"/>
      <c r="AR639" s="145"/>
    </row>
    <row r="640" spans="1:44" s="156" customFormat="1" ht="47.25" x14ac:dyDescent="0.25">
      <c r="A640" s="143" t="s">
        <v>35</v>
      </c>
      <c r="B640" s="144">
        <v>627</v>
      </c>
      <c r="C640" s="143" t="s">
        <v>53</v>
      </c>
      <c r="D640" s="143" t="s">
        <v>3303</v>
      </c>
      <c r="E640" s="145" t="s">
        <v>1043</v>
      </c>
      <c r="F640" s="145"/>
      <c r="G640" s="143" t="s">
        <v>3304</v>
      </c>
      <c r="H640" s="143" t="s">
        <v>3305</v>
      </c>
      <c r="I640" s="143"/>
      <c r="J640" s="143"/>
      <c r="K640" s="143"/>
      <c r="L640" s="143" t="s">
        <v>3306</v>
      </c>
      <c r="M640" s="143" t="s">
        <v>43</v>
      </c>
      <c r="N640" s="143" t="s">
        <v>3307</v>
      </c>
      <c r="O640" s="147">
        <v>15436039426</v>
      </c>
      <c r="P640" s="177">
        <v>276510000</v>
      </c>
      <c r="Q640" s="177">
        <v>15000000</v>
      </c>
      <c r="R640" s="150"/>
      <c r="S640" s="147">
        <f t="shared" si="1029"/>
        <v>15727549426</v>
      </c>
      <c r="T640" s="158">
        <v>15436039426</v>
      </c>
      <c r="U640" s="151">
        <v>276510000</v>
      </c>
      <c r="V640" s="147">
        <v>15000000</v>
      </c>
      <c r="W640" s="143"/>
      <c r="X640" s="143"/>
      <c r="Y640" s="152">
        <f t="shared" ref="Y640:AB640" si="1263">AD640-T640</f>
        <v>0</v>
      </c>
      <c r="Z640" s="151">
        <f t="shared" si="1263"/>
        <v>0</v>
      </c>
      <c r="AA640" s="151">
        <f t="shared" si="1263"/>
        <v>0</v>
      </c>
      <c r="AB640" s="151">
        <f t="shared" si="1263"/>
        <v>0</v>
      </c>
      <c r="AC640" s="143"/>
      <c r="AD640" s="194">
        <v>15436039426</v>
      </c>
      <c r="AE640" s="169">
        <v>276510000</v>
      </c>
      <c r="AF640" s="177">
        <v>15000000</v>
      </c>
      <c r="AG640" s="170"/>
      <c r="AH640" s="143">
        <f t="shared" si="1031"/>
        <v>0</v>
      </c>
      <c r="AI640" s="151"/>
      <c r="AJ640" s="151">
        <f t="shared" ref="AJ640:AL640" si="1264">P640-AE640</f>
        <v>0</v>
      </c>
      <c r="AK640" s="151">
        <f t="shared" si="1264"/>
        <v>0</v>
      </c>
      <c r="AL640" s="151">
        <f t="shared" si="1264"/>
        <v>0</v>
      </c>
      <c r="AM640" s="145"/>
      <c r="AN640" s="139"/>
      <c r="AO640" s="139"/>
      <c r="AP640" s="139"/>
      <c r="AQ640" s="145"/>
      <c r="AR640" s="145"/>
    </row>
    <row r="641" spans="1:44" s="156" customFormat="1" ht="47.25" x14ac:dyDescent="0.25">
      <c r="A641" s="143" t="s">
        <v>46</v>
      </c>
      <c r="B641" s="144">
        <v>628</v>
      </c>
      <c r="C641" s="143" t="s">
        <v>53</v>
      </c>
      <c r="D641" s="143" t="s">
        <v>3309</v>
      </c>
      <c r="E641" s="145"/>
      <c r="F641" s="145"/>
      <c r="G641" s="143" t="s">
        <v>3310</v>
      </c>
      <c r="H641" s="143"/>
      <c r="I641" s="143" t="s">
        <v>321</v>
      </c>
      <c r="J641" s="143"/>
      <c r="K641" s="143"/>
      <c r="L641" s="143" t="s">
        <v>3311</v>
      </c>
      <c r="M641" s="143" t="s">
        <v>43</v>
      </c>
      <c r="N641" s="143" t="s">
        <v>3312</v>
      </c>
      <c r="O641" s="147">
        <v>5653822980</v>
      </c>
      <c r="P641" s="150"/>
      <c r="Q641" s="169">
        <v>7500000</v>
      </c>
      <c r="R641" s="150"/>
      <c r="S641" s="147">
        <f t="shared" si="1029"/>
        <v>5661322980</v>
      </c>
      <c r="T641" s="158">
        <v>5653822980</v>
      </c>
      <c r="U641" s="143"/>
      <c r="V641" s="147">
        <v>7500000</v>
      </c>
      <c r="W641" s="143"/>
      <c r="X641" s="143"/>
      <c r="Y641" s="152">
        <f t="shared" ref="Y641:AB641" si="1265">AD641-T641</f>
        <v>0</v>
      </c>
      <c r="Z641" s="151">
        <f t="shared" si="1265"/>
        <v>0</v>
      </c>
      <c r="AA641" s="151">
        <f t="shared" si="1265"/>
        <v>0</v>
      </c>
      <c r="AB641" s="151">
        <f t="shared" si="1265"/>
        <v>0</v>
      </c>
      <c r="AC641" s="143"/>
      <c r="AD641" s="149">
        <v>5653822980</v>
      </c>
      <c r="AE641" s="150"/>
      <c r="AF641" s="148">
        <v>7500000</v>
      </c>
      <c r="AG641" s="150"/>
      <c r="AH641" s="143">
        <f t="shared" si="1031"/>
        <v>0</v>
      </c>
      <c r="AI641" s="151"/>
      <c r="AJ641" s="151">
        <f t="shared" ref="AJ641:AL641" si="1266">P641-AE641</f>
        <v>0</v>
      </c>
      <c r="AK641" s="151">
        <f t="shared" si="1266"/>
        <v>0</v>
      </c>
      <c r="AL641" s="151">
        <f t="shared" si="1266"/>
        <v>0</v>
      </c>
      <c r="AM641" s="145"/>
      <c r="AN641" s="139"/>
      <c r="AO641" s="139"/>
      <c r="AP641" s="139"/>
      <c r="AQ641" s="145"/>
      <c r="AR641" s="145"/>
    </row>
    <row r="642" spans="1:44" s="156" customFormat="1" ht="31.5" x14ac:dyDescent="0.25">
      <c r="A642" s="143" t="s">
        <v>46</v>
      </c>
      <c r="B642" s="144">
        <v>629</v>
      </c>
      <c r="C642" s="143" t="s">
        <v>53</v>
      </c>
      <c r="D642" s="143" t="s">
        <v>3313</v>
      </c>
      <c r="E642" s="145"/>
      <c r="F642" s="145"/>
      <c r="G642" s="143" t="s">
        <v>3314</v>
      </c>
      <c r="H642" s="143"/>
      <c r="I642" s="143" t="s">
        <v>321</v>
      </c>
      <c r="J642" s="143"/>
      <c r="K642" s="143"/>
      <c r="L642" s="143" t="s">
        <v>3315</v>
      </c>
      <c r="M642" s="143" t="s">
        <v>43</v>
      </c>
      <c r="N642" s="143" t="s">
        <v>3316</v>
      </c>
      <c r="O642" s="147">
        <v>1466514605</v>
      </c>
      <c r="P642" s="150"/>
      <c r="Q642" s="169">
        <v>7500000</v>
      </c>
      <c r="R642" s="150"/>
      <c r="S642" s="147">
        <f t="shared" si="1029"/>
        <v>1474014605</v>
      </c>
      <c r="T642" s="158">
        <v>1466514605</v>
      </c>
      <c r="U642" s="143"/>
      <c r="V642" s="147">
        <v>7500000</v>
      </c>
      <c r="W642" s="143"/>
      <c r="X642" s="143"/>
      <c r="Y642" s="152">
        <f t="shared" ref="Y642:AB642" si="1267">AD642-T642</f>
        <v>0</v>
      </c>
      <c r="Z642" s="151">
        <f t="shared" si="1267"/>
        <v>0</v>
      </c>
      <c r="AA642" s="151">
        <f t="shared" si="1267"/>
        <v>0</v>
      </c>
      <c r="AB642" s="151">
        <f t="shared" si="1267"/>
        <v>0</v>
      </c>
      <c r="AC642" s="143"/>
      <c r="AD642" s="149">
        <v>1466514605</v>
      </c>
      <c r="AE642" s="150"/>
      <c r="AF642" s="169">
        <v>7500000</v>
      </c>
      <c r="AG642" s="150"/>
      <c r="AH642" s="143">
        <f t="shared" si="1031"/>
        <v>0</v>
      </c>
      <c r="AI642" s="151"/>
      <c r="AJ642" s="151">
        <f t="shared" ref="AJ642:AL642" si="1268">P642-AE642</f>
        <v>0</v>
      </c>
      <c r="AK642" s="151">
        <f t="shared" si="1268"/>
        <v>0</v>
      </c>
      <c r="AL642" s="151">
        <f t="shared" si="1268"/>
        <v>0</v>
      </c>
      <c r="AM642" s="145"/>
      <c r="AN642" s="139"/>
      <c r="AO642" s="139"/>
      <c r="AP642" s="139"/>
      <c r="AQ642" s="145"/>
      <c r="AR642" s="145"/>
    </row>
    <row r="643" spans="1:44" s="156" customFormat="1" ht="31.5" x14ac:dyDescent="0.25">
      <c r="A643" s="143" t="s">
        <v>275</v>
      </c>
      <c r="B643" s="144">
        <v>630</v>
      </c>
      <c r="C643" s="143" t="s">
        <v>53</v>
      </c>
      <c r="D643" s="143" t="s">
        <v>3317</v>
      </c>
      <c r="E643" s="145"/>
      <c r="F643" s="146"/>
      <c r="G643" s="143" t="s">
        <v>3318</v>
      </c>
      <c r="H643" s="143"/>
      <c r="I643" s="143" t="s">
        <v>261</v>
      </c>
      <c r="J643" s="143"/>
      <c r="K643" s="143"/>
      <c r="L643" s="143" t="s">
        <v>3319</v>
      </c>
      <c r="M643" s="143" t="s">
        <v>43</v>
      </c>
      <c r="N643" s="143" t="s">
        <v>3320</v>
      </c>
      <c r="O643" s="147">
        <v>7247037716</v>
      </c>
      <c r="P643" s="150"/>
      <c r="Q643" s="169">
        <v>7500000</v>
      </c>
      <c r="R643" s="150"/>
      <c r="S643" s="147">
        <f t="shared" si="1029"/>
        <v>7254537716</v>
      </c>
      <c r="T643" s="158">
        <v>7247037716</v>
      </c>
      <c r="U643" s="143"/>
      <c r="V643" s="147">
        <v>7500000</v>
      </c>
      <c r="W643" s="143"/>
      <c r="X643" s="143"/>
      <c r="Y643" s="152">
        <f t="shared" ref="Y643:AB643" si="1269">AD643-T643</f>
        <v>0</v>
      </c>
      <c r="Z643" s="151">
        <f t="shared" si="1269"/>
        <v>0</v>
      </c>
      <c r="AA643" s="151">
        <f t="shared" si="1269"/>
        <v>0</v>
      </c>
      <c r="AB643" s="151">
        <f t="shared" si="1269"/>
        <v>0</v>
      </c>
      <c r="AC643" s="143"/>
      <c r="AD643" s="194">
        <v>7247037716</v>
      </c>
      <c r="AE643" s="170"/>
      <c r="AF643" s="169">
        <v>7500000</v>
      </c>
      <c r="AG643" s="170"/>
      <c r="AH643" s="143">
        <f t="shared" si="1031"/>
        <v>0</v>
      </c>
      <c r="AI643" s="151"/>
      <c r="AJ643" s="151">
        <f t="shared" ref="AJ643:AL643" si="1270">P643-AE643</f>
        <v>0</v>
      </c>
      <c r="AK643" s="151">
        <f t="shared" si="1270"/>
        <v>0</v>
      </c>
      <c r="AL643" s="151">
        <f t="shared" si="1270"/>
        <v>0</v>
      </c>
      <c r="AM643" s="145"/>
      <c r="AN643" s="139"/>
      <c r="AO643" s="139"/>
      <c r="AP643" s="139"/>
      <c r="AQ643" s="145"/>
      <c r="AR643" s="145"/>
    </row>
    <row r="644" spans="1:44" s="156" customFormat="1" ht="47.25" x14ac:dyDescent="0.25">
      <c r="A644" s="143" t="s">
        <v>60</v>
      </c>
      <c r="B644" s="144">
        <v>631</v>
      </c>
      <c r="C644" s="143" t="s">
        <v>53</v>
      </c>
      <c r="D644" s="143" t="s">
        <v>3321</v>
      </c>
      <c r="E644" s="145"/>
      <c r="F644" s="145"/>
      <c r="G644" s="143" t="s">
        <v>3322</v>
      </c>
      <c r="H644" s="143"/>
      <c r="I644" s="143"/>
      <c r="J644" s="143"/>
      <c r="K644" s="143"/>
      <c r="L644" s="143" t="s">
        <v>3323</v>
      </c>
      <c r="M644" s="143" t="s">
        <v>43</v>
      </c>
      <c r="N644" s="143" t="s">
        <v>3324</v>
      </c>
      <c r="O644" s="147">
        <v>3170225742</v>
      </c>
      <c r="P644" s="150"/>
      <c r="Q644" s="169">
        <v>15000000</v>
      </c>
      <c r="R644" s="150"/>
      <c r="S644" s="147">
        <f t="shared" si="1029"/>
        <v>3185225742</v>
      </c>
      <c r="T644" s="158">
        <v>3170225742</v>
      </c>
      <c r="U644" s="143"/>
      <c r="V644" s="147">
        <v>15000000</v>
      </c>
      <c r="W644" s="143"/>
      <c r="X644" s="143"/>
      <c r="Y644" s="152">
        <f t="shared" ref="Y644:AB644" si="1271">AD644-T644</f>
        <v>0</v>
      </c>
      <c r="Z644" s="151">
        <f t="shared" si="1271"/>
        <v>0</v>
      </c>
      <c r="AA644" s="151">
        <f t="shared" si="1271"/>
        <v>0</v>
      </c>
      <c r="AB644" s="151">
        <f t="shared" si="1271"/>
        <v>0</v>
      </c>
      <c r="AC644" s="143"/>
      <c r="AD644" s="191">
        <v>3170225742</v>
      </c>
      <c r="AE644" s="170"/>
      <c r="AF644" s="148">
        <v>15000000</v>
      </c>
      <c r="AG644" s="170"/>
      <c r="AH644" s="143">
        <f t="shared" si="1031"/>
        <v>0</v>
      </c>
      <c r="AI644" s="151"/>
      <c r="AJ644" s="151">
        <f t="shared" ref="AJ644:AL644" si="1272">P644-AE644</f>
        <v>0</v>
      </c>
      <c r="AK644" s="151">
        <f t="shared" si="1272"/>
        <v>0</v>
      </c>
      <c r="AL644" s="151">
        <f t="shared" si="1272"/>
        <v>0</v>
      </c>
      <c r="AM644" s="145"/>
      <c r="AN644" s="139"/>
      <c r="AO644" s="139"/>
      <c r="AP644" s="139"/>
      <c r="AQ644" s="145"/>
      <c r="AR644" s="145"/>
    </row>
    <row r="645" spans="1:44" s="156" customFormat="1" ht="31.5" x14ac:dyDescent="0.25">
      <c r="A645" s="143" t="s">
        <v>60</v>
      </c>
      <c r="B645" s="144">
        <v>632</v>
      </c>
      <c r="C645" s="143" t="s">
        <v>53</v>
      </c>
      <c r="D645" s="143" t="s">
        <v>3325</v>
      </c>
      <c r="E645" s="145"/>
      <c r="F645" s="145"/>
      <c r="G645" s="143" t="s">
        <v>3326</v>
      </c>
      <c r="H645" s="143"/>
      <c r="I645" s="143"/>
      <c r="J645" s="143"/>
      <c r="K645" s="143"/>
      <c r="L645" s="143" t="s">
        <v>3327</v>
      </c>
      <c r="M645" s="143" t="s">
        <v>43</v>
      </c>
      <c r="N645" s="143" t="s">
        <v>3328</v>
      </c>
      <c r="O645" s="147">
        <v>5063021384</v>
      </c>
      <c r="P645" s="150"/>
      <c r="Q645" s="177">
        <v>15000000</v>
      </c>
      <c r="R645" s="150"/>
      <c r="S645" s="147">
        <f t="shared" si="1029"/>
        <v>5078021384</v>
      </c>
      <c r="T645" s="158">
        <v>5063021384</v>
      </c>
      <c r="U645" s="143"/>
      <c r="V645" s="147">
        <v>15000000</v>
      </c>
      <c r="W645" s="143"/>
      <c r="X645" s="143"/>
      <c r="Y645" s="152">
        <f t="shared" ref="Y645:AB645" si="1273">AD645-T645</f>
        <v>0</v>
      </c>
      <c r="Z645" s="151">
        <f t="shared" si="1273"/>
        <v>0</v>
      </c>
      <c r="AA645" s="151">
        <f t="shared" si="1273"/>
        <v>0</v>
      </c>
      <c r="AB645" s="152">
        <f t="shared" si="1273"/>
        <v>0</v>
      </c>
      <c r="AC645" s="143"/>
      <c r="AD645" s="191">
        <v>5063021384</v>
      </c>
      <c r="AE645" s="170"/>
      <c r="AF645" s="148">
        <v>15000000</v>
      </c>
      <c r="AG645" s="193"/>
      <c r="AH645" s="143">
        <f t="shared" si="1031"/>
        <v>0</v>
      </c>
      <c r="AI645" s="151"/>
      <c r="AJ645" s="151">
        <f t="shared" ref="AJ645:AL645" si="1274">P645-AE645</f>
        <v>0</v>
      </c>
      <c r="AK645" s="151">
        <f t="shared" si="1274"/>
        <v>0</v>
      </c>
      <c r="AL645" s="151">
        <f t="shared" si="1274"/>
        <v>0</v>
      </c>
      <c r="AM645" s="145"/>
      <c r="AN645" s="139"/>
      <c r="AO645" s="139"/>
      <c r="AP645" s="139"/>
      <c r="AQ645" s="145"/>
      <c r="AR645" s="145"/>
    </row>
    <row r="646" spans="1:44" s="156" customFormat="1" ht="78.75" x14ac:dyDescent="0.25">
      <c r="A646" s="143" t="s">
        <v>46</v>
      </c>
      <c r="B646" s="144">
        <v>633</v>
      </c>
      <c r="C646" s="143" t="s">
        <v>53</v>
      </c>
      <c r="D646" s="143" t="s">
        <v>3329</v>
      </c>
      <c r="E646" s="145"/>
      <c r="F646" s="145"/>
      <c r="G646" s="143" t="s">
        <v>3330</v>
      </c>
      <c r="H646" s="143"/>
      <c r="I646" s="143" t="s">
        <v>261</v>
      </c>
      <c r="J646" s="143"/>
      <c r="K646" s="143"/>
      <c r="L646" s="143" t="s">
        <v>3331</v>
      </c>
      <c r="M646" s="143" t="s">
        <v>43</v>
      </c>
      <c r="N646" s="143" t="s">
        <v>3332</v>
      </c>
      <c r="O646" s="147">
        <v>3070287800</v>
      </c>
      <c r="P646" s="150"/>
      <c r="Q646" s="169">
        <v>7500000</v>
      </c>
      <c r="R646" s="150"/>
      <c r="S646" s="147">
        <f t="shared" si="1029"/>
        <v>3077787800</v>
      </c>
      <c r="T646" s="158">
        <v>3070287800</v>
      </c>
      <c r="U646" s="143"/>
      <c r="V646" s="147">
        <v>7500000</v>
      </c>
      <c r="W646" s="143"/>
      <c r="X646" s="143"/>
      <c r="Y646" s="152">
        <f t="shared" ref="Y646:AB646" si="1275">AD646-T646</f>
        <v>0</v>
      </c>
      <c r="Z646" s="151">
        <f t="shared" si="1275"/>
        <v>0</v>
      </c>
      <c r="AA646" s="151">
        <f t="shared" si="1275"/>
        <v>0</v>
      </c>
      <c r="AB646" s="151">
        <f t="shared" si="1275"/>
        <v>0</v>
      </c>
      <c r="AC646" s="143"/>
      <c r="AD646" s="149">
        <v>3070287800</v>
      </c>
      <c r="AE646" s="150"/>
      <c r="AF646" s="148">
        <v>7500000</v>
      </c>
      <c r="AG646" s="150"/>
      <c r="AH646" s="143">
        <f t="shared" si="1031"/>
        <v>0</v>
      </c>
      <c r="AI646" s="151"/>
      <c r="AJ646" s="151">
        <f t="shared" ref="AJ646:AL646" si="1276">P646-AE646</f>
        <v>0</v>
      </c>
      <c r="AK646" s="151">
        <f t="shared" si="1276"/>
        <v>0</v>
      </c>
      <c r="AL646" s="151">
        <f t="shared" si="1276"/>
        <v>0</v>
      </c>
      <c r="AM646" s="145"/>
      <c r="AN646" s="139"/>
      <c r="AO646" s="139"/>
      <c r="AP646" s="139"/>
      <c r="AQ646" s="145"/>
      <c r="AR646" s="145"/>
    </row>
    <row r="647" spans="1:44" s="156" customFormat="1" ht="47.25" x14ac:dyDescent="0.25">
      <c r="A647" s="143" t="s">
        <v>35</v>
      </c>
      <c r="B647" s="144">
        <v>634</v>
      </c>
      <c r="C647" s="143" t="s">
        <v>53</v>
      </c>
      <c r="D647" s="143" t="s">
        <v>3333</v>
      </c>
      <c r="E647" s="145"/>
      <c r="F647" s="145"/>
      <c r="G647" s="143" t="s">
        <v>3334</v>
      </c>
      <c r="H647" s="143"/>
      <c r="I647" s="143" t="s">
        <v>261</v>
      </c>
      <c r="J647" s="143"/>
      <c r="K647" s="143"/>
      <c r="L647" s="143" t="s">
        <v>3335</v>
      </c>
      <c r="M647" s="143" t="s">
        <v>43</v>
      </c>
      <c r="N647" s="143" t="s">
        <v>3336</v>
      </c>
      <c r="O647" s="147">
        <v>3569089716</v>
      </c>
      <c r="P647" s="150"/>
      <c r="Q647" s="177">
        <v>7500000</v>
      </c>
      <c r="R647" s="150"/>
      <c r="S647" s="147">
        <f t="shared" si="1029"/>
        <v>3576589716</v>
      </c>
      <c r="T647" s="158">
        <v>3569089716</v>
      </c>
      <c r="U647" s="143"/>
      <c r="V647" s="147">
        <v>7500000</v>
      </c>
      <c r="W647" s="143"/>
      <c r="X647" s="143"/>
      <c r="Y647" s="152">
        <f t="shared" ref="Y647:AB647" si="1277">AD647-T647</f>
        <v>0</v>
      </c>
      <c r="Z647" s="151">
        <f t="shared" si="1277"/>
        <v>0</v>
      </c>
      <c r="AA647" s="151">
        <f t="shared" si="1277"/>
        <v>0</v>
      </c>
      <c r="AB647" s="152">
        <f t="shared" si="1277"/>
        <v>0</v>
      </c>
      <c r="AC647" s="143"/>
      <c r="AD647" s="149">
        <v>3569089716</v>
      </c>
      <c r="AE647" s="150"/>
      <c r="AF647" s="148">
        <v>7500000</v>
      </c>
      <c r="AG647" s="155"/>
      <c r="AH647" s="143">
        <f t="shared" si="1031"/>
        <v>0</v>
      </c>
      <c r="AI647" s="151"/>
      <c r="AJ647" s="151">
        <f t="shared" ref="AJ647:AL647" si="1278">P647-AE647</f>
        <v>0</v>
      </c>
      <c r="AK647" s="151">
        <f t="shared" si="1278"/>
        <v>0</v>
      </c>
      <c r="AL647" s="151">
        <f t="shared" si="1278"/>
        <v>0</v>
      </c>
      <c r="AM647" s="145"/>
      <c r="AN647" s="139"/>
      <c r="AO647" s="139"/>
      <c r="AP647" s="139"/>
      <c r="AQ647" s="145"/>
      <c r="AR647" s="145"/>
    </row>
    <row r="648" spans="1:44" s="156" customFormat="1" ht="31.5" x14ac:dyDescent="0.25">
      <c r="A648" s="143" t="s">
        <v>46</v>
      </c>
      <c r="B648" s="144">
        <v>635</v>
      </c>
      <c r="C648" s="143" t="s">
        <v>53</v>
      </c>
      <c r="D648" s="143" t="s">
        <v>3337</v>
      </c>
      <c r="E648" s="145"/>
      <c r="F648" s="145"/>
      <c r="G648" s="143" t="s">
        <v>3338</v>
      </c>
      <c r="H648" s="143"/>
      <c r="I648" s="143" t="s">
        <v>321</v>
      </c>
      <c r="J648" s="143"/>
      <c r="K648" s="143"/>
      <c r="L648" s="143" t="s">
        <v>3339</v>
      </c>
      <c r="M648" s="143" t="s">
        <v>43</v>
      </c>
      <c r="N648" s="143" t="s">
        <v>3340</v>
      </c>
      <c r="O648" s="147">
        <v>1028645990</v>
      </c>
      <c r="P648" s="150"/>
      <c r="Q648" s="169">
        <v>7500000</v>
      </c>
      <c r="R648" s="150"/>
      <c r="S648" s="147">
        <f t="shared" si="1029"/>
        <v>1036145990</v>
      </c>
      <c r="T648" s="158">
        <v>1028645990</v>
      </c>
      <c r="U648" s="143"/>
      <c r="V648" s="147">
        <v>7500000</v>
      </c>
      <c r="W648" s="143"/>
      <c r="X648" s="143"/>
      <c r="Y648" s="152">
        <f t="shared" ref="Y648:AB648" si="1279">AD648-T648</f>
        <v>0</v>
      </c>
      <c r="Z648" s="151">
        <f t="shared" si="1279"/>
        <v>0</v>
      </c>
      <c r="AA648" s="151">
        <f t="shared" si="1279"/>
        <v>0</v>
      </c>
      <c r="AB648" s="152">
        <f t="shared" si="1279"/>
        <v>0</v>
      </c>
      <c r="AC648" s="143"/>
      <c r="AD648" s="194">
        <v>1028645990</v>
      </c>
      <c r="AE648" s="170"/>
      <c r="AF648" s="177">
        <v>7500000</v>
      </c>
      <c r="AG648" s="193"/>
      <c r="AH648" s="143">
        <f t="shared" si="1031"/>
        <v>0</v>
      </c>
      <c r="AI648" s="151"/>
      <c r="AJ648" s="151">
        <f t="shared" ref="AJ648:AL648" si="1280">P648-AE648</f>
        <v>0</v>
      </c>
      <c r="AK648" s="151">
        <f t="shared" si="1280"/>
        <v>0</v>
      </c>
      <c r="AL648" s="151">
        <f t="shared" si="1280"/>
        <v>0</v>
      </c>
      <c r="AM648" s="145"/>
      <c r="AN648" s="139"/>
      <c r="AO648" s="139"/>
      <c r="AP648" s="139"/>
      <c r="AQ648" s="145"/>
      <c r="AR648" s="145"/>
    </row>
    <row r="649" spans="1:44" s="156" customFormat="1" ht="63" x14ac:dyDescent="0.25">
      <c r="A649" s="143" t="s">
        <v>60</v>
      </c>
      <c r="B649" s="144">
        <v>636</v>
      </c>
      <c r="C649" s="143" t="s">
        <v>53</v>
      </c>
      <c r="D649" s="143" t="s">
        <v>3341</v>
      </c>
      <c r="E649" s="145"/>
      <c r="F649" s="145"/>
      <c r="G649" s="143" t="s">
        <v>3342</v>
      </c>
      <c r="H649" s="143"/>
      <c r="I649" s="143"/>
      <c r="J649" s="143"/>
      <c r="K649" s="143"/>
      <c r="L649" s="143" t="s">
        <v>3343</v>
      </c>
      <c r="M649" s="143" t="s">
        <v>43</v>
      </c>
      <c r="N649" s="143" t="s">
        <v>3344</v>
      </c>
      <c r="O649" s="147">
        <v>4288374500</v>
      </c>
      <c r="P649" s="150"/>
      <c r="Q649" s="169">
        <v>7500000</v>
      </c>
      <c r="R649" s="150"/>
      <c r="S649" s="147">
        <f t="shared" si="1029"/>
        <v>4295874500</v>
      </c>
      <c r="T649" s="143"/>
      <c r="U649" s="143"/>
      <c r="V649" s="157"/>
      <c r="W649" s="143"/>
      <c r="X649" s="143"/>
      <c r="Y649" s="152">
        <f t="shared" ref="Y649:AB649" si="1281">AD649-T649</f>
        <v>0</v>
      </c>
      <c r="Z649" s="151">
        <f t="shared" si="1281"/>
        <v>0</v>
      </c>
      <c r="AA649" s="151">
        <f t="shared" si="1281"/>
        <v>0</v>
      </c>
      <c r="AB649" s="151">
        <f t="shared" si="1281"/>
        <v>0</v>
      </c>
      <c r="AC649" s="143"/>
      <c r="AD649" s="155"/>
      <c r="AE649" s="150"/>
      <c r="AF649" s="150"/>
      <c r="AG649" s="150"/>
      <c r="AH649" s="143">
        <f t="shared" si="1031"/>
        <v>0</v>
      </c>
      <c r="AI649" s="151">
        <v>4288374500</v>
      </c>
      <c r="AJ649" s="151">
        <f t="shared" ref="AJ649:AL649" si="1282">P649-AE649</f>
        <v>0</v>
      </c>
      <c r="AK649" s="151">
        <f t="shared" si="1282"/>
        <v>7500000</v>
      </c>
      <c r="AL649" s="151">
        <f t="shared" si="1282"/>
        <v>0</v>
      </c>
      <c r="AM649" s="148">
        <v>4288374500</v>
      </c>
      <c r="AN649" s="159" t="s">
        <v>3471</v>
      </c>
      <c r="AO649" s="160"/>
      <c r="AP649" s="168" t="s">
        <v>3471</v>
      </c>
      <c r="AQ649" s="219"/>
      <c r="AR649" s="218"/>
    </row>
    <row r="650" spans="1:44" s="156" customFormat="1" ht="31.5" x14ac:dyDescent="0.25">
      <c r="A650" s="143" t="s">
        <v>35</v>
      </c>
      <c r="B650" s="144">
        <v>637</v>
      </c>
      <c r="C650" s="143" t="s">
        <v>53</v>
      </c>
      <c r="D650" s="143" t="s">
        <v>3345</v>
      </c>
      <c r="E650" s="145"/>
      <c r="F650" s="145"/>
      <c r="G650" s="143" t="s">
        <v>3346</v>
      </c>
      <c r="H650" s="143"/>
      <c r="I650" s="143"/>
      <c r="J650" s="143"/>
      <c r="K650" s="143"/>
      <c r="L650" s="143" t="s">
        <v>3347</v>
      </c>
      <c r="M650" s="143" t="s">
        <v>43</v>
      </c>
      <c r="N650" s="143" t="s">
        <v>3348</v>
      </c>
      <c r="O650" s="147">
        <v>1265664188</v>
      </c>
      <c r="P650" s="150"/>
      <c r="Q650" s="177">
        <v>7500000</v>
      </c>
      <c r="R650" s="150"/>
      <c r="S650" s="147">
        <f t="shared" si="1029"/>
        <v>1273164188</v>
      </c>
      <c r="T650" s="158">
        <v>1265664188</v>
      </c>
      <c r="U650" s="143"/>
      <c r="V650" s="147">
        <v>7500000</v>
      </c>
      <c r="W650" s="143"/>
      <c r="X650" s="143"/>
      <c r="Y650" s="152">
        <f t="shared" ref="Y650:AB650" si="1283">AD650-T650</f>
        <v>0</v>
      </c>
      <c r="Z650" s="151">
        <f t="shared" si="1283"/>
        <v>0</v>
      </c>
      <c r="AA650" s="151">
        <f t="shared" si="1283"/>
        <v>0</v>
      </c>
      <c r="AB650" s="151">
        <f t="shared" si="1283"/>
        <v>0</v>
      </c>
      <c r="AC650" s="143"/>
      <c r="AD650" s="194">
        <v>1265664188</v>
      </c>
      <c r="AE650" s="170"/>
      <c r="AF650" s="148">
        <v>7500000</v>
      </c>
      <c r="AG650" s="170"/>
      <c r="AH650" s="143">
        <f t="shared" si="1031"/>
        <v>0</v>
      </c>
      <c r="AI650" s="151"/>
      <c r="AJ650" s="151">
        <f t="shared" ref="AJ650:AL650" si="1284">P650-AE650</f>
        <v>0</v>
      </c>
      <c r="AK650" s="151">
        <f t="shared" si="1284"/>
        <v>0</v>
      </c>
      <c r="AL650" s="151">
        <f t="shared" si="1284"/>
        <v>0</v>
      </c>
      <c r="AM650" s="145"/>
      <c r="AN650" s="139"/>
      <c r="AO650" s="139"/>
      <c r="AP650" s="139"/>
      <c r="AQ650" s="145"/>
      <c r="AR650" s="145"/>
    </row>
    <row r="651" spans="1:44" s="156" customFormat="1" ht="31.5" x14ac:dyDescent="0.25">
      <c r="A651" s="143" t="s">
        <v>46</v>
      </c>
      <c r="B651" s="144">
        <v>638</v>
      </c>
      <c r="C651" s="143" t="s">
        <v>53</v>
      </c>
      <c r="D651" s="143" t="s">
        <v>3349</v>
      </c>
      <c r="E651" s="145"/>
      <c r="F651" s="145"/>
      <c r="G651" s="143" t="s">
        <v>3350</v>
      </c>
      <c r="H651" s="143"/>
      <c r="I651" s="143" t="s">
        <v>3351</v>
      </c>
      <c r="J651" s="143"/>
      <c r="K651" s="143"/>
      <c r="L651" s="143" t="s">
        <v>3352</v>
      </c>
      <c r="M651" s="143" t="s">
        <v>43</v>
      </c>
      <c r="N651" s="143" t="s">
        <v>3353</v>
      </c>
      <c r="O651" s="147">
        <v>301882620</v>
      </c>
      <c r="P651" s="150"/>
      <c r="Q651" s="177">
        <v>7500000</v>
      </c>
      <c r="R651" s="150"/>
      <c r="S651" s="147">
        <f t="shared" si="1029"/>
        <v>309382620</v>
      </c>
      <c r="T651" s="158">
        <v>301882620</v>
      </c>
      <c r="U651" s="143"/>
      <c r="V651" s="147">
        <v>7500000</v>
      </c>
      <c r="W651" s="143"/>
      <c r="X651" s="143"/>
      <c r="Y651" s="152">
        <f t="shared" ref="Y651:AB651" si="1285">AD651-T651</f>
        <v>0</v>
      </c>
      <c r="Z651" s="151">
        <f t="shared" si="1285"/>
        <v>0</v>
      </c>
      <c r="AA651" s="151">
        <f t="shared" si="1285"/>
        <v>0</v>
      </c>
      <c r="AB651" s="152">
        <f t="shared" si="1285"/>
        <v>0</v>
      </c>
      <c r="AC651" s="143"/>
      <c r="AD651" s="191">
        <v>301882620</v>
      </c>
      <c r="AE651" s="170"/>
      <c r="AF651" s="177">
        <v>7500000</v>
      </c>
      <c r="AG651" s="193"/>
      <c r="AH651" s="143">
        <f t="shared" si="1031"/>
        <v>0</v>
      </c>
      <c r="AI651" s="151"/>
      <c r="AJ651" s="151">
        <f t="shared" ref="AJ651:AL651" si="1286">P651-AE651</f>
        <v>0</v>
      </c>
      <c r="AK651" s="151">
        <f t="shared" si="1286"/>
        <v>0</v>
      </c>
      <c r="AL651" s="151">
        <f t="shared" si="1286"/>
        <v>0</v>
      </c>
      <c r="AM651" s="145"/>
      <c r="AN651" s="139"/>
      <c r="AO651" s="139"/>
      <c r="AP651" s="139"/>
      <c r="AQ651" s="145"/>
      <c r="AR651" s="145"/>
    </row>
    <row r="652" spans="1:44" s="156" customFormat="1" ht="47.25" x14ac:dyDescent="0.25">
      <c r="A652" s="143" t="s">
        <v>46</v>
      </c>
      <c r="B652" s="144">
        <v>639</v>
      </c>
      <c r="C652" s="143" t="s">
        <v>53</v>
      </c>
      <c r="D652" s="143" t="s">
        <v>1167</v>
      </c>
      <c r="E652" s="145" t="s">
        <v>567</v>
      </c>
      <c r="F652" s="145" t="s">
        <v>1169</v>
      </c>
      <c r="G652" s="143" t="s">
        <v>1170</v>
      </c>
      <c r="H652" s="143"/>
      <c r="I652" s="143" t="s">
        <v>261</v>
      </c>
      <c r="J652" s="143"/>
      <c r="K652" s="164"/>
      <c r="L652" s="143" t="s">
        <v>1171</v>
      </c>
      <c r="M652" s="143" t="s">
        <v>43</v>
      </c>
      <c r="N652" s="143" t="s">
        <v>1172</v>
      </c>
      <c r="O652" s="147">
        <v>6012667866</v>
      </c>
      <c r="P652" s="148">
        <v>3504088820</v>
      </c>
      <c r="Q652" s="169">
        <v>15000000</v>
      </c>
      <c r="R652" s="148">
        <v>24000000</v>
      </c>
      <c r="S652" s="147">
        <f t="shared" si="1029"/>
        <v>9555756686</v>
      </c>
      <c r="T652" s="158">
        <v>6012667866</v>
      </c>
      <c r="U652" s="158">
        <v>3504088820</v>
      </c>
      <c r="V652" s="157"/>
      <c r="W652" s="158">
        <v>24000000</v>
      </c>
      <c r="X652" s="143"/>
      <c r="Y652" s="151">
        <f t="shared" ref="Y652:AB652" si="1287">AD652-T652</f>
        <v>0</v>
      </c>
      <c r="Z652" s="151">
        <f t="shared" si="1287"/>
        <v>0</v>
      </c>
      <c r="AA652" s="151">
        <f t="shared" si="1287"/>
        <v>0</v>
      </c>
      <c r="AB652" s="151">
        <f t="shared" si="1287"/>
        <v>0</v>
      </c>
      <c r="AC652" s="143"/>
      <c r="AD652" s="148">
        <v>6012667866</v>
      </c>
      <c r="AE652" s="148">
        <v>3504088820</v>
      </c>
      <c r="AF652" s="150"/>
      <c r="AG652" s="148">
        <v>24000000</v>
      </c>
      <c r="AH652" s="143">
        <f t="shared" si="1031"/>
        <v>0</v>
      </c>
      <c r="AI652" s="151"/>
      <c r="AJ652" s="151">
        <f t="shared" ref="AJ652:AL652" si="1288">P652-AE652</f>
        <v>0</v>
      </c>
      <c r="AK652" s="151">
        <f t="shared" si="1288"/>
        <v>15000000</v>
      </c>
      <c r="AL652" s="151">
        <f t="shared" si="1288"/>
        <v>0</v>
      </c>
      <c r="AM652" s="145"/>
      <c r="AN652" s="139"/>
      <c r="AO652" s="139"/>
      <c r="AP652" s="162" t="s">
        <v>4008</v>
      </c>
      <c r="AQ652" s="145"/>
      <c r="AR652" s="145"/>
    </row>
    <row r="653" spans="1:44" s="156" customFormat="1" ht="78.75" x14ac:dyDescent="0.25">
      <c r="A653" s="143" t="s">
        <v>46</v>
      </c>
      <c r="B653" s="144">
        <v>640</v>
      </c>
      <c r="C653" s="143" t="s">
        <v>53</v>
      </c>
      <c r="D653" s="143" t="s">
        <v>3355</v>
      </c>
      <c r="E653" s="145" t="s">
        <v>3664</v>
      </c>
      <c r="F653" s="145"/>
      <c r="G653" s="143" t="s">
        <v>3356</v>
      </c>
      <c r="H653" s="143" t="s">
        <v>3665</v>
      </c>
      <c r="I653" s="143" t="s">
        <v>321</v>
      </c>
      <c r="J653" s="143"/>
      <c r="K653" s="143"/>
      <c r="L653" s="143" t="s">
        <v>3357</v>
      </c>
      <c r="M653" s="143" t="s">
        <v>43</v>
      </c>
      <c r="N653" s="143" t="s">
        <v>3358</v>
      </c>
      <c r="O653" s="147">
        <v>1387021608</v>
      </c>
      <c r="P653" s="148">
        <v>346755402</v>
      </c>
      <c r="Q653" s="177">
        <v>7500000</v>
      </c>
      <c r="R653" s="150"/>
      <c r="S653" s="147">
        <f t="shared" si="1029"/>
        <v>1741277010</v>
      </c>
      <c r="T653" s="143"/>
      <c r="U653" s="143"/>
      <c r="V653" s="157"/>
      <c r="W653" s="143"/>
      <c r="X653" s="143"/>
      <c r="Y653" s="152">
        <f t="shared" ref="Y653:AB653" si="1289">AD653-T653</f>
        <v>0</v>
      </c>
      <c r="Z653" s="151">
        <f t="shared" si="1289"/>
        <v>0</v>
      </c>
      <c r="AA653" s="151">
        <f t="shared" si="1289"/>
        <v>0</v>
      </c>
      <c r="AB653" s="151">
        <f t="shared" si="1289"/>
        <v>0</v>
      </c>
      <c r="AC653" s="143"/>
      <c r="AD653" s="192"/>
      <c r="AE653" s="178"/>
      <c r="AF653" s="150"/>
      <c r="AG653" s="178"/>
      <c r="AH653" s="143">
        <f t="shared" si="1031"/>
        <v>0</v>
      </c>
      <c r="AI653" s="151">
        <v>1387021608</v>
      </c>
      <c r="AJ653" s="151">
        <f t="shared" ref="AJ653:AL653" si="1290">P653-AE653</f>
        <v>346755402</v>
      </c>
      <c r="AK653" s="151">
        <f t="shared" si="1290"/>
        <v>7500000</v>
      </c>
      <c r="AL653" s="151">
        <f t="shared" si="1290"/>
        <v>0</v>
      </c>
      <c r="AM653" s="148">
        <v>1387021608</v>
      </c>
      <c r="AN653" s="159" t="s">
        <v>4014</v>
      </c>
      <c r="AO653" s="176" t="s">
        <v>4015</v>
      </c>
      <c r="AP653" s="168" t="s">
        <v>4014</v>
      </c>
      <c r="AQ653" s="219"/>
      <c r="AR653" s="218"/>
    </row>
    <row r="654" spans="1:44" s="156" customFormat="1" ht="31.5" x14ac:dyDescent="0.25">
      <c r="A654" s="143" t="s">
        <v>46</v>
      </c>
      <c r="B654" s="144">
        <v>641</v>
      </c>
      <c r="C654" s="143" t="s">
        <v>53</v>
      </c>
      <c r="D654" s="143" t="s">
        <v>3359</v>
      </c>
      <c r="E654" s="145"/>
      <c r="F654" s="145"/>
      <c r="G654" s="143" t="s">
        <v>3360</v>
      </c>
      <c r="H654" s="143"/>
      <c r="I654" s="143" t="s">
        <v>85</v>
      </c>
      <c r="J654" s="143"/>
      <c r="K654" s="143"/>
      <c r="L654" s="143" t="s">
        <v>3361</v>
      </c>
      <c r="M654" s="143" t="s">
        <v>43</v>
      </c>
      <c r="N654" s="143" t="s">
        <v>3362</v>
      </c>
      <c r="O654" s="147">
        <v>258157180</v>
      </c>
      <c r="P654" s="150"/>
      <c r="Q654" s="169">
        <v>3750000</v>
      </c>
      <c r="R654" s="150"/>
      <c r="S654" s="147">
        <f t="shared" si="1029"/>
        <v>261907180</v>
      </c>
      <c r="T654" s="158">
        <v>258157180</v>
      </c>
      <c r="U654" s="143"/>
      <c r="V654" s="147">
        <v>3750000</v>
      </c>
      <c r="W654" s="143"/>
      <c r="X654" s="143"/>
      <c r="Y654" s="152">
        <f t="shared" ref="Y654:AB654" si="1291">AD654-T654</f>
        <v>0</v>
      </c>
      <c r="Z654" s="151">
        <f t="shared" si="1291"/>
        <v>0</v>
      </c>
      <c r="AA654" s="151">
        <f t="shared" si="1291"/>
        <v>0</v>
      </c>
      <c r="AB654" s="151">
        <f t="shared" si="1291"/>
        <v>0</v>
      </c>
      <c r="AC654" s="143"/>
      <c r="AD654" s="191">
        <v>258157180</v>
      </c>
      <c r="AE654" s="170"/>
      <c r="AF654" s="169">
        <v>3750000</v>
      </c>
      <c r="AG654" s="170"/>
      <c r="AH654" s="143">
        <f t="shared" si="1031"/>
        <v>0</v>
      </c>
      <c r="AI654" s="151"/>
      <c r="AJ654" s="151">
        <f t="shared" ref="AJ654:AL654" si="1292">P654-AE654</f>
        <v>0</v>
      </c>
      <c r="AK654" s="151">
        <f t="shared" si="1292"/>
        <v>0</v>
      </c>
      <c r="AL654" s="151">
        <f t="shared" si="1292"/>
        <v>0</v>
      </c>
      <c r="AM654" s="145"/>
      <c r="AN654" s="139"/>
      <c r="AO654" s="139"/>
      <c r="AP654" s="139"/>
      <c r="AQ654" s="145"/>
      <c r="AR654" s="145"/>
    </row>
    <row r="655" spans="1:44" s="156" customFormat="1" ht="47.25" x14ac:dyDescent="0.25">
      <c r="A655" s="143" t="s">
        <v>46</v>
      </c>
      <c r="B655" s="144">
        <v>642</v>
      </c>
      <c r="C655" s="143" t="s">
        <v>53</v>
      </c>
      <c r="D655" s="143" t="s">
        <v>3363</v>
      </c>
      <c r="E655" s="145"/>
      <c r="F655" s="145"/>
      <c r="G655" s="143" t="s">
        <v>3364</v>
      </c>
      <c r="H655" s="143"/>
      <c r="I655" s="143" t="s">
        <v>321</v>
      </c>
      <c r="J655" s="143"/>
      <c r="K655" s="143"/>
      <c r="L655" s="143" t="s">
        <v>3365</v>
      </c>
      <c r="M655" s="143" t="s">
        <v>43</v>
      </c>
      <c r="N655" s="143" t="s">
        <v>3366</v>
      </c>
      <c r="O655" s="147">
        <v>3184129002</v>
      </c>
      <c r="P655" s="150"/>
      <c r="Q655" s="169">
        <v>15000000</v>
      </c>
      <c r="R655" s="150"/>
      <c r="S655" s="147">
        <f t="shared" si="1029"/>
        <v>3199129002</v>
      </c>
      <c r="T655" s="158">
        <v>3184129002</v>
      </c>
      <c r="U655" s="143"/>
      <c r="V655" s="147">
        <v>15000000</v>
      </c>
      <c r="W655" s="143"/>
      <c r="X655" s="143"/>
      <c r="Y655" s="152">
        <f t="shared" ref="Y655:AB655" si="1293">AD655-T655</f>
        <v>0</v>
      </c>
      <c r="Z655" s="151">
        <f t="shared" si="1293"/>
        <v>0</v>
      </c>
      <c r="AA655" s="151">
        <f t="shared" si="1293"/>
        <v>0</v>
      </c>
      <c r="AB655" s="151">
        <f t="shared" si="1293"/>
        <v>0</v>
      </c>
      <c r="AC655" s="143"/>
      <c r="AD655" s="191">
        <v>3184129002</v>
      </c>
      <c r="AE655" s="170"/>
      <c r="AF655" s="169">
        <v>15000000</v>
      </c>
      <c r="AG655" s="170"/>
      <c r="AH655" s="143">
        <f t="shared" si="1031"/>
        <v>0</v>
      </c>
      <c r="AI655" s="151"/>
      <c r="AJ655" s="151">
        <f t="shared" ref="AJ655:AL655" si="1294">P655-AE655</f>
        <v>0</v>
      </c>
      <c r="AK655" s="151">
        <f t="shared" si="1294"/>
        <v>0</v>
      </c>
      <c r="AL655" s="151">
        <f t="shared" si="1294"/>
        <v>0</v>
      </c>
      <c r="AM655" s="145"/>
      <c r="AN655" s="139"/>
      <c r="AO655" s="139"/>
      <c r="AP655" s="139"/>
      <c r="AQ655" s="145"/>
      <c r="AR655" s="145"/>
    </row>
    <row r="656" spans="1:44" s="156" customFormat="1" ht="47.25" x14ac:dyDescent="0.25">
      <c r="A656" s="143" t="s">
        <v>275</v>
      </c>
      <c r="B656" s="144">
        <v>643</v>
      </c>
      <c r="C656" s="143" t="s">
        <v>53</v>
      </c>
      <c r="D656" s="143" t="s">
        <v>3367</v>
      </c>
      <c r="E656" s="145" t="s">
        <v>3368</v>
      </c>
      <c r="F656" s="146"/>
      <c r="G656" s="143" t="s">
        <v>3369</v>
      </c>
      <c r="H656" s="143" t="s">
        <v>3370</v>
      </c>
      <c r="I656" s="143" t="s">
        <v>321</v>
      </c>
      <c r="J656" s="143"/>
      <c r="K656" s="143"/>
      <c r="L656" s="143" t="s">
        <v>3371</v>
      </c>
      <c r="M656" s="143" t="s">
        <v>43</v>
      </c>
      <c r="N656" s="143" t="s">
        <v>3372</v>
      </c>
      <c r="O656" s="147">
        <v>5429528230</v>
      </c>
      <c r="P656" s="169">
        <v>1005357150</v>
      </c>
      <c r="Q656" s="169">
        <v>7500000</v>
      </c>
      <c r="R656" s="150"/>
      <c r="S656" s="147">
        <f t="shared" si="1029"/>
        <v>6442385380</v>
      </c>
      <c r="T656" s="158">
        <v>5429528230</v>
      </c>
      <c r="U656" s="158">
        <v>1005357150</v>
      </c>
      <c r="V656" s="147">
        <v>7500000</v>
      </c>
      <c r="W656" s="143"/>
      <c r="X656" s="143"/>
      <c r="Y656" s="152">
        <f t="shared" ref="Y656:AB656" si="1295">AD656-T656</f>
        <v>0</v>
      </c>
      <c r="Z656" s="151">
        <f t="shared" si="1295"/>
        <v>0</v>
      </c>
      <c r="AA656" s="151">
        <f t="shared" si="1295"/>
        <v>0</v>
      </c>
      <c r="AB656" s="152">
        <f t="shared" si="1295"/>
        <v>0</v>
      </c>
      <c r="AC656" s="143"/>
      <c r="AD656" s="191">
        <v>5429528230</v>
      </c>
      <c r="AE656" s="169">
        <v>1005357150</v>
      </c>
      <c r="AF656" s="169">
        <v>7500000</v>
      </c>
      <c r="AG656" s="193"/>
      <c r="AH656" s="143">
        <f t="shared" si="1031"/>
        <v>0</v>
      </c>
      <c r="AI656" s="151"/>
      <c r="AJ656" s="151">
        <f t="shared" ref="AJ656:AL656" si="1296">P656-AE656</f>
        <v>0</v>
      </c>
      <c r="AK656" s="151">
        <f t="shared" si="1296"/>
        <v>0</v>
      </c>
      <c r="AL656" s="151">
        <f t="shared" si="1296"/>
        <v>0</v>
      </c>
      <c r="AM656" s="145"/>
      <c r="AN656" s="139"/>
      <c r="AO656" s="139"/>
      <c r="AP656" s="139"/>
      <c r="AQ656" s="145"/>
      <c r="AR656" s="145"/>
    </row>
    <row r="657" spans="1:44" s="156" customFormat="1" ht="78.75" x14ac:dyDescent="0.25">
      <c r="A657" s="143" t="s">
        <v>275</v>
      </c>
      <c r="B657" s="175">
        <v>644</v>
      </c>
      <c r="C657" s="145" t="s">
        <v>53</v>
      </c>
      <c r="D657" s="143" t="s">
        <v>1808</v>
      </c>
      <c r="E657" s="145"/>
      <c r="F657" s="145" t="s">
        <v>1809</v>
      </c>
      <c r="G657" s="145" t="s">
        <v>1810</v>
      </c>
      <c r="H657" s="145"/>
      <c r="I657" s="145" t="s">
        <v>261</v>
      </c>
      <c r="J657" s="145"/>
      <c r="K657" s="146"/>
      <c r="L657" s="145" t="s">
        <v>1811</v>
      </c>
      <c r="M657" s="145" t="s">
        <v>43</v>
      </c>
      <c r="N657" s="145" t="s">
        <v>1306</v>
      </c>
      <c r="O657" s="147">
        <v>14057391480</v>
      </c>
      <c r="P657" s="150"/>
      <c r="Q657" s="169">
        <v>15000000</v>
      </c>
      <c r="R657" s="148">
        <f>24000000+48000000</f>
        <v>72000000</v>
      </c>
      <c r="S657" s="147">
        <f t="shared" si="1029"/>
        <v>14144391480</v>
      </c>
      <c r="T657" s="158">
        <v>14057391480</v>
      </c>
      <c r="U657" s="143"/>
      <c r="V657" s="147">
        <v>15000000</v>
      </c>
      <c r="W657" s="158">
        <v>24000000</v>
      </c>
      <c r="X657" s="143"/>
      <c r="Y657" s="152">
        <f t="shared" ref="Y657:AB657" si="1297">AD657-T657</f>
        <v>0</v>
      </c>
      <c r="Z657" s="151">
        <f t="shared" si="1297"/>
        <v>0</v>
      </c>
      <c r="AA657" s="151">
        <f t="shared" si="1297"/>
        <v>0</v>
      </c>
      <c r="AB657" s="151">
        <f t="shared" si="1297"/>
        <v>0</v>
      </c>
      <c r="AC657" s="165"/>
      <c r="AD657" s="191">
        <v>14057391480</v>
      </c>
      <c r="AE657" s="170"/>
      <c r="AF657" s="148">
        <v>15000000</v>
      </c>
      <c r="AG657" s="169">
        <v>24000000</v>
      </c>
      <c r="AH657" s="166">
        <f t="shared" si="1031"/>
        <v>0</v>
      </c>
      <c r="AI657" s="151"/>
      <c r="AJ657" s="151">
        <f t="shared" ref="AJ657:AL657" si="1298">P657-AE657</f>
        <v>0</v>
      </c>
      <c r="AK657" s="151">
        <f t="shared" si="1298"/>
        <v>0</v>
      </c>
      <c r="AL657" s="150">
        <f t="shared" si="1298"/>
        <v>48000000</v>
      </c>
      <c r="AM657" s="145"/>
      <c r="AN657" s="139"/>
      <c r="AO657" s="139"/>
      <c r="AP657" s="139"/>
      <c r="AQ657" s="145" t="s">
        <v>4016</v>
      </c>
      <c r="AR657" s="145"/>
    </row>
    <row r="658" spans="1:44" s="156" customFormat="1" ht="47.25" x14ac:dyDescent="0.25">
      <c r="A658" s="143" t="s">
        <v>46</v>
      </c>
      <c r="B658" s="144">
        <v>645</v>
      </c>
      <c r="C658" s="143" t="s">
        <v>53</v>
      </c>
      <c r="D658" s="143" t="s">
        <v>1354</v>
      </c>
      <c r="E658" s="145" t="s">
        <v>1355</v>
      </c>
      <c r="F658" s="145" t="s">
        <v>1350</v>
      </c>
      <c r="G658" s="143" t="s">
        <v>1356</v>
      </c>
      <c r="H658" s="143" t="s">
        <v>1357</v>
      </c>
      <c r="I658" s="143" t="s">
        <v>261</v>
      </c>
      <c r="J658" s="143"/>
      <c r="K658" s="164"/>
      <c r="L658" s="143" t="s">
        <v>1358</v>
      </c>
      <c r="M658" s="143" t="s">
        <v>43</v>
      </c>
      <c r="N658" s="143" t="s">
        <v>1361</v>
      </c>
      <c r="O658" s="147">
        <v>3117329551</v>
      </c>
      <c r="P658" s="169">
        <v>7186340</v>
      </c>
      <c r="Q658" s="169">
        <v>15000000</v>
      </c>
      <c r="R658" s="148">
        <v>8000000</v>
      </c>
      <c r="S658" s="147">
        <f t="shared" si="1029"/>
        <v>3147515891</v>
      </c>
      <c r="T658" s="158">
        <v>3117329551</v>
      </c>
      <c r="U658" s="158">
        <v>7186340</v>
      </c>
      <c r="V658" s="147">
        <v>15000000</v>
      </c>
      <c r="W658" s="158">
        <v>8000000</v>
      </c>
      <c r="X658" s="143"/>
      <c r="Y658" s="152">
        <f t="shared" ref="Y658:AB658" si="1299">AD658-T658</f>
        <v>0</v>
      </c>
      <c r="Z658" s="151">
        <f t="shared" si="1299"/>
        <v>0</v>
      </c>
      <c r="AA658" s="151">
        <f t="shared" si="1299"/>
        <v>0</v>
      </c>
      <c r="AB658" s="152">
        <f t="shared" si="1299"/>
        <v>0</v>
      </c>
      <c r="AC658" s="143"/>
      <c r="AD658" s="149">
        <v>3117329551</v>
      </c>
      <c r="AE658" s="148">
        <v>7186340</v>
      </c>
      <c r="AF658" s="148">
        <v>15000000</v>
      </c>
      <c r="AG658" s="149">
        <v>8000000</v>
      </c>
      <c r="AH658" s="143">
        <f t="shared" si="1031"/>
        <v>0</v>
      </c>
      <c r="AI658" s="151"/>
      <c r="AJ658" s="151">
        <f t="shared" ref="AJ658:AL658" si="1300">P658-AE658</f>
        <v>0</v>
      </c>
      <c r="AK658" s="151">
        <f t="shared" si="1300"/>
        <v>0</v>
      </c>
      <c r="AL658" s="151">
        <f t="shared" si="1300"/>
        <v>0</v>
      </c>
      <c r="AM658" s="145"/>
      <c r="AN658" s="139"/>
      <c r="AO658" s="139"/>
      <c r="AP658" s="139"/>
      <c r="AQ658" s="145"/>
      <c r="AR658" s="145"/>
    </row>
    <row r="659" spans="1:44" s="156" customFormat="1" ht="94.5" x14ac:dyDescent="0.25">
      <c r="A659" s="143" t="s">
        <v>275</v>
      </c>
      <c r="B659" s="144">
        <v>646</v>
      </c>
      <c r="C659" s="143" t="s">
        <v>53</v>
      </c>
      <c r="D659" s="143" t="s">
        <v>317</v>
      </c>
      <c r="E659" s="145" t="s">
        <v>318</v>
      </c>
      <c r="F659" s="145" t="s">
        <v>319</v>
      </c>
      <c r="G659" s="143" t="s">
        <v>320</v>
      </c>
      <c r="H659" s="143"/>
      <c r="I659" s="143" t="s">
        <v>321</v>
      </c>
      <c r="J659" s="143"/>
      <c r="K659" s="164"/>
      <c r="L659" s="143" t="s">
        <v>322</v>
      </c>
      <c r="M659" s="143" t="s">
        <v>43</v>
      </c>
      <c r="N659" s="143" t="s">
        <v>323</v>
      </c>
      <c r="O659" s="147">
        <v>986764751</v>
      </c>
      <c r="P659" s="177">
        <v>522395346</v>
      </c>
      <c r="Q659" s="177">
        <v>15000000</v>
      </c>
      <c r="R659" s="148">
        <f>24000000+48000000</f>
        <v>72000000</v>
      </c>
      <c r="S659" s="147">
        <f t="shared" si="1029"/>
        <v>1596160097</v>
      </c>
      <c r="T659" s="158">
        <v>986764751</v>
      </c>
      <c r="U659" s="158">
        <v>522395346</v>
      </c>
      <c r="V659" s="147">
        <v>15000000</v>
      </c>
      <c r="W659" s="158">
        <v>72000000</v>
      </c>
      <c r="X659" s="143"/>
      <c r="Y659" s="152">
        <f t="shared" ref="Y659:AB659" si="1301">AD659-T659</f>
        <v>0</v>
      </c>
      <c r="Z659" s="151">
        <f t="shared" si="1301"/>
        <v>0</v>
      </c>
      <c r="AA659" s="151">
        <f t="shared" si="1301"/>
        <v>0</v>
      </c>
      <c r="AB659" s="151">
        <f t="shared" si="1301"/>
        <v>0</v>
      </c>
      <c r="AC659" s="143"/>
      <c r="AD659" s="194">
        <v>986764751</v>
      </c>
      <c r="AE659" s="177">
        <v>522395346</v>
      </c>
      <c r="AF659" s="148">
        <v>15000000</v>
      </c>
      <c r="AG659" s="177">
        <f>24000000+48000000</f>
        <v>72000000</v>
      </c>
      <c r="AH659" s="143">
        <f t="shared" si="1031"/>
        <v>0</v>
      </c>
      <c r="AI659" s="151"/>
      <c r="AJ659" s="151">
        <f t="shared" ref="AJ659:AL659" si="1302">P659-AE659</f>
        <v>0</v>
      </c>
      <c r="AK659" s="151">
        <f t="shared" si="1302"/>
        <v>0</v>
      </c>
      <c r="AL659" s="151">
        <f t="shared" si="1302"/>
        <v>0</v>
      </c>
      <c r="AM659" s="145"/>
      <c r="AN659" s="139"/>
      <c r="AO659" s="139"/>
      <c r="AP659" s="139"/>
      <c r="AQ659" s="145"/>
      <c r="AR659" s="145"/>
    </row>
    <row r="660" spans="1:44" s="156" customFormat="1" ht="31.5" x14ac:dyDescent="0.25">
      <c r="A660" s="143" t="s">
        <v>35</v>
      </c>
      <c r="B660" s="144">
        <v>647</v>
      </c>
      <c r="C660" s="143" t="s">
        <v>53</v>
      </c>
      <c r="D660" s="143" t="s">
        <v>3374</v>
      </c>
      <c r="E660" s="145"/>
      <c r="F660" s="145"/>
      <c r="G660" s="143" t="s">
        <v>3375</v>
      </c>
      <c r="H660" s="143"/>
      <c r="I660" s="143"/>
      <c r="J660" s="143"/>
      <c r="K660" s="143"/>
      <c r="L660" s="143" t="s">
        <v>3376</v>
      </c>
      <c r="M660" s="143" t="s">
        <v>43</v>
      </c>
      <c r="N660" s="143" t="s">
        <v>3377</v>
      </c>
      <c r="O660" s="147">
        <v>1533758900</v>
      </c>
      <c r="P660" s="150"/>
      <c r="Q660" s="177">
        <v>7500000</v>
      </c>
      <c r="R660" s="150"/>
      <c r="S660" s="147">
        <f t="shared" si="1029"/>
        <v>1541258900</v>
      </c>
      <c r="T660" s="158">
        <v>1533758900</v>
      </c>
      <c r="U660" s="143"/>
      <c r="V660" s="147">
        <v>7500000</v>
      </c>
      <c r="W660" s="143"/>
      <c r="X660" s="143"/>
      <c r="Y660" s="152">
        <f t="shared" ref="Y660:AB660" si="1303">AD660-T660</f>
        <v>0</v>
      </c>
      <c r="Z660" s="151">
        <f t="shared" si="1303"/>
        <v>0</v>
      </c>
      <c r="AA660" s="151">
        <f t="shared" si="1303"/>
        <v>0</v>
      </c>
      <c r="AB660" s="152">
        <f t="shared" si="1303"/>
        <v>0</v>
      </c>
      <c r="AC660" s="143"/>
      <c r="AD660" s="191">
        <v>1533758900</v>
      </c>
      <c r="AE660" s="150"/>
      <c r="AF660" s="177">
        <v>7500000</v>
      </c>
      <c r="AG660" s="155"/>
      <c r="AH660" s="143">
        <f t="shared" si="1031"/>
        <v>0</v>
      </c>
      <c r="AI660" s="151"/>
      <c r="AJ660" s="151">
        <f t="shared" ref="AJ660:AL660" si="1304">P660-AE660</f>
        <v>0</v>
      </c>
      <c r="AK660" s="151">
        <f t="shared" si="1304"/>
        <v>0</v>
      </c>
      <c r="AL660" s="151">
        <f t="shared" si="1304"/>
        <v>0</v>
      </c>
      <c r="AM660" s="145"/>
      <c r="AN660" s="139"/>
      <c r="AO660" s="139"/>
      <c r="AP660" s="139"/>
      <c r="AQ660" s="145"/>
      <c r="AR660" s="145"/>
    </row>
    <row r="661" spans="1:44" s="156" customFormat="1" ht="31.5" x14ac:dyDescent="0.25">
      <c r="A661" s="143" t="s">
        <v>46</v>
      </c>
      <c r="B661" s="144">
        <v>648</v>
      </c>
      <c r="C661" s="143" t="s">
        <v>53</v>
      </c>
      <c r="D661" s="143" t="s">
        <v>3378</v>
      </c>
      <c r="E661" s="145"/>
      <c r="F661" s="145"/>
      <c r="G661" s="143" t="s">
        <v>3379</v>
      </c>
      <c r="H661" s="143"/>
      <c r="I661" s="143" t="s">
        <v>261</v>
      </c>
      <c r="J661" s="143"/>
      <c r="K661" s="143"/>
      <c r="L661" s="143" t="s">
        <v>3380</v>
      </c>
      <c r="M661" s="143" t="s">
        <v>43</v>
      </c>
      <c r="N661" s="143" t="s">
        <v>3381</v>
      </c>
      <c r="O661" s="147">
        <v>7462791400</v>
      </c>
      <c r="P661" s="150"/>
      <c r="Q661" s="169">
        <v>15000000</v>
      </c>
      <c r="R661" s="150"/>
      <c r="S661" s="147">
        <f t="shared" si="1029"/>
        <v>7477791400</v>
      </c>
      <c r="T661" s="158">
        <v>7462791400</v>
      </c>
      <c r="U661" s="143"/>
      <c r="V661" s="147">
        <v>15000000</v>
      </c>
      <c r="W661" s="143"/>
      <c r="X661" s="143"/>
      <c r="Y661" s="152">
        <f t="shared" ref="Y661:AB661" si="1305">AD661-T661</f>
        <v>0</v>
      </c>
      <c r="Z661" s="151">
        <f t="shared" si="1305"/>
        <v>0</v>
      </c>
      <c r="AA661" s="151">
        <f t="shared" si="1305"/>
        <v>0</v>
      </c>
      <c r="AB661" s="151">
        <f t="shared" si="1305"/>
        <v>0</v>
      </c>
      <c r="AC661" s="143"/>
      <c r="AD661" s="191">
        <v>7462791400</v>
      </c>
      <c r="AE661" s="170"/>
      <c r="AF661" s="169">
        <v>15000000</v>
      </c>
      <c r="AG661" s="170"/>
      <c r="AH661" s="143">
        <f t="shared" si="1031"/>
        <v>0</v>
      </c>
      <c r="AI661" s="151"/>
      <c r="AJ661" s="151">
        <f t="shared" ref="AJ661:AL661" si="1306">P661-AE661</f>
        <v>0</v>
      </c>
      <c r="AK661" s="151">
        <f t="shared" si="1306"/>
        <v>0</v>
      </c>
      <c r="AL661" s="151">
        <f t="shared" si="1306"/>
        <v>0</v>
      </c>
      <c r="AM661" s="145"/>
      <c r="AN661" s="139"/>
      <c r="AO661" s="139"/>
      <c r="AP661" s="139"/>
      <c r="AQ661" s="145"/>
      <c r="AR661" s="145"/>
    </row>
    <row r="662" spans="1:44" s="156" customFormat="1" ht="31.5" x14ac:dyDescent="0.25">
      <c r="A662" s="143" t="s">
        <v>275</v>
      </c>
      <c r="B662" s="144">
        <v>649</v>
      </c>
      <c r="C662" s="143" t="s">
        <v>53</v>
      </c>
      <c r="D662" s="143" t="s">
        <v>3382</v>
      </c>
      <c r="E662" s="145"/>
      <c r="F662" s="146"/>
      <c r="G662" s="143" t="s">
        <v>3383</v>
      </c>
      <c r="H662" s="143"/>
      <c r="I662" s="143" t="s">
        <v>321</v>
      </c>
      <c r="J662" s="143"/>
      <c r="K662" s="143"/>
      <c r="L662" s="143" t="s">
        <v>3384</v>
      </c>
      <c r="M662" s="143" t="s">
        <v>43</v>
      </c>
      <c r="N662" s="143" t="s">
        <v>3385</v>
      </c>
      <c r="O662" s="147">
        <v>5198673388</v>
      </c>
      <c r="P662" s="150"/>
      <c r="Q662" s="169">
        <v>15000000</v>
      </c>
      <c r="R662" s="150"/>
      <c r="S662" s="147">
        <f t="shared" si="1029"/>
        <v>5213673388</v>
      </c>
      <c r="T662" s="158">
        <v>5198673388</v>
      </c>
      <c r="U662" s="143"/>
      <c r="V662" s="147">
        <v>15000000</v>
      </c>
      <c r="W662" s="143"/>
      <c r="X662" s="143"/>
      <c r="Y662" s="152">
        <f t="shared" ref="Y662:AB662" si="1307">AD662-T662</f>
        <v>0</v>
      </c>
      <c r="Z662" s="151">
        <f t="shared" si="1307"/>
        <v>0</v>
      </c>
      <c r="AA662" s="151">
        <f t="shared" si="1307"/>
        <v>0</v>
      </c>
      <c r="AB662" s="151">
        <f t="shared" si="1307"/>
        <v>0</v>
      </c>
      <c r="AC662" s="143"/>
      <c r="AD662" s="191">
        <v>5198673388</v>
      </c>
      <c r="AE662" s="170"/>
      <c r="AF662" s="148">
        <v>15000000</v>
      </c>
      <c r="AG662" s="170"/>
      <c r="AH662" s="143">
        <f t="shared" si="1031"/>
        <v>0</v>
      </c>
      <c r="AI662" s="151"/>
      <c r="AJ662" s="151">
        <f t="shared" ref="AJ662:AL662" si="1308">P662-AE662</f>
        <v>0</v>
      </c>
      <c r="AK662" s="151">
        <f t="shared" si="1308"/>
        <v>0</v>
      </c>
      <c r="AL662" s="151">
        <f t="shared" si="1308"/>
        <v>0</v>
      </c>
      <c r="AM662" s="145"/>
      <c r="AN662" s="139"/>
      <c r="AO662" s="139"/>
      <c r="AP662" s="139"/>
      <c r="AQ662" s="145"/>
      <c r="AR662" s="145"/>
    </row>
    <row r="663" spans="1:44" s="156" customFormat="1" ht="47.25" x14ac:dyDescent="0.25">
      <c r="A663" s="143" t="s">
        <v>275</v>
      </c>
      <c r="B663" s="144">
        <v>650</v>
      </c>
      <c r="C663" s="143" t="s">
        <v>53</v>
      </c>
      <c r="D663" s="143" t="s">
        <v>3386</v>
      </c>
      <c r="E663" s="145"/>
      <c r="F663" s="146"/>
      <c r="G663" s="143" t="s">
        <v>3387</v>
      </c>
      <c r="H663" s="143"/>
      <c r="I663" s="143" t="s">
        <v>261</v>
      </c>
      <c r="J663" s="143"/>
      <c r="K663" s="143"/>
      <c r="L663" s="143" t="s">
        <v>3388</v>
      </c>
      <c r="M663" s="143" t="s">
        <v>43</v>
      </c>
      <c r="N663" s="143" t="s">
        <v>3389</v>
      </c>
      <c r="O663" s="147">
        <v>2087490465</v>
      </c>
      <c r="P663" s="150"/>
      <c r="Q663" s="169">
        <v>15000000</v>
      </c>
      <c r="R663" s="150"/>
      <c r="S663" s="147">
        <f t="shared" si="1029"/>
        <v>2102490465</v>
      </c>
      <c r="T663" s="158">
        <v>2087490465</v>
      </c>
      <c r="U663" s="143"/>
      <c r="V663" s="147">
        <v>15000000</v>
      </c>
      <c r="W663" s="143"/>
      <c r="X663" s="143"/>
      <c r="Y663" s="152">
        <f t="shared" ref="Y663:AB663" si="1309">AD663-T663</f>
        <v>0</v>
      </c>
      <c r="Z663" s="151">
        <f t="shared" si="1309"/>
        <v>0</v>
      </c>
      <c r="AA663" s="151">
        <f t="shared" si="1309"/>
        <v>0</v>
      </c>
      <c r="AB663" s="152">
        <f t="shared" si="1309"/>
        <v>0</v>
      </c>
      <c r="AC663" s="143"/>
      <c r="AD663" s="149">
        <v>2087490465</v>
      </c>
      <c r="AE663" s="170"/>
      <c r="AF663" s="148">
        <v>15000000</v>
      </c>
      <c r="AG663" s="193"/>
      <c r="AH663" s="143">
        <f t="shared" si="1031"/>
        <v>0</v>
      </c>
      <c r="AI663" s="151"/>
      <c r="AJ663" s="151">
        <f t="shared" ref="AJ663:AL663" si="1310">P663-AE663</f>
        <v>0</v>
      </c>
      <c r="AK663" s="151">
        <f t="shared" si="1310"/>
        <v>0</v>
      </c>
      <c r="AL663" s="151">
        <f t="shared" si="1310"/>
        <v>0</v>
      </c>
      <c r="AM663" s="145"/>
      <c r="AN663" s="139"/>
      <c r="AO663" s="139"/>
      <c r="AP663" s="139"/>
      <c r="AQ663" s="145"/>
      <c r="AR663" s="145"/>
    </row>
    <row r="664" spans="1:44" s="156" customFormat="1" ht="31.5" x14ac:dyDescent="0.25">
      <c r="A664" s="143" t="s">
        <v>35</v>
      </c>
      <c r="B664" s="144">
        <v>651</v>
      </c>
      <c r="C664" s="143" t="s">
        <v>53</v>
      </c>
      <c r="D664" s="143" t="s">
        <v>3390</v>
      </c>
      <c r="E664" s="145"/>
      <c r="F664" s="145"/>
      <c r="G664" s="143" t="s">
        <v>3391</v>
      </c>
      <c r="H664" s="143"/>
      <c r="I664" s="143"/>
      <c r="J664" s="143"/>
      <c r="K664" s="143"/>
      <c r="L664" s="143" t="s">
        <v>3392</v>
      </c>
      <c r="M664" s="143" t="s">
        <v>43</v>
      </c>
      <c r="N664" s="143" t="s">
        <v>3393</v>
      </c>
      <c r="O664" s="147">
        <v>5912489280</v>
      </c>
      <c r="P664" s="150"/>
      <c r="Q664" s="177">
        <v>15000000</v>
      </c>
      <c r="R664" s="150"/>
      <c r="S664" s="147">
        <f t="shared" si="1029"/>
        <v>5927489280</v>
      </c>
      <c r="T664" s="158">
        <v>5912489280</v>
      </c>
      <c r="U664" s="143"/>
      <c r="V664" s="157"/>
      <c r="W664" s="143"/>
      <c r="X664" s="143"/>
      <c r="Y664" s="152">
        <f t="shared" ref="Y664:AB664" si="1311">AD664-T664</f>
        <v>0</v>
      </c>
      <c r="Z664" s="151">
        <f t="shared" si="1311"/>
        <v>0</v>
      </c>
      <c r="AA664" s="151">
        <f t="shared" si="1311"/>
        <v>0</v>
      </c>
      <c r="AB664" s="151">
        <f t="shared" si="1311"/>
        <v>0</v>
      </c>
      <c r="AC664" s="143"/>
      <c r="AD664" s="194">
        <v>5912489280</v>
      </c>
      <c r="AE664" s="170"/>
      <c r="AF664" s="150"/>
      <c r="AG664" s="170"/>
      <c r="AH664" s="143">
        <f t="shared" si="1031"/>
        <v>0</v>
      </c>
      <c r="AI664" s="151"/>
      <c r="AJ664" s="151">
        <f t="shared" ref="AJ664:AL664" si="1312">P664-AE664</f>
        <v>0</v>
      </c>
      <c r="AK664" s="151">
        <f t="shared" si="1312"/>
        <v>15000000</v>
      </c>
      <c r="AL664" s="151">
        <f t="shared" si="1312"/>
        <v>0</v>
      </c>
      <c r="AM664" s="145"/>
      <c r="AN664" s="139"/>
      <c r="AO664" s="139"/>
      <c r="AP664" s="168" t="s">
        <v>2013</v>
      </c>
      <c r="AQ664" s="145"/>
      <c r="AR664" s="145"/>
    </row>
    <row r="665" spans="1:44" s="156" customFormat="1" ht="31.5" x14ac:dyDescent="0.25">
      <c r="A665" s="143" t="s">
        <v>275</v>
      </c>
      <c r="B665" s="144">
        <v>652</v>
      </c>
      <c r="C665" s="143" t="s">
        <v>53</v>
      </c>
      <c r="D665" s="143" t="s">
        <v>976</v>
      </c>
      <c r="E665" s="145"/>
      <c r="F665" s="145" t="s">
        <v>872</v>
      </c>
      <c r="G665" s="143" t="s">
        <v>978</v>
      </c>
      <c r="H665" s="143"/>
      <c r="I665" s="143" t="s">
        <v>321</v>
      </c>
      <c r="J665" s="143"/>
      <c r="K665" s="164"/>
      <c r="L665" s="143" t="s">
        <v>979</v>
      </c>
      <c r="M665" s="143" t="s">
        <v>43</v>
      </c>
      <c r="N665" s="143" t="s">
        <v>981</v>
      </c>
      <c r="O665" s="147">
        <v>16382742639</v>
      </c>
      <c r="P665" s="150"/>
      <c r="Q665" s="169">
        <v>15000000</v>
      </c>
      <c r="R665" s="148">
        <v>144000000</v>
      </c>
      <c r="S665" s="147">
        <f t="shared" si="1029"/>
        <v>16541742639</v>
      </c>
      <c r="T665" s="158">
        <v>16382742639</v>
      </c>
      <c r="U665" s="143"/>
      <c r="V665" s="147">
        <v>15000000</v>
      </c>
      <c r="W665" s="158">
        <v>144000000</v>
      </c>
      <c r="X665" s="143"/>
      <c r="Y665" s="152">
        <f t="shared" ref="Y665:AB665" si="1313">AD665-T665</f>
        <v>0</v>
      </c>
      <c r="Z665" s="151">
        <f t="shared" si="1313"/>
        <v>0</v>
      </c>
      <c r="AA665" s="151">
        <f t="shared" si="1313"/>
        <v>0</v>
      </c>
      <c r="AB665" s="151">
        <f t="shared" si="1313"/>
        <v>0</v>
      </c>
      <c r="AC665" s="143"/>
      <c r="AD665" s="149">
        <v>16382742639</v>
      </c>
      <c r="AE665" s="150"/>
      <c r="AF665" s="169">
        <v>15000000</v>
      </c>
      <c r="AG665" s="169">
        <v>144000000</v>
      </c>
      <c r="AH665" s="143">
        <f t="shared" si="1031"/>
        <v>0</v>
      </c>
      <c r="AI665" s="151"/>
      <c r="AJ665" s="151">
        <f t="shared" ref="AJ665:AL665" si="1314">P665-AE665</f>
        <v>0</v>
      </c>
      <c r="AK665" s="151">
        <f t="shared" si="1314"/>
        <v>0</v>
      </c>
      <c r="AL665" s="151">
        <f t="shared" si="1314"/>
        <v>0</v>
      </c>
      <c r="AM665" s="145"/>
      <c r="AN665" s="139"/>
      <c r="AO665" s="139"/>
      <c r="AP665" s="139"/>
      <c r="AQ665" s="145"/>
      <c r="AR665" s="145"/>
    </row>
    <row r="666" spans="1:44" s="156" customFormat="1" ht="47.25" x14ac:dyDescent="0.25">
      <c r="A666" s="143" t="s">
        <v>275</v>
      </c>
      <c r="B666" s="144">
        <v>653</v>
      </c>
      <c r="C666" s="143" t="s">
        <v>53</v>
      </c>
      <c r="D666" s="143" t="s">
        <v>3394</v>
      </c>
      <c r="E666" s="145"/>
      <c r="F666" s="146"/>
      <c r="G666" s="143" t="s">
        <v>3395</v>
      </c>
      <c r="H666" s="143"/>
      <c r="I666" s="143" t="s">
        <v>321</v>
      </c>
      <c r="J666" s="143"/>
      <c r="K666" s="143"/>
      <c r="L666" s="143" t="s">
        <v>3396</v>
      </c>
      <c r="M666" s="143" t="s">
        <v>43</v>
      </c>
      <c r="N666" s="143" t="s">
        <v>3397</v>
      </c>
      <c r="O666" s="147">
        <v>3035947492</v>
      </c>
      <c r="P666" s="150"/>
      <c r="Q666" s="169">
        <v>15000000</v>
      </c>
      <c r="R666" s="150"/>
      <c r="S666" s="147">
        <f t="shared" si="1029"/>
        <v>3050947492</v>
      </c>
      <c r="T666" s="158">
        <v>3035947492</v>
      </c>
      <c r="U666" s="143"/>
      <c r="V666" s="147">
        <v>15000000</v>
      </c>
      <c r="W666" s="143"/>
      <c r="X666" s="143"/>
      <c r="Y666" s="152">
        <f t="shared" ref="Y666:AB666" si="1315">AD666-T666</f>
        <v>0</v>
      </c>
      <c r="Z666" s="151">
        <f t="shared" si="1315"/>
        <v>0</v>
      </c>
      <c r="AA666" s="151">
        <f t="shared" si="1315"/>
        <v>0</v>
      </c>
      <c r="AB666" s="151">
        <f t="shared" si="1315"/>
        <v>0</v>
      </c>
      <c r="AC666" s="143"/>
      <c r="AD666" s="149">
        <v>3035947492</v>
      </c>
      <c r="AE666" s="150"/>
      <c r="AF666" s="148">
        <v>15000000</v>
      </c>
      <c r="AG666" s="150"/>
      <c r="AH666" s="143">
        <f t="shared" si="1031"/>
        <v>0</v>
      </c>
      <c r="AI666" s="151"/>
      <c r="AJ666" s="151">
        <f t="shared" ref="AJ666:AL666" si="1316">P666-AE666</f>
        <v>0</v>
      </c>
      <c r="AK666" s="151">
        <f t="shared" si="1316"/>
        <v>0</v>
      </c>
      <c r="AL666" s="151">
        <f t="shared" si="1316"/>
        <v>0</v>
      </c>
      <c r="AM666" s="145"/>
      <c r="AN666" s="139"/>
      <c r="AO666" s="139"/>
      <c r="AP666" s="139"/>
      <c r="AQ666" s="145"/>
      <c r="AR666" s="145"/>
    </row>
    <row r="667" spans="1:44" s="156" customFormat="1" ht="31.5" x14ac:dyDescent="0.25">
      <c r="A667" s="143" t="s">
        <v>275</v>
      </c>
      <c r="B667" s="144">
        <v>654</v>
      </c>
      <c r="C667" s="143" t="s">
        <v>53</v>
      </c>
      <c r="D667" s="143" t="s">
        <v>3398</v>
      </c>
      <c r="E667" s="145"/>
      <c r="F667" s="146"/>
      <c r="G667" s="143" t="s">
        <v>3399</v>
      </c>
      <c r="H667" s="143"/>
      <c r="I667" s="143"/>
      <c r="J667" s="143"/>
      <c r="K667" s="143"/>
      <c r="L667" s="143" t="s">
        <v>3400</v>
      </c>
      <c r="M667" s="143" t="s">
        <v>43</v>
      </c>
      <c r="N667" s="143" t="s">
        <v>3401</v>
      </c>
      <c r="O667" s="147">
        <v>5634993422</v>
      </c>
      <c r="P667" s="150"/>
      <c r="Q667" s="169">
        <v>15000000</v>
      </c>
      <c r="R667" s="150"/>
      <c r="S667" s="147">
        <f t="shared" si="1029"/>
        <v>5649993422</v>
      </c>
      <c r="T667" s="158">
        <v>5634993422</v>
      </c>
      <c r="U667" s="143"/>
      <c r="V667" s="157"/>
      <c r="W667" s="143"/>
      <c r="X667" s="143"/>
      <c r="Y667" s="152">
        <f t="shared" ref="Y667:AB667" si="1317">AD667-T667</f>
        <v>0</v>
      </c>
      <c r="Z667" s="151">
        <f t="shared" si="1317"/>
        <v>0</v>
      </c>
      <c r="AA667" s="151">
        <f t="shared" si="1317"/>
        <v>0</v>
      </c>
      <c r="AB667" s="151">
        <f t="shared" si="1317"/>
        <v>0</v>
      </c>
      <c r="AC667" s="143"/>
      <c r="AD667" s="194">
        <v>5634993422</v>
      </c>
      <c r="AE667" s="170"/>
      <c r="AF667" s="150"/>
      <c r="AG667" s="170"/>
      <c r="AH667" s="143">
        <f t="shared" si="1031"/>
        <v>0</v>
      </c>
      <c r="AI667" s="151"/>
      <c r="AJ667" s="151">
        <f t="shared" ref="AJ667:AL667" si="1318">P667-AE667</f>
        <v>0</v>
      </c>
      <c r="AK667" s="151">
        <f t="shared" si="1318"/>
        <v>15000000</v>
      </c>
      <c r="AL667" s="151">
        <f t="shared" si="1318"/>
        <v>0</v>
      </c>
      <c r="AM667" s="145"/>
      <c r="AN667" s="139"/>
      <c r="AO667" s="139"/>
      <c r="AP667" s="162" t="s">
        <v>4008</v>
      </c>
      <c r="AQ667" s="145"/>
      <c r="AR667" s="145"/>
    </row>
    <row r="668" spans="1:44" s="156" customFormat="1" ht="47.25" x14ac:dyDescent="0.25">
      <c r="A668" s="143" t="s">
        <v>52</v>
      </c>
      <c r="B668" s="144">
        <v>655</v>
      </c>
      <c r="C668" s="143" t="s">
        <v>730</v>
      </c>
      <c r="D668" s="143" t="s">
        <v>3402</v>
      </c>
      <c r="E668" s="145" t="s">
        <v>1993</v>
      </c>
      <c r="F668" s="145"/>
      <c r="G668" s="143" t="s">
        <v>3403</v>
      </c>
      <c r="H668" s="143"/>
      <c r="I668" s="143"/>
      <c r="J668" s="143"/>
      <c r="K668" s="143"/>
      <c r="L668" s="143" t="s">
        <v>3404</v>
      </c>
      <c r="M668" s="143" t="s">
        <v>43</v>
      </c>
      <c r="N668" s="143" t="s">
        <v>3183</v>
      </c>
      <c r="O668" s="147">
        <v>9457911350</v>
      </c>
      <c r="P668" s="169">
        <v>415138500</v>
      </c>
      <c r="Q668" s="169">
        <v>7500000</v>
      </c>
      <c r="R668" s="150"/>
      <c r="S668" s="147">
        <f t="shared" si="1029"/>
        <v>9880549850</v>
      </c>
      <c r="T668" s="158">
        <v>9457911350</v>
      </c>
      <c r="U668" s="158">
        <v>415138500</v>
      </c>
      <c r="V668" s="147">
        <v>7500000</v>
      </c>
      <c r="W668" s="143"/>
      <c r="X668" s="143"/>
      <c r="Y668" s="152">
        <f t="shared" ref="Y668:AB668" si="1319">AD668-T668</f>
        <v>0</v>
      </c>
      <c r="Z668" s="151">
        <f t="shared" si="1319"/>
        <v>0</v>
      </c>
      <c r="AA668" s="151">
        <f t="shared" si="1319"/>
        <v>0</v>
      </c>
      <c r="AB668" s="152">
        <f t="shared" si="1319"/>
        <v>0</v>
      </c>
      <c r="AC668" s="143"/>
      <c r="AD668" s="149">
        <v>9457911350</v>
      </c>
      <c r="AE668" s="148">
        <v>415138500</v>
      </c>
      <c r="AF668" s="169">
        <v>7500000</v>
      </c>
      <c r="AG668" s="155"/>
      <c r="AH668" s="143">
        <f t="shared" si="1031"/>
        <v>0</v>
      </c>
      <c r="AI668" s="151"/>
      <c r="AJ668" s="151">
        <f t="shared" ref="AJ668:AL668" si="1320">P668-AE668</f>
        <v>0</v>
      </c>
      <c r="AK668" s="151">
        <f t="shared" si="1320"/>
        <v>0</v>
      </c>
      <c r="AL668" s="151">
        <f t="shared" si="1320"/>
        <v>0</v>
      </c>
      <c r="AM668" s="145"/>
      <c r="AN668" s="139"/>
      <c r="AO668" s="139"/>
      <c r="AP668" s="139"/>
      <c r="AQ668" s="145"/>
      <c r="AR668" s="145"/>
    </row>
    <row r="669" spans="1:44" s="156" customFormat="1" ht="47.25" x14ac:dyDescent="0.25">
      <c r="A669" s="143" t="s">
        <v>60</v>
      </c>
      <c r="B669" s="144">
        <v>656</v>
      </c>
      <c r="C669" s="143" t="s">
        <v>730</v>
      </c>
      <c r="D669" s="143" t="s">
        <v>983</v>
      </c>
      <c r="E669" s="145" t="s">
        <v>984</v>
      </c>
      <c r="F669" s="145" t="s">
        <v>872</v>
      </c>
      <c r="G669" s="143" t="s">
        <v>985</v>
      </c>
      <c r="H669" s="143" t="s">
        <v>986</v>
      </c>
      <c r="I669" s="143"/>
      <c r="J669" s="143"/>
      <c r="K669" s="164"/>
      <c r="L669" s="143" t="s">
        <v>987</v>
      </c>
      <c r="M669" s="143" t="s">
        <v>43</v>
      </c>
      <c r="N669" s="143" t="s">
        <v>988</v>
      </c>
      <c r="O669" s="147">
        <v>2036054500</v>
      </c>
      <c r="P669" s="169">
        <v>165171840</v>
      </c>
      <c r="Q669" s="169">
        <v>15000000</v>
      </c>
      <c r="R669" s="148">
        <v>24000000</v>
      </c>
      <c r="S669" s="147">
        <f t="shared" si="1029"/>
        <v>2240226340</v>
      </c>
      <c r="T669" s="158">
        <v>2036054500</v>
      </c>
      <c r="U669" s="151">
        <v>165171840</v>
      </c>
      <c r="V669" s="147">
        <v>15000000</v>
      </c>
      <c r="W669" s="158">
        <v>24000000</v>
      </c>
      <c r="X669" s="143"/>
      <c r="Y669" s="152">
        <f t="shared" ref="Y669:AB669" si="1321">AD669-T669</f>
        <v>0</v>
      </c>
      <c r="Z669" s="151">
        <f t="shared" si="1321"/>
        <v>0</v>
      </c>
      <c r="AA669" s="151">
        <f t="shared" si="1321"/>
        <v>0</v>
      </c>
      <c r="AB669" s="151">
        <f t="shared" si="1321"/>
        <v>0</v>
      </c>
      <c r="AC669" s="143"/>
      <c r="AD669" s="194">
        <v>2036054500</v>
      </c>
      <c r="AE669" s="169">
        <v>165171840</v>
      </c>
      <c r="AF669" s="148">
        <v>15000000</v>
      </c>
      <c r="AG669" s="169">
        <v>24000000</v>
      </c>
      <c r="AH669" s="143">
        <f t="shared" si="1031"/>
        <v>0</v>
      </c>
      <c r="AI669" s="151"/>
      <c r="AJ669" s="151">
        <f t="shared" ref="AJ669:AL669" si="1322">P669-AE669</f>
        <v>0</v>
      </c>
      <c r="AK669" s="151">
        <f t="shared" si="1322"/>
        <v>0</v>
      </c>
      <c r="AL669" s="151">
        <f t="shared" si="1322"/>
        <v>0</v>
      </c>
      <c r="AM669" s="145"/>
      <c r="AN669" s="139"/>
      <c r="AO669" s="139"/>
      <c r="AP669" s="139"/>
      <c r="AQ669" s="145"/>
      <c r="AR669" s="145"/>
    </row>
    <row r="670" spans="1:44" s="156" customFormat="1" ht="31.5" x14ac:dyDescent="0.25">
      <c r="A670" s="143" t="s">
        <v>35</v>
      </c>
      <c r="B670" s="144">
        <v>657</v>
      </c>
      <c r="C670" s="143" t="s">
        <v>730</v>
      </c>
      <c r="D670" s="143" t="s">
        <v>3405</v>
      </c>
      <c r="E670" s="145"/>
      <c r="F670" s="145"/>
      <c r="G670" s="143" t="s">
        <v>3406</v>
      </c>
      <c r="H670" s="143"/>
      <c r="I670" s="143" t="s">
        <v>85</v>
      </c>
      <c r="J670" s="143"/>
      <c r="K670" s="143"/>
      <c r="L670" s="143" t="s">
        <v>262</v>
      </c>
      <c r="M670" s="143" t="s">
        <v>43</v>
      </c>
      <c r="N670" s="143" t="s">
        <v>2621</v>
      </c>
      <c r="O670" s="147">
        <v>3993807300</v>
      </c>
      <c r="P670" s="150"/>
      <c r="Q670" s="177">
        <v>3750000</v>
      </c>
      <c r="R670" s="150"/>
      <c r="S670" s="147">
        <f t="shared" si="1029"/>
        <v>3997557300</v>
      </c>
      <c r="T670" s="158">
        <v>3993807300</v>
      </c>
      <c r="U670" s="143"/>
      <c r="V670" s="147">
        <v>3750000</v>
      </c>
      <c r="W670" s="143"/>
      <c r="X670" s="143"/>
      <c r="Y670" s="152">
        <f t="shared" ref="Y670:AB670" si="1323">AD670-T670</f>
        <v>0</v>
      </c>
      <c r="Z670" s="151">
        <f t="shared" si="1323"/>
        <v>0</v>
      </c>
      <c r="AA670" s="151">
        <f t="shared" si="1323"/>
        <v>0</v>
      </c>
      <c r="AB670" s="151">
        <f t="shared" si="1323"/>
        <v>0</v>
      </c>
      <c r="AC670" s="143"/>
      <c r="AD670" s="191">
        <v>3993807300</v>
      </c>
      <c r="AE670" s="170"/>
      <c r="AF670" s="148">
        <v>3750000</v>
      </c>
      <c r="AG670" s="170"/>
      <c r="AH670" s="143">
        <f t="shared" si="1031"/>
        <v>0</v>
      </c>
      <c r="AI670" s="151"/>
      <c r="AJ670" s="151">
        <f t="shared" ref="AJ670:AL670" si="1324">P670-AE670</f>
        <v>0</v>
      </c>
      <c r="AK670" s="151">
        <f t="shared" si="1324"/>
        <v>0</v>
      </c>
      <c r="AL670" s="151">
        <f t="shared" si="1324"/>
        <v>0</v>
      </c>
      <c r="AM670" s="145"/>
      <c r="AN670" s="139"/>
      <c r="AO670" s="139"/>
      <c r="AP670" s="139"/>
      <c r="AQ670" s="145"/>
      <c r="AR670" s="145"/>
    </row>
    <row r="671" spans="1:44" s="156" customFormat="1" ht="63" x14ac:dyDescent="0.25">
      <c r="A671" s="143" t="s">
        <v>60</v>
      </c>
      <c r="B671" s="144">
        <v>658</v>
      </c>
      <c r="C671" s="143" t="s">
        <v>730</v>
      </c>
      <c r="D671" s="143" t="s">
        <v>3407</v>
      </c>
      <c r="E671" s="145" t="s">
        <v>2834</v>
      </c>
      <c r="F671" s="145"/>
      <c r="G671" s="143" t="s">
        <v>3408</v>
      </c>
      <c r="H671" s="143" t="s">
        <v>3409</v>
      </c>
      <c r="I671" s="143"/>
      <c r="J671" s="143"/>
      <c r="K671" s="143"/>
      <c r="L671" s="143" t="s">
        <v>3410</v>
      </c>
      <c r="M671" s="143" t="s">
        <v>43</v>
      </c>
      <c r="N671" s="143" t="s">
        <v>3411</v>
      </c>
      <c r="O671" s="147">
        <v>2023224224</v>
      </c>
      <c r="P671" s="169">
        <v>497631632</v>
      </c>
      <c r="Q671" s="169">
        <v>7500000</v>
      </c>
      <c r="R671" s="150"/>
      <c r="S671" s="147">
        <f t="shared" si="1029"/>
        <v>2528355856</v>
      </c>
      <c r="T671" s="158">
        <v>2023224224</v>
      </c>
      <c r="U671" s="158">
        <v>497631632</v>
      </c>
      <c r="V671" s="157"/>
      <c r="W671" s="143"/>
      <c r="X671" s="143"/>
      <c r="Y671" s="152">
        <f t="shared" ref="Y671:AB671" si="1325">AD671-T671</f>
        <v>0</v>
      </c>
      <c r="Z671" s="151">
        <f t="shared" si="1325"/>
        <v>0</v>
      </c>
      <c r="AA671" s="151">
        <f t="shared" si="1325"/>
        <v>0</v>
      </c>
      <c r="AB671" s="151">
        <f t="shared" si="1325"/>
        <v>0</v>
      </c>
      <c r="AC671" s="143"/>
      <c r="AD671" s="191">
        <v>2023224224</v>
      </c>
      <c r="AE671" s="169">
        <v>497631632</v>
      </c>
      <c r="AF671" s="150"/>
      <c r="AG671" s="170"/>
      <c r="AH671" s="143">
        <f t="shared" si="1031"/>
        <v>0</v>
      </c>
      <c r="AI671" s="151"/>
      <c r="AJ671" s="151">
        <f t="shared" ref="AJ671:AL671" si="1326">P671-AE671</f>
        <v>0</v>
      </c>
      <c r="AK671" s="151">
        <f t="shared" si="1326"/>
        <v>7500000</v>
      </c>
      <c r="AL671" s="151">
        <f t="shared" si="1326"/>
        <v>0</v>
      </c>
      <c r="AM671" s="145"/>
      <c r="AN671" s="139"/>
      <c r="AO671" s="139"/>
      <c r="AP671" s="162" t="s">
        <v>394</v>
      </c>
      <c r="AQ671" s="145"/>
      <c r="AR671" s="145"/>
    </row>
    <row r="672" spans="1:44" s="156" customFormat="1" ht="47.25" x14ac:dyDescent="0.25">
      <c r="A672" s="143" t="s">
        <v>35</v>
      </c>
      <c r="B672" s="144">
        <v>659</v>
      </c>
      <c r="C672" s="143" t="s">
        <v>730</v>
      </c>
      <c r="D672" s="143" t="s">
        <v>3412</v>
      </c>
      <c r="E672" s="145" t="s">
        <v>3298</v>
      </c>
      <c r="F672" s="145"/>
      <c r="G672" s="143" t="s">
        <v>3413</v>
      </c>
      <c r="H672" s="143" t="s">
        <v>3414</v>
      </c>
      <c r="I672" s="143"/>
      <c r="J672" s="143"/>
      <c r="K672" s="143"/>
      <c r="L672" s="143" t="s">
        <v>3415</v>
      </c>
      <c r="M672" s="143" t="s">
        <v>43</v>
      </c>
      <c r="N672" s="143" t="s">
        <v>3416</v>
      </c>
      <c r="O672" s="147">
        <v>10422381215</v>
      </c>
      <c r="P672" s="177">
        <v>330976800</v>
      </c>
      <c r="Q672" s="177">
        <v>7500000</v>
      </c>
      <c r="R672" s="150"/>
      <c r="S672" s="147">
        <f t="shared" si="1029"/>
        <v>10760858015</v>
      </c>
      <c r="T672" s="158">
        <v>10422381215</v>
      </c>
      <c r="U672" s="158">
        <v>330976800</v>
      </c>
      <c r="V672" s="147">
        <v>7500000</v>
      </c>
      <c r="W672" s="143"/>
      <c r="X672" s="143"/>
      <c r="Y672" s="152">
        <f t="shared" ref="Y672:AB672" si="1327">AD672-T672</f>
        <v>0</v>
      </c>
      <c r="Z672" s="151">
        <f t="shared" si="1327"/>
        <v>0</v>
      </c>
      <c r="AA672" s="151">
        <f t="shared" si="1327"/>
        <v>0</v>
      </c>
      <c r="AB672" s="151">
        <f t="shared" si="1327"/>
        <v>0</v>
      </c>
      <c r="AC672" s="143"/>
      <c r="AD672" s="191">
        <v>10422381215</v>
      </c>
      <c r="AE672" s="169">
        <v>330976800</v>
      </c>
      <c r="AF672" s="148">
        <v>7500000</v>
      </c>
      <c r="AG672" s="170"/>
      <c r="AH672" s="143">
        <f t="shared" si="1031"/>
        <v>0</v>
      </c>
      <c r="AI672" s="151"/>
      <c r="AJ672" s="151">
        <f t="shared" ref="AJ672:AL672" si="1328">P672-AE672</f>
        <v>0</v>
      </c>
      <c r="AK672" s="151">
        <f t="shared" si="1328"/>
        <v>0</v>
      </c>
      <c r="AL672" s="151">
        <f t="shared" si="1328"/>
        <v>0</v>
      </c>
      <c r="AM672" s="145"/>
      <c r="AN672" s="139"/>
      <c r="AO672" s="139"/>
      <c r="AP672" s="139"/>
      <c r="AQ672" s="145"/>
      <c r="AR672" s="145"/>
    </row>
    <row r="673" spans="1:44" s="156" customFormat="1" ht="78.75" x14ac:dyDescent="0.25">
      <c r="A673" s="143" t="s">
        <v>60</v>
      </c>
      <c r="B673" s="144">
        <v>660</v>
      </c>
      <c r="C673" s="143" t="s">
        <v>730</v>
      </c>
      <c r="D673" s="143" t="s">
        <v>731</v>
      </c>
      <c r="E673" s="145"/>
      <c r="F673" s="145" t="s">
        <v>732</v>
      </c>
      <c r="G673" s="143" t="s">
        <v>733</v>
      </c>
      <c r="H673" s="143"/>
      <c r="I673" s="143"/>
      <c r="J673" s="143"/>
      <c r="K673" s="164"/>
      <c r="L673" s="143" t="s">
        <v>734</v>
      </c>
      <c r="M673" s="143" t="s">
        <v>43</v>
      </c>
      <c r="N673" s="143" t="s">
        <v>735</v>
      </c>
      <c r="O673" s="147">
        <v>10000000</v>
      </c>
      <c r="P673" s="150"/>
      <c r="Q673" s="169">
        <v>15000000</v>
      </c>
      <c r="R673" s="148">
        <f>24000000+48000000</f>
        <v>72000000</v>
      </c>
      <c r="S673" s="147">
        <f t="shared" si="1029"/>
        <v>97000000</v>
      </c>
      <c r="T673" s="158">
        <v>10000000</v>
      </c>
      <c r="U673" s="143"/>
      <c r="V673" s="147">
        <v>15000000</v>
      </c>
      <c r="W673" s="151">
        <v>72000000</v>
      </c>
      <c r="X673" s="143"/>
      <c r="Y673" s="152">
        <f t="shared" ref="Y673:AB673" si="1329">AD673-T673</f>
        <v>0</v>
      </c>
      <c r="Z673" s="151">
        <f t="shared" si="1329"/>
        <v>0</v>
      </c>
      <c r="AA673" s="151">
        <f t="shared" si="1329"/>
        <v>0</v>
      </c>
      <c r="AB673" s="152">
        <f t="shared" si="1329"/>
        <v>0</v>
      </c>
      <c r="AC673" s="143"/>
      <c r="AD673" s="149">
        <v>10000000</v>
      </c>
      <c r="AE673" s="150"/>
      <c r="AF673" s="148">
        <v>15000000</v>
      </c>
      <c r="AG673" s="149">
        <f>24000000+48000000</f>
        <v>72000000</v>
      </c>
      <c r="AH673" s="143">
        <f t="shared" si="1031"/>
        <v>0</v>
      </c>
      <c r="AI673" s="151"/>
      <c r="AJ673" s="151">
        <f t="shared" ref="AJ673:AL673" si="1330">P673-AE673</f>
        <v>0</v>
      </c>
      <c r="AK673" s="151">
        <f t="shared" si="1330"/>
        <v>0</v>
      </c>
      <c r="AL673" s="151">
        <f t="shared" si="1330"/>
        <v>0</v>
      </c>
      <c r="AM673" s="145"/>
      <c r="AN673" s="139"/>
      <c r="AO673" s="139"/>
      <c r="AP673" s="139"/>
      <c r="AQ673" s="145"/>
      <c r="AR673" s="145"/>
    </row>
    <row r="674" spans="1:44" s="156" customFormat="1" ht="47.25" x14ac:dyDescent="0.25">
      <c r="A674" s="143" t="s">
        <v>60</v>
      </c>
      <c r="B674" s="144">
        <v>661</v>
      </c>
      <c r="C674" s="143" t="s">
        <v>730</v>
      </c>
      <c r="D674" s="143" t="s">
        <v>3420</v>
      </c>
      <c r="E674" s="145"/>
      <c r="F674" s="145"/>
      <c r="G674" s="143" t="s">
        <v>3421</v>
      </c>
      <c r="H674" s="143"/>
      <c r="I674" s="143"/>
      <c r="J674" s="143"/>
      <c r="K674" s="143"/>
      <c r="L674" s="143" t="s">
        <v>3422</v>
      </c>
      <c r="M674" s="143" t="s">
        <v>43</v>
      </c>
      <c r="N674" s="143" t="s">
        <v>735</v>
      </c>
      <c r="O674" s="147">
        <v>619998256</v>
      </c>
      <c r="P674" s="150"/>
      <c r="Q674" s="169">
        <v>15000000</v>
      </c>
      <c r="R674" s="150"/>
      <c r="S674" s="147">
        <f t="shared" si="1029"/>
        <v>634998256</v>
      </c>
      <c r="T674" s="151">
        <v>619998256</v>
      </c>
      <c r="U674" s="143"/>
      <c r="V674" s="147">
        <v>15000000</v>
      </c>
      <c r="W674" s="143"/>
      <c r="X674" s="143"/>
      <c r="Y674" s="152">
        <f t="shared" ref="Y674:AB674" si="1331">AD674-T674</f>
        <v>0</v>
      </c>
      <c r="Z674" s="151">
        <f t="shared" si="1331"/>
        <v>0</v>
      </c>
      <c r="AA674" s="151">
        <f t="shared" si="1331"/>
        <v>0</v>
      </c>
      <c r="AB674" s="151">
        <f t="shared" si="1331"/>
        <v>0</v>
      </c>
      <c r="AC674" s="143"/>
      <c r="AD674" s="155">
        <v>619998256</v>
      </c>
      <c r="AE674" s="170"/>
      <c r="AF674" s="169">
        <v>15000000</v>
      </c>
      <c r="AG674" s="170"/>
      <c r="AH674" s="143">
        <f t="shared" si="1031"/>
        <v>0</v>
      </c>
      <c r="AI674" s="151"/>
      <c r="AJ674" s="151">
        <f t="shared" ref="AJ674:AL674" si="1332">P674-AE674</f>
        <v>0</v>
      </c>
      <c r="AK674" s="151">
        <f t="shared" si="1332"/>
        <v>0</v>
      </c>
      <c r="AL674" s="151">
        <f t="shared" si="1332"/>
        <v>0</v>
      </c>
      <c r="AM674" s="145"/>
      <c r="AN674" s="139"/>
      <c r="AO674" s="139"/>
      <c r="AP674" s="139"/>
      <c r="AQ674" s="145"/>
      <c r="AR674" s="145"/>
    </row>
    <row r="675" spans="1:44" s="156" customFormat="1" ht="63" x14ac:dyDescent="0.25">
      <c r="A675" s="143" t="s">
        <v>60</v>
      </c>
      <c r="B675" s="144">
        <v>662</v>
      </c>
      <c r="C675" s="143" t="s">
        <v>730</v>
      </c>
      <c r="D675" s="143" t="s">
        <v>3423</v>
      </c>
      <c r="E675" s="145"/>
      <c r="F675" s="145"/>
      <c r="G675" s="143" t="s">
        <v>3424</v>
      </c>
      <c r="H675" s="143"/>
      <c r="I675" s="143"/>
      <c r="J675" s="143"/>
      <c r="K675" s="143"/>
      <c r="L675" s="143" t="s">
        <v>3425</v>
      </c>
      <c r="M675" s="143" t="s">
        <v>43</v>
      </c>
      <c r="N675" s="143" t="s">
        <v>3426</v>
      </c>
      <c r="O675" s="147">
        <v>3682837780</v>
      </c>
      <c r="P675" s="150"/>
      <c r="Q675" s="148">
        <v>15000000</v>
      </c>
      <c r="R675" s="150"/>
      <c r="S675" s="147">
        <f t="shared" si="1029"/>
        <v>3697837780</v>
      </c>
      <c r="T675" s="158">
        <v>3682837780</v>
      </c>
      <c r="U675" s="143"/>
      <c r="V675" s="147">
        <v>15000000</v>
      </c>
      <c r="W675" s="143"/>
      <c r="X675" s="143"/>
      <c r="Y675" s="152">
        <f t="shared" ref="Y675:AB675" si="1333">AD675-T675</f>
        <v>0</v>
      </c>
      <c r="Z675" s="151">
        <f t="shared" si="1333"/>
        <v>0</v>
      </c>
      <c r="AA675" s="151">
        <f t="shared" si="1333"/>
        <v>0</v>
      </c>
      <c r="AB675" s="151">
        <f t="shared" si="1333"/>
        <v>0</v>
      </c>
      <c r="AC675" s="143"/>
      <c r="AD675" s="149">
        <v>3682837780</v>
      </c>
      <c r="AE675" s="150"/>
      <c r="AF675" s="148">
        <v>15000000</v>
      </c>
      <c r="AG675" s="150"/>
      <c r="AH675" s="143">
        <f t="shared" si="1031"/>
        <v>0</v>
      </c>
      <c r="AI675" s="151"/>
      <c r="AJ675" s="151">
        <f t="shared" ref="AJ675:AL675" si="1334">P675-AE675</f>
        <v>0</v>
      </c>
      <c r="AK675" s="151">
        <f t="shared" si="1334"/>
        <v>0</v>
      </c>
      <c r="AL675" s="151">
        <f t="shared" si="1334"/>
        <v>0</v>
      </c>
      <c r="AM675" s="145"/>
      <c r="AN675" s="139"/>
      <c r="AO675" s="139"/>
      <c r="AP675" s="139"/>
      <c r="AQ675" s="145"/>
      <c r="AR675" s="145"/>
    </row>
    <row r="676" spans="1:44" s="156" customFormat="1" ht="47.25" x14ac:dyDescent="0.25">
      <c r="A676" s="143" t="s">
        <v>60</v>
      </c>
      <c r="B676" s="144">
        <v>663</v>
      </c>
      <c r="C676" s="143" t="s">
        <v>730</v>
      </c>
      <c r="D676" s="143" t="s">
        <v>3427</v>
      </c>
      <c r="E676" s="145"/>
      <c r="F676" s="145"/>
      <c r="G676" s="143" t="s">
        <v>3428</v>
      </c>
      <c r="H676" s="143"/>
      <c r="I676" s="143"/>
      <c r="J676" s="143"/>
      <c r="K676" s="143"/>
      <c r="L676" s="143" t="s">
        <v>3429</v>
      </c>
      <c r="M676" s="143" t="s">
        <v>43</v>
      </c>
      <c r="N676" s="143" t="s">
        <v>3430</v>
      </c>
      <c r="O676" s="147">
        <v>30531714626</v>
      </c>
      <c r="P676" s="150"/>
      <c r="Q676" s="169">
        <v>15000000</v>
      </c>
      <c r="R676" s="150"/>
      <c r="S676" s="147">
        <f t="shared" si="1029"/>
        <v>30546714626</v>
      </c>
      <c r="T676" s="158">
        <v>30531714626</v>
      </c>
      <c r="U676" s="143"/>
      <c r="V676" s="157">
        <v>15000000</v>
      </c>
      <c r="W676" s="143"/>
      <c r="X676" s="143"/>
      <c r="Y676" s="152">
        <f t="shared" ref="Y676:AB676" si="1335">AD676-T676</f>
        <v>0</v>
      </c>
      <c r="Z676" s="151">
        <f t="shared" si="1335"/>
        <v>0</v>
      </c>
      <c r="AA676" s="151">
        <f t="shared" si="1335"/>
        <v>0</v>
      </c>
      <c r="AB676" s="151">
        <f t="shared" si="1335"/>
        <v>0</v>
      </c>
      <c r="AC676" s="143"/>
      <c r="AD676" s="194">
        <v>30531714626</v>
      </c>
      <c r="AE676" s="170"/>
      <c r="AF676" s="148">
        <v>15000000</v>
      </c>
      <c r="AG676" s="170"/>
      <c r="AH676" s="143">
        <f t="shared" si="1031"/>
        <v>0</v>
      </c>
      <c r="AI676" s="151"/>
      <c r="AJ676" s="151">
        <f t="shared" ref="AJ676:AL676" si="1336">P676-AE676</f>
        <v>0</v>
      </c>
      <c r="AK676" s="151">
        <f t="shared" si="1336"/>
        <v>0</v>
      </c>
      <c r="AL676" s="151">
        <f t="shared" si="1336"/>
        <v>0</v>
      </c>
      <c r="AM676" s="145"/>
      <c r="AN676" s="139"/>
      <c r="AO676" s="139"/>
      <c r="AP676" s="139"/>
      <c r="AQ676" s="145"/>
      <c r="AR676" s="145"/>
    </row>
    <row r="677" spans="1:44" s="156" customFormat="1" ht="94.5" x14ac:dyDescent="0.25">
      <c r="A677" s="143" t="s">
        <v>60</v>
      </c>
      <c r="B677" s="175">
        <v>664</v>
      </c>
      <c r="C677" s="145" t="s">
        <v>327</v>
      </c>
      <c r="D677" s="143" t="s">
        <v>862</v>
      </c>
      <c r="E677" s="145" t="s">
        <v>863</v>
      </c>
      <c r="F677" s="145" t="s">
        <v>4017</v>
      </c>
      <c r="G677" s="145" t="s">
        <v>865</v>
      </c>
      <c r="H677" s="145" t="s">
        <v>866</v>
      </c>
      <c r="I677" s="145"/>
      <c r="J677" s="145"/>
      <c r="K677" s="146"/>
      <c r="L677" s="145" t="s">
        <v>867</v>
      </c>
      <c r="M677" s="145" t="s">
        <v>43</v>
      </c>
      <c r="N677" s="145" t="s">
        <v>869</v>
      </c>
      <c r="O677" s="147">
        <v>10000000</v>
      </c>
      <c r="P677" s="148">
        <f>1223212390+305803098</f>
        <v>1529015488</v>
      </c>
      <c r="Q677" s="148">
        <v>15000000</v>
      </c>
      <c r="R677" s="148">
        <v>48000000</v>
      </c>
      <c r="S677" s="147">
        <f t="shared" si="1029"/>
        <v>1602015488</v>
      </c>
      <c r="T677" s="158">
        <v>10000000</v>
      </c>
      <c r="U677" s="158">
        <v>1529015488</v>
      </c>
      <c r="V677" s="157"/>
      <c r="W677" s="143"/>
      <c r="X677" s="143"/>
      <c r="Y677" s="152">
        <f t="shared" ref="Y677:AB677" si="1337">AD677-T677</f>
        <v>0</v>
      </c>
      <c r="Z677" s="151">
        <f t="shared" si="1337"/>
        <v>0</v>
      </c>
      <c r="AA677" s="151">
        <f t="shared" si="1337"/>
        <v>0</v>
      </c>
      <c r="AB677" s="151">
        <f t="shared" si="1337"/>
        <v>0</v>
      </c>
      <c r="AC677" s="165"/>
      <c r="AD677" s="191">
        <v>10000000</v>
      </c>
      <c r="AE677" s="169">
        <f>1223212390+305803098</f>
        <v>1529015488</v>
      </c>
      <c r="AF677" s="150"/>
      <c r="AG677" s="170"/>
      <c r="AH677" s="166">
        <f t="shared" si="1031"/>
        <v>0</v>
      </c>
      <c r="AI677" s="151"/>
      <c r="AJ677" s="151">
        <f t="shared" ref="AJ677:AL677" si="1338">P677-AE677</f>
        <v>0</v>
      </c>
      <c r="AK677" s="151">
        <f t="shared" si="1338"/>
        <v>15000000</v>
      </c>
      <c r="AL677" s="150">
        <f t="shared" si="1338"/>
        <v>48000000</v>
      </c>
      <c r="AM677" s="145"/>
      <c r="AN677" s="139"/>
      <c r="AO677" s="139"/>
      <c r="AP677" s="162" t="s">
        <v>4008</v>
      </c>
      <c r="AQ677" s="145" t="s">
        <v>4018</v>
      </c>
      <c r="AR677" s="145"/>
    </row>
    <row r="678" spans="1:44" s="156" customFormat="1" ht="47.25" x14ac:dyDescent="0.25">
      <c r="A678" s="143" t="s">
        <v>60</v>
      </c>
      <c r="B678" s="144">
        <v>665</v>
      </c>
      <c r="C678" s="143" t="s">
        <v>327</v>
      </c>
      <c r="D678" s="143" t="s">
        <v>3431</v>
      </c>
      <c r="E678" s="145" t="s">
        <v>377</v>
      </c>
      <c r="F678" s="145"/>
      <c r="G678" s="143" t="s">
        <v>3432</v>
      </c>
      <c r="H678" s="143" t="s">
        <v>3433</v>
      </c>
      <c r="I678" s="143"/>
      <c r="J678" s="143"/>
      <c r="K678" s="143"/>
      <c r="L678" s="143" t="s">
        <v>3434</v>
      </c>
      <c r="M678" s="143" t="s">
        <v>43</v>
      </c>
      <c r="N678" s="143" t="s">
        <v>3435</v>
      </c>
      <c r="O678" s="147">
        <v>2569591424</v>
      </c>
      <c r="P678" s="169">
        <v>588296218</v>
      </c>
      <c r="Q678" s="169">
        <v>15000000</v>
      </c>
      <c r="R678" s="150"/>
      <c r="S678" s="147">
        <f t="shared" si="1029"/>
        <v>3172887642</v>
      </c>
      <c r="T678" s="158">
        <v>2569591424</v>
      </c>
      <c r="U678" s="158">
        <v>588296218</v>
      </c>
      <c r="V678" s="147">
        <v>15000000</v>
      </c>
      <c r="W678" s="143"/>
      <c r="X678" s="143"/>
      <c r="Y678" s="152">
        <f t="shared" ref="Y678:AB678" si="1339">AD678-T678</f>
        <v>0</v>
      </c>
      <c r="Z678" s="151">
        <f t="shared" si="1339"/>
        <v>0</v>
      </c>
      <c r="AA678" s="151">
        <f t="shared" si="1339"/>
        <v>0</v>
      </c>
      <c r="AB678" s="151">
        <f t="shared" si="1339"/>
        <v>0</v>
      </c>
      <c r="AC678" s="143"/>
      <c r="AD678" s="191">
        <v>2569591424</v>
      </c>
      <c r="AE678" s="169">
        <v>588296218</v>
      </c>
      <c r="AF678" s="148">
        <v>15000000</v>
      </c>
      <c r="AG678" s="170"/>
      <c r="AH678" s="143">
        <f t="shared" si="1031"/>
        <v>0</v>
      </c>
      <c r="AI678" s="151"/>
      <c r="AJ678" s="151">
        <f t="shared" ref="AJ678:AL678" si="1340">P678-AE678</f>
        <v>0</v>
      </c>
      <c r="AK678" s="151">
        <f t="shared" si="1340"/>
        <v>0</v>
      </c>
      <c r="AL678" s="151">
        <f t="shared" si="1340"/>
        <v>0</v>
      </c>
      <c r="AM678" s="145"/>
      <c r="AN678" s="139"/>
      <c r="AO678" s="139"/>
      <c r="AP678" s="139"/>
      <c r="AQ678" s="145"/>
      <c r="AR678" s="145"/>
    </row>
    <row r="679" spans="1:44" s="156" customFormat="1" ht="47.25" x14ac:dyDescent="0.25">
      <c r="A679" s="143" t="s">
        <v>35</v>
      </c>
      <c r="B679" s="144">
        <v>666</v>
      </c>
      <c r="C679" s="143" t="s">
        <v>327</v>
      </c>
      <c r="D679" s="143" t="s">
        <v>328</v>
      </c>
      <c r="E679" s="145" t="s">
        <v>329</v>
      </c>
      <c r="F679" s="145" t="s">
        <v>330</v>
      </c>
      <c r="G679" s="143" t="s">
        <v>331</v>
      </c>
      <c r="H679" s="143"/>
      <c r="I679" s="143"/>
      <c r="J679" s="143"/>
      <c r="K679" s="164"/>
      <c r="L679" s="143" t="s">
        <v>332</v>
      </c>
      <c r="M679" s="143" t="s">
        <v>43</v>
      </c>
      <c r="N679" s="143" t="s">
        <v>82</v>
      </c>
      <c r="O679" s="147">
        <v>10000000</v>
      </c>
      <c r="P679" s="177">
        <v>348172944</v>
      </c>
      <c r="Q679" s="177">
        <v>15000000</v>
      </c>
      <c r="R679" s="148">
        <v>30000000</v>
      </c>
      <c r="S679" s="147">
        <f t="shared" si="1029"/>
        <v>403172944</v>
      </c>
      <c r="T679" s="158">
        <v>10000000</v>
      </c>
      <c r="U679" s="158">
        <v>348172944</v>
      </c>
      <c r="V679" s="147">
        <v>15000000</v>
      </c>
      <c r="W679" s="158">
        <v>30000000</v>
      </c>
      <c r="X679" s="143"/>
      <c r="Y679" s="151">
        <f t="shared" ref="Y679:AB679" si="1341">AD679-T679</f>
        <v>0</v>
      </c>
      <c r="Z679" s="151">
        <f t="shared" si="1341"/>
        <v>0</v>
      </c>
      <c r="AA679" s="151">
        <f t="shared" si="1341"/>
        <v>0</v>
      </c>
      <c r="AB679" s="151">
        <f t="shared" si="1341"/>
        <v>0</v>
      </c>
      <c r="AC679" s="143"/>
      <c r="AD679" s="169">
        <v>10000000</v>
      </c>
      <c r="AE679" s="177">
        <v>348172944</v>
      </c>
      <c r="AF679" s="148">
        <v>15000000</v>
      </c>
      <c r="AG679" s="177">
        <v>30000000</v>
      </c>
      <c r="AH679" s="143">
        <f t="shared" si="1031"/>
        <v>0</v>
      </c>
      <c r="AI679" s="151"/>
      <c r="AJ679" s="151">
        <f t="shared" ref="AJ679:AL679" si="1342">P679-AE679</f>
        <v>0</v>
      </c>
      <c r="AK679" s="151">
        <f t="shared" si="1342"/>
        <v>0</v>
      </c>
      <c r="AL679" s="151">
        <f t="shared" si="1342"/>
        <v>0</v>
      </c>
      <c r="AM679" s="145"/>
      <c r="AN679" s="139"/>
      <c r="AO679" s="139"/>
      <c r="AP679" s="139"/>
      <c r="AQ679" s="145"/>
      <c r="AR679" s="145"/>
    </row>
    <row r="680" spans="1:44" s="156" customFormat="1" ht="78.75" x14ac:dyDescent="0.25">
      <c r="A680" s="143" t="s">
        <v>60</v>
      </c>
      <c r="B680" s="144">
        <v>667</v>
      </c>
      <c r="C680" s="143" t="s">
        <v>327</v>
      </c>
      <c r="D680" s="143" t="s">
        <v>3436</v>
      </c>
      <c r="E680" s="145" t="s">
        <v>3440</v>
      </c>
      <c r="F680" s="145"/>
      <c r="G680" s="143" t="s">
        <v>3692</v>
      </c>
      <c r="H680" s="143" t="s">
        <v>3442</v>
      </c>
      <c r="I680" s="143"/>
      <c r="J680" s="143"/>
      <c r="K680" s="143"/>
      <c r="L680" s="143" t="s">
        <v>3438</v>
      </c>
      <c r="M680" s="143" t="s">
        <v>43</v>
      </c>
      <c r="N680" s="143" t="s">
        <v>3439</v>
      </c>
      <c r="O680" s="147">
        <v>10000000</v>
      </c>
      <c r="P680" s="177">
        <f>955448012+10000000</f>
        <v>965448012</v>
      </c>
      <c r="Q680" s="169">
        <f>15000000+15000000</f>
        <v>30000000</v>
      </c>
      <c r="R680" s="150"/>
      <c r="S680" s="147">
        <f t="shared" si="1029"/>
        <v>1005448012</v>
      </c>
      <c r="T680" s="158">
        <v>10000000</v>
      </c>
      <c r="U680" s="158">
        <v>955448012</v>
      </c>
      <c r="V680" s="147">
        <v>15000000</v>
      </c>
      <c r="W680" s="143"/>
      <c r="X680" s="143"/>
      <c r="Y680" s="152">
        <f t="shared" ref="Y680:AB680" si="1343">AD680-T680</f>
        <v>0</v>
      </c>
      <c r="Z680" s="152">
        <f t="shared" si="1343"/>
        <v>0</v>
      </c>
      <c r="AA680" s="151">
        <f t="shared" si="1343"/>
        <v>0</v>
      </c>
      <c r="AB680" s="151">
        <f t="shared" si="1343"/>
        <v>0</v>
      </c>
      <c r="AC680" s="143"/>
      <c r="AD680" s="191">
        <v>10000000</v>
      </c>
      <c r="AE680" s="191">
        <f>965448012-10000000</f>
        <v>955448012</v>
      </c>
      <c r="AF680" s="148">
        <v>15000000</v>
      </c>
      <c r="AG680" s="170"/>
      <c r="AH680" s="143">
        <f t="shared" si="1031"/>
        <v>0</v>
      </c>
      <c r="AI680" s="151"/>
      <c r="AJ680" s="151">
        <f t="shared" ref="AJ680:AL680" si="1344">P680-AE680</f>
        <v>10000000</v>
      </c>
      <c r="AK680" s="151">
        <f t="shared" si="1344"/>
        <v>15000000</v>
      </c>
      <c r="AL680" s="151">
        <f t="shared" si="1344"/>
        <v>0</v>
      </c>
      <c r="AM680" s="145"/>
      <c r="AN680" s="139"/>
      <c r="AO680" s="143" t="s">
        <v>3699</v>
      </c>
      <c r="AP680" s="143" t="s">
        <v>3699</v>
      </c>
      <c r="AQ680" s="145"/>
      <c r="AR680" s="145" t="s">
        <v>3699</v>
      </c>
    </row>
    <row r="681" spans="1:44" s="156" customFormat="1" ht="47.25" x14ac:dyDescent="0.25">
      <c r="A681" s="143" t="s">
        <v>35</v>
      </c>
      <c r="B681" s="144">
        <v>668</v>
      </c>
      <c r="C681" s="143" t="s">
        <v>327</v>
      </c>
      <c r="D681" s="143" t="s">
        <v>905</v>
      </c>
      <c r="E681" s="145" t="s">
        <v>906</v>
      </c>
      <c r="F681" s="145" t="s">
        <v>907</v>
      </c>
      <c r="G681" s="143" t="s">
        <v>908</v>
      </c>
      <c r="H681" s="143" t="s">
        <v>909</v>
      </c>
      <c r="I681" s="143"/>
      <c r="J681" s="143"/>
      <c r="K681" s="164"/>
      <c r="L681" s="143" t="s">
        <v>910</v>
      </c>
      <c r="M681" s="143" t="s">
        <v>43</v>
      </c>
      <c r="N681" s="143" t="s">
        <v>911</v>
      </c>
      <c r="O681" s="147">
        <v>10000000</v>
      </c>
      <c r="P681" s="177">
        <v>429264612</v>
      </c>
      <c r="Q681" s="177">
        <v>15000000</v>
      </c>
      <c r="R681" s="148">
        <v>48000000</v>
      </c>
      <c r="S681" s="147">
        <f t="shared" si="1029"/>
        <v>502264612</v>
      </c>
      <c r="T681" s="158">
        <v>10000000</v>
      </c>
      <c r="U681" s="158">
        <v>429264612</v>
      </c>
      <c r="V681" s="147">
        <v>15000000</v>
      </c>
      <c r="W681" s="143"/>
      <c r="X681" s="143"/>
      <c r="Y681" s="152">
        <f t="shared" ref="Y681:AB681" si="1345">AD681-T681</f>
        <v>0</v>
      </c>
      <c r="Z681" s="151">
        <f t="shared" si="1345"/>
        <v>0</v>
      </c>
      <c r="AA681" s="151">
        <f t="shared" si="1345"/>
        <v>0</v>
      </c>
      <c r="AB681" s="151">
        <f t="shared" si="1345"/>
        <v>48000000</v>
      </c>
      <c r="AC681" s="165"/>
      <c r="AD681" s="149">
        <v>10000000</v>
      </c>
      <c r="AE681" s="177">
        <v>429264612</v>
      </c>
      <c r="AF681" s="148">
        <v>15000000</v>
      </c>
      <c r="AG681" s="177">
        <v>48000000</v>
      </c>
      <c r="AH681" s="166">
        <f t="shared" si="1031"/>
        <v>0</v>
      </c>
      <c r="AI681" s="151"/>
      <c r="AJ681" s="151">
        <f t="shared" ref="AJ681:AL681" si="1346">P681-AE681</f>
        <v>0</v>
      </c>
      <c r="AK681" s="151">
        <f t="shared" si="1346"/>
        <v>0</v>
      </c>
      <c r="AL681" s="151">
        <f t="shared" si="1346"/>
        <v>0</v>
      </c>
      <c r="AM681" s="145"/>
      <c r="AN681" s="139"/>
      <c r="AO681" s="139"/>
      <c r="AP681" s="139"/>
      <c r="AQ681" s="145" t="s">
        <v>2745</v>
      </c>
      <c r="AR681" s="145"/>
    </row>
    <row r="682" spans="1:44" s="156" customFormat="1" ht="110.25" x14ac:dyDescent="0.25">
      <c r="A682" s="143" t="s">
        <v>60</v>
      </c>
      <c r="B682" s="144">
        <v>669</v>
      </c>
      <c r="C682" s="143" t="s">
        <v>327</v>
      </c>
      <c r="D682" s="143" t="s">
        <v>3444</v>
      </c>
      <c r="E682" s="145" t="s">
        <v>3445</v>
      </c>
      <c r="F682" s="145"/>
      <c r="G682" s="143"/>
      <c r="H682" s="143"/>
      <c r="I682" s="143" t="s">
        <v>3446</v>
      </c>
      <c r="J682" s="143"/>
      <c r="K682" s="143"/>
      <c r="L682" s="143" t="s">
        <v>3447</v>
      </c>
      <c r="M682" s="143" t="s">
        <v>43</v>
      </c>
      <c r="N682" s="143" t="s">
        <v>3448</v>
      </c>
      <c r="O682" s="147">
        <v>10000000</v>
      </c>
      <c r="P682" s="150"/>
      <c r="Q682" s="169">
        <v>15000000</v>
      </c>
      <c r="R682" s="150"/>
      <c r="S682" s="147">
        <f t="shared" si="1029"/>
        <v>25000000</v>
      </c>
      <c r="T682" s="143"/>
      <c r="U682" s="143"/>
      <c r="V682" s="157"/>
      <c r="W682" s="143"/>
      <c r="X682" s="143"/>
      <c r="Y682" s="152">
        <f t="shared" ref="Y682:AB682" si="1347">AD682-T682</f>
        <v>0</v>
      </c>
      <c r="Z682" s="151">
        <f t="shared" si="1347"/>
        <v>0</v>
      </c>
      <c r="AA682" s="151">
        <f t="shared" si="1347"/>
        <v>0</v>
      </c>
      <c r="AB682" s="151">
        <f t="shared" si="1347"/>
        <v>0</v>
      </c>
      <c r="AC682" s="143"/>
      <c r="AD682" s="155"/>
      <c r="AE682" s="170"/>
      <c r="AF682" s="150"/>
      <c r="AG682" s="170"/>
      <c r="AH682" s="143">
        <f t="shared" si="1031"/>
        <v>0</v>
      </c>
      <c r="AI682" s="151">
        <v>10000000</v>
      </c>
      <c r="AJ682" s="151">
        <f t="shared" ref="AJ682:AL682" si="1348">P682-AE682</f>
        <v>0</v>
      </c>
      <c r="AK682" s="151">
        <f t="shared" si="1348"/>
        <v>15000000</v>
      </c>
      <c r="AL682" s="151">
        <f t="shared" si="1348"/>
        <v>0</v>
      </c>
      <c r="AM682" s="148">
        <v>10000000</v>
      </c>
      <c r="AN682" s="159" t="s">
        <v>4019</v>
      </c>
      <c r="AO682" s="160"/>
      <c r="AP682" s="168" t="s">
        <v>4019</v>
      </c>
      <c r="AQ682" s="219"/>
      <c r="AR682" s="218"/>
    </row>
    <row r="683" spans="1:44" s="156" customFormat="1" ht="31.5" x14ac:dyDescent="0.25">
      <c r="A683" s="143" t="s">
        <v>60</v>
      </c>
      <c r="B683" s="144">
        <v>670</v>
      </c>
      <c r="C683" s="143" t="s">
        <v>327</v>
      </c>
      <c r="D683" s="143" t="s">
        <v>3449</v>
      </c>
      <c r="E683" s="145"/>
      <c r="F683" s="145"/>
      <c r="G683" s="143" t="s">
        <v>3450</v>
      </c>
      <c r="H683" s="143"/>
      <c r="I683" s="143"/>
      <c r="J683" s="143"/>
      <c r="K683" s="143"/>
      <c r="L683" s="143" t="s">
        <v>3451</v>
      </c>
      <c r="M683" s="143" t="s">
        <v>43</v>
      </c>
      <c r="N683" s="143" t="s">
        <v>3452</v>
      </c>
      <c r="O683" s="147">
        <v>6640287381</v>
      </c>
      <c r="P683" s="150"/>
      <c r="Q683" s="148">
        <v>15000000</v>
      </c>
      <c r="R683" s="150"/>
      <c r="S683" s="147">
        <f t="shared" si="1029"/>
        <v>6655287381</v>
      </c>
      <c r="T683" s="158">
        <v>6640287381</v>
      </c>
      <c r="U683" s="143"/>
      <c r="V683" s="157"/>
      <c r="W683" s="143"/>
      <c r="X683" s="143"/>
      <c r="Y683" s="152">
        <f t="shared" ref="Y683:AB683" si="1349">AD683-T683</f>
        <v>0</v>
      </c>
      <c r="Z683" s="151">
        <f t="shared" si="1349"/>
        <v>0</v>
      </c>
      <c r="AA683" s="151">
        <f t="shared" si="1349"/>
        <v>0</v>
      </c>
      <c r="AB683" s="152">
        <f t="shared" si="1349"/>
        <v>0</v>
      </c>
      <c r="AC683" s="143"/>
      <c r="AD683" s="149">
        <v>6640287381</v>
      </c>
      <c r="AE683" s="150"/>
      <c r="AF683" s="150"/>
      <c r="AG683" s="155"/>
      <c r="AH683" s="143">
        <f t="shared" si="1031"/>
        <v>0</v>
      </c>
      <c r="AI683" s="151"/>
      <c r="AJ683" s="151">
        <f t="shared" ref="AJ683:AL683" si="1350">P683-AE683</f>
        <v>0</v>
      </c>
      <c r="AK683" s="151">
        <f t="shared" si="1350"/>
        <v>15000000</v>
      </c>
      <c r="AL683" s="151">
        <f t="shared" si="1350"/>
        <v>0</v>
      </c>
      <c r="AM683" s="145"/>
      <c r="AN683" s="139"/>
      <c r="AO683" s="139"/>
      <c r="AP683" s="162" t="s">
        <v>4008</v>
      </c>
      <c r="AQ683" s="145"/>
      <c r="AR683" s="145"/>
    </row>
    <row r="684" spans="1:44" s="156" customFormat="1" ht="47.25" x14ac:dyDescent="0.25">
      <c r="A684" s="143" t="s">
        <v>52</v>
      </c>
      <c r="B684" s="144">
        <v>671</v>
      </c>
      <c r="C684" s="143" t="s">
        <v>67</v>
      </c>
      <c r="D684" s="143" t="s">
        <v>3453</v>
      </c>
      <c r="E684" s="145" t="s">
        <v>3454</v>
      </c>
      <c r="F684" s="145"/>
      <c r="G684" s="143" t="s">
        <v>3455</v>
      </c>
      <c r="H684" s="143" t="s">
        <v>3456</v>
      </c>
      <c r="I684" s="143"/>
      <c r="J684" s="143"/>
      <c r="K684" s="143"/>
      <c r="L684" s="143" t="s">
        <v>3457</v>
      </c>
      <c r="M684" s="143" t="s">
        <v>43</v>
      </c>
      <c r="N684" s="143" t="s">
        <v>3458</v>
      </c>
      <c r="O684" s="147">
        <v>21170862212</v>
      </c>
      <c r="P684" s="148">
        <v>250496432</v>
      </c>
      <c r="Q684" s="169">
        <v>7500000</v>
      </c>
      <c r="R684" s="150"/>
      <c r="S684" s="147">
        <f t="shared" si="1029"/>
        <v>21428858644</v>
      </c>
      <c r="T684" s="158">
        <v>21170862212</v>
      </c>
      <c r="U684" s="143"/>
      <c r="V684" s="147">
        <v>7500000</v>
      </c>
      <c r="W684" s="143"/>
      <c r="X684" s="143"/>
      <c r="Y684" s="152">
        <f t="shared" ref="Y684:AB684" si="1351">AD684-T684</f>
        <v>0</v>
      </c>
      <c r="Z684" s="151">
        <f t="shared" si="1351"/>
        <v>0</v>
      </c>
      <c r="AA684" s="151">
        <f t="shared" si="1351"/>
        <v>0</v>
      </c>
      <c r="AB684" s="151">
        <f t="shared" si="1351"/>
        <v>0</v>
      </c>
      <c r="AC684" s="143"/>
      <c r="AD684" s="194">
        <v>21170862212</v>
      </c>
      <c r="AE684" s="170"/>
      <c r="AF684" s="169">
        <v>7500000</v>
      </c>
      <c r="AG684" s="170"/>
      <c r="AH684" s="143">
        <f t="shared" si="1031"/>
        <v>0</v>
      </c>
      <c r="AI684" s="151"/>
      <c r="AJ684" s="151">
        <f t="shared" ref="AJ684:AL684" si="1352">P684-AE684</f>
        <v>250496432</v>
      </c>
      <c r="AK684" s="151">
        <f t="shared" si="1352"/>
        <v>0</v>
      </c>
      <c r="AL684" s="151">
        <f t="shared" si="1352"/>
        <v>0</v>
      </c>
      <c r="AM684" s="145"/>
      <c r="AN684" s="139"/>
      <c r="AO684" s="162" t="s">
        <v>2013</v>
      </c>
      <c r="AP684" s="139"/>
      <c r="AQ684" s="145"/>
      <c r="AR684" s="145"/>
    </row>
    <row r="685" spans="1:44" s="156" customFormat="1" ht="47.25" x14ac:dyDescent="0.25">
      <c r="A685" s="143" t="s">
        <v>52</v>
      </c>
      <c r="B685" s="144">
        <v>672</v>
      </c>
      <c r="C685" s="143" t="s">
        <v>67</v>
      </c>
      <c r="D685" s="143" t="s">
        <v>3459</v>
      </c>
      <c r="E685" s="145"/>
      <c r="F685" s="145"/>
      <c r="G685" s="143" t="s">
        <v>3460</v>
      </c>
      <c r="H685" s="143"/>
      <c r="I685" s="143"/>
      <c r="J685" s="143"/>
      <c r="K685" s="143"/>
      <c r="L685" s="143" t="s">
        <v>3461</v>
      </c>
      <c r="M685" s="143" t="s">
        <v>43</v>
      </c>
      <c r="N685" s="143" t="s">
        <v>3462</v>
      </c>
      <c r="O685" s="147">
        <v>2853972350</v>
      </c>
      <c r="P685" s="150"/>
      <c r="Q685" s="169">
        <v>7500000</v>
      </c>
      <c r="R685" s="150"/>
      <c r="S685" s="147">
        <f t="shared" si="1029"/>
        <v>2861472350</v>
      </c>
      <c r="T685" s="158">
        <v>2853972350</v>
      </c>
      <c r="U685" s="143"/>
      <c r="V685" s="147">
        <v>7500000</v>
      </c>
      <c r="W685" s="143"/>
      <c r="X685" s="143"/>
      <c r="Y685" s="152">
        <f t="shared" ref="Y685:AB685" si="1353">AD685-T685</f>
        <v>0</v>
      </c>
      <c r="Z685" s="151">
        <f t="shared" si="1353"/>
        <v>0</v>
      </c>
      <c r="AA685" s="151">
        <f t="shared" si="1353"/>
        <v>0</v>
      </c>
      <c r="AB685" s="151">
        <f t="shared" si="1353"/>
        <v>0</v>
      </c>
      <c r="AC685" s="143"/>
      <c r="AD685" s="191">
        <v>2853972350</v>
      </c>
      <c r="AE685" s="170"/>
      <c r="AF685" s="148">
        <v>7500000</v>
      </c>
      <c r="AG685" s="170"/>
      <c r="AH685" s="143">
        <f t="shared" si="1031"/>
        <v>0</v>
      </c>
      <c r="AI685" s="151"/>
      <c r="AJ685" s="151">
        <f t="shared" ref="AJ685:AL685" si="1354">P685-AE685</f>
        <v>0</v>
      </c>
      <c r="AK685" s="151">
        <f t="shared" si="1354"/>
        <v>0</v>
      </c>
      <c r="AL685" s="151">
        <f t="shared" si="1354"/>
        <v>0</v>
      </c>
      <c r="AM685" s="145"/>
      <c r="AN685" s="139"/>
      <c r="AO685" s="139"/>
      <c r="AP685" s="139"/>
      <c r="AQ685" s="145"/>
      <c r="AR685" s="145"/>
    </row>
    <row r="686" spans="1:44" s="156" customFormat="1" ht="78.75" x14ac:dyDescent="0.25">
      <c r="A686" s="143" t="s">
        <v>35</v>
      </c>
      <c r="B686" s="144">
        <v>673</v>
      </c>
      <c r="C686" s="143" t="s">
        <v>67</v>
      </c>
      <c r="D686" s="143" t="s">
        <v>993</v>
      </c>
      <c r="E686" s="145"/>
      <c r="F686" s="145" t="s">
        <v>872</v>
      </c>
      <c r="G686" s="143" t="s">
        <v>994</v>
      </c>
      <c r="H686" s="143" t="s">
        <v>995</v>
      </c>
      <c r="I686" s="143"/>
      <c r="J686" s="143"/>
      <c r="K686" s="164"/>
      <c r="L686" s="143" t="s">
        <v>996</v>
      </c>
      <c r="M686" s="143" t="s">
        <v>43</v>
      </c>
      <c r="N686" s="143" t="s">
        <v>997</v>
      </c>
      <c r="O686" s="147">
        <v>235340708770</v>
      </c>
      <c r="P686" s="150"/>
      <c r="Q686" s="177">
        <v>15000000</v>
      </c>
      <c r="R686" s="148">
        <v>144000000</v>
      </c>
      <c r="S686" s="147">
        <f t="shared" si="1029"/>
        <v>235499708770</v>
      </c>
      <c r="T686" s="158">
        <v>235340708770</v>
      </c>
      <c r="U686" s="143"/>
      <c r="V686" s="157"/>
      <c r="W686" s="158">
        <v>144000000</v>
      </c>
      <c r="X686" s="143"/>
      <c r="Y686" s="152">
        <f t="shared" ref="Y686:AB686" si="1355">AD686-T686</f>
        <v>0</v>
      </c>
      <c r="Z686" s="151">
        <f t="shared" si="1355"/>
        <v>0</v>
      </c>
      <c r="AA686" s="151">
        <f t="shared" si="1355"/>
        <v>0</v>
      </c>
      <c r="AB686" s="151">
        <f t="shared" si="1355"/>
        <v>0</v>
      </c>
      <c r="AC686" s="143"/>
      <c r="AD686" s="191">
        <v>235340708770</v>
      </c>
      <c r="AE686" s="178"/>
      <c r="AF686" s="150"/>
      <c r="AG686" s="177">
        <v>144000000</v>
      </c>
      <c r="AH686" s="143">
        <f t="shared" si="1031"/>
        <v>0</v>
      </c>
      <c r="AI686" s="151"/>
      <c r="AJ686" s="151">
        <f t="shared" ref="AJ686:AL686" si="1356">P686-AE686</f>
        <v>0</v>
      </c>
      <c r="AK686" s="151">
        <f t="shared" si="1356"/>
        <v>15000000</v>
      </c>
      <c r="AL686" s="151">
        <f t="shared" si="1356"/>
        <v>0</v>
      </c>
      <c r="AM686" s="145"/>
      <c r="AN686" s="139"/>
      <c r="AO686" s="139"/>
      <c r="AP686" s="162" t="s">
        <v>394</v>
      </c>
      <c r="AQ686" s="145"/>
      <c r="AR686" s="145"/>
    </row>
    <row r="687" spans="1:44" s="156" customFormat="1" ht="47.25" x14ac:dyDescent="0.25">
      <c r="A687" s="143" t="s">
        <v>60</v>
      </c>
      <c r="B687" s="144">
        <v>674</v>
      </c>
      <c r="C687" s="143" t="s">
        <v>67</v>
      </c>
      <c r="D687" s="143" t="s">
        <v>3463</v>
      </c>
      <c r="E687" s="145" t="s">
        <v>1923</v>
      </c>
      <c r="F687" s="145"/>
      <c r="G687" s="143" t="s">
        <v>3464</v>
      </c>
      <c r="H687" s="143"/>
      <c r="I687" s="143"/>
      <c r="J687" s="143"/>
      <c r="K687" s="143"/>
      <c r="L687" s="143" t="s">
        <v>3465</v>
      </c>
      <c r="M687" s="143" t="s">
        <v>43</v>
      </c>
      <c r="N687" s="143" t="s">
        <v>3466</v>
      </c>
      <c r="O687" s="147">
        <v>54817863740</v>
      </c>
      <c r="P687" s="169">
        <v>10109297</v>
      </c>
      <c r="Q687" s="169">
        <v>7500000</v>
      </c>
      <c r="R687" s="150"/>
      <c r="S687" s="147">
        <f t="shared" si="1029"/>
        <v>54835473037</v>
      </c>
      <c r="T687" s="158">
        <v>54817863740</v>
      </c>
      <c r="U687" s="158">
        <v>10109297</v>
      </c>
      <c r="V687" s="157"/>
      <c r="W687" s="143"/>
      <c r="X687" s="143"/>
      <c r="Y687" s="152">
        <f t="shared" ref="Y687:AB687" si="1357">AD687-T687</f>
        <v>0</v>
      </c>
      <c r="Z687" s="151">
        <f t="shared" si="1357"/>
        <v>0</v>
      </c>
      <c r="AA687" s="151">
        <f t="shared" si="1357"/>
        <v>0</v>
      </c>
      <c r="AB687" s="152">
        <f t="shared" si="1357"/>
        <v>0</v>
      </c>
      <c r="AC687" s="143"/>
      <c r="AD687" s="149">
        <v>54817863740</v>
      </c>
      <c r="AE687" s="169">
        <v>10109297</v>
      </c>
      <c r="AF687" s="150"/>
      <c r="AG687" s="155"/>
      <c r="AH687" s="143">
        <f t="shared" si="1031"/>
        <v>0</v>
      </c>
      <c r="AI687" s="151"/>
      <c r="AJ687" s="151">
        <f t="shared" ref="AJ687:AL687" si="1358">P687-AE687</f>
        <v>0</v>
      </c>
      <c r="AK687" s="151">
        <f t="shared" si="1358"/>
        <v>7500000</v>
      </c>
      <c r="AL687" s="151">
        <f t="shared" si="1358"/>
        <v>0</v>
      </c>
      <c r="AM687" s="145"/>
      <c r="AN687" s="139"/>
      <c r="AO687" s="139"/>
      <c r="AP687" s="162" t="s">
        <v>4008</v>
      </c>
      <c r="AQ687" s="145"/>
      <c r="AR687" s="145"/>
    </row>
    <row r="688" spans="1:44" s="156" customFormat="1" ht="31.5" x14ac:dyDescent="0.25">
      <c r="A688" s="143" t="s">
        <v>52</v>
      </c>
      <c r="B688" s="144">
        <v>675</v>
      </c>
      <c r="C688" s="143" t="s">
        <v>67</v>
      </c>
      <c r="D688" s="143" t="s">
        <v>3467</v>
      </c>
      <c r="E688" s="145"/>
      <c r="F688" s="145"/>
      <c r="G688" s="143" t="s">
        <v>3468</v>
      </c>
      <c r="H688" s="143"/>
      <c r="I688" s="143"/>
      <c r="J688" s="143"/>
      <c r="K688" s="143"/>
      <c r="L688" s="143" t="s">
        <v>3469</v>
      </c>
      <c r="M688" s="143" t="s">
        <v>43</v>
      </c>
      <c r="N688" s="143" t="s">
        <v>3470</v>
      </c>
      <c r="O688" s="147">
        <v>3446384400</v>
      </c>
      <c r="P688" s="150"/>
      <c r="Q688" s="169">
        <v>7500000</v>
      </c>
      <c r="R688" s="150"/>
      <c r="S688" s="147">
        <f t="shared" si="1029"/>
        <v>3453884400</v>
      </c>
      <c r="T688" s="158">
        <v>3446384400</v>
      </c>
      <c r="U688" s="143"/>
      <c r="V688" s="147">
        <v>7500000</v>
      </c>
      <c r="W688" s="143"/>
      <c r="X688" s="143"/>
      <c r="Y688" s="152">
        <f t="shared" ref="Y688:AB688" si="1359">AD688-T688</f>
        <v>0</v>
      </c>
      <c r="Z688" s="151">
        <f t="shared" si="1359"/>
        <v>0</v>
      </c>
      <c r="AA688" s="151">
        <f t="shared" si="1359"/>
        <v>0</v>
      </c>
      <c r="AB688" s="152">
        <f t="shared" si="1359"/>
        <v>0</v>
      </c>
      <c r="AC688" s="143"/>
      <c r="AD688" s="194">
        <v>3446384400</v>
      </c>
      <c r="AE688" s="184"/>
      <c r="AF688" s="148">
        <v>7500000</v>
      </c>
      <c r="AG688" s="182"/>
      <c r="AH688" s="143">
        <f t="shared" si="1031"/>
        <v>0</v>
      </c>
      <c r="AI688" s="151"/>
      <c r="AJ688" s="151">
        <f t="shared" ref="AJ688:AL688" si="1360">P688-AE688</f>
        <v>0</v>
      </c>
      <c r="AK688" s="151">
        <f t="shared" si="1360"/>
        <v>0</v>
      </c>
      <c r="AL688" s="151">
        <f t="shared" si="1360"/>
        <v>0</v>
      </c>
      <c r="AM688" s="145"/>
      <c r="AN688" s="139"/>
      <c r="AO688" s="139"/>
      <c r="AP688" s="139"/>
      <c r="AQ688" s="145"/>
      <c r="AR688" s="145"/>
    </row>
    <row r="689" spans="1:44" s="156" customFormat="1" ht="31.5" x14ac:dyDescent="0.25">
      <c r="A689" s="143" t="s">
        <v>35</v>
      </c>
      <c r="B689" s="144">
        <v>676</v>
      </c>
      <c r="C689" s="143" t="s">
        <v>67</v>
      </c>
      <c r="D689" s="143" t="s">
        <v>1062</v>
      </c>
      <c r="E689" s="145"/>
      <c r="F689" s="145" t="s">
        <v>1012</v>
      </c>
      <c r="G689" s="143" t="s">
        <v>1063</v>
      </c>
      <c r="H689" s="143"/>
      <c r="I689" s="143"/>
      <c r="J689" s="143"/>
      <c r="K689" s="164"/>
      <c r="L689" s="143" t="s">
        <v>1064</v>
      </c>
      <c r="M689" s="143" t="s">
        <v>43</v>
      </c>
      <c r="N689" s="143" t="s">
        <v>1065</v>
      </c>
      <c r="O689" s="147">
        <v>1133587600</v>
      </c>
      <c r="P689" s="150"/>
      <c r="Q689" s="177">
        <v>15000000</v>
      </c>
      <c r="R689" s="148">
        <v>36000000</v>
      </c>
      <c r="S689" s="147">
        <f t="shared" si="1029"/>
        <v>1184587600</v>
      </c>
      <c r="T689" s="158">
        <v>1133587600</v>
      </c>
      <c r="U689" s="143"/>
      <c r="V689" s="147">
        <v>15000000</v>
      </c>
      <c r="W689" s="158">
        <v>36000000</v>
      </c>
      <c r="X689" s="143"/>
      <c r="Y689" s="152">
        <f t="shared" ref="Y689:AB689" si="1361">AD689-T689</f>
        <v>0</v>
      </c>
      <c r="Z689" s="151">
        <f t="shared" si="1361"/>
        <v>0</v>
      </c>
      <c r="AA689" s="151">
        <f t="shared" si="1361"/>
        <v>0</v>
      </c>
      <c r="AB689" s="151">
        <f t="shared" si="1361"/>
        <v>0</v>
      </c>
      <c r="AC689" s="143"/>
      <c r="AD689" s="191">
        <v>1133587600</v>
      </c>
      <c r="AE689" s="170"/>
      <c r="AF689" s="177">
        <v>15000000</v>
      </c>
      <c r="AG689" s="169">
        <v>36000000</v>
      </c>
      <c r="AH689" s="143">
        <f t="shared" si="1031"/>
        <v>0</v>
      </c>
      <c r="AI689" s="151"/>
      <c r="AJ689" s="151">
        <f t="shared" ref="AJ689:AL689" si="1362">P689-AE689</f>
        <v>0</v>
      </c>
      <c r="AK689" s="151">
        <f t="shared" si="1362"/>
        <v>0</v>
      </c>
      <c r="AL689" s="151">
        <f t="shared" si="1362"/>
        <v>0</v>
      </c>
      <c r="AM689" s="145"/>
      <c r="AN689" s="139"/>
      <c r="AO689" s="139"/>
      <c r="AP689" s="139"/>
      <c r="AQ689" s="145"/>
      <c r="AR689" s="145"/>
    </row>
    <row r="690" spans="1:44" s="156" customFormat="1" ht="31.5" x14ac:dyDescent="0.25">
      <c r="A690" s="143" t="s">
        <v>35</v>
      </c>
      <c r="B690" s="144">
        <v>677</v>
      </c>
      <c r="C690" s="143" t="s">
        <v>67</v>
      </c>
      <c r="D690" s="143" t="s">
        <v>1068</v>
      </c>
      <c r="E690" s="145"/>
      <c r="F690" s="145" t="s">
        <v>1012</v>
      </c>
      <c r="G690" s="143" t="s">
        <v>1069</v>
      </c>
      <c r="H690" s="143"/>
      <c r="I690" s="143"/>
      <c r="J690" s="143"/>
      <c r="K690" s="164"/>
      <c r="L690" s="143" t="s">
        <v>1070</v>
      </c>
      <c r="M690" s="143" t="s">
        <v>43</v>
      </c>
      <c r="N690" s="143" t="s">
        <v>1071</v>
      </c>
      <c r="O690" s="147">
        <v>13988110203</v>
      </c>
      <c r="P690" s="150"/>
      <c r="Q690" s="177">
        <v>15000000</v>
      </c>
      <c r="R690" s="148">
        <v>36000000</v>
      </c>
      <c r="S690" s="147">
        <f t="shared" si="1029"/>
        <v>14039110203</v>
      </c>
      <c r="T690" s="158">
        <v>13988110203</v>
      </c>
      <c r="U690" s="143"/>
      <c r="V690" s="147">
        <v>15000000</v>
      </c>
      <c r="W690" s="158">
        <v>36000000</v>
      </c>
      <c r="X690" s="143"/>
      <c r="Y690" s="152">
        <f t="shared" ref="Y690:AB690" si="1363">AD690-T690</f>
        <v>0</v>
      </c>
      <c r="Z690" s="151">
        <f t="shared" si="1363"/>
        <v>0</v>
      </c>
      <c r="AA690" s="151">
        <f t="shared" si="1363"/>
        <v>0</v>
      </c>
      <c r="AB690" s="151">
        <f t="shared" si="1363"/>
        <v>0</v>
      </c>
      <c r="AC690" s="143"/>
      <c r="AD690" s="191">
        <v>13988110203</v>
      </c>
      <c r="AE690" s="170"/>
      <c r="AF690" s="148">
        <v>15000000</v>
      </c>
      <c r="AG690" s="169">
        <v>36000000</v>
      </c>
      <c r="AH690" s="143">
        <f t="shared" si="1031"/>
        <v>0</v>
      </c>
      <c r="AI690" s="151"/>
      <c r="AJ690" s="151">
        <f t="shared" ref="AJ690:AL690" si="1364">P690-AE690</f>
        <v>0</v>
      </c>
      <c r="AK690" s="151">
        <f t="shared" si="1364"/>
        <v>0</v>
      </c>
      <c r="AL690" s="151">
        <f t="shared" si="1364"/>
        <v>0</v>
      </c>
      <c r="AM690" s="145"/>
      <c r="AN690" s="139"/>
      <c r="AO690" s="139"/>
      <c r="AP690" s="139"/>
      <c r="AQ690" s="145"/>
      <c r="AR690" s="145"/>
    </row>
    <row r="691" spans="1:44" s="156" customFormat="1" ht="31.5" x14ac:dyDescent="0.25">
      <c r="A691" s="143" t="s">
        <v>35</v>
      </c>
      <c r="B691" s="144">
        <v>678</v>
      </c>
      <c r="C691" s="143" t="s">
        <v>67</v>
      </c>
      <c r="D691" s="143" t="s">
        <v>3473</v>
      </c>
      <c r="E691" s="145"/>
      <c r="F691" s="145"/>
      <c r="G691" s="143" t="s">
        <v>3474</v>
      </c>
      <c r="H691" s="143"/>
      <c r="I691" s="143"/>
      <c r="J691" s="143"/>
      <c r="K691" s="143"/>
      <c r="L691" s="143" t="s">
        <v>3475</v>
      </c>
      <c r="M691" s="143" t="s">
        <v>43</v>
      </c>
      <c r="N691" s="143" t="s">
        <v>3476</v>
      </c>
      <c r="O691" s="147">
        <v>7884922752</v>
      </c>
      <c r="P691" s="150"/>
      <c r="Q691" s="148">
        <v>7500000</v>
      </c>
      <c r="R691" s="150"/>
      <c r="S691" s="147">
        <f t="shared" si="1029"/>
        <v>7892422752</v>
      </c>
      <c r="T691" s="158">
        <v>7884922752</v>
      </c>
      <c r="U691" s="143"/>
      <c r="V691" s="147">
        <v>7500000</v>
      </c>
      <c r="W691" s="143"/>
      <c r="X691" s="143"/>
      <c r="Y691" s="152">
        <f t="shared" ref="Y691:AB691" si="1365">AD691-T691</f>
        <v>0</v>
      </c>
      <c r="Z691" s="151">
        <f t="shared" si="1365"/>
        <v>0</v>
      </c>
      <c r="AA691" s="151">
        <f t="shared" si="1365"/>
        <v>0</v>
      </c>
      <c r="AB691" s="151">
        <f t="shared" si="1365"/>
        <v>0</v>
      </c>
      <c r="AC691" s="143"/>
      <c r="AD691" s="149">
        <v>7884922752</v>
      </c>
      <c r="AE691" s="150"/>
      <c r="AF691" s="148">
        <v>7500000</v>
      </c>
      <c r="AG691" s="150"/>
      <c r="AH691" s="143">
        <f t="shared" si="1031"/>
        <v>0</v>
      </c>
      <c r="AI691" s="151"/>
      <c r="AJ691" s="151">
        <f t="shared" ref="AJ691:AL691" si="1366">P691-AE691</f>
        <v>0</v>
      </c>
      <c r="AK691" s="151">
        <f t="shared" si="1366"/>
        <v>0</v>
      </c>
      <c r="AL691" s="151">
        <f t="shared" si="1366"/>
        <v>0</v>
      </c>
      <c r="AM691" s="145"/>
      <c r="AN691" s="139"/>
      <c r="AO691" s="139"/>
      <c r="AP691" s="139"/>
      <c r="AQ691" s="145"/>
      <c r="AR691" s="145"/>
    </row>
    <row r="692" spans="1:44" s="156" customFormat="1" ht="31.5" x14ac:dyDescent="0.25">
      <c r="A692" s="143" t="s">
        <v>35</v>
      </c>
      <c r="B692" s="144">
        <v>679</v>
      </c>
      <c r="C692" s="143" t="s">
        <v>67</v>
      </c>
      <c r="D692" s="143" t="s">
        <v>1075</v>
      </c>
      <c r="E692" s="145"/>
      <c r="F692" s="145" t="s">
        <v>1012</v>
      </c>
      <c r="G692" s="143" t="s">
        <v>1076</v>
      </c>
      <c r="H692" s="143"/>
      <c r="I692" s="143"/>
      <c r="J692" s="143"/>
      <c r="K692" s="164"/>
      <c r="L692" s="143" t="s">
        <v>1077</v>
      </c>
      <c r="M692" s="143" t="s">
        <v>43</v>
      </c>
      <c r="N692" s="143" t="s">
        <v>1078</v>
      </c>
      <c r="O692" s="147">
        <v>4656135712</v>
      </c>
      <c r="P692" s="150"/>
      <c r="Q692" s="179">
        <v>15000000</v>
      </c>
      <c r="R692" s="148">
        <v>72000000</v>
      </c>
      <c r="S692" s="147">
        <f t="shared" si="1029"/>
        <v>4743135712</v>
      </c>
      <c r="T692" s="158">
        <v>4656135712</v>
      </c>
      <c r="U692" s="143"/>
      <c r="V692" s="157"/>
      <c r="W692" s="158">
        <v>72000000</v>
      </c>
      <c r="X692" s="143"/>
      <c r="Y692" s="152">
        <f t="shared" ref="Y692:AB692" si="1367">AD692-T692</f>
        <v>0</v>
      </c>
      <c r="Z692" s="151">
        <f t="shared" si="1367"/>
        <v>0</v>
      </c>
      <c r="AA692" s="151">
        <f t="shared" si="1367"/>
        <v>0</v>
      </c>
      <c r="AB692" s="151">
        <f t="shared" si="1367"/>
        <v>0</v>
      </c>
      <c r="AC692" s="143"/>
      <c r="AD692" s="194">
        <v>4656135712</v>
      </c>
      <c r="AE692" s="200"/>
      <c r="AF692" s="150"/>
      <c r="AG692" s="201">
        <v>72000000</v>
      </c>
      <c r="AH692" s="143">
        <f t="shared" si="1031"/>
        <v>0</v>
      </c>
      <c r="AI692" s="151"/>
      <c r="AJ692" s="151">
        <f t="shared" ref="AJ692:AL692" si="1368">P692-AE692</f>
        <v>0</v>
      </c>
      <c r="AK692" s="151">
        <f t="shared" si="1368"/>
        <v>15000000</v>
      </c>
      <c r="AL692" s="151">
        <f t="shared" si="1368"/>
        <v>0</v>
      </c>
      <c r="AM692" s="145"/>
      <c r="AN692" s="139"/>
      <c r="AO692" s="139"/>
      <c r="AP692" s="162" t="s">
        <v>4008</v>
      </c>
      <c r="AQ692" s="145"/>
      <c r="AR692" s="145"/>
    </row>
    <row r="693" spans="1:44" s="156" customFormat="1" ht="63" x14ac:dyDescent="0.25">
      <c r="A693" s="143" t="s">
        <v>60</v>
      </c>
      <c r="B693" s="144">
        <v>680</v>
      </c>
      <c r="C693" s="143" t="s">
        <v>67</v>
      </c>
      <c r="D693" s="143" t="s">
        <v>3477</v>
      </c>
      <c r="E693" s="145"/>
      <c r="F693" s="145"/>
      <c r="G693" s="143" t="s">
        <v>3478</v>
      </c>
      <c r="H693" s="143"/>
      <c r="I693" s="143"/>
      <c r="J693" s="143"/>
      <c r="K693" s="143"/>
      <c r="L693" s="143" t="s">
        <v>3479</v>
      </c>
      <c r="M693" s="143" t="s">
        <v>43</v>
      </c>
      <c r="N693" s="143" t="s">
        <v>3480</v>
      </c>
      <c r="O693" s="147">
        <v>2778910722</v>
      </c>
      <c r="P693" s="150"/>
      <c r="Q693" s="169">
        <v>7500000</v>
      </c>
      <c r="R693" s="150"/>
      <c r="S693" s="147">
        <f t="shared" si="1029"/>
        <v>2786410722</v>
      </c>
      <c r="T693" s="143"/>
      <c r="U693" s="143"/>
      <c r="V693" s="157"/>
      <c r="W693" s="143"/>
      <c r="X693" s="143"/>
      <c r="Y693" s="152">
        <f t="shared" ref="Y693:AB693" si="1369">AD693-T693</f>
        <v>0</v>
      </c>
      <c r="Z693" s="151">
        <f t="shared" si="1369"/>
        <v>0</v>
      </c>
      <c r="AA693" s="151">
        <f t="shared" si="1369"/>
        <v>0</v>
      </c>
      <c r="AB693" s="151">
        <f t="shared" si="1369"/>
        <v>0</v>
      </c>
      <c r="AC693" s="143"/>
      <c r="AD693" s="155"/>
      <c r="AE693" s="170"/>
      <c r="AF693" s="150"/>
      <c r="AG693" s="170"/>
      <c r="AH693" s="143">
        <f t="shared" si="1031"/>
        <v>0</v>
      </c>
      <c r="AI693" s="151">
        <v>2778910722</v>
      </c>
      <c r="AJ693" s="151">
        <f t="shared" ref="AJ693:AL693" si="1370">P693-AE693</f>
        <v>0</v>
      </c>
      <c r="AK693" s="151">
        <f t="shared" si="1370"/>
        <v>7500000</v>
      </c>
      <c r="AL693" s="151">
        <f t="shared" si="1370"/>
        <v>0</v>
      </c>
      <c r="AM693" s="148">
        <v>2778910722</v>
      </c>
      <c r="AN693" s="159" t="s">
        <v>3527</v>
      </c>
      <c r="AO693" s="160"/>
      <c r="AP693" s="162" t="s">
        <v>394</v>
      </c>
      <c r="AQ693" s="219"/>
      <c r="AR693" s="218"/>
    </row>
    <row r="694" spans="1:44" s="156" customFormat="1" ht="31.5" x14ac:dyDescent="0.25">
      <c r="A694" s="143" t="s">
        <v>52</v>
      </c>
      <c r="B694" s="144">
        <v>681</v>
      </c>
      <c r="C694" s="143" t="s">
        <v>67</v>
      </c>
      <c r="D694" s="143" t="s">
        <v>3481</v>
      </c>
      <c r="E694" s="145"/>
      <c r="F694" s="145"/>
      <c r="G694" s="143" t="s">
        <v>3482</v>
      </c>
      <c r="H694" s="143"/>
      <c r="I694" s="143"/>
      <c r="J694" s="143"/>
      <c r="K694" s="143"/>
      <c r="L694" s="143" t="s">
        <v>766</v>
      </c>
      <c r="M694" s="143" t="s">
        <v>43</v>
      </c>
      <c r="N694" s="143" t="s">
        <v>3483</v>
      </c>
      <c r="O694" s="147">
        <v>1260476040</v>
      </c>
      <c r="P694" s="150"/>
      <c r="Q694" s="174">
        <v>7500000</v>
      </c>
      <c r="R694" s="150"/>
      <c r="S694" s="147">
        <f t="shared" si="1029"/>
        <v>1267976040</v>
      </c>
      <c r="T694" s="158">
        <v>1260476040</v>
      </c>
      <c r="U694" s="143"/>
      <c r="V694" s="147">
        <v>7500000</v>
      </c>
      <c r="W694" s="143"/>
      <c r="X694" s="143"/>
      <c r="Y694" s="152">
        <f t="shared" ref="Y694:AB694" si="1371">AD694-T694</f>
        <v>0</v>
      </c>
      <c r="Z694" s="151">
        <f t="shared" si="1371"/>
        <v>0</v>
      </c>
      <c r="AA694" s="151">
        <f t="shared" si="1371"/>
        <v>0</v>
      </c>
      <c r="AB694" s="152">
        <f t="shared" si="1371"/>
        <v>0</v>
      </c>
      <c r="AC694" s="143"/>
      <c r="AD694" s="202">
        <v>1260476040</v>
      </c>
      <c r="AE694" s="150"/>
      <c r="AF694" s="174">
        <v>7500000</v>
      </c>
      <c r="AG694" s="155"/>
      <c r="AH694" s="143">
        <f t="shared" si="1031"/>
        <v>0</v>
      </c>
      <c r="AI694" s="151"/>
      <c r="AJ694" s="151">
        <f t="shared" ref="AJ694:AL694" si="1372">P694-AE694</f>
        <v>0</v>
      </c>
      <c r="AK694" s="151">
        <f t="shared" si="1372"/>
        <v>0</v>
      </c>
      <c r="AL694" s="151">
        <f t="shared" si="1372"/>
        <v>0</v>
      </c>
      <c r="AM694" s="145"/>
      <c r="AN694" s="139"/>
      <c r="AO694" s="139"/>
      <c r="AP694" s="139"/>
      <c r="AQ694" s="145"/>
      <c r="AR694" s="145"/>
    </row>
    <row r="695" spans="1:44" s="156" customFormat="1" ht="47.25" x14ac:dyDescent="0.25">
      <c r="A695" s="143" t="s">
        <v>60</v>
      </c>
      <c r="B695" s="144">
        <v>682</v>
      </c>
      <c r="C695" s="143" t="s">
        <v>67</v>
      </c>
      <c r="D695" s="143" t="s">
        <v>3486</v>
      </c>
      <c r="E695" s="145"/>
      <c r="F695" s="145"/>
      <c r="G695" s="143" t="s">
        <v>3487</v>
      </c>
      <c r="H695" s="143"/>
      <c r="I695" s="143"/>
      <c r="J695" s="143"/>
      <c r="K695" s="143"/>
      <c r="L695" s="143" t="s">
        <v>3488</v>
      </c>
      <c r="M695" s="143" t="s">
        <v>43</v>
      </c>
      <c r="N695" s="143" t="s">
        <v>3489</v>
      </c>
      <c r="O695" s="147">
        <v>331459398</v>
      </c>
      <c r="P695" s="150"/>
      <c r="Q695" s="169">
        <v>15000000</v>
      </c>
      <c r="R695" s="150"/>
      <c r="S695" s="147">
        <f t="shared" si="1029"/>
        <v>346459398</v>
      </c>
      <c r="T695" s="158">
        <v>331459398</v>
      </c>
      <c r="U695" s="143"/>
      <c r="V695" s="147">
        <v>15000000</v>
      </c>
      <c r="W695" s="143"/>
      <c r="X695" s="143"/>
      <c r="Y695" s="152">
        <f t="shared" ref="Y695:AB695" si="1373">AD695-T695</f>
        <v>0</v>
      </c>
      <c r="Z695" s="151">
        <f t="shared" si="1373"/>
        <v>0</v>
      </c>
      <c r="AA695" s="151">
        <f t="shared" si="1373"/>
        <v>0</v>
      </c>
      <c r="AB695" s="151">
        <f t="shared" si="1373"/>
        <v>0</v>
      </c>
      <c r="AC695" s="143"/>
      <c r="AD695" s="194">
        <v>331459398</v>
      </c>
      <c r="AE695" s="170"/>
      <c r="AF695" s="148">
        <v>15000000</v>
      </c>
      <c r="AG695" s="170"/>
      <c r="AH695" s="143">
        <f t="shared" si="1031"/>
        <v>0</v>
      </c>
      <c r="AI695" s="151"/>
      <c r="AJ695" s="151">
        <f t="shared" ref="AJ695:AL695" si="1374">P695-AE695</f>
        <v>0</v>
      </c>
      <c r="AK695" s="151">
        <f t="shared" si="1374"/>
        <v>0</v>
      </c>
      <c r="AL695" s="151">
        <f t="shared" si="1374"/>
        <v>0</v>
      </c>
      <c r="AM695" s="145"/>
      <c r="AN695" s="139"/>
      <c r="AO695" s="139"/>
      <c r="AP695" s="139"/>
      <c r="AQ695" s="145"/>
      <c r="AR695" s="145"/>
    </row>
    <row r="696" spans="1:44" s="156" customFormat="1" ht="47.25" x14ac:dyDescent="0.25">
      <c r="A696" s="143" t="s">
        <v>275</v>
      </c>
      <c r="B696" s="144">
        <v>683</v>
      </c>
      <c r="C696" s="143" t="s">
        <v>67</v>
      </c>
      <c r="D696" s="143" t="s">
        <v>3491</v>
      </c>
      <c r="E696" s="145"/>
      <c r="F696" s="145"/>
      <c r="G696" s="143" t="s">
        <v>3492</v>
      </c>
      <c r="H696" s="143"/>
      <c r="I696" s="143"/>
      <c r="J696" s="143"/>
      <c r="K696" s="143"/>
      <c r="L696" s="143" t="s">
        <v>3493</v>
      </c>
      <c r="M696" s="143" t="s">
        <v>43</v>
      </c>
      <c r="N696" s="143" t="s">
        <v>3494</v>
      </c>
      <c r="O696" s="147">
        <v>10000000</v>
      </c>
      <c r="P696" s="150"/>
      <c r="Q696" s="169">
        <v>15000000</v>
      </c>
      <c r="R696" s="150"/>
      <c r="S696" s="147">
        <f t="shared" si="1029"/>
        <v>25000000</v>
      </c>
      <c r="T696" s="158">
        <v>10000000</v>
      </c>
      <c r="U696" s="143"/>
      <c r="V696" s="147">
        <v>15000000</v>
      </c>
      <c r="W696" s="143"/>
      <c r="X696" s="143"/>
      <c r="Y696" s="152">
        <f t="shared" ref="Y696:AB696" si="1375">AD696-T696</f>
        <v>0</v>
      </c>
      <c r="Z696" s="151">
        <f t="shared" si="1375"/>
        <v>0</v>
      </c>
      <c r="AA696" s="151">
        <f t="shared" si="1375"/>
        <v>0</v>
      </c>
      <c r="AB696" s="151">
        <f t="shared" si="1375"/>
        <v>0</v>
      </c>
      <c r="AC696" s="143"/>
      <c r="AD696" s="191">
        <v>10000000</v>
      </c>
      <c r="AE696" s="170"/>
      <c r="AF696" s="148">
        <v>15000000</v>
      </c>
      <c r="AG696" s="170"/>
      <c r="AH696" s="143">
        <f t="shared" si="1031"/>
        <v>0</v>
      </c>
      <c r="AI696" s="151"/>
      <c r="AJ696" s="151">
        <f t="shared" ref="AJ696:AL696" si="1376">P696-AE696</f>
        <v>0</v>
      </c>
      <c r="AK696" s="151">
        <f t="shared" si="1376"/>
        <v>0</v>
      </c>
      <c r="AL696" s="151">
        <f t="shared" si="1376"/>
        <v>0</v>
      </c>
      <c r="AM696" s="145"/>
      <c r="AN696" s="139"/>
      <c r="AO696" s="139"/>
      <c r="AP696" s="139"/>
      <c r="AQ696" s="145"/>
      <c r="AR696" s="145"/>
    </row>
    <row r="697" spans="1:44" s="156" customFormat="1" ht="78.75" x14ac:dyDescent="0.25">
      <c r="A697" s="143" t="s">
        <v>275</v>
      </c>
      <c r="B697" s="144">
        <v>684</v>
      </c>
      <c r="C697" s="143" t="s">
        <v>67</v>
      </c>
      <c r="D697" s="143" t="s">
        <v>1431</v>
      </c>
      <c r="E697" s="145"/>
      <c r="F697" s="145" t="s">
        <v>1432</v>
      </c>
      <c r="G697" s="143" t="s">
        <v>1433</v>
      </c>
      <c r="H697" s="143"/>
      <c r="I697" s="143"/>
      <c r="J697" s="143"/>
      <c r="K697" s="164"/>
      <c r="L697" s="143" t="s">
        <v>1434</v>
      </c>
      <c r="M697" s="143" t="s">
        <v>43</v>
      </c>
      <c r="N697" s="143" t="s">
        <v>1435</v>
      </c>
      <c r="O697" s="147">
        <v>731347144</v>
      </c>
      <c r="P697" s="150"/>
      <c r="Q697" s="169">
        <v>15000000</v>
      </c>
      <c r="R697" s="148">
        <f>24000000+48000000</f>
        <v>72000000</v>
      </c>
      <c r="S697" s="147">
        <f t="shared" si="1029"/>
        <v>818347144</v>
      </c>
      <c r="T697" s="158">
        <v>731347144</v>
      </c>
      <c r="U697" s="143"/>
      <c r="V697" s="147">
        <v>15000000</v>
      </c>
      <c r="W697" s="158">
        <v>72000000</v>
      </c>
      <c r="X697" s="143"/>
      <c r="Y697" s="152">
        <f t="shared" ref="Y697:AB697" si="1377">AD697-T697</f>
        <v>0</v>
      </c>
      <c r="Z697" s="151">
        <f t="shared" si="1377"/>
        <v>0</v>
      </c>
      <c r="AA697" s="151">
        <f t="shared" si="1377"/>
        <v>0</v>
      </c>
      <c r="AB697" s="151">
        <f t="shared" si="1377"/>
        <v>0</v>
      </c>
      <c r="AC697" s="143"/>
      <c r="AD697" s="191">
        <v>731347144</v>
      </c>
      <c r="AE697" s="170"/>
      <c r="AF697" s="169">
        <v>15000000</v>
      </c>
      <c r="AG697" s="169">
        <f>24000000+48000000</f>
        <v>72000000</v>
      </c>
      <c r="AH697" s="143">
        <f t="shared" si="1031"/>
        <v>0</v>
      </c>
      <c r="AI697" s="151"/>
      <c r="AJ697" s="151">
        <f t="shared" ref="AJ697:AL697" si="1378">P697-AE697</f>
        <v>0</v>
      </c>
      <c r="AK697" s="151">
        <f t="shared" si="1378"/>
        <v>0</v>
      </c>
      <c r="AL697" s="151">
        <f t="shared" si="1378"/>
        <v>0</v>
      </c>
      <c r="AM697" s="145"/>
      <c r="AN697" s="139"/>
      <c r="AO697" s="139"/>
      <c r="AP697" s="139"/>
      <c r="AQ697" s="145"/>
      <c r="AR697" s="145"/>
    </row>
    <row r="698" spans="1:44" s="156" customFormat="1" ht="31.5" x14ac:dyDescent="0.25">
      <c r="A698" s="143" t="s">
        <v>52</v>
      </c>
      <c r="B698" s="144">
        <v>685</v>
      </c>
      <c r="C698" s="143" t="s">
        <v>67</v>
      </c>
      <c r="D698" s="143" t="s">
        <v>1082</v>
      </c>
      <c r="E698" s="145"/>
      <c r="F698" s="145" t="s">
        <v>1012</v>
      </c>
      <c r="G698" s="143" t="s">
        <v>1083</v>
      </c>
      <c r="H698" s="143"/>
      <c r="I698" s="143"/>
      <c r="J698" s="143"/>
      <c r="K698" s="164"/>
      <c r="L698" s="143" t="s">
        <v>1084</v>
      </c>
      <c r="M698" s="143" t="s">
        <v>43</v>
      </c>
      <c r="N698" s="143" t="s">
        <v>1085</v>
      </c>
      <c r="O698" s="147">
        <v>9840789310</v>
      </c>
      <c r="P698" s="150"/>
      <c r="Q698" s="169">
        <v>15000000</v>
      </c>
      <c r="R698" s="148">
        <v>120000000</v>
      </c>
      <c r="S698" s="147">
        <f t="shared" si="1029"/>
        <v>9975789310</v>
      </c>
      <c r="T698" s="158">
        <v>9840789310</v>
      </c>
      <c r="U698" s="143"/>
      <c r="V698" s="147">
        <v>15000000</v>
      </c>
      <c r="W698" s="158">
        <v>120000000</v>
      </c>
      <c r="X698" s="143"/>
      <c r="Y698" s="152">
        <f t="shared" ref="Y698:AB698" si="1379">AD698-T698</f>
        <v>0</v>
      </c>
      <c r="Z698" s="151">
        <f t="shared" si="1379"/>
        <v>0</v>
      </c>
      <c r="AA698" s="151">
        <f t="shared" si="1379"/>
        <v>0</v>
      </c>
      <c r="AB698" s="151">
        <f t="shared" si="1379"/>
        <v>0</v>
      </c>
      <c r="AC698" s="143"/>
      <c r="AD698" s="191">
        <v>9840789310</v>
      </c>
      <c r="AE698" s="184"/>
      <c r="AF698" s="169">
        <v>15000000</v>
      </c>
      <c r="AG698" s="169">
        <v>120000000</v>
      </c>
      <c r="AH698" s="143">
        <f t="shared" si="1031"/>
        <v>0</v>
      </c>
      <c r="AI698" s="151"/>
      <c r="AJ698" s="151">
        <f t="shared" ref="AJ698:AL698" si="1380">P698-AE698</f>
        <v>0</v>
      </c>
      <c r="AK698" s="151">
        <f t="shared" si="1380"/>
        <v>0</v>
      </c>
      <c r="AL698" s="151">
        <f t="shared" si="1380"/>
        <v>0</v>
      </c>
      <c r="AM698" s="145"/>
      <c r="AN698" s="139"/>
      <c r="AO698" s="139"/>
      <c r="AP698" s="139"/>
      <c r="AQ698" s="145"/>
      <c r="AR698" s="145"/>
    </row>
    <row r="699" spans="1:44" s="156" customFormat="1" ht="126" x14ac:dyDescent="0.25">
      <c r="A699" s="143" t="s">
        <v>60</v>
      </c>
      <c r="B699" s="144">
        <v>686</v>
      </c>
      <c r="C699" s="143" t="s">
        <v>67</v>
      </c>
      <c r="D699" s="143" t="s">
        <v>3495</v>
      </c>
      <c r="E699" s="145" t="s">
        <v>3496</v>
      </c>
      <c r="F699" s="146"/>
      <c r="G699" s="143"/>
      <c r="H699" s="143"/>
      <c r="I699" s="143" t="s">
        <v>3497</v>
      </c>
      <c r="J699" s="143"/>
      <c r="K699" s="143"/>
      <c r="L699" s="143" t="s">
        <v>3498</v>
      </c>
      <c r="M699" s="143" t="s">
        <v>43</v>
      </c>
      <c r="N699" s="143" t="s">
        <v>3499</v>
      </c>
      <c r="O699" s="147"/>
      <c r="P699" s="150"/>
      <c r="Q699" s="148">
        <v>7500000</v>
      </c>
      <c r="R699" s="150"/>
      <c r="S699" s="147">
        <f t="shared" si="1029"/>
        <v>7500000</v>
      </c>
      <c r="T699" s="144">
        <v>0</v>
      </c>
      <c r="U699" s="143"/>
      <c r="V699" s="157"/>
      <c r="W699" s="143"/>
      <c r="X699" s="143"/>
      <c r="Y699" s="151">
        <f t="shared" ref="Y699:AB699" si="1381">AD699-T699</f>
        <v>0</v>
      </c>
      <c r="Z699" s="151">
        <f t="shared" si="1381"/>
        <v>0</v>
      </c>
      <c r="AA699" s="151">
        <f t="shared" si="1381"/>
        <v>0</v>
      </c>
      <c r="AB699" s="152">
        <f t="shared" si="1381"/>
        <v>0</v>
      </c>
      <c r="AC699" s="143"/>
      <c r="AD699" s="148">
        <v>0</v>
      </c>
      <c r="AE699" s="150"/>
      <c r="AF699" s="150"/>
      <c r="AG699" s="155"/>
      <c r="AH699" s="143">
        <f t="shared" si="1031"/>
        <v>0</v>
      </c>
      <c r="AI699" s="151"/>
      <c r="AJ699" s="151">
        <f t="shared" ref="AJ699:AL699" si="1382">P699-AE699</f>
        <v>0</v>
      </c>
      <c r="AK699" s="151">
        <f t="shared" si="1382"/>
        <v>7500000</v>
      </c>
      <c r="AL699" s="151">
        <f t="shared" si="1382"/>
        <v>0</v>
      </c>
      <c r="AM699" s="145"/>
      <c r="AN699" s="139"/>
      <c r="AO699" s="139"/>
      <c r="AP699" s="168" t="s">
        <v>4019</v>
      </c>
      <c r="AQ699" s="145"/>
      <c r="AR699" s="145"/>
    </row>
    <row r="700" spans="1:44" s="156" customFormat="1" ht="126" x14ac:dyDescent="0.25">
      <c r="A700" s="143" t="s">
        <v>60</v>
      </c>
      <c r="B700" s="144">
        <v>687</v>
      </c>
      <c r="C700" s="143" t="s">
        <v>67</v>
      </c>
      <c r="D700" s="143" t="s">
        <v>3500</v>
      </c>
      <c r="E700" s="145" t="s">
        <v>3496</v>
      </c>
      <c r="F700" s="145"/>
      <c r="G700" s="143"/>
      <c r="H700" s="143"/>
      <c r="I700" s="143" t="s">
        <v>3501</v>
      </c>
      <c r="J700" s="143"/>
      <c r="K700" s="143"/>
      <c r="L700" s="143" t="s">
        <v>803</v>
      </c>
      <c r="M700" s="143" t="s">
        <v>43</v>
      </c>
      <c r="N700" s="143" t="s">
        <v>3499</v>
      </c>
      <c r="O700" s="147">
        <v>10000000</v>
      </c>
      <c r="P700" s="203"/>
      <c r="Q700" s="181">
        <v>15000000</v>
      </c>
      <c r="R700" s="150"/>
      <c r="S700" s="147">
        <f t="shared" si="1029"/>
        <v>25000000</v>
      </c>
      <c r="T700" s="143"/>
      <c r="U700" s="143"/>
      <c r="V700" s="157"/>
      <c r="W700" s="143"/>
      <c r="X700" s="143"/>
      <c r="Y700" s="152">
        <f t="shared" ref="Y700:AB700" si="1383">AD700-T700</f>
        <v>0</v>
      </c>
      <c r="Z700" s="151">
        <f t="shared" si="1383"/>
        <v>0</v>
      </c>
      <c r="AA700" s="151">
        <f t="shared" si="1383"/>
        <v>0</v>
      </c>
      <c r="AB700" s="152">
        <f t="shared" si="1383"/>
        <v>0</v>
      </c>
      <c r="AC700" s="143"/>
      <c r="AD700" s="155"/>
      <c r="AE700" s="150"/>
      <c r="AF700" s="150"/>
      <c r="AG700" s="155"/>
      <c r="AH700" s="143">
        <f t="shared" si="1031"/>
        <v>0</v>
      </c>
      <c r="AI700" s="151">
        <v>10000000</v>
      </c>
      <c r="AJ700" s="151">
        <f t="shared" ref="AJ700:AL700" si="1384">P700-AE700</f>
        <v>0</v>
      </c>
      <c r="AK700" s="151">
        <f t="shared" si="1384"/>
        <v>15000000</v>
      </c>
      <c r="AL700" s="151">
        <f t="shared" si="1384"/>
        <v>0</v>
      </c>
      <c r="AM700" s="150">
        <v>10000000</v>
      </c>
      <c r="AN700" s="159" t="s">
        <v>4019</v>
      </c>
      <c r="AO700" s="160"/>
      <c r="AP700" s="168" t="s">
        <v>4019</v>
      </c>
      <c r="AQ700" s="219"/>
      <c r="AR700" s="218"/>
    </row>
    <row r="701" spans="1:44" s="156" customFormat="1" ht="63" x14ac:dyDescent="0.25">
      <c r="A701" s="143" t="s">
        <v>52</v>
      </c>
      <c r="B701" s="144">
        <v>688</v>
      </c>
      <c r="C701" s="143" t="s">
        <v>67</v>
      </c>
      <c r="D701" s="143" t="s">
        <v>882</v>
      </c>
      <c r="E701" s="145" t="s">
        <v>883</v>
      </c>
      <c r="F701" s="145" t="s">
        <v>4020</v>
      </c>
      <c r="G701" s="143" t="s">
        <v>885</v>
      </c>
      <c r="H701" s="143" t="s">
        <v>886</v>
      </c>
      <c r="I701" s="143"/>
      <c r="J701" s="143"/>
      <c r="K701" s="164"/>
      <c r="L701" s="143" t="s">
        <v>887</v>
      </c>
      <c r="M701" s="143" t="s">
        <v>43</v>
      </c>
      <c r="N701" s="143" t="s">
        <v>888</v>
      </c>
      <c r="O701" s="147">
        <v>1016998986</v>
      </c>
      <c r="P701" s="181">
        <v>86605610</v>
      </c>
      <c r="Q701" s="169">
        <v>15000000</v>
      </c>
      <c r="R701" s="148">
        <v>48000000</v>
      </c>
      <c r="S701" s="147">
        <f t="shared" si="1029"/>
        <v>1166604596</v>
      </c>
      <c r="T701" s="158">
        <v>1016998986</v>
      </c>
      <c r="U701" s="158">
        <v>86605610</v>
      </c>
      <c r="V701" s="147">
        <v>15000000</v>
      </c>
      <c r="W701" s="151">
        <v>48000000</v>
      </c>
      <c r="X701" s="143"/>
      <c r="Y701" s="152">
        <f t="shared" ref="Y701:AB701" si="1385">AD701-T701</f>
        <v>0</v>
      </c>
      <c r="Z701" s="151">
        <f t="shared" si="1385"/>
        <v>0</v>
      </c>
      <c r="AA701" s="151">
        <f t="shared" si="1385"/>
        <v>0</v>
      </c>
      <c r="AB701" s="151">
        <f t="shared" si="1385"/>
        <v>0</v>
      </c>
      <c r="AC701" s="143"/>
      <c r="AD701" s="194">
        <v>1016998986</v>
      </c>
      <c r="AE701" s="169">
        <v>86605610</v>
      </c>
      <c r="AF701" s="169">
        <v>15000000</v>
      </c>
      <c r="AG701" s="169">
        <v>48000000</v>
      </c>
      <c r="AH701" s="143">
        <f t="shared" si="1031"/>
        <v>0</v>
      </c>
      <c r="AI701" s="151"/>
      <c r="AJ701" s="151">
        <f t="shared" ref="AJ701:AL701" si="1386">P701-AE701</f>
        <v>0</v>
      </c>
      <c r="AK701" s="151">
        <f t="shared" si="1386"/>
        <v>0</v>
      </c>
      <c r="AL701" s="151">
        <f t="shared" si="1386"/>
        <v>0</v>
      </c>
      <c r="AM701" s="145"/>
      <c r="AN701" s="139"/>
      <c r="AO701" s="139"/>
      <c r="AP701" s="139"/>
      <c r="AQ701" s="145"/>
      <c r="AR701" s="145"/>
    </row>
    <row r="702" spans="1:44" s="156" customFormat="1" ht="47.25" x14ac:dyDescent="0.25">
      <c r="A702" s="143" t="s">
        <v>35</v>
      </c>
      <c r="B702" s="144">
        <v>689</v>
      </c>
      <c r="C702" s="143" t="s">
        <v>67</v>
      </c>
      <c r="D702" s="143" t="s">
        <v>68</v>
      </c>
      <c r="E702" s="145" t="s">
        <v>69</v>
      </c>
      <c r="F702" s="145" t="s">
        <v>39</v>
      </c>
      <c r="G702" s="143" t="s">
        <v>70</v>
      </c>
      <c r="H702" s="143" t="s">
        <v>71</v>
      </c>
      <c r="I702" s="143"/>
      <c r="J702" s="143"/>
      <c r="K702" s="164"/>
      <c r="L702" s="143" t="s">
        <v>72</v>
      </c>
      <c r="M702" s="143" t="s">
        <v>43</v>
      </c>
      <c r="N702" s="143" t="s">
        <v>73</v>
      </c>
      <c r="O702" s="147">
        <v>309253343</v>
      </c>
      <c r="P702" s="148">
        <v>1023702675</v>
      </c>
      <c r="Q702" s="148">
        <v>15000000</v>
      </c>
      <c r="R702" s="148">
        <v>30000000</v>
      </c>
      <c r="S702" s="147">
        <f t="shared" si="1029"/>
        <v>1377956018</v>
      </c>
      <c r="T702" s="158">
        <v>309253343</v>
      </c>
      <c r="U702" s="151">
        <v>1023702675</v>
      </c>
      <c r="V702" s="157">
        <v>15000000</v>
      </c>
      <c r="W702" s="158">
        <v>30000000</v>
      </c>
      <c r="X702" s="143"/>
      <c r="Y702" s="151">
        <f t="shared" ref="Y702:AB702" si="1387">AD702-T702</f>
        <v>0</v>
      </c>
      <c r="Z702" s="151">
        <f t="shared" si="1387"/>
        <v>0</v>
      </c>
      <c r="AA702" s="151">
        <f t="shared" si="1387"/>
        <v>0</v>
      </c>
      <c r="AB702" s="151">
        <f t="shared" si="1387"/>
        <v>0</v>
      </c>
      <c r="AC702" s="143"/>
      <c r="AD702" s="148">
        <v>309253343</v>
      </c>
      <c r="AE702" s="148">
        <v>1023702675</v>
      </c>
      <c r="AF702" s="148">
        <v>15000000</v>
      </c>
      <c r="AG702" s="148">
        <v>30000000</v>
      </c>
      <c r="AH702" s="143">
        <f t="shared" si="1031"/>
        <v>0</v>
      </c>
      <c r="AI702" s="151"/>
      <c r="AJ702" s="151">
        <f t="shared" ref="AJ702:AL702" si="1388">P702-AE702</f>
        <v>0</v>
      </c>
      <c r="AK702" s="151">
        <f t="shared" si="1388"/>
        <v>0</v>
      </c>
      <c r="AL702" s="151">
        <f t="shared" si="1388"/>
        <v>0</v>
      </c>
      <c r="AM702" s="145"/>
      <c r="AN702" s="139"/>
      <c r="AO702" s="139"/>
      <c r="AP702" s="139"/>
      <c r="AQ702" s="145"/>
      <c r="AR702" s="145"/>
    </row>
    <row r="703" spans="1:44" s="156" customFormat="1" ht="78.75" x14ac:dyDescent="0.25">
      <c r="A703" s="143" t="s">
        <v>60</v>
      </c>
      <c r="B703" s="144">
        <v>690</v>
      </c>
      <c r="C703" s="143" t="s">
        <v>67</v>
      </c>
      <c r="D703" s="143" t="s">
        <v>1516</v>
      </c>
      <c r="E703" s="145"/>
      <c r="F703" s="145" t="s">
        <v>1503</v>
      </c>
      <c r="G703" s="143" t="s">
        <v>1517</v>
      </c>
      <c r="H703" s="143"/>
      <c r="I703" s="143"/>
      <c r="J703" s="143"/>
      <c r="K703" s="164"/>
      <c r="L703" s="143" t="s">
        <v>1518</v>
      </c>
      <c r="M703" s="143" t="s">
        <v>43</v>
      </c>
      <c r="N703" s="143" t="s">
        <v>1519</v>
      </c>
      <c r="O703" s="147">
        <v>1095920500</v>
      </c>
      <c r="P703" s="150"/>
      <c r="Q703" s="169">
        <v>15000000</v>
      </c>
      <c r="R703" s="148">
        <f>60000000+30000000</f>
        <v>90000000</v>
      </c>
      <c r="S703" s="147">
        <f t="shared" si="1029"/>
        <v>1200920500</v>
      </c>
      <c r="T703" s="158">
        <v>1095920500</v>
      </c>
      <c r="U703" s="143"/>
      <c r="V703" s="147">
        <v>15000000</v>
      </c>
      <c r="W703" s="158">
        <v>90000000</v>
      </c>
      <c r="X703" s="143"/>
      <c r="Y703" s="152">
        <f t="shared" ref="Y703:AB703" si="1389">AD703-T703</f>
        <v>0</v>
      </c>
      <c r="Z703" s="151">
        <f t="shared" si="1389"/>
        <v>0</v>
      </c>
      <c r="AA703" s="151">
        <f t="shared" si="1389"/>
        <v>0</v>
      </c>
      <c r="AB703" s="151">
        <f t="shared" si="1389"/>
        <v>0</v>
      </c>
      <c r="AC703" s="143"/>
      <c r="AD703" s="194">
        <v>1095920500</v>
      </c>
      <c r="AE703" s="170"/>
      <c r="AF703" s="148">
        <v>15000000</v>
      </c>
      <c r="AG703" s="169">
        <f>60000000+30000000</f>
        <v>90000000</v>
      </c>
      <c r="AH703" s="143">
        <f t="shared" si="1031"/>
        <v>0</v>
      </c>
      <c r="AI703" s="151"/>
      <c r="AJ703" s="151">
        <f t="shared" ref="AJ703:AL703" si="1390">P703-AE703</f>
        <v>0</v>
      </c>
      <c r="AK703" s="151">
        <f t="shared" si="1390"/>
        <v>0</v>
      </c>
      <c r="AL703" s="151">
        <f t="shared" si="1390"/>
        <v>0</v>
      </c>
      <c r="AM703" s="145"/>
      <c r="AN703" s="139"/>
      <c r="AO703" s="139"/>
      <c r="AP703" s="139"/>
      <c r="AQ703" s="145"/>
      <c r="AR703" s="145"/>
    </row>
    <row r="704" spans="1:44" s="156" customFormat="1" ht="31.5" x14ac:dyDescent="0.25">
      <c r="A704" s="143" t="s">
        <v>275</v>
      </c>
      <c r="B704" s="144">
        <v>691</v>
      </c>
      <c r="C704" s="143" t="s">
        <v>67</v>
      </c>
      <c r="D704" s="143" t="s">
        <v>3502</v>
      </c>
      <c r="E704" s="145"/>
      <c r="F704" s="145"/>
      <c r="G704" s="143" t="s">
        <v>3503</v>
      </c>
      <c r="H704" s="143"/>
      <c r="I704" s="143"/>
      <c r="J704" s="143"/>
      <c r="K704" s="143"/>
      <c r="L704" s="143" t="s">
        <v>3504</v>
      </c>
      <c r="M704" s="143" t="s">
        <v>43</v>
      </c>
      <c r="N704" s="143" t="s">
        <v>3505</v>
      </c>
      <c r="O704" s="147">
        <v>1271355500</v>
      </c>
      <c r="P704" s="150"/>
      <c r="Q704" s="181">
        <v>7500000</v>
      </c>
      <c r="R704" s="150"/>
      <c r="S704" s="147">
        <f t="shared" si="1029"/>
        <v>1278855500</v>
      </c>
      <c r="T704" s="158">
        <v>1271355500</v>
      </c>
      <c r="U704" s="143"/>
      <c r="V704" s="147">
        <v>7500000</v>
      </c>
      <c r="W704" s="143"/>
      <c r="X704" s="143"/>
      <c r="Y704" s="152">
        <f t="shared" ref="Y704:AB704" si="1391">AD704-T704</f>
        <v>0</v>
      </c>
      <c r="Z704" s="151">
        <f t="shared" si="1391"/>
        <v>0</v>
      </c>
      <c r="AA704" s="151">
        <f t="shared" si="1391"/>
        <v>0</v>
      </c>
      <c r="AB704" s="151">
        <f t="shared" si="1391"/>
        <v>0</v>
      </c>
      <c r="AC704" s="143"/>
      <c r="AD704" s="194">
        <v>1271355500</v>
      </c>
      <c r="AE704" s="203"/>
      <c r="AF704" s="181">
        <v>7500000</v>
      </c>
      <c r="AG704" s="203"/>
      <c r="AH704" s="143">
        <f t="shared" si="1031"/>
        <v>0</v>
      </c>
      <c r="AI704" s="151"/>
      <c r="AJ704" s="151">
        <f t="shared" ref="AJ704:AL704" si="1392">P704-AE704</f>
        <v>0</v>
      </c>
      <c r="AK704" s="151">
        <f t="shared" si="1392"/>
        <v>0</v>
      </c>
      <c r="AL704" s="151">
        <f t="shared" si="1392"/>
        <v>0</v>
      </c>
      <c r="AM704" s="145"/>
      <c r="AN704" s="139"/>
      <c r="AO704" s="139"/>
      <c r="AP704" s="139"/>
      <c r="AQ704" s="145"/>
      <c r="AR704" s="145"/>
    </row>
    <row r="705" spans="1:44" s="156" customFormat="1" ht="157.5" x14ac:dyDescent="0.25">
      <c r="A705" s="143" t="s">
        <v>60</v>
      </c>
      <c r="B705" s="144">
        <v>692</v>
      </c>
      <c r="C705" s="143" t="s">
        <v>67</v>
      </c>
      <c r="D705" s="143" t="s">
        <v>250</v>
      </c>
      <c r="E705" s="145"/>
      <c r="F705" s="145" t="s">
        <v>251</v>
      </c>
      <c r="G705" s="143" t="s">
        <v>252</v>
      </c>
      <c r="H705" s="143" t="s">
        <v>240</v>
      </c>
      <c r="I705" s="143"/>
      <c r="J705" s="143"/>
      <c r="K705" s="164"/>
      <c r="L705" s="143" t="s">
        <v>253</v>
      </c>
      <c r="M705" s="143" t="s">
        <v>43</v>
      </c>
      <c r="N705" s="143" t="s">
        <v>254</v>
      </c>
      <c r="O705" s="147">
        <v>1213968903</v>
      </c>
      <c r="P705" s="150"/>
      <c r="Q705" s="148">
        <v>15000000</v>
      </c>
      <c r="R705" s="148">
        <f>96000000+96000000</f>
        <v>192000000</v>
      </c>
      <c r="S705" s="147">
        <f t="shared" si="1029"/>
        <v>1420968903</v>
      </c>
      <c r="T705" s="158">
        <v>1213968903</v>
      </c>
      <c r="U705" s="143"/>
      <c r="V705" s="147">
        <v>15000000</v>
      </c>
      <c r="W705" s="158">
        <v>192000000</v>
      </c>
      <c r="X705" s="143"/>
      <c r="Y705" s="152">
        <f t="shared" ref="Y705:AB705" si="1393">AD705-T705</f>
        <v>0</v>
      </c>
      <c r="Z705" s="151">
        <f t="shared" si="1393"/>
        <v>0</v>
      </c>
      <c r="AA705" s="151">
        <f t="shared" si="1393"/>
        <v>0</v>
      </c>
      <c r="AB705" s="151">
        <f t="shared" si="1393"/>
        <v>0</v>
      </c>
      <c r="AC705" s="143"/>
      <c r="AD705" s="191">
        <v>1213968903</v>
      </c>
      <c r="AE705" s="170"/>
      <c r="AF705" s="148">
        <v>15000000</v>
      </c>
      <c r="AG705" s="169">
        <f>48000000+24000000+24000000+96000000</f>
        <v>192000000</v>
      </c>
      <c r="AH705" s="143">
        <f t="shared" si="1031"/>
        <v>0</v>
      </c>
      <c r="AI705" s="151"/>
      <c r="AJ705" s="151">
        <f t="shared" ref="AJ705:AL705" si="1394">P705-AE705</f>
        <v>0</v>
      </c>
      <c r="AK705" s="151">
        <f t="shared" si="1394"/>
        <v>0</v>
      </c>
      <c r="AL705" s="151">
        <f t="shared" si="1394"/>
        <v>0</v>
      </c>
      <c r="AM705" s="145"/>
      <c r="AN705" s="139"/>
      <c r="AO705" s="139"/>
      <c r="AP705" s="139"/>
      <c r="AQ705" s="145"/>
      <c r="AR705" s="145"/>
    </row>
    <row r="706" spans="1:44" s="156" customFormat="1" ht="31.5" x14ac:dyDescent="0.25">
      <c r="A706" s="143" t="s">
        <v>52</v>
      </c>
      <c r="B706" s="144">
        <v>693</v>
      </c>
      <c r="C706" s="143" t="s">
        <v>67</v>
      </c>
      <c r="D706" s="143" t="s">
        <v>3507</v>
      </c>
      <c r="E706" s="145"/>
      <c r="F706" s="145"/>
      <c r="G706" s="143" t="s">
        <v>3508</v>
      </c>
      <c r="H706" s="143"/>
      <c r="I706" s="143"/>
      <c r="J706" s="143"/>
      <c r="K706" s="143"/>
      <c r="L706" s="143" t="s">
        <v>3509</v>
      </c>
      <c r="M706" s="143" t="s">
        <v>43</v>
      </c>
      <c r="N706" s="143" t="s">
        <v>3510</v>
      </c>
      <c r="O706" s="147">
        <v>3795291327</v>
      </c>
      <c r="P706" s="150"/>
      <c r="Q706" s="181">
        <v>7500000</v>
      </c>
      <c r="R706" s="150"/>
      <c r="S706" s="147">
        <f t="shared" si="1029"/>
        <v>3802791327</v>
      </c>
      <c r="T706" s="158">
        <v>3795291327</v>
      </c>
      <c r="U706" s="143"/>
      <c r="V706" s="147">
        <v>7500000</v>
      </c>
      <c r="W706" s="143"/>
      <c r="X706" s="143"/>
      <c r="Y706" s="152">
        <f t="shared" ref="Y706:AB706" si="1395">AD706-T706</f>
        <v>0</v>
      </c>
      <c r="Z706" s="151">
        <f t="shared" si="1395"/>
        <v>0</v>
      </c>
      <c r="AA706" s="151">
        <f t="shared" si="1395"/>
        <v>0</v>
      </c>
      <c r="AB706" s="151">
        <f t="shared" si="1395"/>
        <v>0</v>
      </c>
      <c r="AC706" s="143"/>
      <c r="AD706" s="194">
        <v>3795291327</v>
      </c>
      <c r="AE706" s="203"/>
      <c r="AF706" s="148">
        <v>7500000</v>
      </c>
      <c r="AG706" s="203"/>
      <c r="AH706" s="143">
        <f t="shared" si="1031"/>
        <v>0</v>
      </c>
      <c r="AI706" s="151"/>
      <c r="AJ706" s="151">
        <f t="shared" ref="AJ706:AL706" si="1396">P706-AE706</f>
        <v>0</v>
      </c>
      <c r="AK706" s="151">
        <f t="shared" si="1396"/>
        <v>0</v>
      </c>
      <c r="AL706" s="151">
        <f t="shared" si="1396"/>
        <v>0</v>
      </c>
      <c r="AM706" s="145"/>
      <c r="AN706" s="139"/>
      <c r="AO706" s="139"/>
      <c r="AP706" s="139"/>
      <c r="AQ706" s="145"/>
      <c r="AR706" s="145"/>
    </row>
    <row r="707" spans="1:44" s="156" customFormat="1" ht="31.5" x14ac:dyDescent="0.25">
      <c r="A707" s="143" t="s">
        <v>52</v>
      </c>
      <c r="B707" s="144">
        <v>694</v>
      </c>
      <c r="C707" s="143" t="s">
        <v>67</v>
      </c>
      <c r="D707" s="143" t="s">
        <v>3511</v>
      </c>
      <c r="E707" s="145"/>
      <c r="F707" s="145"/>
      <c r="G707" s="143" t="s">
        <v>3512</v>
      </c>
      <c r="H707" s="143"/>
      <c r="I707" s="143"/>
      <c r="J707" s="143"/>
      <c r="K707" s="143"/>
      <c r="L707" s="143" t="s">
        <v>3513</v>
      </c>
      <c r="M707" s="143" t="s">
        <v>43</v>
      </c>
      <c r="N707" s="143" t="s">
        <v>3514</v>
      </c>
      <c r="O707" s="147">
        <v>1838697914</v>
      </c>
      <c r="P707" s="150"/>
      <c r="Q707" s="169">
        <v>7500000</v>
      </c>
      <c r="R707" s="150"/>
      <c r="S707" s="147">
        <f t="shared" si="1029"/>
        <v>1846197914</v>
      </c>
      <c r="T707" s="158">
        <v>1838697914</v>
      </c>
      <c r="U707" s="143"/>
      <c r="V707" s="147">
        <v>7500000</v>
      </c>
      <c r="W707" s="143"/>
      <c r="X707" s="143"/>
      <c r="Y707" s="152">
        <f t="shared" ref="Y707:AB707" si="1397">AD707-T707</f>
        <v>0</v>
      </c>
      <c r="Z707" s="151">
        <f t="shared" si="1397"/>
        <v>0</v>
      </c>
      <c r="AA707" s="151">
        <f t="shared" si="1397"/>
        <v>0</v>
      </c>
      <c r="AB707" s="152">
        <f t="shared" si="1397"/>
        <v>0</v>
      </c>
      <c r="AC707" s="143"/>
      <c r="AD707" s="149">
        <v>1838697914</v>
      </c>
      <c r="AE707" s="150"/>
      <c r="AF707" s="169">
        <v>7500000</v>
      </c>
      <c r="AG707" s="155"/>
      <c r="AH707" s="143">
        <f t="shared" si="1031"/>
        <v>0</v>
      </c>
      <c r="AI707" s="151"/>
      <c r="AJ707" s="151">
        <f t="shared" ref="AJ707:AL707" si="1398">P707-AE707</f>
        <v>0</v>
      </c>
      <c r="AK707" s="151">
        <f t="shared" si="1398"/>
        <v>0</v>
      </c>
      <c r="AL707" s="151">
        <f t="shared" si="1398"/>
        <v>0</v>
      </c>
      <c r="AM707" s="145"/>
      <c r="AN707" s="139"/>
      <c r="AO707" s="139"/>
      <c r="AP707" s="139"/>
      <c r="AQ707" s="145"/>
      <c r="AR707" s="145"/>
    </row>
    <row r="708" spans="1:44" s="156" customFormat="1" ht="63" x14ac:dyDescent="0.25">
      <c r="A708" s="143" t="s">
        <v>35</v>
      </c>
      <c r="B708" s="175">
        <v>695</v>
      </c>
      <c r="C708" s="145" t="s">
        <v>67</v>
      </c>
      <c r="D708" s="143" t="s">
        <v>3515</v>
      </c>
      <c r="E708" s="145"/>
      <c r="F708" s="145" t="s">
        <v>4021</v>
      </c>
      <c r="G708" s="145" t="s">
        <v>3516</v>
      </c>
      <c r="H708" s="145"/>
      <c r="I708" s="145"/>
      <c r="J708" s="145"/>
      <c r="K708" s="145"/>
      <c r="L708" s="145" t="s">
        <v>3517</v>
      </c>
      <c r="M708" s="145" t="s">
        <v>43</v>
      </c>
      <c r="N708" s="145" t="s">
        <v>3518</v>
      </c>
      <c r="O708" s="147">
        <v>9228830690</v>
      </c>
      <c r="P708" s="150"/>
      <c r="Q708" s="177">
        <v>15000000</v>
      </c>
      <c r="R708" s="148">
        <v>48000000</v>
      </c>
      <c r="S708" s="147">
        <f t="shared" si="1029"/>
        <v>9291830690</v>
      </c>
      <c r="T708" s="158">
        <v>9228830690</v>
      </c>
      <c r="U708" s="143"/>
      <c r="V708" s="157">
        <v>15000000</v>
      </c>
      <c r="W708" s="143"/>
      <c r="X708" s="143"/>
      <c r="Y708" s="151">
        <f t="shared" ref="Y708:AB708" si="1399">AD708-T708</f>
        <v>0</v>
      </c>
      <c r="Z708" s="151">
        <f t="shared" si="1399"/>
        <v>0</v>
      </c>
      <c r="AA708" s="151">
        <f t="shared" si="1399"/>
        <v>0</v>
      </c>
      <c r="AB708" s="151">
        <f t="shared" si="1399"/>
        <v>0</v>
      </c>
      <c r="AC708" s="165"/>
      <c r="AD708" s="181">
        <v>9228830690</v>
      </c>
      <c r="AE708" s="178"/>
      <c r="AF708" s="148">
        <v>15000000</v>
      </c>
      <c r="AG708" s="178"/>
      <c r="AH708" s="166">
        <f t="shared" si="1031"/>
        <v>0</v>
      </c>
      <c r="AI708" s="151"/>
      <c r="AJ708" s="151">
        <f t="shared" ref="AJ708:AL708" si="1400">P708-AE708</f>
        <v>0</v>
      </c>
      <c r="AK708" s="151">
        <f t="shared" si="1400"/>
        <v>0</v>
      </c>
      <c r="AL708" s="150">
        <f t="shared" si="1400"/>
        <v>48000000</v>
      </c>
      <c r="AM708" s="145"/>
      <c r="AN708" s="139"/>
      <c r="AO708" s="139"/>
      <c r="AP708" s="139"/>
      <c r="AQ708" s="145" t="s">
        <v>2674</v>
      </c>
      <c r="AR708" s="145"/>
    </row>
    <row r="709" spans="1:44" s="156" customFormat="1" ht="78.75" x14ac:dyDescent="0.25">
      <c r="A709" s="143" t="s">
        <v>52</v>
      </c>
      <c r="B709" s="144">
        <v>696</v>
      </c>
      <c r="C709" s="143" t="s">
        <v>67</v>
      </c>
      <c r="D709" s="143" t="s">
        <v>1610</v>
      </c>
      <c r="E709" s="145"/>
      <c r="F709" s="145" t="s">
        <v>1603</v>
      </c>
      <c r="G709" s="143" t="s">
        <v>1613</v>
      </c>
      <c r="H709" s="143"/>
      <c r="I709" s="143"/>
      <c r="J709" s="143"/>
      <c r="K709" s="164"/>
      <c r="L709" s="143" t="s">
        <v>1614</v>
      </c>
      <c r="M709" s="143" t="s">
        <v>43</v>
      </c>
      <c r="N709" s="143" t="s">
        <v>1615</v>
      </c>
      <c r="O709" s="147">
        <v>1043360216</v>
      </c>
      <c r="P709" s="150"/>
      <c r="Q709" s="174">
        <v>15000000</v>
      </c>
      <c r="R709" s="148">
        <f>24000000+48000000</f>
        <v>72000000</v>
      </c>
      <c r="S709" s="147">
        <f t="shared" si="1029"/>
        <v>1130360216</v>
      </c>
      <c r="T709" s="158">
        <v>1043360216</v>
      </c>
      <c r="U709" s="143"/>
      <c r="V709" s="147">
        <v>15000000</v>
      </c>
      <c r="W709" s="158">
        <v>72000000</v>
      </c>
      <c r="X709" s="143"/>
      <c r="Y709" s="152">
        <f t="shared" ref="Y709:AB709" si="1401">AD709-T709</f>
        <v>0</v>
      </c>
      <c r="Z709" s="151">
        <f t="shared" si="1401"/>
        <v>0</v>
      </c>
      <c r="AA709" s="151">
        <f t="shared" si="1401"/>
        <v>0</v>
      </c>
      <c r="AB709" s="151">
        <f t="shared" si="1401"/>
        <v>0</v>
      </c>
      <c r="AC709" s="143"/>
      <c r="AD709" s="202">
        <v>1043360216</v>
      </c>
      <c r="AE709" s="160"/>
      <c r="AF709" s="148">
        <v>15000000</v>
      </c>
      <c r="AG709" s="174">
        <f>24000000+48000000</f>
        <v>72000000</v>
      </c>
      <c r="AH709" s="143">
        <f t="shared" si="1031"/>
        <v>0</v>
      </c>
      <c r="AI709" s="151"/>
      <c r="AJ709" s="151">
        <f t="shared" ref="AJ709:AL709" si="1402">P709-AE709</f>
        <v>0</v>
      </c>
      <c r="AK709" s="151">
        <f t="shared" si="1402"/>
        <v>0</v>
      </c>
      <c r="AL709" s="151">
        <f t="shared" si="1402"/>
        <v>0</v>
      </c>
      <c r="AM709" s="145"/>
      <c r="AN709" s="139"/>
      <c r="AO709" s="139"/>
      <c r="AP709" s="139"/>
      <c r="AQ709" s="145"/>
      <c r="AR709" s="145"/>
    </row>
    <row r="710" spans="1:44" s="156" customFormat="1" ht="47.25" x14ac:dyDescent="0.25">
      <c r="A710" s="143" t="s">
        <v>35</v>
      </c>
      <c r="B710" s="144">
        <v>697</v>
      </c>
      <c r="C710" s="143" t="s">
        <v>67</v>
      </c>
      <c r="D710" s="143" t="s">
        <v>3520</v>
      </c>
      <c r="E710" s="145" t="s">
        <v>3298</v>
      </c>
      <c r="F710" s="145"/>
      <c r="G710" s="143" t="s">
        <v>3521</v>
      </c>
      <c r="H710" s="143" t="s">
        <v>3522</v>
      </c>
      <c r="I710" s="143"/>
      <c r="J710" s="143"/>
      <c r="K710" s="143"/>
      <c r="L710" s="143" t="s">
        <v>3523</v>
      </c>
      <c r="M710" s="143" t="s">
        <v>43</v>
      </c>
      <c r="N710" s="143" t="s">
        <v>3524</v>
      </c>
      <c r="O710" s="147">
        <v>8588500084</v>
      </c>
      <c r="P710" s="177">
        <v>1184688218</v>
      </c>
      <c r="Q710" s="177">
        <v>7500000</v>
      </c>
      <c r="R710" s="150"/>
      <c r="S710" s="147">
        <f t="shared" si="1029"/>
        <v>9780688302</v>
      </c>
      <c r="T710" s="158">
        <v>8588500084</v>
      </c>
      <c r="U710" s="158">
        <v>1184688218</v>
      </c>
      <c r="V710" s="147">
        <v>7500000</v>
      </c>
      <c r="W710" s="143"/>
      <c r="X710" s="143"/>
      <c r="Y710" s="152">
        <f t="shared" ref="Y710:AB710" si="1403">AD710-T710</f>
        <v>0</v>
      </c>
      <c r="Z710" s="151">
        <f t="shared" si="1403"/>
        <v>0</v>
      </c>
      <c r="AA710" s="151">
        <f t="shared" si="1403"/>
        <v>0</v>
      </c>
      <c r="AB710" s="151">
        <f t="shared" si="1403"/>
        <v>0</v>
      </c>
      <c r="AC710" s="143"/>
      <c r="AD710" s="194">
        <v>8588500084</v>
      </c>
      <c r="AE710" s="174">
        <v>1184688218</v>
      </c>
      <c r="AF710" s="148">
        <v>7500000</v>
      </c>
      <c r="AG710" s="178"/>
      <c r="AH710" s="143">
        <f t="shared" si="1031"/>
        <v>0</v>
      </c>
      <c r="AI710" s="151"/>
      <c r="AJ710" s="151">
        <f t="shared" ref="AJ710:AL710" si="1404">P710-AE710</f>
        <v>0</v>
      </c>
      <c r="AK710" s="151">
        <f t="shared" si="1404"/>
        <v>0</v>
      </c>
      <c r="AL710" s="151">
        <f t="shared" si="1404"/>
        <v>0</v>
      </c>
      <c r="AM710" s="145"/>
      <c r="AN710" s="139"/>
      <c r="AO710" s="139"/>
      <c r="AP710" s="139"/>
      <c r="AQ710" s="145"/>
      <c r="AR710" s="145"/>
    </row>
    <row r="711" spans="1:44" s="156" customFormat="1" ht="110.25" x14ac:dyDescent="0.25">
      <c r="A711" s="143" t="s">
        <v>35</v>
      </c>
      <c r="B711" s="175">
        <v>698</v>
      </c>
      <c r="C711" s="145" t="s">
        <v>67</v>
      </c>
      <c r="D711" s="143" t="s">
        <v>376</v>
      </c>
      <c r="E711" s="145" t="s">
        <v>377</v>
      </c>
      <c r="F711" s="145" t="s">
        <v>4022</v>
      </c>
      <c r="G711" s="145" t="s">
        <v>379</v>
      </c>
      <c r="H711" s="145" t="s">
        <v>380</v>
      </c>
      <c r="I711" s="145"/>
      <c r="J711" s="145"/>
      <c r="K711" s="146"/>
      <c r="L711" s="145" t="s">
        <v>381</v>
      </c>
      <c r="M711" s="145" t="s">
        <v>43</v>
      </c>
      <c r="N711" s="145" t="s">
        <v>383</v>
      </c>
      <c r="O711" s="147">
        <v>1495439088</v>
      </c>
      <c r="P711" s="201">
        <v>330415722</v>
      </c>
      <c r="Q711" s="201">
        <v>15000000</v>
      </c>
      <c r="R711" s="148">
        <f>24000000+48000000</f>
        <v>72000000</v>
      </c>
      <c r="S711" s="147">
        <f t="shared" si="1029"/>
        <v>1912854810</v>
      </c>
      <c r="T711" s="158">
        <v>1495439088</v>
      </c>
      <c r="U711" s="158">
        <v>330415722</v>
      </c>
      <c r="V711" s="157">
        <v>15000000</v>
      </c>
      <c r="W711" s="143"/>
      <c r="X711" s="143"/>
      <c r="Y711" s="151">
        <f t="shared" ref="Y711:AB711" si="1405">AD711-T711</f>
        <v>0</v>
      </c>
      <c r="Z711" s="151">
        <f t="shared" si="1405"/>
        <v>0</v>
      </c>
      <c r="AA711" s="151">
        <f t="shared" si="1405"/>
        <v>0</v>
      </c>
      <c r="AB711" s="151">
        <f t="shared" si="1405"/>
        <v>0</v>
      </c>
      <c r="AC711" s="165"/>
      <c r="AD711" s="181">
        <v>1495439088</v>
      </c>
      <c r="AE711" s="201">
        <v>330415722</v>
      </c>
      <c r="AF711" s="148">
        <v>15000000</v>
      </c>
      <c r="AG711" s="200"/>
      <c r="AH711" s="166">
        <f t="shared" si="1031"/>
        <v>0</v>
      </c>
      <c r="AI711" s="151"/>
      <c r="AJ711" s="151">
        <f t="shared" ref="AJ711:AL711" si="1406">P711-AE711</f>
        <v>0</v>
      </c>
      <c r="AK711" s="151">
        <f t="shared" si="1406"/>
        <v>0</v>
      </c>
      <c r="AL711" s="150">
        <f t="shared" si="1406"/>
        <v>72000000</v>
      </c>
      <c r="AM711" s="145"/>
      <c r="AN711" s="139"/>
      <c r="AO711" s="139"/>
      <c r="AP711" s="139"/>
      <c r="AQ711" s="145" t="s">
        <v>2745</v>
      </c>
      <c r="AR711" s="145"/>
    </row>
    <row r="712" spans="1:44" s="156" customFormat="1" ht="31.5" x14ac:dyDescent="0.25">
      <c r="A712" s="143" t="s">
        <v>52</v>
      </c>
      <c r="B712" s="144">
        <v>699</v>
      </c>
      <c r="C712" s="143" t="s">
        <v>67</v>
      </c>
      <c r="D712" s="143" t="s">
        <v>3528</v>
      </c>
      <c r="E712" s="145"/>
      <c r="F712" s="145"/>
      <c r="G712" s="143" t="s">
        <v>3529</v>
      </c>
      <c r="H712" s="143"/>
      <c r="I712" s="143"/>
      <c r="J712" s="143"/>
      <c r="K712" s="143"/>
      <c r="L712" s="143" t="s">
        <v>3530</v>
      </c>
      <c r="M712" s="143" t="s">
        <v>43</v>
      </c>
      <c r="N712" s="143" t="s">
        <v>3531</v>
      </c>
      <c r="O712" s="147">
        <v>793397916</v>
      </c>
      <c r="P712" s="150"/>
      <c r="Q712" s="169">
        <v>15000000</v>
      </c>
      <c r="R712" s="150"/>
      <c r="S712" s="147">
        <f t="shared" si="1029"/>
        <v>808397916</v>
      </c>
      <c r="T712" s="158">
        <v>793397916</v>
      </c>
      <c r="U712" s="143"/>
      <c r="V712" s="147">
        <v>15000000</v>
      </c>
      <c r="W712" s="143"/>
      <c r="X712" s="143"/>
      <c r="Y712" s="152">
        <f t="shared" ref="Y712:AB712" si="1407">AD712-T712</f>
        <v>0</v>
      </c>
      <c r="Z712" s="151">
        <f t="shared" si="1407"/>
        <v>0</v>
      </c>
      <c r="AA712" s="151">
        <f t="shared" si="1407"/>
        <v>0</v>
      </c>
      <c r="AB712" s="151">
        <f t="shared" si="1407"/>
        <v>0</v>
      </c>
      <c r="AC712" s="143"/>
      <c r="AD712" s="191">
        <v>793397916</v>
      </c>
      <c r="AE712" s="170"/>
      <c r="AF712" s="169">
        <v>15000000</v>
      </c>
      <c r="AG712" s="170"/>
      <c r="AH712" s="143">
        <f t="shared" si="1031"/>
        <v>0</v>
      </c>
      <c r="AI712" s="151"/>
      <c r="AJ712" s="151">
        <f t="shared" ref="AJ712:AL712" si="1408">P712-AE712</f>
        <v>0</v>
      </c>
      <c r="AK712" s="151">
        <f t="shared" si="1408"/>
        <v>0</v>
      </c>
      <c r="AL712" s="151">
        <f t="shared" si="1408"/>
        <v>0</v>
      </c>
      <c r="AM712" s="145"/>
      <c r="AN712" s="139"/>
      <c r="AO712" s="139"/>
      <c r="AP712" s="139"/>
      <c r="AQ712" s="145"/>
      <c r="AR712" s="145"/>
    </row>
    <row r="713" spans="1:44" s="156" customFormat="1" ht="31.5" x14ac:dyDescent="0.25">
      <c r="A713" s="143" t="s">
        <v>52</v>
      </c>
      <c r="B713" s="144">
        <v>700</v>
      </c>
      <c r="C713" s="143" t="s">
        <v>67</v>
      </c>
      <c r="D713" s="143" t="s">
        <v>1408</v>
      </c>
      <c r="E713" s="145"/>
      <c r="F713" s="145" t="s">
        <v>1186</v>
      </c>
      <c r="G713" s="143" t="s">
        <v>1410</v>
      </c>
      <c r="H713" s="143"/>
      <c r="I713" s="143"/>
      <c r="J713" s="143"/>
      <c r="K713" s="164"/>
      <c r="L713" s="143" t="s">
        <v>1411</v>
      </c>
      <c r="M713" s="143" t="s">
        <v>43</v>
      </c>
      <c r="N713" s="143" t="s">
        <v>1412</v>
      </c>
      <c r="O713" s="147">
        <v>776854950</v>
      </c>
      <c r="P713" s="150"/>
      <c r="Q713" s="181">
        <v>15000000</v>
      </c>
      <c r="R713" s="148">
        <v>8000000</v>
      </c>
      <c r="S713" s="147">
        <f t="shared" si="1029"/>
        <v>799854950</v>
      </c>
      <c r="T713" s="158">
        <v>776854950</v>
      </c>
      <c r="U713" s="143"/>
      <c r="V713" s="147">
        <v>15000000</v>
      </c>
      <c r="W713" s="158">
        <v>8000000</v>
      </c>
      <c r="X713" s="143"/>
      <c r="Y713" s="152">
        <f t="shared" ref="Y713:AB713" si="1409">AD713-T713</f>
        <v>0</v>
      </c>
      <c r="Z713" s="151">
        <f t="shared" si="1409"/>
        <v>0</v>
      </c>
      <c r="AA713" s="151">
        <f t="shared" si="1409"/>
        <v>0</v>
      </c>
      <c r="AB713" s="151">
        <f t="shared" si="1409"/>
        <v>0</v>
      </c>
      <c r="AC713" s="143"/>
      <c r="AD713" s="194">
        <v>776854950</v>
      </c>
      <c r="AE713" s="203"/>
      <c r="AF713" s="169">
        <v>15000000</v>
      </c>
      <c r="AG713" s="181">
        <v>8000000</v>
      </c>
      <c r="AH713" s="143">
        <f t="shared" si="1031"/>
        <v>0</v>
      </c>
      <c r="AI713" s="151"/>
      <c r="AJ713" s="151">
        <f t="shared" ref="AJ713:AL713" si="1410">P713-AE713</f>
        <v>0</v>
      </c>
      <c r="AK713" s="151">
        <f t="shared" si="1410"/>
        <v>0</v>
      </c>
      <c r="AL713" s="151">
        <f t="shared" si="1410"/>
        <v>0</v>
      </c>
      <c r="AM713" s="145"/>
      <c r="AN713" s="139"/>
      <c r="AO713" s="139"/>
      <c r="AP713" s="139"/>
      <c r="AQ713" s="145"/>
      <c r="AR713" s="145"/>
    </row>
    <row r="714" spans="1:44" s="156" customFormat="1" ht="78.75" x14ac:dyDescent="0.25">
      <c r="A714" s="143" t="s">
        <v>35</v>
      </c>
      <c r="B714" s="144">
        <v>701</v>
      </c>
      <c r="C714" s="143" t="s">
        <v>67</v>
      </c>
      <c r="D714" s="143" t="s">
        <v>1484</v>
      </c>
      <c r="E714" s="145"/>
      <c r="F714" s="145" t="s">
        <v>1462</v>
      </c>
      <c r="G714" s="143" t="s">
        <v>1485</v>
      </c>
      <c r="H714" s="143"/>
      <c r="I714" s="143"/>
      <c r="J714" s="143"/>
      <c r="K714" s="164"/>
      <c r="L714" s="143" t="s">
        <v>1486</v>
      </c>
      <c r="M714" s="143" t="s">
        <v>43</v>
      </c>
      <c r="N714" s="143" t="s">
        <v>1487</v>
      </c>
      <c r="O714" s="147">
        <v>1219499284</v>
      </c>
      <c r="P714" s="150"/>
      <c r="Q714" s="177">
        <v>15000000</v>
      </c>
      <c r="R714" s="148">
        <f>40000000+48000000</f>
        <v>88000000</v>
      </c>
      <c r="S714" s="147">
        <f t="shared" si="1029"/>
        <v>1322499284</v>
      </c>
      <c r="T714" s="158">
        <v>1219499284</v>
      </c>
      <c r="U714" s="143"/>
      <c r="V714" s="147">
        <v>15000000</v>
      </c>
      <c r="W714" s="158">
        <v>88000000</v>
      </c>
      <c r="X714" s="143"/>
      <c r="Y714" s="152">
        <f t="shared" ref="Y714:AB714" si="1411">AD714-T714</f>
        <v>0</v>
      </c>
      <c r="Z714" s="151">
        <f t="shared" si="1411"/>
        <v>0</v>
      </c>
      <c r="AA714" s="151">
        <f t="shared" si="1411"/>
        <v>0</v>
      </c>
      <c r="AB714" s="151">
        <f t="shared" si="1411"/>
        <v>0</v>
      </c>
      <c r="AC714" s="143"/>
      <c r="AD714" s="191">
        <v>1219499284</v>
      </c>
      <c r="AE714" s="170"/>
      <c r="AF714" s="148">
        <v>15000000</v>
      </c>
      <c r="AG714" s="169">
        <f>40000000+48000000</f>
        <v>88000000</v>
      </c>
      <c r="AH714" s="143">
        <f t="shared" si="1031"/>
        <v>0</v>
      </c>
      <c r="AI714" s="151"/>
      <c r="AJ714" s="151">
        <f t="shared" ref="AJ714:AL714" si="1412">P714-AE714</f>
        <v>0</v>
      </c>
      <c r="AK714" s="151">
        <f t="shared" si="1412"/>
        <v>0</v>
      </c>
      <c r="AL714" s="151">
        <f t="shared" si="1412"/>
        <v>0</v>
      </c>
      <c r="AM714" s="145"/>
      <c r="AN714" s="139"/>
      <c r="AO714" s="139"/>
      <c r="AP714" s="139"/>
      <c r="AQ714" s="145"/>
      <c r="AR714" s="145"/>
    </row>
    <row r="715" spans="1:44" s="156" customFormat="1" ht="63" x14ac:dyDescent="0.25">
      <c r="A715" s="143" t="s">
        <v>52</v>
      </c>
      <c r="B715" s="175">
        <v>702</v>
      </c>
      <c r="C715" s="145" t="s">
        <v>67</v>
      </c>
      <c r="D715" s="143" t="s">
        <v>894</v>
      </c>
      <c r="E715" s="145" t="s">
        <v>895</v>
      </c>
      <c r="F715" s="145" t="s">
        <v>4020</v>
      </c>
      <c r="G715" s="145" t="s">
        <v>896</v>
      </c>
      <c r="H715" s="145" t="s">
        <v>897</v>
      </c>
      <c r="I715" s="145"/>
      <c r="J715" s="145"/>
      <c r="K715" s="146"/>
      <c r="L715" s="145" t="s">
        <v>898</v>
      </c>
      <c r="M715" s="145" t="s">
        <v>43</v>
      </c>
      <c r="N715" s="145" t="s">
        <v>899</v>
      </c>
      <c r="O715" s="147">
        <v>1540321022</v>
      </c>
      <c r="P715" s="181">
        <v>659051076</v>
      </c>
      <c r="Q715" s="181">
        <v>15000000</v>
      </c>
      <c r="R715" s="148">
        <v>48000000</v>
      </c>
      <c r="S715" s="147">
        <f t="shared" si="1029"/>
        <v>2262372098</v>
      </c>
      <c r="T715" s="158">
        <v>1540321022</v>
      </c>
      <c r="U715" s="151">
        <v>659051076</v>
      </c>
      <c r="V715" s="147">
        <v>15000000</v>
      </c>
      <c r="W715" s="143"/>
      <c r="X715" s="143"/>
      <c r="Y715" s="151">
        <f t="shared" ref="Y715:AB715" si="1413">AD715-T715</f>
        <v>0</v>
      </c>
      <c r="Z715" s="151">
        <f t="shared" si="1413"/>
        <v>0</v>
      </c>
      <c r="AA715" s="151">
        <f t="shared" si="1413"/>
        <v>0</v>
      </c>
      <c r="AB715" s="151">
        <f t="shared" si="1413"/>
        <v>0</v>
      </c>
      <c r="AC715" s="165"/>
      <c r="AD715" s="181">
        <v>1540321022</v>
      </c>
      <c r="AE715" s="181">
        <v>659051076</v>
      </c>
      <c r="AF715" s="148">
        <v>15000000</v>
      </c>
      <c r="AG715" s="203"/>
      <c r="AH715" s="166">
        <f t="shared" si="1031"/>
        <v>0</v>
      </c>
      <c r="AI715" s="151"/>
      <c r="AJ715" s="151">
        <f t="shared" ref="AJ715:AL715" si="1414">P715-AE715</f>
        <v>0</v>
      </c>
      <c r="AK715" s="151">
        <f t="shared" si="1414"/>
        <v>0</v>
      </c>
      <c r="AL715" s="150">
        <f t="shared" si="1414"/>
        <v>48000000</v>
      </c>
      <c r="AM715" s="145"/>
      <c r="AN715" s="139"/>
      <c r="AO715" s="139"/>
      <c r="AP715" s="139"/>
      <c r="AQ715" s="145" t="s">
        <v>2745</v>
      </c>
      <c r="AR715" s="145"/>
    </row>
    <row r="716" spans="1:44" s="156" customFormat="1" ht="94.5" x14ac:dyDescent="0.25">
      <c r="A716" s="143" t="s">
        <v>52</v>
      </c>
      <c r="B716" s="144">
        <v>703</v>
      </c>
      <c r="C716" s="143" t="s">
        <v>67</v>
      </c>
      <c r="D716" s="143" t="s">
        <v>267</v>
      </c>
      <c r="E716" s="145"/>
      <c r="F716" s="145" t="s">
        <v>4023</v>
      </c>
      <c r="G716" s="143" t="s">
        <v>269</v>
      </c>
      <c r="H716" s="143"/>
      <c r="I716" s="143"/>
      <c r="J716" s="143"/>
      <c r="K716" s="164"/>
      <c r="L716" s="143" t="s">
        <v>270</v>
      </c>
      <c r="M716" s="143" t="s">
        <v>43</v>
      </c>
      <c r="N716" s="143" t="s">
        <v>271</v>
      </c>
      <c r="O716" s="147">
        <v>732297702</v>
      </c>
      <c r="P716" s="150"/>
      <c r="Q716" s="169">
        <v>15000000</v>
      </c>
      <c r="R716" s="148">
        <f>24000000+48000000</f>
        <v>72000000</v>
      </c>
      <c r="S716" s="147">
        <f t="shared" si="1029"/>
        <v>819297702</v>
      </c>
      <c r="T716" s="158">
        <v>732297702</v>
      </c>
      <c r="U716" s="143"/>
      <c r="V716" s="147">
        <v>15000000</v>
      </c>
      <c r="W716" s="158">
        <v>72000000</v>
      </c>
      <c r="X716" s="143"/>
      <c r="Y716" s="152">
        <f t="shared" ref="Y716:AB716" si="1415">AD716-T716</f>
        <v>0</v>
      </c>
      <c r="Z716" s="151">
        <f t="shared" si="1415"/>
        <v>0</v>
      </c>
      <c r="AA716" s="151">
        <f t="shared" si="1415"/>
        <v>0</v>
      </c>
      <c r="AB716" s="151">
        <f t="shared" si="1415"/>
        <v>0</v>
      </c>
      <c r="AC716" s="143"/>
      <c r="AD716" s="194">
        <v>732297702</v>
      </c>
      <c r="AE716" s="170"/>
      <c r="AF716" s="148">
        <v>15000000</v>
      </c>
      <c r="AG716" s="169">
        <f>24000000+48000000</f>
        <v>72000000</v>
      </c>
      <c r="AH716" s="143">
        <f t="shared" si="1031"/>
        <v>0</v>
      </c>
      <c r="AI716" s="151"/>
      <c r="AJ716" s="151">
        <f t="shared" ref="AJ716:AL716" si="1416">P716-AE716</f>
        <v>0</v>
      </c>
      <c r="AK716" s="151">
        <f t="shared" si="1416"/>
        <v>0</v>
      </c>
      <c r="AL716" s="151">
        <f t="shared" si="1416"/>
        <v>0</v>
      </c>
      <c r="AM716" s="145"/>
      <c r="AN716" s="139"/>
      <c r="AO716" s="139"/>
      <c r="AP716" s="139"/>
      <c r="AQ716" s="145"/>
      <c r="AR716" s="145"/>
    </row>
    <row r="717" spans="1:44" s="156" customFormat="1" ht="31.5" x14ac:dyDescent="0.25">
      <c r="A717" s="143" t="s">
        <v>35</v>
      </c>
      <c r="B717" s="144">
        <v>704</v>
      </c>
      <c r="C717" s="143" t="s">
        <v>67</v>
      </c>
      <c r="D717" s="143" t="s">
        <v>3536</v>
      </c>
      <c r="E717" s="145"/>
      <c r="F717" s="145"/>
      <c r="G717" s="143" t="s">
        <v>3537</v>
      </c>
      <c r="H717" s="143"/>
      <c r="I717" s="143"/>
      <c r="J717" s="143"/>
      <c r="K717" s="143"/>
      <c r="L717" s="143" t="s">
        <v>3538</v>
      </c>
      <c r="M717" s="143" t="s">
        <v>43</v>
      </c>
      <c r="N717" s="143" t="s">
        <v>3539</v>
      </c>
      <c r="O717" s="147">
        <v>1040312692</v>
      </c>
      <c r="P717" s="150"/>
      <c r="Q717" s="201">
        <v>7500000</v>
      </c>
      <c r="R717" s="150"/>
      <c r="S717" s="147">
        <f t="shared" si="1029"/>
        <v>1047812692</v>
      </c>
      <c r="T717" s="158">
        <v>1040312692</v>
      </c>
      <c r="U717" s="143"/>
      <c r="V717" s="147">
        <v>7500000</v>
      </c>
      <c r="W717" s="143"/>
      <c r="X717" s="143"/>
      <c r="Y717" s="152">
        <f t="shared" ref="Y717:AB717" si="1417">AD717-T717</f>
        <v>0</v>
      </c>
      <c r="Z717" s="151">
        <f t="shared" si="1417"/>
        <v>0</v>
      </c>
      <c r="AA717" s="151">
        <f t="shared" si="1417"/>
        <v>0</v>
      </c>
      <c r="AB717" s="151">
        <f t="shared" si="1417"/>
        <v>0</v>
      </c>
      <c r="AC717" s="143"/>
      <c r="AD717" s="194">
        <v>1040312692</v>
      </c>
      <c r="AE717" s="203"/>
      <c r="AF717" s="148">
        <v>7500000</v>
      </c>
      <c r="AG717" s="203"/>
      <c r="AH717" s="143">
        <f t="shared" si="1031"/>
        <v>0</v>
      </c>
      <c r="AI717" s="151"/>
      <c r="AJ717" s="151">
        <f t="shared" ref="AJ717:AL717" si="1418">P717-AE717</f>
        <v>0</v>
      </c>
      <c r="AK717" s="151">
        <f t="shared" si="1418"/>
        <v>0</v>
      </c>
      <c r="AL717" s="151">
        <f t="shared" si="1418"/>
        <v>0</v>
      </c>
      <c r="AM717" s="145"/>
      <c r="AN717" s="139"/>
      <c r="AO717" s="139"/>
      <c r="AP717" s="139"/>
      <c r="AQ717" s="145"/>
      <c r="AR717" s="145"/>
    </row>
    <row r="718" spans="1:44" s="156" customFormat="1" ht="31.5" x14ac:dyDescent="0.25">
      <c r="A718" s="143" t="s">
        <v>35</v>
      </c>
      <c r="B718" s="144">
        <v>705</v>
      </c>
      <c r="C718" s="143" t="s">
        <v>67</v>
      </c>
      <c r="D718" s="143" t="s">
        <v>3540</v>
      </c>
      <c r="E718" s="145"/>
      <c r="F718" s="145"/>
      <c r="G718" s="143" t="s">
        <v>3541</v>
      </c>
      <c r="H718" s="143" t="s">
        <v>1020</v>
      </c>
      <c r="I718" s="143"/>
      <c r="J718" s="143"/>
      <c r="K718" s="143"/>
      <c r="L718" s="143" t="s">
        <v>3542</v>
      </c>
      <c r="M718" s="143" t="s">
        <v>43</v>
      </c>
      <c r="N718" s="143" t="s">
        <v>3543</v>
      </c>
      <c r="O718" s="147">
        <v>810543033</v>
      </c>
      <c r="P718" s="150"/>
      <c r="Q718" s="177">
        <v>15000000</v>
      </c>
      <c r="R718" s="150"/>
      <c r="S718" s="147">
        <f t="shared" si="1029"/>
        <v>825543033</v>
      </c>
      <c r="T718" s="158">
        <v>810543033</v>
      </c>
      <c r="U718" s="143"/>
      <c r="V718" s="147">
        <v>15000000</v>
      </c>
      <c r="W718" s="143"/>
      <c r="X718" s="143"/>
      <c r="Y718" s="152">
        <f t="shared" ref="Y718:AB718" si="1419">AD718-T718</f>
        <v>0</v>
      </c>
      <c r="Z718" s="151">
        <f t="shared" si="1419"/>
        <v>0</v>
      </c>
      <c r="AA718" s="151">
        <f t="shared" si="1419"/>
        <v>0</v>
      </c>
      <c r="AB718" s="151">
        <f t="shared" si="1419"/>
        <v>0</v>
      </c>
      <c r="AC718" s="143"/>
      <c r="AD718" s="191">
        <v>810543033</v>
      </c>
      <c r="AE718" s="170"/>
      <c r="AF718" s="148">
        <v>15000000</v>
      </c>
      <c r="AG718" s="170"/>
      <c r="AH718" s="143">
        <f t="shared" si="1031"/>
        <v>0</v>
      </c>
      <c r="AI718" s="151"/>
      <c r="AJ718" s="151">
        <f t="shared" ref="AJ718:AL718" si="1420">P718-AE718</f>
        <v>0</v>
      </c>
      <c r="AK718" s="151">
        <f t="shared" si="1420"/>
        <v>0</v>
      </c>
      <c r="AL718" s="151">
        <f t="shared" si="1420"/>
        <v>0</v>
      </c>
      <c r="AM718" s="145"/>
      <c r="AN718" s="139"/>
      <c r="AO718" s="139"/>
      <c r="AP718" s="139"/>
      <c r="AQ718" s="145"/>
      <c r="AR718" s="145"/>
    </row>
    <row r="719" spans="1:44" s="156" customFormat="1" ht="31.5" x14ac:dyDescent="0.25">
      <c r="A719" s="143" t="s">
        <v>35</v>
      </c>
      <c r="B719" s="144">
        <v>706</v>
      </c>
      <c r="C719" s="143" t="s">
        <v>67</v>
      </c>
      <c r="D719" s="143" t="s">
        <v>3544</v>
      </c>
      <c r="E719" s="145"/>
      <c r="F719" s="145"/>
      <c r="G719" s="143" t="s">
        <v>3545</v>
      </c>
      <c r="H719" s="143"/>
      <c r="I719" s="143"/>
      <c r="J719" s="143"/>
      <c r="K719" s="143"/>
      <c r="L719" s="143" t="s">
        <v>3546</v>
      </c>
      <c r="M719" s="143" t="s">
        <v>43</v>
      </c>
      <c r="N719" s="143" t="s">
        <v>3547</v>
      </c>
      <c r="O719" s="147">
        <v>332579306</v>
      </c>
      <c r="P719" s="150"/>
      <c r="Q719" s="201">
        <v>7500000</v>
      </c>
      <c r="R719" s="150"/>
      <c r="S719" s="147">
        <f t="shared" si="1029"/>
        <v>340079306</v>
      </c>
      <c r="T719" s="158">
        <v>332579306</v>
      </c>
      <c r="U719" s="143"/>
      <c r="V719" s="147">
        <v>7500000</v>
      </c>
      <c r="W719" s="143"/>
      <c r="X719" s="143"/>
      <c r="Y719" s="152">
        <f t="shared" ref="Y719:AB719" si="1421">AD719-T719</f>
        <v>0</v>
      </c>
      <c r="Z719" s="151">
        <f t="shared" si="1421"/>
        <v>0</v>
      </c>
      <c r="AA719" s="151">
        <f t="shared" si="1421"/>
        <v>0</v>
      </c>
      <c r="AB719" s="151">
        <f t="shared" si="1421"/>
        <v>0</v>
      </c>
      <c r="AC719" s="143"/>
      <c r="AD719" s="194">
        <v>332579306</v>
      </c>
      <c r="AE719" s="203"/>
      <c r="AF719" s="201">
        <v>7500000</v>
      </c>
      <c r="AG719" s="203"/>
      <c r="AH719" s="143">
        <f t="shared" si="1031"/>
        <v>0</v>
      </c>
      <c r="AI719" s="151"/>
      <c r="AJ719" s="151">
        <f t="shared" ref="AJ719:AL719" si="1422">P719-AE719</f>
        <v>0</v>
      </c>
      <c r="AK719" s="151">
        <f t="shared" si="1422"/>
        <v>0</v>
      </c>
      <c r="AL719" s="151">
        <f t="shared" si="1422"/>
        <v>0</v>
      </c>
      <c r="AM719" s="145"/>
      <c r="AN719" s="139"/>
      <c r="AO719" s="139"/>
      <c r="AP719" s="139"/>
      <c r="AQ719" s="145"/>
      <c r="AR719" s="145"/>
    </row>
    <row r="720" spans="1:44" s="156" customFormat="1" ht="47.25" x14ac:dyDescent="0.25">
      <c r="A720" s="143" t="s">
        <v>35</v>
      </c>
      <c r="B720" s="144">
        <v>707</v>
      </c>
      <c r="C720" s="143" t="s">
        <v>67</v>
      </c>
      <c r="D720" s="143" t="s">
        <v>3548</v>
      </c>
      <c r="E720" s="145"/>
      <c r="F720" s="145"/>
      <c r="G720" s="143" t="s">
        <v>3549</v>
      </c>
      <c r="H720" s="143"/>
      <c r="I720" s="143"/>
      <c r="J720" s="143"/>
      <c r="K720" s="143"/>
      <c r="L720" s="143" t="s">
        <v>3550</v>
      </c>
      <c r="M720" s="143" t="s">
        <v>43</v>
      </c>
      <c r="N720" s="143" t="s">
        <v>285</v>
      </c>
      <c r="O720" s="147">
        <v>72618840</v>
      </c>
      <c r="P720" s="150"/>
      <c r="Q720" s="177">
        <v>7500000</v>
      </c>
      <c r="R720" s="150"/>
      <c r="S720" s="147">
        <f t="shared" si="1029"/>
        <v>80118840</v>
      </c>
      <c r="T720" s="158">
        <v>72618840</v>
      </c>
      <c r="U720" s="143"/>
      <c r="V720" s="147">
        <v>7500000</v>
      </c>
      <c r="W720" s="143"/>
      <c r="X720" s="143"/>
      <c r="Y720" s="152">
        <f t="shared" ref="Y720:AB720" si="1423">AD720-T720</f>
        <v>0</v>
      </c>
      <c r="Z720" s="151">
        <f t="shared" si="1423"/>
        <v>0</v>
      </c>
      <c r="AA720" s="151">
        <f t="shared" si="1423"/>
        <v>0</v>
      </c>
      <c r="AB720" s="151">
        <f t="shared" si="1423"/>
        <v>0</v>
      </c>
      <c r="AC720" s="143"/>
      <c r="AD720" s="191">
        <v>72618840</v>
      </c>
      <c r="AE720" s="170"/>
      <c r="AF720" s="148">
        <v>7500000</v>
      </c>
      <c r="AG720" s="170"/>
      <c r="AH720" s="143">
        <f t="shared" si="1031"/>
        <v>0</v>
      </c>
      <c r="AI720" s="151"/>
      <c r="AJ720" s="151">
        <f t="shared" ref="AJ720:AL720" si="1424">P720-AE720</f>
        <v>0</v>
      </c>
      <c r="AK720" s="151">
        <f t="shared" si="1424"/>
        <v>0</v>
      </c>
      <c r="AL720" s="151">
        <f t="shared" si="1424"/>
        <v>0</v>
      </c>
      <c r="AM720" s="145"/>
      <c r="AN720" s="139"/>
      <c r="AO720" s="139"/>
      <c r="AP720" s="139"/>
      <c r="AQ720" s="145"/>
      <c r="AR720" s="145"/>
    </row>
    <row r="721" spans="1:44" s="156" customFormat="1" ht="47.25" x14ac:dyDescent="0.25">
      <c r="A721" s="143" t="s">
        <v>35</v>
      </c>
      <c r="B721" s="144">
        <v>708</v>
      </c>
      <c r="C721" s="143" t="s">
        <v>67</v>
      </c>
      <c r="D721" s="143" t="s">
        <v>116</v>
      </c>
      <c r="E721" s="145"/>
      <c r="F721" s="145" t="s">
        <v>117</v>
      </c>
      <c r="G721" s="143" t="s">
        <v>118</v>
      </c>
      <c r="H721" s="143" t="s">
        <v>84</v>
      </c>
      <c r="I721" s="143"/>
      <c r="J721" s="143"/>
      <c r="K721" s="164"/>
      <c r="L721" s="143" t="s">
        <v>119</v>
      </c>
      <c r="M721" s="143" t="s">
        <v>43</v>
      </c>
      <c r="N721" s="143" t="s">
        <v>120</v>
      </c>
      <c r="O721" s="147">
        <v>2877293872</v>
      </c>
      <c r="P721" s="150"/>
      <c r="Q721" s="201">
        <v>15000000</v>
      </c>
      <c r="R721" s="148">
        <v>32000000</v>
      </c>
      <c r="S721" s="147">
        <f t="shared" si="1029"/>
        <v>2924293872</v>
      </c>
      <c r="T721" s="158">
        <v>2877293872</v>
      </c>
      <c r="U721" s="143"/>
      <c r="V721" s="147">
        <v>15000000</v>
      </c>
      <c r="W721" s="158">
        <v>32000000</v>
      </c>
      <c r="X721" s="143"/>
      <c r="Y721" s="152">
        <f t="shared" ref="Y721:AB721" si="1425">AD721-T721</f>
        <v>0</v>
      </c>
      <c r="Z721" s="151">
        <f t="shared" si="1425"/>
        <v>0</v>
      </c>
      <c r="AA721" s="151">
        <f t="shared" si="1425"/>
        <v>0</v>
      </c>
      <c r="AB721" s="151">
        <f t="shared" si="1425"/>
        <v>0</v>
      </c>
      <c r="AC721" s="143"/>
      <c r="AD721" s="194">
        <v>2877293872</v>
      </c>
      <c r="AE721" s="203"/>
      <c r="AF721" s="148">
        <v>15000000</v>
      </c>
      <c r="AG721" s="181">
        <v>32000000</v>
      </c>
      <c r="AH721" s="143">
        <f t="shared" si="1031"/>
        <v>0</v>
      </c>
      <c r="AI721" s="151"/>
      <c r="AJ721" s="151">
        <f t="shared" ref="AJ721:AL721" si="1426">P721-AE721</f>
        <v>0</v>
      </c>
      <c r="AK721" s="151">
        <f t="shared" si="1426"/>
        <v>0</v>
      </c>
      <c r="AL721" s="151">
        <f t="shared" si="1426"/>
        <v>0</v>
      </c>
      <c r="AM721" s="145"/>
      <c r="AN721" s="139"/>
      <c r="AO721" s="139"/>
      <c r="AP721" s="139"/>
      <c r="AQ721" s="145"/>
      <c r="AR721" s="145"/>
    </row>
    <row r="722" spans="1:44" s="156" customFormat="1" ht="31.5" x14ac:dyDescent="0.25">
      <c r="A722" s="143" t="s">
        <v>35</v>
      </c>
      <c r="B722" s="144">
        <v>709</v>
      </c>
      <c r="C722" s="143" t="s">
        <v>67</v>
      </c>
      <c r="D722" s="143" t="s">
        <v>3551</v>
      </c>
      <c r="E722" s="145"/>
      <c r="F722" s="145"/>
      <c r="G722" s="143" t="s">
        <v>3552</v>
      </c>
      <c r="H722" s="143" t="s">
        <v>3553</v>
      </c>
      <c r="I722" s="143"/>
      <c r="J722" s="143"/>
      <c r="K722" s="143"/>
      <c r="L722" s="143" t="s">
        <v>3554</v>
      </c>
      <c r="M722" s="143" t="s">
        <v>43</v>
      </c>
      <c r="N722" s="143" t="s">
        <v>3197</v>
      </c>
      <c r="O722" s="147">
        <v>3969631000</v>
      </c>
      <c r="P722" s="150"/>
      <c r="Q722" s="177">
        <v>15000000</v>
      </c>
      <c r="R722" s="150"/>
      <c r="S722" s="147">
        <f t="shared" si="1029"/>
        <v>3984631000</v>
      </c>
      <c r="T722" s="158">
        <v>3969631000</v>
      </c>
      <c r="U722" s="143"/>
      <c r="V722" s="147">
        <v>15000000</v>
      </c>
      <c r="W722" s="143"/>
      <c r="X722" s="143"/>
      <c r="Y722" s="152">
        <f t="shared" ref="Y722:AB722" si="1427">AD722-T722</f>
        <v>0</v>
      </c>
      <c r="Z722" s="151">
        <f t="shared" si="1427"/>
        <v>0</v>
      </c>
      <c r="AA722" s="151">
        <f t="shared" si="1427"/>
        <v>0</v>
      </c>
      <c r="AB722" s="151">
        <f t="shared" si="1427"/>
        <v>0</v>
      </c>
      <c r="AC722" s="143"/>
      <c r="AD722" s="191">
        <v>3969631000</v>
      </c>
      <c r="AE722" s="170"/>
      <c r="AF722" s="148">
        <v>15000000</v>
      </c>
      <c r="AG722" s="170"/>
      <c r="AH722" s="143">
        <f t="shared" si="1031"/>
        <v>0</v>
      </c>
      <c r="AI722" s="151"/>
      <c r="AJ722" s="151">
        <f t="shared" ref="AJ722:AL722" si="1428">P722-AE722</f>
        <v>0</v>
      </c>
      <c r="AK722" s="151">
        <f t="shared" si="1428"/>
        <v>0</v>
      </c>
      <c r="AL722" s="151">
        <f t="shared" si="1428"/>
        <v>0</v>
      </c>
      <c r="AM722" s="145"/>
      <c r="AN722" s="139"/>
      <c r="AO722" s="139"/>
      <c r="AP722" s="139"/>
      <c r="AQ722" s="145"/>
      <c r="AR722" s="145"/>
    </row>
    <row r="723" spans="1:44" s="156" customFormat="1" ht="47.25" x14ac:dyDescent="0.25">
      <c r="A723" s="143" t="s">
        <v>60</v>
      </c>
      <c r="B723" s="144">
        <v>710</v>
      </c>
      <c r="C723" s="143" t="s">
        <v>67</v>
      </c>
      <c r="D723" s="143" t="s">
        <v>403</v>
      </c>
      <c r="E723" s="145"/>
      <c r="F723" s="145" t="s">
        <v>388</v>
      </c>
      <c r="G723" s="143" t="s">
        <v>404</v>
      </c>
      <c r="H723" s="143" t="s">
        <v>405</v>
      </c>
      <c r="I723" s="143"/>
      <c r="J723" s="143"/>
      <c r="K723" s="164"/>
      <c r="L723" s="143" t="s">
        <v>406</v>
      </c>
      <c r="M723" s="143" t="s">
        <v>43</v>
      </c>
      <c r="N723" s="143" t="s">
        <v>407</v>
      </c>
      <c r="O723" s="147">
        <v>770926012</v>
      </c>
      <c r="P723" s="150"/>
      <c r="Q723" s="181">
        <v>15000000</v>
      </c>
      <c r="R723" s="148">
        <v>17866669</v>
      </c>
      <c r="S723" s="147">
        <f t="shared" si="1029"/>
        <v>803792681</v>
      </c>
      <c r="T723" s="158">
        <v>770926012</v>
      </c>
      <c r="U723" s="143"/>
      <c r="V723" s="147">
        <v>15000000</v>
      </c>
      <c r="W723" s="158">
        <v>17866669</v>
      </c>
      <c r="X723" s="143"/>
      <c r="Y723" s="152">
        <f t="shared" ref="Y723:AB723" si="1429">AD723-T723</f>
        <v>0</v>
      </c>
      <c r="Z723" s="151">
        <f t="shared" si="1429"/>
        <v>0</v>
      </c>
      <c r="AA723" s="151">
        <f t="shared" si="1429"/>
        <v>0</v>
      </c>
      <c r="AB723" s="151">
        <f t="shared" si="1429"/>
        <v>0</v>
      </c>
      <c r="AC723" s="143"/>
      <c r="AD723" s="194">
        <v>770926012</v>
      </c>
      <c r="AE723" s="203"/>
      <c r="AF723" s="148">
        <v>15000000</v>
      </c>
      <c r="AG723" s="181">
        <v>17866669</v>
      </c>
      <c r="AH723" s="143">
        <f t="shared" si="1031"/>
        <v>0</v>
      </c>
      <c r="AI723" s="151"/>
      <c r="AJ723" s="151">
        <f t="shared" ref="AJ723:AL723" si="1430">P723-AE723</f>
        <v>0</v>
      </c>
      <c r="AK723" s="151">
        <f t="shared" si="1430"/>
        <v>0</v>
      </c>
      <c r="AL723" s="151">
        <f t="shared" si="1430"/>
        <v>0</v>
      </c>
      <c r="AM723" s="145"/>
      <c r="AN723" s="139"/>
      <c r="AO723" s="139"/>
      <c r="AP723" s="139"/>
      <c r="AQ723" s="145"/>
      <c r="AR723" s="145"/>
    </row>
    <row r="724" spans="1:44" s="156" customFormat="1" ht="94.5" x14ac:dyDescent="0.25">
      <c r="A724" s="143" t="s">
        <v>52</v>
      </c>
      <c r="B724" s="144">
        <v>711</v>
      </c>
      <c r="C724" s="143" t="s">
        <v>67</v>
      </c>
      <c r="D724" s="143" t="s">
        <v>687</v>
      </c>
      <c r="E724" s="145"/>
      <c r="F724" s="145" t="s">
        <v>688</v>
      </c>
      <c r="G724" s="143" t="s">
        <v>689</v>
      </c>
      <c r="H724" s="143"/>
      <c r="I724" s="143"/>
      <c r="J724" s="143"/>
      <c r="K724" s="164"/>
      <c r="L724" s="143" t="s">
        <v>690</v>
      </c>
      <c r="M724" s="143" t="s">
        <v>43</v>
      </c>
      <c r="N724" s="143" t="s">
        <v>691</v>
      </c>
      <c r="O724" s="147">
        <v>1080696928</v>
      </c>
      <c r="P724" s="150"/>
      <c r="Q724" s="169">
        <v>15000000</v>
      </c>
      <c r="R724" s="148">
        <f>60000000+60000000</f>
        <v>120000000</v>
      </c>
      <c r="S724" s="147">
        <f t="shared" si="1029"/>
        <v>1215696928</v>
      </c>
      <c r="T724" s="158">
        <v>1080696928</v>
      </c>
      <c r="U724" s="143"/>
      <c r="V724" s="147">
        <v>15000000</v>
      </c>
      <c r="W724" s="158">
        <v>120000000</v>
      </c>
      <c r="X724" s="143"/>
      <c r="Y724" s="152">
        <f t="shared" ref="Y724:AB724" si="1431">AD724-T724</f>
        <v>0</v>
      </c>
      <c r="Z724" s="151">
        <f t="shared" si="1431"/>
        <v>0</v>
      </c>
      <c r="AA724" s="151">
        <f t="shared" si="1431"/>
        <v>0</v>
      </c>
      <c r="AB724" s="151">
        <f t="shared" si="1431"/>
        <v>0</v>
      </c>
      <c r="AC724" s="143"/>
      <c r="AD724" s="191">
        <v>1080696928</v>
      </c>
      <c r="AE724" s="170"/>
      <c r="AF724" s="169">
        <v>15000000</v>
      </c>
      <c r="AG724" s="169">
        <f>60000000+60000000</f>
        <v>120000000</v>
      </c>
      <c r="AH724" s="143">
        <f t="shared" si="1031"/>
        <v>0</v>
      </c>
      <c r="AI724" s="151"/>
      <c r="AJ724" s="151">
        <f t="shared" ref="AJ724:AL724" si="1432">P724-AE724</f>
        <v>0</v>
      </c>
      <c r="AK724" s="151">
        <f t="shared" si="1432"/>
        <v>0</v>
      </c>
      <c r="AL724" s="151">
        <f t="shared" si="1432"/>
        <v>0</v>
      </c>
      <c r="AM724" s="145"/>
      <c r="AN724" s="139"/>
      <c r="AO724" s="139"/>
      <c r="AP724" s="139"/>
      <c r="AQ724" s="145"/>
      <c r="AR724" s="145"/>
    </row>
    <row r="725" spans="1:44" s="156" customFormat="1" ht="63" x14ac:dyDescent="0.25">
      <c r="A725" s="143" t="s">
        <v>52</v>
      </c>
      <c r="B725" s="144">
        <v>712</v>
      </c>
      <c r="C725" s="143" t="s">
        <v>67</v>
      </c>
      <c r="D725" s="143" t="s">
        <v>3557</v>
      </c>
      <c r="E725" s="145" t="s">
        <v>3558</v>
      </c>
      <c r="F725" s="145"/>
      <c r="G725" s="143" t="s">
        <v>3559</v>
      </c>
      <c r="H725" s="143" t="s">
        <v>3560</v>
      </c>
      <c r="I725" s="143"/>
      <c r="J725" s="143"/>
      <c r="K725" s="143"/>
      <c r="L725" s="143" t="s">
        <v>3561</v>
      </c>
      <c r="M725" s="143" t="s">
        <v>43</v>
      </c>
      <c r="N725" s="143" t="s">
        <v>82</v>
      </c>
      <c r="O725" s="147">
        <v>560918363</v>
      </c>
      <c r="P725" s="181">
        <v>113902001</v>
      </c>
      <c r="Q725" s="181">
        <v>15000000</v>
      </c>
      <c r="R725" s="150"/>
      <c r="S725" s="147">
        <f t="shared" si="1029"/>
        <v>689820364</v>
      </c>
      <c r="T725" s="158">
        <v>560918363</v>
      </c>
      <c r="U725" s="158">
        <v>113902001</v>
      </c>
      <c r="V725" s="147">
        <v>15000000</v>
      </c>
      <c r="W725" s="143"/>
      <c r="X725" s="143"/>
      <c r="Y725" s="152">
        <f t="shared" ref="Y725:AB725" si="1433">AD725-T725</f>
        <v>0</v>
      </c>
      <c r="Z725" s="151">
        <f t="shared" si="1433"/>
        <v>0</v>
      </c>
      <c r="AA725" s="151">
        <f t="shared" si="1433"/>
        <v>0</v>
      </c>
      <c r="AB725" s="151">
        <f t="shared" si="1433"/>
        <v>0</v>
      </c>
      <c r="AC725" s="143"/>
      <c r="AD725" s="194">
        <v>560918363</v>
      </c>
      <c r="AE725" s="181">
        <v>113902001</v>
      </c>
      <c r="AF725" s="181">
        <v>15000000</v>
      </c>
      <c r="AG725" s="203"/>
      <c r="AH725" s="143">
        <f t="shared" si="1031"/>
        <v>0</v>
      </c>
      <c r="AI725" s="151"/>
      <c r="AJ725" s="151">
        <f t="shared" ref="AJ725:AL725" si="1434">P725-AE725</f>
        <v>0</v>
      </c>
      <c r="AK725" s="151">
        <f t="shared" si="1434"/>
        <v>0</v>
      </c>
      <c r="AL725" s="151">
        <f t="shared" si="1434"/>
        <v>0</v>
      </c>
      <c r="AM725" s="145"/>
      <c r="AN725" s="139"/>
      <c r="AO725" s="139"/>
      <c r="AP725" s="139"/>
      <c r="AQ725" s="145"/>
      <c r="AR725" s="145"/>
    </row>
    <row r="726" spans="1:44" s="156" customFormat="1" ht="47.25" x14ac:dyDescent="0.25">
      <c r="A726" s="143" t="s">
        <v>52</v>
      </c>
      <c r="B726" s="144">
        <v>713</v>
      </c>
      <c r="C726" s="143" t="s">
        <v>67</v>
      </c>
      <c r="D726" s="143" t="s">
        <v>3562</v>
      </c>
      <c r="E726" s="145" t="s">
        <v>3563</v>
      </c>
      <c r="F726" s="145"/>
      <c r="G726" s="143" t="s">
        <v>3564</v>
      </c>
      <c r="H726" s="143" t="s">
        <v>3565</v>
      </c>
      <c r="I726" s="143"/>
      <c r="J726" s="143"/>
      <c r="K726" s="143"/>
      <c r="L726" s="143" t="s">
        <v>3566</v>
      </c>
      <c r="M726" s="143" t="s">
        <v>43</v>
      </c>
      <c r="N726" s="143" t="s">
        <v>3567</v>
      </c>
      <c r="O726" s="147">
        <v>905632360</v>
      </c>
      <c r="P726" s="169">
        <v>164705380</v>
      </c>
      <c r="Q726" s="169">
        <v>15000000</v>
      </c>
      <c r="R726" s="150"/>
      <c r="S726" s="147">
        <f t="shared" si="1029"/>
        <v>1085337740</v>
      </c>
      <c r="T726" s="158">
        <v>905632360</v>
      </c>
      <c r="U726" s="158">
        <v>164705380</v>
      </c>
      <c r="V726" s="147">
        <v>15000000</v>
      </c>
      <c r="W726" s="143"/>
      <c r="X726" s="143"/>
      <c r="Y726" s="152">
        <f t="shared" ref="Y726:AB726" si="1435">AD726-T726</f>
        <v>0</v>
      </c>
      <c r="Z726" s="151">
        <f t="shared" si="1435"/>
        <v>0</v>
      </c>
      <c r="AA726" s="151">
        <f t="shared" si="1435"/>
        <v>0</v>
      </c>
      <c r="AB726" s="151">
        <f t="shared" si="1435"/>
        <v>0</v>
      </c>
      <c r="AC726" s="143"/>
      <c r="AD726" s="191">
        <v>905632360</v>
      </c>
      <c r="AE726" s="169">
        <v>164705380</v>
      </c>
      <c r="AF726" s="169">
        <v>15000000</v>
      </c>
      <c r="AG726" s="170"/>
      <c r="AH726" s="143">
        <f t="shared" si="1031"/>
        <v>0</v>
      </c>
      <c r="AI726" s="151"/>
      <c r="AJ726" s="151">
        <f t="shared" ref="AJ726:AL726" si="1436">P726-AE726</f>
        <v>0</v>
      </c>
      <c r="AK726" s="151">
        <f t="shared" si="1436"/>
        <v>0</v>
      </c>
      <c r="AL726" s="151">
        <f t="shared" si="1436"/>
        <v>0</v>
      </c>
      <c r="AM726" s="145"/>
      <c r="AN726" s="139"/>
      <c r="AO726" s="139"/>
      <c r="AP726" s="139"/>
      <c r="AQ726" s="145"/>
      <c r="AR726" s="145"/>
    </row>
    <row r="727" spans="1:44" s="156" customFormat="1" ht="78.75" x14ac:dyDescent="0.25">
      <c r="A727" s="143" t="s">
        <v>35</v>
      </c>
      <c r="B727" s="144">
        <v>714</v>
      </c>
      <c r="C727" s="143" t="s">
        <v>67</v>
      </c>
      <c r="D727" s="143" t="s">
        <v>3568</v>
      </c>
      <c r="E727" s="145" t="s">
        <v>3569</v>
      </c>
      <c r="F727" s="145"/>
      <c r="G727" s="143" t="s">
        <v>3570</v>
      </c>
      <c r="H727" s="143" t="s">
        <v>3571</v>
      </c>
      <c r="I727" s="143"/>
      <c r="J727" s="143"/>
      <c r="K727" s="143"/>
      <c r="L727" s="143" t="s">
        <v>3572</v>
      </c>
      <c r="M727" s="143" t="s">
        <v>43</v>
      </c>
      <c r="N727" s="143" t="s">
        <v>3573</v>
      </c>
      <c r="O727" s="147">
        <v>366299104</v>
      </c>
      <c r="P727" s="169">
        <v>60646656</v>
      </c>
      <c r="Q727" s="201">
        <v>15000000</v>
      </c>
      <c r="R727" s="150"/>
      <c r="S727" s="147">
        <f t="shared" si="1029"/>
        <v>441945760</v>
      </c>
      <c r="T727" s="158">
        <v>366299104</v>
      </c>
      <c r="U727" s="143"/>
      <c r="V727" s="147">
        <v>15000000</v>
      </c>
      <c r="W727" s="143"/>
      <c r="X727" s="143"/>
      <c r="Y727" s="152">
        <f t="shared" ref="Y727:AB727" si="1437">AD727-T727</f>
        <v>0</v>
      </c>
      <c r="Z727" s="151">
        <f t="shared" si="1437"/>
        <v>0</v>
      </c>
      <c r="AA727" s="151">
        <f t="shared" si="1437"/>
        <v>0</v>
      </c>
      <c r="AB727" s="151">
        <f t="shared" si="1437"/>
        <v>0</v>
      </c>
      <c r="AC727" s="143"/>
      <c r="AD727" s="194">
        <v>366299104</v>
      </c>
      <c r="AE727" s="203"/>
      <c r="AF727" s="148">
        <v>15000000</v>
      </c>
      <c r="AG727" s="203"/>
      <c r="AH727" s="143">
        <f t="shared" si="1031"/>
        <v>0</v>
      </c>
      <c r="AI727" s="151"/>
      <c r="AJ727" s="151">
        <f t="shared" ref="AJ727:AL727" si="1438">P727-AE727</f>
        <v>60646656</v>
      </c>
      <c r="AK727" s="151">
        <f t="shared" si="1438"/>
        <v>0</v>
      </c>
      <c r="AL727" s="151">
        <f t="shared" si="1438"/>
        <v>0</v>
      </c>
      <c r="AM727" s="145"/>
      <c r="AN727" s="139"/>
      <c r="AO727" s="162" t="s">
        <v>4024</v>
      </c>
      <c r="AP727" s="139"/>
      <c r="AQ727" s="145"/>
      <c r="AR727" s="145"/>
    </row>
    <row r="728" spans="1:44" s="156" customFormat="1" ht="63" x14ac:dyDescent="0.25">
      <c r="A728" s="143" t="s">
        <v>35</v>
      </c>
      <c r="B728" s="144">
        <v>715</v>
      </c>
      <c r="C728" s="143" t="s">
        <v>67</v>
      </c>
      <c r="D728" s="143" t="s">
        <v>3574</v>
      </c>
      <c r="E728" s="145"/>
      <c r="F728" s="145"/>
      <c r="G728" s="143" t="s">
        <v>3575</v>
      </c>
      <c r="H728" s="143"/>
      <c r="I728" s="143"/>
      <c r="J728" s="143"/>
      <c r="K728" s="143"/>
      <c r="L728" s="143" t="s">
        <v>3576</v>
      </c>
      <c r="M728" s="143" t="s">
        <v>43</v>
      </c>
      <c r="N728" s="143" t="s">
        <v>3577</v>
      </c>
      <c r="O728" s="147">
        <v>4243700000</v>
      </c>
      <c r="P728" s="150"/>
      <c r="Q728" s="148">
        <v>15000000</v>
      </c>
      <c r="R728" s="150"/>
      <c r="S728" s="147">
        <f t="shared" si="1029"/>
        <v>4258700000</v>
      </c>
      <c r="T728" s="158">
        <v>4243700000</v>
      </c>
      <c r="U728" s="143"/>
      <c r="V728" s="147">
        <v>15000000</v>
      </c>
      <c r="W728" s="143"/>
      <c r="X728" s="143"/>
      <c r="Y728" s="152">
        <f t="shared" ref="Y728:AB728" si="1439">AD728-T728</f>
        <v>0</v>
      </c>
      <c r="Z728" s="151">
        <f t="shared" si="1439"/>
        <v>0</v>
      </c>
      <c r="AA728" s="151">
        <f t="shared" si="1439"/>
        <v>0</v>
      </c>
      <c r="AB728" s="151">
        <f t="shared" si="1439"/>
        <v>0</v>
      </c>
      <c r="AC728" s="143"/>
      <c r="AD728" s="149">
        <v>4243700000</v>
      </c>
      <c r="AE728" s="150"/>
      <c r="AF728" s="148">
        <v>15000000</v>
      </c>
      <c r="AG728" s="150"/>
      <c r="AH728" s="143">
        <f t="shared" si="1031"/>
        <v>0</v>
      </c>
      <c r="AI728" s="151"/>
      <c r="AJ728" s="151">
        <f t="shared" ref="AJ728:AL728" si="1440">P728-AE728</f>
        <v>0</v>
      </c>
      <c r="AK728" s="151">
        <f t="shared" si="1440"/>
        <v>0</v>
      </c>
      <c r="AL728" s="151">
        <f t="shared" si="1440"/>
        <v>0</v>
      </c>
      <c r="AM728" s="145"/>
      <c r="AN728" s="139"/>
      <c r="AO728" s="139"/>
      <c r="AP728" s="139"/>
      <c r="AQ728" s="145"/>
      <c r="AR728" s="145"/>
    </row>
    <row r="729" spans="1:44" s="156" customFormat="1" ht="47.25" x14ac:dyDescent="0.25">
      <c r="A729" s="143" t="s">
        <v>35</v>
      </c>
      <c r="B729" s="144">
        <v>716</v>
      </c>
      <c r="C729" s="143" t="s">
        <v>67</v>
      </c>
      <c r="D729" s="143" t="s">
        <v>3578</v>
      </c>
      <c r="E729" s="145" t="s">
        <v>3579</v>
      </c>
      <c r="F729" s="145"/>
      <c r="G729" s="143" t="s">
        <v>3580</v>
      </c>
      <c r="H729" s="143" t="s">
        <v>3581</v>
      </c>
      <c r="I729" s="143"/>
      <c r="J729" s="143"/>
      <c r="K729" s="143"/>
      <c r="L729" s="143" t="s">
        <v>3576</v>
      </c>
      <c r="M729" s="143" t="s">
        <v>43</v>
      </c>
      <c r="N729" s="143" t="s">
        <v>3582</v>
      </c>
      <c r="O729" s="147">
        <v>2565803620</v>
      </c>
      <c r="P729" s="148">
        <v>861892128</v>
      </c>
      <c r="Q729" s="201">
        <v>15000000</v>
      </c>
      <c r="R729" s="150"/>
      <c r="S729" s="147">
        <f t="shared" si="1029"/>
        <v>3442695748</v>
      </c>
      <c r="T729" s="158">
        <v>2565803620</v>
      </c>
      <c r="U729" s="158">
        <v>861892128</v>
      </c>
      <c r="V729" s="147">
        <v>15000000</v>
      </c>
      <c r="W729" s="143"/>
      <c r="X729" s="143"/>
      <c r="Y729" s="152">
        <f t="shared" ref="Y729:AB729" si="1441">AD729-T729</f>
        <v>0</v>
      </c>
      <c r="Z729" s="151">
        <f t="shared" si="1441"/>
        <v>0</v>
      </c>
      <c r="AA729" s="151">
        <f t="shared" si="1441"/>
        <v>0</v>
      </c>
      <c r="AB729" s="151">
        <f t="shared" si="1441"/>
        <v>0</v>
      </c>
      <c r="AC729" s="143"/>
      <c r="AD729" s="194">
        <v>2565803620</v>
      </c>
      <c r="AE729" s="181">
        <v>861892128</v>
      </c>
      <c r="AF729" s="148">
        <v>15000000</v>
      </c>
      <c r="AG729" s="203"/>
      <c r="AH729" s="143">
        <f t="shared" si="1031"/>
        <v>0</v>
      </c>
      <c r="AI729" s="151"/>
      <c r="AJ729" s="151">
        <f t="shared" ref="AJ729:AL729" si="1442">P729-AE729</f>
        <v>0</v>
      </c>
      <c r="AK729" s="151">
        <f t="shared" si="1442"/>
        <v>0</v>
      </c>
      <c r="AL729" s="151">
        <f t="shared" si="1442"/>
        <v>0</v>
      </c>
      <c r="AM729" s="145"/>
      <c r="AN729" s="139"/>
      <c r="AO729" s="139"/>
      <c r="AP729" s="139"/>
      <c r="AQ729" s="145"/>
      <c r="AR729" s="145"/>
    </row>
    <row r="730" spans="1:44" s="156" customFormat="1" ht="78.75" x14ac:dyDescent="0.25">
      <c r="A730" s="143" t="s">
        <v>88</v>
      </c>
      <c r="B730" s="144">
        <v>717</v>
      </c>
      <c r="C730" s="143" t="s">
        <v>67</v>
      </c>
      <c r="D730" s="143" t="s">
        <v>1524</v>
      </c>
      <c r="E730" s="145" t="s">
        <v>1525</v>
      </c>
      <c r="F730" s="145" t="s">
        <v>1526</v>
      </c>
      <c r="G730" s="143" t="s">
        <v>1527</v>
      </c>
      <c r="H730" s="143" t="s">
        <v>1528</v>
      </c>
      <c r="I730" s="143"/>
      <c r="J730" s="143"/>
      <c r="K730" s="164"/>
      <c r="L730" s="143" t="s">
        <v>1529</v>
      </c>
      <c r="M730" s="143" t="s">
        <v>43</v>
      </c>
      <c r="N730" s="143" t="s">
        <v>1530</v>
      </c>
      <c r="O730" s="147">
        <v>1085076464</v>
      </c>
      <c r="P730" s="169">
        <v>254396436</v>
      </c>
      <c r="Q730" s="169">
        <v>15000000</v>
      </c>
      <c r="R730" s="148">
        <f>24000000+48000000</f>
        <v>72000000</v>
      </c>
      <c r="S730" s="147">
        <f t="shared" si="1029"/>
        <v>1426472900</v>
      </c>
      <c r="T730" s="151">
        <v>1085076464</v>
      </c>
      <c r="U730" s="158">
        <v>254396436</v>
      </c>
      <c r="V730" s="147">
        <v>15000000</v>
      </c>
      <c r="W730" s="158">
        <v>72000000</v>
      </c>
      <c r="X730" s="143"/>
      <c r="Y730" s="152">
        <f t="shared" ref="Y730:AB730" si="1443">AD730-T730</f>
        <v>0</v>
      </c>
      <c r="Z730" s="151">
        <f t="shared" si="1443"/>
        <v>0</v>
      </c>
      <c r="AA730" s="151">
        <f t="shared" si="1443"/>
        <v>0</v>
      </c>
      <c r="AB730" s="152">
        <f t="shared" si="1443"/>
        <v>0</v>
      </c>
      <c r="AC730" s="143"/>
      <c r="AD730" s="155">
        <v>1085076464</v>
      </c>
      <c r="AE730" s="148">
        <v>254396436</v>
      </c>
      <c r="AF730" s="148">
        <v>15000000</v>
      </c>
      <c r="AG730" s="149">
        <f>24000000+48000000</f>
        <v>72000000</v>
      </c>
      <c r="AH730" s="143">
        <f t="shared" si="1031"/>
        <v>0</v>
      </c>
      <c r="AI730" s="151"/>
      <c r="AJ730" s="151">
        <f t="shared" ref="AJ730:AL730" si="1444">P730-AE730</f>
        <v>0</v>
      </c>
      <c r="AK730" s="151">
        <f t="shared" si="1444"/>
        <v>0</v>
      </c>
      <c r="AL730" s="151">
        <f t="shared" si="1444"/>
        <v>0</v>
      </c>
      <c r="AM730" s="145"/>
      <c r="AN730" s="139"/>
      <c r="AO730" s="139"/>
      <c r="AP730" s="139"/>
      <c r="AQ730" s="145"/>
      <c r="AR730" s="145"/>
    </row>
    <row r="731" spans="1:44" s="156" customFormat="1" ht="31.5" x14ac:dyDescent="0.25">
      <c r="A731" s="143" t="s">
        <v>35</v>
      </c>
      <c r="B731" s="144">
        <v>718</v>
      </c>
      <c r="C731" s="143" t="s">
        <v>67</v>
      </c>
      <c r="D731" s="143" t="s">
        <v>3583</v>
      </c>
      <c r="E731" s="145"/>
      <c r="F731" s="145"/>
      <c r="G731" s="143" t="s">
        <v>3584</v>
      </c>
      <c r="H731" s="143"/>
      <c r="I731" s="143"/>
      <c r="J731" s="143"/>
      <c r="K731" s="143"/>
      <c r="L731" s="143" t="s">
        <v>3585</v>
      </c>
      <c r="M731" s="143" t="s">
        <v>43</v>
      </c>
      <c r="N731" s="143" t="s">
        <v>3586</v>
      </c>
      <c r="O731" s="147">
        <v>6447053210</v>
      </c>
      <c r="P731" s="150"/>
      <c r="Q731" s="177">
        <v>7500000</v>
      </c>
      <c r="R731" s="150"/>
      <c r="S731" s="147">
        <f t="shared" si="1029"/>
        <v>6454553210</v>
      </c>
      <c r="T731" s="158">
        <v>6447053210</v>
      </c>
      <c r="U731" s="143"/>
      <c r="V731" s="147">
        <v>7500000</v>
      </c>
      <c r="W731" s="143"/>
      <c r="X731" s="143"/>
      <c r="Y731" s="152">
        <f t="shared" ref="Y731:AB731" si="1445">AD731-T731</f>
        <v>0</v>
      </c>
      <c r="Z731" s="151">
        <f t="shared" si="1445"/>
        <v>0</v>
      </c>
      <c r="AA731" s="151">
        <f t="shared" si="1445"/>
        <v>0</v>
      </c>
      <c r="AB731" s="151">
        <f t="shared" si="1445"/>
        <v>0</v>
      </c>
      <c r="AC731" s="143"/>
      <c r="AD731" s="194">
        <v>6447053210</v>
      </c>
      <c r="AE731" s="170"/>
      <c r="AF731" s="177">
        <v>7500000</v>
      </c>
      <c r="AG731" s="170"/>
      <c r="AH731" s="143">
        <f t="shared" si="1031"/>
        <v>0</v>
      </c>
      <c r="AI731" s="151"/>
      <c r="AJ731" s="151">
        <f t="shared" ref="AJ731:AL731" si="1446">P731-AE731</f>
        <v>0</v>
      </c>
      <c r="AK731" s="151">
        <f t="shared" si="1446"/>
        <v>0</v>
      </c>
      <c r="AL731" s="151">
        <f t="shared" si="1446"/>
        <v>0</v>
      </c>
      <c r="AM731" s="145"/>
      <c r="AN731" s="139"/>
      <c r="AO731" s="139"/>
      <c r="AP731" s="139"/>
      <c r="AQ731" s="145"/>
      <c r="AR731" s="145"/>
    </row>
    <row r="732" spans="1:44" s="156" customFormat="1" ht="94.5" x14ac:dyDescent="0.25">
      <c r="A732" s="143" t="s">
        <v>60</v>
      </c>
      <c r="B732" s="144">
        <v>719</v>
      </c>
      <c r="C732" s="143" t="s">
        <v>67</v>
      </c>
      <c r="D732" s="143" t="s">
        <v>309</v>
      </c>
      <c r="E732" s="145"/>
      <c r="F732" s="145" t="s">
        <v>310</v>
      </c>
      <c r="G732" s="143" t="s">
        <v>311</v>
      </c>
      <c r="H732" s="143"/>
      <c r="I732" s="143"/>
      <c r="J732" s="143"/>
      <c r="K732" s="164"/>
      <c r="L732" s="143" t="s">
        <v>312</v>
      </c>
      <c r="M732" s="143" t="s">
        <v>43</v>
      </c>
      <c r="N732" s="143" t="s">
        <v>313</v>
      </c>
      <c r="O732" s="147">
        <v>268708240</v>
      </c>
      <c r="P732" s="150"/>
      <c r="Q732" s="169">
        <v>15000000</v>
      </c>
      <c r="R732" s="148">
        <f>24000000+48000000</f>
        <v>72000000</v>
      </c>
      <c r="S732" s="147">
        <f t="shared" si="1029"/>
        <v>355708240</v>
      </c>
      <c r="T732" s="158">
        <v>268708240</v>
      </c>
      <c r="U732" s="143"/>
      <c r="V732" s="147">
        <v>15000000</v>
      </c>
      <c r="W732" s="158">
        <v>72000000</v>
      </c>
      <c r="X732" s="143"/>
      <c r="Y732" s="152">
        <f t="shared" ref="Y732:AB732" si="1447">AD732-T732</f>
        <v>0</v>
      </c>
      <c r="Z732" s="151">
        <f t="shared" si="1447"/>
        <v>0</v>
      </c>
      <c r="AA732" s="151">
        <f t="shared" si="1447"/>
        <v>0</v>
      </c>
      <c r="AB732" s="151">
        <f t="shared" si="1447"/>
        <v>0</v>
      </c>
      <c r="AC732" s="143"/>
      <c r="AD732" s="204">
        <v>268708240</v>
      </c>
      <c r="AE732" s="170"/>
      <c r="AF732" s="148">
        <v>15000000</v>
      </c>
      <c r="AG732" s="169">
        <f>24000000+48000000</f>
        <v>72000000</v>
      </c>
      <c r="AH732" s="143">
        <f t="shared" si="1031"/>
        <v>0</v>
      </c>
      <c r="AI732" s="151"/>
      <c r="AJ732" s="151">
        <f t="shared" ref="AJ732:AL732" si="1448">P732-AE732</f>
        <v>0</v>
      </c>
      <c r="AK732" s="151">
        <f t="shared" si="1448"/>
        <v>0</v>
      </c>
      <c r="AL732" s="151">
        <f t="shared" si="1448"/>
        <v>0</v>
      </c>
      <c r="AM732" s="145"/>
      <c r="AN732" s="139"/>
      <c r="AO732" s="139"/>
      <c r="AP732" s="139"/>
      <c r="AQ732" s="145"/>
      <c r="AR732" s="145"/>
    </row>
    <row r="733" spans="1:44" s="156" customFormat="1" ht="31.5" x14ac:dyDescent="0.25">
      <c r="A733" s="143" t="s">
        <v>52</v>
      </c>
      <c r="B733" s="144">
        <v>720</v>
      </c>
      <c r="C733" s="143" t="s">
        <v>67</v>
      </c>
      <c r="D733" s="143" t="s">
        <v>3587</v>
      </c>
      <c r="E733" s="145"/>
      <c r="F733" s="145"/>
      <c r="G733" s="143" t="s">
        <v>3588</v>
      </c>
      <c r="H733" s="143"/>
      <c r="I733" s="143"/>
      <c r="J733" s="143"/>
      <c r="K733" s="143"/>
      <c r="L733" s="143" t="s">
        <v>3589</v>
      </c>
      <c r="M733" s="143" t="s">
        <v>43</v>
      </c>
      <c r="N733" s="143" t="s">
        <v>3590</v>
      </c>
      <c r="O733" s="147">
        <v>1242447888</v>
      </c>
      <c r="P733" s="150"/>
      <c r="Q733" s="148">
        <v>7500000</v>
      </c>
      <c r="R733" s="150"/>
      <c r="S733" s="147">
        <f t="shared" si="1029"/>
        <v>1249947888</v>
      </c>
      <c r="T733" s="143"/>
      <c r="U733" s="143"/>
      <c r="V733" s="157"/>
      <c r="W733" s="143"/>
      <c r="X733" s="143"/>
      <c r="Y733" s="152">
        <f t="shared" ref="Y733:AB733" si="1449">AD733-T733</f>
        <v>0</v>
      </c>
      <c r="Z733" s="151">
        <f t="shared" si="1449"/>
        <v>0</v>
      </c>
      <c r="AA733" s="151">
        <f t="shared" si="1449"/>
        <v>0</v>
      </c>
      <c r="AB733" s="151">
        <f t="shared" si="1449"/>
        <v>0</v>
      </c>
      <c r="AC733" s="143"/>
      <c r="AD733" s="155"/>
      <c r="AE733" s="150"/>
      <c r="AF733" s="150"/>
      <c r="AG733" s="150"/>
      <c r="AH733" s="143">
        <f t="shared" si="1031"/>
        <v>0</v>
      </c>
      <c r="AI733" s="151">
        <v>1242447888</v>
      </c>
      <c r="AJ733" s="151">
        <f t="shared" ref="AJ733:AL733" si="1450">P733-AE733</f>
        <v>0</v>
      </c>
      <c r="AK733" s="151">
        <f t="shared" si="1450"/>
        <v>7500000</v>
      </c>
      <c r="AL733" s="151">
        <f t="shared" si="1450"/>
        <v>0</v>
      </c>
      <c r="AM733" s="148">
        <v>1242447888</v>
      </c>
      <c r="AN733" s="159" t="s">
        <v>2160</v>
      </c>
      <c r="AO733" s="160"/>
      <c r="AP733" s="168" t="s">
        <v>2160</v>
      </c>
      <c r="AQ733" s="219"/>
      <c r="AR733" s="218"/>
    </row>
    <row r="734" spans="1:44" s="156" customFormat="1" ht="63" x14ac:dyDescent="0.25">
      <c r="A734" s="143" t="s">
        <v>35</v>
      </c>
      <c r="B734" s="144">
        <v>721</v>
      </c>
      <c r="C734" s="143" t="s">
        <v>67</v>
      </c>
      <c r="D734" s="143" t="s">
        <v>3591</v>
      </c>
      <c r="E734" s="145" t="s">
        <v>3592</v>
      </c>
      <c r="F734" s="145"/>
      <c r="G734" s="143" t="s">
        <v>3593</v>
      </c>
      <c r="H734" s="143" t="s">
        <v>3594</v>
      </c>
      <c r="I734" s="143"/>
      <c r="J734" s="143"/>
      <c r="K734" s="143"/>
      <c r="L734" s="143" t="s">
        <v>3595</v>
      </c>
      <c r="M734" s="143" t="s">
        <v>43</v>
      </c>
      <c r="N734" s="143" t="s">
        <v>82</v>
      </c>
      <c r="O734" s="147">
        <v>505786413</v>
      </c>
      <c r="P734" s="201">
        <v>205440547</v>
      </c>
      <c r="Q734" s="201">
        <v>15000000</v>
      </c>
      <c r="R734" s="150"/>
      <c r="S734" s="147">
        <f t="shared" si="1029"/>
        <v>726226960</v>
      </c>
      <c r="T734" s="158">
        <v>505786413</v>
      </c>
      <c r="U734" s="158">
        <v>205440547</v>
      </c>
      <c r="V734" s="147">
        <v>15000000</v>
      </c>
      <c r="W734" s="143"/>
      <c r="X734" s="143"/>
      <c r="Y734" s="152">
        <f t="shared" ref="Y734:AB734" si="1451">AD734-T734</f>
        <v>0</v>
      </c>
      <c r="Z734" s="151">
        <f t="shared" si="1451"/>
        <v>0</v>
      </c>
      <c r="AA734" s="151">
        <f t="shared" si="1451"/>
        <v>0</v>
      </c>
      <c r="AB734" s="151">
        <f t="shared" si="1451"/>
        <v>0</v>
      </c>
      <c r="AC734" s="143"/>
      <c r="AD734" s="194">
        <v>505786413</v>
      </c>
      <c r="AE734" s="181">
        <v>205440547</v>
      </c>
      <c r="AF734" s="148">
        <v>15000000</v>
      </c>
      <c r="AG734" s="203"/>
      <c r="AH734" s="143">
        <f t="shared" si="1031"/>
        <v>0</v>
      </c>
      <c r="AI734" s="151"/>
      <c r="AJ734" s="151">
        <f t="shared" ref="AJ734:AL734" si="1452">P734-AE734</f>
        <v>0</v>
      </c>
      <c r="AK734" s="151">
        <f t="shared" si="1452"/>
        <v>0</v>
      </c>
      <c r="AL734" s="151">
        <f t="shared" si="1452"/>
        <v>0</v>
      </c>
      <c r="AM734" s="145"/>
      <c r="AN734" s="139"/>
      <c r="AO734" s="139"/>
      <c r="AP734" s="139"/>
      <c r="AQ734" s="145"/>
      <c r="AR734" s="145"/>
    </row>
    <row r="735" spans="1:44" s="156" customFormat="1" ht="47.25" x14ac:dyDescent="0.25">
      <c r="A735" s="143" t="s">
        <v>52</v>
      </c>
      <c r="B735" s="144">
        <v>722</v>
      </c>
      <c r="C735" s="143" t="s">
        <v>67</v>
      </c>
      <c r="D735" s="143" t="s">
        <v>3596</v>
      </c>
      <c r="E735" s="145"/>
      <c r="F735" s="145"/>
      <c r="G735" s="143" t="s">
        <v>3597</v>
      </c>
      <c r="H735" s="143"/>
      <c r="I735" s="143"/>
      <c r="J735" s="143"/>
      <c r="K735" s="143"/>
      <c r="L735" s="143" t="s">
        <v>3598</v>
      </c>
      <c r="M735" s="143" t="s">
        <v>43</v>
      </c>
      <c r="N735" s="143" t="s">
        <v>3599</v>
      </c>
      <c r="O735" s="147">
        <v>5071257372</v>
      </c>
      <c r="P735" s="150"/>
      <c r="Q735" s="181">
        <v>7500000</v>
      </c>
      <c r="R735" s="150"/>
      <c r="S735" s="147">
        <f t="shared" si="1029"/>
        <v>5078757372</v>
      </c>
      <c r="T735" s="158">
        <v>5071257372</v>
      </c>
      <c r="U735" s="143"/>
      <c r="V735" s="147">
        <v>7500000</v>
      </c>
      <c r="W735" s="143"/>
      <c r="X735" s="143"/>
      <c r="Y735" s="152">
        <f t="shared" ref="Y735:AB735" si="1453">AD735-T735</f>
        <v>0</v>
      </c>
      <c r="Z735" s="151">
        <f t="shared" si="1453"/>
        <v>0</v>
      </c>
      <c r="AA735" s="151">
        <f t="shared" si="1453"/>
        <v>0</v>
      </c>
      <c r="AB735" s="151">
        <f t="shared" si="1453"/>
        <v>0</v>
      </c>
      <c r="AC735" s="143"/>
      <c r="AD735" s="194">
        <v>5071257372</v>
      </c>
      <c r="AE735" s="203"/>
      <c r="AF735" s="148">
        <v>7500000</v>
      </c>
      <c r="AG735" s="203"/>
      <c r="AH735" s="143">
        <f t="shared" si="1031"/>
        <v>0</v>
      </c>
      <c r="AI735" s="151"/>
      <c r="AJ735" s="151">
        <f t="shared" ref="AJ735:AL735" si="1454">P735-AE735</f>
        <v>0</v>
      </c>
      <c r="AK735" s="151">
        <f t="shared" si="1454"/>
        <v>0</v>
      </c>
      <c r="AL735" s="151">
        <f t="shared" si="1454"/>
        <v>0</v>
      </c>
      <c r="AM735" s="145"/>
      <c r="AN735" s="139"/>
      <c r="AO735" s="139"/>
      <c r="AP735" s="139"/>
      <c r="AQ735" s="145"/>
      <c r="AR735" s="145"/>
    </row>
    <row r="736" spans="1:44" s="156" customFormat="1" ht="31.5" x14ac:dyDescent="0.25">
      <c r="A736" s="143" t="s">
        <v>60</v>
      </c>
      <c r="B736" s="144">
        <v>723</v>
      </c>
      <c r="C736" s="143" t="s">
        <v>67</v>
      </c>
      <c r="D736" s="143" t="s">
        <v>3600</v>
      </c>
      <c r="E736" s="145"/>
      <c r="F736" s="145"/>
      <c r="G736" s="143" t="s">
        <v>3601</v>
      </c>
      <c r="H736" s="143"/>
      <c r="I736" s="143"/>
      <c r="J736" s="143"/>
      <c r="K736" s="143"/>
      <c r="L736" s="143" t="s">
        <v>3602</v>
      </c>
      <c r="M736" s="143" t="s">
        <v>43</v>
      </c>
      <c r="N736" s="143" t="s">
        <v>3603</v>
      </c>
      <c r="O736" s="147">
        <v>835979508</v>
      </c>
      <c r="P736" s="150"/>
      <c r="Q736" s="169">
        <v>7500000</v>
      </c>
      <c r="R736" s="150"/>
      <c r="S736" s="147">
        <f t="shared" si="1029"/>
        <v>843479508</v>
      </c>
      <c r="T736" s="158">
        <v>835979508</v>
      </c>
      <c r="U736" s="143"/>
      <c r="V736" s="147">
        <v>7500000</v>
      </c>
      <c r="W736" s="143"/>
      <c r="X736" s="143"/>
      <c r="Y736" s="152">
        <f t="shared" ref="Y736:AB736" si="1455">AD736-T736</f>
        <v>0</v>
      </c>
      <c r="Z736" s="151">
        <f t="shared" si="1455"/>
        <v>0</v>
      </c>
      <c r="AA736" s="151">
        <f t="shared" si="1455"/>
        <v>0</v>
      </c>
      <c r="AB736" s="151">
        <f t="shared" si="1455"/>
        <v>0</v>
      </c>
      <c r="AC736" s="143"/>
      <c r="AD736" s="191">
        <v>835979508</v>
      </c>
      <c r="AE736" s="170"/>
      <c r="AF736" s="148">
        <v>7500000</v>
      </c>
      <c r="AG736" s="170"/>
      <c r="AH736" s="143">
        <f t="shared" si="1031"/>
        <v>0</v>
      </c>
      <c r="AI736" s="151"/>
      <c r="AJ736" s="151">
        <f t="shared" ref="AJ736:AL736" si="1456">P736-AE736</f>
        <v>0</v>
      </c>
      <c r="AK736" s="151">
        <f t="shared" si="1456"/>
        <v>0</v>
      </c>
      <c r="AL736" s="151">
        <f t="shared" si="1456"/>
        <v>0</v>
      </c>
      <c r="AM736" s="145"/>
      <c r="AN736" s="139"/>
      <c r="AO736" s="139"/>
      <c r="AP736" s="139"/>
      <c r="AQ736" s="145"/>
      <c r="AR736" s="145"/>
    </row>
    <row r="737" spans="1:44" s="156" customFormat="1" ht="47.25" x14ac:dyDescent="0.25">
      <c r="A737" s="143" t="s">
        <v>88</v>
      </c>
      <c r="B737" s="144">
        <v>724</v>
      </c>
      <c r="C737" s="143" t="s">
        <v>67</v>
      </c>
      <c r="D737" s="143" t="s">
        <v>3604</v>
      </c>
      <c r="E737" s="145"/>
      <c r="F737" s="145"/>
      <c r="G737" s="143" t="s">
        <v>3605</v>
      </c>
      <c r="H737" s="143"/>
      <c r="I737" s="143"/>
      <c r="J737" s="143"/>
      <c r="K737" s="143"/>
      <c r="L737" s="143" t="s">
        <v>3606</v>
      </c>
      <c r="M737" s="143" t="s">
        <v>43</v>
      </c>
      <c r="N737" s="143" t="s">
        <v>3607</v>
      </c>
      <c r="O737" s="147">
        <v>1687785424</v>
      </c>
      <c r="P737" s="150"/>
      <c r="Q737" s="169">
        <v>15000000</v>
      </c>
      <c r="R737" s="150"/>
      <c r="S737" s="147">
        <f t="shared" si="1029"/>
        <v>1702785424</v>
      </c>
      <c r="T737" s="151">
        <v>1687785424</v>
      </c>
      <c r="U737" s="143"/>
      <c r="V737" s="147">
        <v>15000000</v>
      </c>
      <c r="W737" s="143"/>
      <c r="X737" s="143"/>
      <c r="Y737" s="152">
        <f t="shared" ref="Y737:AB737" si="1457">AD737-T737</f>
        <v>0</v>
      </c>
      <c r="Z737" s="151">
        <f t="shared" si="1457"/>
        <v>0</v>
      </c>
      <c r="AA737" s="151">
        <f t="shared" si="1457"/>
        <v>0</v>
      </c>
      <c r="AB737" s="152">
        <f t="shared" si="1457"/>
        <v>0</v>
      </c>
      <c r="AC737" s="143"/>
      <c r="AD737" s="155">
        <v>1687785424</v>
      </c>
      <c r="AE737" s="150"/>
      <c r="AF737" s="148">
        <v>15000000</v>
      </c>
      <c r="AG737" s="155"/>
      <c r="AH737" s="143">
        <f t="shared" si="1031"/>
        <v>0</v>
      </c>
      <c r="AI737" s="151"/>
      <c r="AJ737" s="151">
        <f t="shared" ref="AJ737:AL737" si="1458">P737-AE737</f>
        <v>0</v>
      </c>
      <c r="AK737" s="151">
        <f t="shared" si="1458"/>
        <v>0</v>
      </c>
      <c r="AL737" s="151">
        <f t="shared" si="1458"/>
        <v>0</v>
      </c>
      <c r="AM737" s="145"/>
      <c r="AN737" s="139"/>
      <c r="AO737" s="139"/>
      <c r="AP737" s="139"/>
      <c r="AQ737" s="145"/>
      <c r="AR737" s="145"/>
    </row>
    <row r="738" spans="1:44" s="156" customFormat="1" ht="78.75" x14ac:dyDescent="0.25">
      <c r="A738" s="143" t="s">
        <v>275</v>
      </c>
      <c r="B738" s="144">
        <v>725</v>
      </c>
      <c r="C738" s="143" t="s">
        <v>67</v>
      </c>
      <c r="D738" s="143" t="s">
        <v>1419</v>
      </c>
      <c r="E738" s="145"/>
      <c r="F738" s="145" t="s">
        <v>1420</v>
      </c>
      <c r="G738" s="143" t="s">
        <v>1421</v>
      </c>
      <c r="H738" s="143"/>
      <c r="I738" s="143"/>
      <c r="J738" s="143"/>
      <c r="K738" s="164"/>
      <c r="L738" s="143" t="s">
        <v>747</v>
      </c>
      <c r="M738" s="143" t="s">
        <v>43</v>
      </c>
      <c r="N738" s="143" t="s">
        <v>1422</v>
      </c>
      <c r="O738" s="147">
        <v>33238029</v>
      </c>
      <c r="P738" s="150"/>
      <c r="Q738" s="174">
        <v>15000000</v>
      </c>
      <c r="R738" s="148">
        <f>36000000+72000000</f>
        <v>108000000</v>
      </c>
      <c r="S738" s="147">
        <f t="shared" si="1029"/>
        <v>156238029</v>
      </c>
      <c r="T738" s="158">
        <v>33238029</v>
      </c>
      <c r="U738" s="143"/>
      <c r="V738" s="147">
        <v>15000000</v>
      </c>
      <c r="W738" s="158">
        <v>108000000</v>
      </c>
      <c r="X738" s="143"/>
      <c r="Y738" s="152">
        <f t="shared" ref="Y738:AB738" si="1459">AD738-T738</f>
        <v>0</v>
      </c>
      <c r="Z738" s="151">
        <f t="shared" si="1459"/>
        <v>0</v>
      </c>
      <c r="AA738" s="151">
        <f t="shared" si="1459"/>
        <v>0</v>
      </c>
      <c r="AB738" s="151">
        <f t="shared" si="1459"/>
        <v>0</v>
      </c>
      <c r="AC738" s="143"/>
      <c r="AD738" s="202">
        <v>33238029</v>
      </c>
      <c r="AE738" s="160"/>
      <c r="AF738" s="169">
        <v>15000000</v>
      </c>
      <c r="AG738" s="174">
        <f>36000000+72000000</f>
        <v>108000000</v>
      </c>
      <c r="AH738" s="143">
        <f t="shared" si="1031"/>
        <v>0</v>
      </c>
      <c r="AI738" s="151"/>
      <c r="AJ738" s="151">
        <f t="shared" ref="AJ738:AL738" si="1460">P738-AE738</f>
        <v>0</v>
      </c>
      <c r="AK738" s="151">
        <f t="shared" si="1460"/>
        <v>0</v>
      </c>
      <c r="AL738" s="151">
        <f t="shared" si="1460"/>
        <v>0</v>
      </c>
      <c r="AM738" s="145"/>
      <c r="AN738" s="139"/>
      <c r="AO738" s="139"/>
      <c r="AP738" s="139"/>
      <c r="AQ738" s="145"/>
      <c r="AR738" s="145"/>
    </row>
    <row r="739" spans="1:44" s="156" customFormat="1" ht="78.75" x14ac:dyDescent="0.25">
      <c r="A739" s="143" t="s">
        <v>275</v>
      </c>
      <c r="B739" s="144">
        <v>726</v>
      </c>
      <c r="C739" s="143" t="s">
        <v>67</v>
      </c>
      <c r="D739" s="143" t="s">
        <v>1580</v>
      </c>
      <c r="E739" s="145"/>
      <c r="F739" s="145" t="s">
        <v>1582</v>
      </c>
      <c r="G739" s="143" t="s">
        <v>1584</v>
      </c>
      <c r="H739" s="143"/>
      <c r="I739" s="143"/>
      <c r="J739" s="143"/>
      <c r="K739" s="164"/>
      <c r="L739" s="143" t="s">
        <v>1586</v>
      </c>
      <c r="M739" s="143" t="s">
        <v>43</v>
      </c>
      <c r="N739" s="143" t="s">
        <v>1588</v>
      </c>
      <c r="O739" s="147">
        <v>2218823050</v>
      </c>
      <c r="P739" s="150"/>
      <c r="Q739" s="174">
        <v>15000000</v>
      </c>
      <c r="R739" s="148">
        <f>24000000+48000000</f>
        <v>72000000</v>
      </c>
      <c r="S739" s="147">
        <f t="shared" si="1029"/>
        <v>2305823050</v>
      </c>
      <c r="T739" s="158">
        <v>2218823050</v>
      </c>
      <c r="U739" s="143"/>
      <c r="V739" s="147">
        <v>15000000</v>
      </c>
      <c r="W739" s="158">
        <v>72000000</v>
      </c>
      <c r="X739" s="143"/>
      <c r="Y739" s="152">
        <f t="shared" ref="Y739:AB739" si="1461">AD739-T739</f>
        <v>0</v>
      </c>
      <c r="Z739" s="151">
        <f t="shared" si="1461"/>
        <v>0</v>
      </c>
      <c r="AA739" s="151">
        <f t="shared" si="1461"/>
        <v>0</v>
      </c>
      <c r="AB739" s="151">
        <f t="shared" si="1461"/>
        <v>0</v>
      </c>
      <c r="AC739" s="143"/>
      <c r="AD739" s="202">
        <v>2218823050</v>
      </c>
      <c r="AE739" s="160"/>
      <c r="AF739" s="148">
        <v>15000000</v>
      </c>
      <c r="AG739" s="174">
        <f>24000000+48000000</f>
        <v>72000000</v>
      </c>
      <c r="AH739" s="143">
        <f t="shared" si="1031"/>
        <v>0</v>
      </c>
      <c r="AI739" s="151"/>
      <c r="AJ739" s="151">
        <f t="shared" ref="AJ739:AL739" si="1462">P739-AE739</f>
        <v>0</v>
      </c>
      <c r="AK739" s="151">
        <f t="shared" si="1462"/>
        <v>0</v>
      </c>
      <c r="AL739" s="151">
        <f t="shared" si="1462"/>
        <v>0</v>
      </c>
      <c r="AM739" s="145"/>
      <c r="AN739" s="139"/>
      <c r="AO739" s="139"/>
      <c r="AP739" s="139"/>
      <c r="AQ739" s="145"/>
      <c r="AR739" s="145"/>
    </row>
    <row r="740" spans="1:44" s="156" customFormat="1" ht="110.25" x14ac:dyDescent="0.25">
      <c r="A740" s="143" t="s">
        <v>60</v>
      </c>
      <c r="B740" s="144">
        <v>727</v>
      </c>
      <c r="C740" s="143" t="s">
        <v>67</v>
      </c>
      <c r="D740" s="143" t="s">
        <v>3609</v>
      </c>
      <c r="E740" s="145" t="s">
        <v>3496</v>
      </c>
      <c r="F740" s="146"/>
      <c r="G740" s="143"/>
      <c r="H740" s="143"/>
      <c r="I740" s="143" t="s">
        <v>3610</v>
      </c>
      <c r="J740" s="143"/>
      <c r="K740" s="143"/>
      <c r="L740" s="143" t="s">
        <v>3611</v>
      </c>
      <c r="M740" s="143" t="s">
        <v>43</v>
      </c>
      <c r="N740" s="143" t="s">
        <v>735</v>
      </c>
      <c r="O740" s="147">
        <v>10000000</v>
      </c>
      <c r="P740" s="170"/>
      <c r="Q740" s="169">
        <v>15000000</v>
      </c>
      <c r="R740" s="150"/>
      <c r="S740" s="147">
        <f t="shared" si="1029"/>
        <v>25000000</v>
      </c>
      <c r="T740" s="143"/>
      <c r="U740" s="143"/>
      <c r="V740" s="157"/>
      <c r="W740" s="143"/>
      <c r="X740" s="143"/>
      <c r="Y740" s="152">
        <f t="shared" ref="Y740:AB740" si="1463">AD740-T740</f>
        <v>0</v>
      </c>
      <c r="Z740" s="151">
        <f t="shared" si="1463"/>
        <v>0</v>
      </c>
      <c r="AA740" s="151">
        <f t="shared" si="1463"/>
        <v>0</v>
      </c>
      <c r="AB740" s="151">
        <f t="shared" si="1463"/>
        <v>0</v>
      </c>
      <c r="AC740" s="143"/>
      <c r="AD740" s="155"/>
      <c r="AE740" s="170"/>
      <c r="AF740" s="150"/>
      <c r="AG740" s="170"/>
      <c r="AH740" s="143">
        <f t="shared" si="1031"/>
        <v>0</v>
      </c>
      <c r="AI740" s="151">
        <v>10000000</v>
      </c>
      <c r="AJ740" s="151">
        <f t="shared" ref="AJ740:AL740" si="1464">P740-AE740</f>
        <v>0</v>
      </c>
      <c r="AK740" s="151">
        <f t="shared" si="1464"/>
        <v>15000000</v>
      </c>
      <c r="AL740" s="151">
        <f t="shared" si="1464"/>
        <v>0</v>
      </c>
      <c r="AM740" s="148">
        <v>10000000</v>
      </c>
      <c r="AN740" s="159" t="s">
        <v>4019</v>
      </c>
      <c r="AO740" s="160"/>
      <c r="AP740" s="168" t="s">
        <v>4019</v>
      </c>
      <c r="AQ740" s="219"/>
      <c r="AR740" s="218"/>
    </row>
    <row r="741" spans="1:44" s="156" customFormat="1" ht="78.75" x14ac:dyDescent="0.25">
      <c r="A741" s="143" t="s">
        <v>275</v>
      </c>
      <c r="B741" s="144">
        <v>728</v>
      </c>
      <c r="C741" s="143" t="s">
        <v>67</v>
      </c>
      <c r="D741" s="143" t="s">
        <v>1427</v>
      </c>
      <c r="E741" s="145"/>
      <c r="F741" s="145" t="s">
        <v>1420</v>
      </c>
      <c r="G741" s="143" t="s">
        <v>1428</v>
      </c>
      <c r="H741" s="143"/>
      <c r="I741" s="143"/>
      <c r="J741" s="143"/>
      <c r="K741" s="164"/>
      <c r="L741" s="143" t="s">
        <v>1429</v>
      </c>
      <c r="M741" s="143" t="s">
        <v>43</v>
      </c>
      <c r="N741" s="143" t="s">
        <v>1430</v>
      </c>
      <c r="O741" s="147">
        <v>804477970</v>
      </c>
      <c r="P741" s="150"/>
      <c r="Q741" s="169">
        <v>15000000</v>
      </c>
      <c r="R741" s="148">
        <f>24000000+48000000</f>
        <v>72000000</v>
      </c>
      <c r="S741" s="147">
        <f t="shared" si="1029"/>
        <v>891477970</v>
      </c>
      <c r="T741" s="158">
        <v>804477970</v>
      </c>
      <c r="U741" s="143"/>
      <c r="V741" s="147">
        <v>15000000</v>
      </c>
      <c r="W741" s="158">
        <v>72000000</v>
      </c>
      <c r="X741" s="143"/>
      <c r="Y741" s="152">
        <f t="shared" ref="Y741:AB741" si="1465">AD741-T741</f>
        <v>0</v>
      </c>
      <c r="Z741" s="151">
        <f t="shared" si="1465"/>
        <v>0</v>
      </c>
      <c r="AA741" s="151">
        <f t="shared" si="1465"/>
        <v>0</v>
      </c>
      <c r="AB741" s="151">
        <f t="shared" si="1465"/>
        <v>0</v>
      </c>
      <c r="AC741" s="143"/>
      <c r="AD741" s="194">
        <v>804477970</v>
      </c>
      <c r="AE741" s="170"/>
      <c r="AF741" s="169">
        <v>15000000</v>
      </c>
      <c r="AG741" s="169">
        <f>24000000+48000000</f>
        <v>72000000</v>
      </c>
      <c r="AH741" s="143">
        <f t="shared" si="1031"/>
        <v>0</v>
      </c>
      <c r="AI741" s="151"/>
      <c r="AJ741" s="151">
        <f t="shared" ref="AJ741:AL741" si="1466">P741-AE741</f>
        <v>0</v>
      </c>
      <c r="AK741" s="151">
        <f t="shared" si="1466"/>
        <v>0</v>
      </c>
      <c r="AL741" s="151">
        <f t="shared" si="1466"/>
        <v>0</v>
      </c>
      <c r="AM741" s="145"/>
      <c r="AN741" s="139"/>
      <c r="AO741" s="139"/>
      <c r="AP741" s="139"/>
      <c r="AQ741" s="145"/>
      <c r="AR741" s="145"/>
    </row>
    <row r="742" spans="1:44" s="156" customFormat="1" ht="47.25" x14ac:dyDescent="0.25">
      <c r="A742" s="143" t="s">
        <v>60</v>
      </c>
      <c r="B742" s="144">
        <v>729</v>
      </c>
      <c r="C742" s="143" t="s">
        <v>67</v>
      </c>
      <c r="D742" s="143" t="s">
        <v>3612</v>
      </c>
      <c r="E742" s="145"/>
      <c r="F742" s="146"/>
      <c r="G742" s="143" t="s">
        <v>3613</v>
      </c>
      <c r="H742" s="143"/>
      <c r="I742" s="143"/>
      <c r="J742" s="143"/>
      <c r="K742" s="143"/>
      <c r="L742" s="143" t="s">
        <v>3614</v>
      </c>
      <c r="M742" s="143" t="s">
        <v>43</v>
      </c>
      <c r="N742" s="143" t="s">
        <v>3615</v>
      </c>
      <c r="O742" s="147">
        <v>379903110</v>
      </c>
      <c r="P742" s="150"/>
      <c r="Q742" s="181">
        <v>7500000</v>
      </c>
      <c r="R742" s="150"/>
      <c r="S742" s="147">
        <f t="shared" si="1029"/>
        <v>387403110</v>
      </c>
      <c r="T742" s="158">
        <v>379903110</v>
      </c>
      <c r="U742" s="143"/>
      <c r="V742" s="147">
        <v>7500000</v>
      </c>
      <c r="W742" s="143"/>
      <c r="X742" s="143"/>
      <c r="Y742" s="152">
        <f t="shared" ref="Y742:AB742" si="1467">AD742-T742</f>
        <v>0</v>
      </c>
      <c r="Z742" s="151">
        <f t="shared" si="1467"/>
        <v>0</v>
      </c>
      <c r="AA742" s="151">
        <f t="shared" si="1467"/>
        <v>0</v>
      </c>
      <c r="AB742" s="152">
        <f t="shared" si="1467"/>
        <v>0</v>
      </c>
      <c r="AC742" s="143"/>
      <c r="AD742" s="194">
        <v>379903110</v>
      </c>
      <c r="AE742" s="150"/>
      <c r="AF742" s="148">
        <v>7500000</v>
      </c>
      <c r="AG742" s="155"/>
      <c r="AH742" s="143">
        <f t="shared" si="1031"/>
        <v>0</v>
      </c>
      <c r="AI742" s="151"/>
      <c r="AJ742" s="151">
        <f t="shared" ref="AJ742:AL742" si="1468">P742-AE742</f>
        <v>0</v>
      </c>
      <c r="AK742" s="151">
        <f t="shared" si="1468"/>
        <v>0</v>
      </c>
      <c r="AL742" s="151">
        <f t="shared" si="1468"/>
        <v>0</v>
      </c>
      <c r="AM742" s="145"/>
      <c r="AN742" s="139"/>
      <c r="AO742" s="139"/>
      <c r="AP742" s="139"/>
      <c r="AQ742" s="145"/>
      <c r="AR742" s="145"/>
    </row>
    <row r="743" spans="1:44" s="156" customFormat="1" ht="78.75" x14ac:dyDescent="0.25">
      <c r="A743" s="143" t="s">
        <v>275</v>
      </c>
      <c r="B743" s="144">
        <v>730</v>
      </c>
      <c r="C743" s="143" t="s">
        <v>67</v>
      </c>
      <c r="D743" s="143" t="s">
        <v>1640</v>
      </c>
      <c r="E743" s="145"/>
      <c r="F743" s="145" t="s">
        <v>1630</v>
      </c>
      <c r="G743" s="143" t="s">
        <v>1641</v>
      </c>
      <c r="H743" s="143"/>
      <c r="I743" s="143"/>
      <c r="J743" s="143"/>
      <c r="K743" s="164"/>
      <c r="L743" s="143" t="s">
        <v>1642</v>
      </c>
      <c r="M743" s="143" t="s">
        <v>43</v>
      </c>
      <c r="N743" s="143" t="s">
        <v>1643</v>
      </c>
      <c r="O743" s="147">
        <v>401173485</v>
      </c>
      <c r="P743" s="150"/>
      <c r="Q743" s="169">
        <v>15000000</v>
      </c>
      <c r="R743" s="148">
        <f>60000000+60000000</f>
        <v>120000000</v>
      </c>
      <c r="S743" s="147">
        <f t="shared" si="1029"/>
        <v>536173485</v>
      </c>
      <c r="T743" s="158">
        <v>401173485</v>
      </c>
      <c r="U743" s="143"/>
      <c r="V743" s="147">
        <v>15000000</v>
      </c>
      <c r="W743" s="158">
        <v>120000000</v>
      </c>
      <c r="X743" s="143"/>
      <c r="Y743" s="152">
        <f t="shared" ref="Y743:AB743" si="1469">AD743-T743</f>
        <v>0</v>
      </c>
      <c r="Z743" s="151">
        <f t="shared" si="1469"/>
        <v>0</v>
      </c>
      <c r="AA743" s="151">
        <f t="shared" si="1469"/>
        <v>0</v>
      </c>
      <c r="AB743" s="151">
        <f t="shared" si="1469"/>
        <v>0</v>
      </c>
      <c r="AC743" s="143"/>
      <c r="AD743" s="191">
        <v>401173485</v>
      </c>
      <c r="AE743" s="170"/>
      <c r="AF743" s="148">
        <v>15000000</v>
      </c>
      <c r="AG743" s="169">
        <f>60000000+60000000</f>
        <v>120000000</v>
      </c>
      <c r="AH743" s="143">
        <f t="shared" si="1031"/>
        <v>0</v>
      </c>
      <c r="AI743" s="151"/>
      <c r="AJ743" s="151">
        <f t="shared" ref="AJ743:AL743" si="1470">P743-AE743</f>
        <v>0</v>
      </c>
      <c r="AK743" s="151">
        <f t="shared" si="1470"/>
        <v>0</v>
      </c>
      <c r="AL743" s="151">
        <f t="shared" si="1470"/>
        <v>0</v>
      </c>
      <c r="AM743" s="145"/>
      <c r="AN743" s="139"/>
      <c r="AO743" s="139"/>
      <c r="AP743" s="139"/>
      <c r="AQ743" s="145"/>
      <c r="AR743" s="145"/>
    </row>
    <row r="744" spans="1:44" s="156" customFormat="1" ht="63" x14ac:dyDescent="0.25">
      <c r="A744" s="143" t="s">
        <v>52</v>
      </c>
      <c r="B744" s="144">
        <v>731</v>
      </c>
      <c r="C744" s="143" t="s">
        <v>67</v>
      </c>
      <c r="D744" s="143" t="s">
        <v>3617</v>
      </c>
      <c r="E744" s="145" t="s">
        <v>3618</v>
      </c>
      <c r="F744" s="145"/>
      <c r="G744" s="143" t="s">
        <v>3619</v>
      </c>
      <c r="H744" s="143" t="s">
        <v>3620</v>
      </c>
      <c r="I744" s="143"/>
      <c r="J744" s="143"/>
      <c r="K744" s="143"/>
      <c r="L744" s="143" t="s">
        <v>3621</v>
      </c>
      <c r="M744" s="143" t="s">
        <v>43</v>
      </c>
      <c r="N744" s="143" t="s">
        <v>3622</v>
      </c>
      <c r="O744" s="147">
        <v>4043584200</v>
      </c>
      <c r="P744" s="148">
        <v>161992320</v>
      </c>
      <c r="Q744" s="174">
        <v>15000000</v>
      </c>
      <c r="R744" s="150"/>
      <c r="S744" s="147">
        <f t="shared" si="1029"/>
        <v>4220576520</v>
      </c>
      <c r="T744" s="151">
        <v>4043584200</v>
      </c>
      <c r="U744" s="158">
        <v>161992320</v>
      </c>
      <c r="V744" s="147">
        <v>15000000</v>
      </c>
      <c r="W744" s="143"/>
      <c r="X744" s="143"/>
      <c r="Y744" s="152">
        <f t="shared" ref="Y744:AB744" si="1471">AD744-T744</f>
        <v>0</v>
      </c>
      <c r="Z744" s="151">
        <f t="shared" si="1471"/>
        <v>0</v>
      </c>
      <c r="AA744" s="151">
        <f t="shared" si="1471"/>
        <v>0</v>
      </c>
      <c r="AB744" s="157">
        <f t="shared" si="1471"/>
        <v>0</v>
      </c>
      <c r="AC744" s="143"/>
      <c r="AD744" s="205">
        <v>4043584200</v>
      </c>
      <c r="AE744" s="174">
        <v>161992320</v>
      </c>
      <c r="AF744" s="148">
        <v>15000000</v>
      </c>
      <c r="AG744" s="206"/>
      <c r="AH744" s="143">
        <f t="shared" si="1031"/>
        <v>0</v>
      </c>
      <c r="AI744" s="151"/>
      <c r="AJ744" s="151">
        <f t="shared" ref="AJ744:AL744" si="1472">P744-AE744</f>
        <v>0</v>
      </c>
      <c r="AK744" s="151">
        <f t="shared" si="1472"/>
        <v>0</v>
      </c>
      <c r="AL744" s="151">
        <f t="shared" si="1472"/>
        <v>0</v>
      </c>
      <c r="AM744" s="145"/>
      <c r="AN744" s="139"/>
      <c r="AO744" s="139" t="s">
        <v>4025</v>
      </c>
      <c r="AP744" s="139"/>
      <c r="AQ744" s="145"/>
      <c r="AR744" s="145"/>
    </row>
    <row r="745" spans="1:44" s="156" customFormat="1" ht="47.25" x14ac:dyDescent="0.25">
      <c r="A745" s="143" t="s">
        <v>88</v>
      </c>
      <c r="B745" s="144">
        <v>732</v>
      </c>
      <c r="C745" s="143" t="s">
        <v>67</v>
      </c>
      <c r="D745" s="143" t="s">
        <v>356</v>
      </c>
      <c r="E745" s="145"/>
      <c r="F745" s="145" t="s">
        <v>358</v>
      </c>
      <c r="G745" s="143" t="s">
        <v>359</v>
      </c>
      <c r="H745" s="143" t="s">
        <v>360</v>
      </c>
      <c r="I745" s="143"/>
      <c r="J745" s="143"/>
      <c r="K745" s="164"/>
      <c r="L745" s="143" t="s">
        <v>361</v>
      </c>
      <c r="M745" s="143" t="s">
        <v>43</v>
      </c>
      <c r="N745" s="143" t="s">
        <v>362</v>
      </c>
      <c r="O745" s="147">
        <v>13921454534</v>
      </c>
      <c r="P745" s="150"/>
      <c r="Q745" s="148">
        <v>15000000</v>
      </c>
      <c r="R745" s="148">
        <v>96000000</v>
      </c>
      <c r="S745" s="147">
        <f t="shared" si="1029"/>
        <v>14032454534</v>
      </c>
      <c r="T745" s="158">
        <v>13921454534</v>
      </c>
      <c r="U745" s="143"/>
      <c r="V745" s="147">
        <v>15000000</v>
      </c>
      <c r="W745" s="158">
        <v>96000000</v>
      </c>
      <c r="X745" s="143"/>
      <c r="Y745" s="152">
        <f t="shared" ref="Y745:AB745" si="1473">AD745-T745</f>
        <v>0</v>
      </c>
      <c r="Z745" s="151">
        <f t="shared" si="1473"/>
        <v>0</v>
      </c>
      <c r="AA745" s="151">
        <f t="shared" si="1473"/>
        <v>0</v>
      </c>
      <c r="AB745" s="152">
        <f t="shared" si="1473"/>
        <v>0</v>
      </c>
      <c r="AC745" s="143"/>
      <c r="AD745" s="149">
        <v>13921454534</v>
      </c>
      <c r="AE745" s="150"/>
      <c r="AF745" s="148">
        <v>15000000</v>
      </c>
      <c r="AG745" s="149">
        <v>96000000</v>
      </c>
      <c r="AH745" s="143">
        <f t="shared" si="1031"/>
        <v>0</v>
      </c>
      <c r="AI745" s="151"/>
      <c r="AJ745" s="151">
        <f t="shared" ref="AJ745:AL745" si="1474">P745-AE745</f>
        <v>0</v>
      </c>
      <c r="AK745" s="151">
        <f t="shared" si="1474"/>
        <v>0</v>
      </c>
      <c r="AL745" s="151">
        <f t="shared" si="1474"/>
        <v>0</v>
      </c>
      <c r="AM745" s="145"/>
      <c r="AN745" s="139"/>
      <c r="AO745" s="139"/>
      <c r="AP745" s="139"/>
      <c r="AQ745" s="145"/>
      <c r="AR745" s="145"/>
    </row>
    <row r="746" spans="1:44" s="156" customFormat="1" ht="47.25" x14ac:dyDescent="0.25">
      <c r="A746" s="143" t="s">
        <v>52</v>
      </c>
      <c r="B746" s="144">
        <v>733</v>
      </c>
      <c r="C746" s="143" t="s">
        <v>67</v>
      </c>
      <c r="D746" s="143" t="s">
        <v>642</v>
      </c>
      <c r="E746" s="145" t="s">
        <v>643</v>
      </c>
      <c r="F746" s="145" t="s">
        <v>644</v>
      </c>
      <c r="G746" s="143" t="s">
        <v>645</v>
      </c>
      <c r="H746" s="143" t="s">
        <v>646</v>
      </c>
      <c r="I746" s="143"/>
      <c r="J746" s="143"/>
      <c r="K746" s="164"/>
      <c r="L746" s="143" t="s">
        <v>647</v>
      </c>
      <c r="M746" s="143" t="s">
        <v>43</v>
      </c>
      <c r="N746" s="143" t="s">
        <v>649</v>
      </c>
      <c r="O746" s="147">
        <v>1706747626</v>
      </c>
      <c r="P746" s="174">
        <v>471972074</v>
      </c>
      <c r="Q746" s="174">
        <v>15000000</v>
      </c>
      <c r="R746" s="148">
        <v>24000000</v>
      </c>
      <c r="S746" s="147">
        <f t="shared" si="1029"/>
        <v>2217719700</v>
      </c>
      <c r="T746" s="151">
        <v>1706747626</v>
      </c>
      <c r="U746" s="158">
        <v>471972074</v>
      </c>
      <c r="V746" s="147">
        <v>15000000</v>
      </c>
      <c r="W746" s="158">
        <v>24000000</v>
      </c>
      <c r="X746" s="143"/>
      <c r="Y746" s="152">
        <f t="shared" ref="Y746:AB746" si="1475">AD746-T746</f>
        <v>0</v>
      </c>
      <c r="Z746" s="151">
        <f t="shared" si="1475"/>
        <v>0</v>
      </c>
      <c r="AA746" s="151">
        <f t="shared" si="1475"/>
        <v>0</v>
      </c>
      <c r="AB746" s="157">
        <f t="shared" si="1475"/>
        <v>0</v>
      </c>
      <c r="AC746" s="143"/>
      <c r="AD746" s="155">
        <v>1706747626</v>
      </c>
      <c r="AE746" s="174">
        <v>471972074</v>
      </c>
      <c r="AF746" s="148">
        <v>15000000</v>
      </c>
      <c r="AG746" s="207">
        <v>24000000</v>
      </c>
      <c r="AH746" s="143">
        <f t="shared" si="1031"/>
        <v>0</v>
      </c>
      <c r="AI746" s="151"/>
      <c r="AJ746" s="151">
        <f t="shared" ref="AJ746:AL746" si="1476">P746-AE746</f>
        <v>0</v>
      </c>
      <c r="AK746" s="151">
        <f t="shared" si="1476"/>
        <v>0</v>
      </c>
      <c r="AL746" s="151">
        <f t="shared" si="1476"/>
        <v>0</v>
      </c>
      <c r="AM746" s="145"/>
      <c r="AN746" s="139"/>
      <c r="AO746" s="139"/>
      <c r="AP746" s="139"/>
      <c r="AQ746" s="145"/>
      <c r="AR746" s="145"/>
    </row>
    <row r="747" spans="1:44" s="156" customFormat="1" ht="47.25" x14ac:dyDescent="0.25">
      <c r="A747" s="143" t="s">
        <v>35</v>
      </c>
      <c r="B747" s="144">
        <v>734</v>
      </c>
      <c r="C747" s="143" t="s">
        <v>67</v>
      </c>
      <c r="D747" s="143" t="s">
        <v>3624</v>
      </c>
      <c r="E747" s="145"/>
      <c r="F747" s="145"/>
      <c r="G747" s="143" t="s">
        <v>3625</v>
      </c>
      <c r="H747" s="143"/>
      <c r="I747" s="143"/>
      <c r="J747" s="143"/>
      <c r="K747" s="143"/>
      <c r="L747" s="143" t="s">
        <v>3626</v>
      </c>
      <c r="M747" s="143" t="s">
        <v>43</v>
      </c>
      <c r="N747" s="143" t="s">
        <v>3627</v>
      </c>
      <c r="O747" s="147">
        <v>7225075720</v>
      </c>
      <c r="P747" s="150"/>
      <c r="Q747" s="177">
        <v>15000000</v>
      </c>
      <c r="R747" s="150"/>
      <c r="S747" s="147">
        <f t="shared" si="1029"/>
        <v>7240075720</v>
      </c>
      <c r="T747" s="158">
        <v>7225075720</v>
      </c>
      <c r="U747" s="143"/>
      <c r="V747" s="147">
        <v>15000000</v>
      </c>
      <c r="W747" s="143"/>
      <c r="X747" s="143"/>
      <c r="Y747" s="152">
        <f t="shared" ref="Y747:AB747" si="1477">AD747-T747</f>
        <v>0</v>
      </c>
      <c r="Z747" s="151">
        <f t="shared" si="1477"/>
        <v>0</v>
      </c>
      <c r="AA747" s="151">
        <f t="shared" si="1477"/>
        <v>0</v>
      </c>
      <c r="AB747" s="151">
        <f t="shared" si="1477"/>
        <v>0</v>
      </c>
      <c r="AC747" s="143"/>
      <c r="AD747" s="194">
        <v>7225075720</v>
      </c>
      <c r="AE747" s="170"/>
      <c r="AF747" s="148">
        <v>15000000</v>
      </c>
      <c r="AG747" s="170"/>
      <c r="AH747" s="143">
        <f t="shared" si="1031"/>
        <v>0</v>
      </c>
      <c r="AI747" s="151"/>
      <c r="AJ747" s="151">
        <f t="shared" ref="AJ747:AL747" si="1478">P747-AE747</f>
        <v>0</v>
      </c>
      <c r="AK747" s="151">
        <f t="shared" si="1478"/>
        <v>0</v>
      </c>
      <c r="AL747" s="151">
        <f t="shared" si="1478"/>
        <v>0</v>
      </c>
      <c r="AM747" s="145"/>
      <c r="AN747" s="139"/>
      <c r="AO747" s="139"/>
      <c r="AP747" s="139"/>
      <c r="AQ747" s="145"/>
      <c r="AR747" s="145"/>
    </row>
    <row r="748" spans="1:44" s="156" customFormat="1" ht="78.75" x14ac:dyDescent="0.25">
      <c r="A748" s="143" t="s">
        <v>52</v>
      </c>
      <c r="B748" s="144">
        <v>735</v>
      </c>
      <c r="C748" s="143" t="s">
        <v>67</v>
      </c>
      <c r="D748" s="143" t="s">
        <v>1621</v>
      </c>
      <c r="E748" s="145"/>
      <c r="F748" s="145" t="s">
        <v>1603</v>
      </c>
      <c r="G748" s="143" t="s">
        <v>1622</v>
      </c>
      <c r="H748" s="143"/>
      <c r="I748" s="143"/>
      <c r="J748" s="143"/>
      <c r="K748" s="164"/>
      <c r="L748" s="143" t="s">
        <v>1623</v>
      </c>
      <c r="M748" s="143" t="s">
        <v>43</v>
      </c>
      <c r="N748" s="143" t="s">
        <v>1624</v>
      </c>
      <c r="O748" s="147">
        <v>853559360</v>
      </c>
      <c r="P748" s="150"/>
      <c r="Q748" s="148">
        <v>15000000</v>
      </c>
      <c r="R748" s="148">
        <f>30000000+60000000</f>
        <v>90000000</v>
      </c>
      <c r="S748" s="147">
        <f t="shared" si="1029"/>
        <v>958559360</v>
      </c>
      <c r="T748" s="151">
        <v>853559360</v>
      </c>
      <c r="U748" s="143"/>
      <c r="V748" s="147">
        <v>15000000</v>
      </c>
      <c r="W748" s="158">
        <v>90000000</v>
      </c>
      <c r="X748" s="143"/>
      <c r="Y748" s="152">
        <f t="shared" ref="Y748:AB748" si="1479">AD748-T748</f>
        <v>0</v>
      </c>
      <c r="Z748" s="151">
        <f t="shared" si="1479"/>
        <v>0</v>
      </c>
      <c r="AA748" s="151">
        <f t="shared" si="1479"/>
        <v>0</v>
      </c>
      <c r="AB748" s="157">
        <f t="shared" si="1479"/>
        <v>0</v>
      </c>
      <c r="AC748" s="143"/>
      <c r="AD748" s="155">
        <v>853559360</v>
      </c>
      <c r="AE748" s="150"/>
      <c r="AF748" s="148">
        <v>15000000</v>
      </c>
      <c r="AG748" s="183">
        <f>30000000+60000000</f>
        <v>90000000</v>
      </c>
      <c r="AH748" s="143">
        <f t="shared" si="1031"/>
        <v>0</v>
      </c>
      <c r="AI748" s="151"/>
      <c r="AJ748" s="151">
        <f t="shared" ref="AJ748:AL748" si="1480">P748-AE748</f>
        <v>0</v>
      </c>
      <c r="AK748" s="151">
        <f t="shared" si="1480"/>
        <v>0</v>
      </c>
      <c r="AL748" s="151">
        <f t="shared" si="1480"/>
        <v>0</v>
      </c>
      <c r="AM748" s="145"/>
      <c r="AN748" s="139"/>
      <c r="AO748" s="139"/>
      <c r="AP748" s="139"/>
      <c r="AQ748" s="145"/>
      <c r="AR748" s="145"/>
    </row>
    <row r="749" spans="1:44" s="156" customFormat="1" ht="31.5" x14ac:dyDescent="0.25">
      <c r="A749" s="143" t="s">
        <v>52</v>
      </c>
      <c r="B749" s="144">
        <v>736</v>
      </c>
      <c r="C749" s="143" t="s">
        <v>67</v>
      </c>
      <c r="D749" s="143" t="s">
        <v>3630</v>
      </c>
      <c r="E749" s="145"/>
      <c r="F749" s="145"/>
      <c r="G749" s="143" t="s">
        <v>3631</v>
      </c>
      <c r="H749" s="143"/>
      <c r="I749" s="143"/>
      <c r="J749" s="143"/>
      <c r="K749" s="143"/>
      <c r="L749" s="143" t="s">
        <v>3632</v>
      </c>
      <c r="M749" s="143" t="s">
        <v>43</v>
      </c>
      <c r="N749" s="143" t="s">
        <v>3633</v>
      </c>
      <c r="O749" s="147">
        <v>1376202443</v>
      </c>
      <c r="P749" s="150"/>
      <c r="Q749" s="169">
        <v>15000000</v>
      </c>
      <c r="R749" s="150"/>
      <c r="S749" s="147">
        <f t="shared" si="1029"/>
        <v>1391202443</v>
      </c>
      <c r="T749" s="151">
        <v>1376202443</v>
      </c>
      <c r="U749" s="143"/>
      <c r="V749" s="147">
        <v>15000000</v>
      </c>
      <c r="W749" s="143"/>
      <c r="X749" s="143"/>
      <c r="Y749" s="152">
        <f t="shared" ref="Y749:AB749" si="1481">AD749-T749</f>
        <v>0</v>
      </c>
      <c r="Z749" s="151">
        <f t="shared" si="1481"/>
        <v>0</v>
      </c>
      <c r="AA749" s="151">
        <f t="shared" si="1481"/>
        <v>0</v>
      </c>
      <c r="AB749" s="157">
        <f t="shared" si="1481"/>
        <v>0</v>
      </c>
      <c r="AC749" s="143"/>
      <c r="AD749" s="192">
        <v>1376202443</v>
      </c>
      <c r="AE749" s="170"/>
      <c r="AF749" s="169">
        <v>15000000</v>
      </c>
      <c r="AG749" s="208"/>
      <c r="AH749" s="143">
        <f t="shared" si="1031"/>
        <v>0</v>
      </c>
      <c r="AI749" s="151"/>
      <c r="AJ749" s="151">
        <f t="shared" ref="AJ749:AL749" si="1482">P749-AE749</f>
        <v>0</v>
      </c>
      <c r="AK749" s="151">
        <f t="shared" si="1482"/>
        <v>0</v>
      </c>
      <c r="AL749" s="151">
        <f t="shared" si="1482"/>
        <v>0</v>
      </c>
      <c r="AM749" s="145"/>
      <c r="AN749" s="139"/>
      <c r="AO749" s="139"/>
      <c r="AP749" s="139"/>
      <c r="AQ749" s="145"/>
      <c r="AR749" s="145"/>
    </row>
    <row r="750" spans="1:44" s="156" customFormat="1" ht="47.25" x14ac:dyDescent="0.25">
      <c r="A750" s="143" t="s">
        <v>52</v>
      </c>
      <c r="B750" s="144">
        <v>737</v>
      </c>
      <c r="C750" s="143" t="s">
        <v>67</v>
      </c>
      <c r="D750" s="143" t="s">
        <v>3634</v>
      </c>
      <c r="E750" s="145"/>
      <c r="F750" s="145"/>
      <c r="G750" s="143" t="s">
        <v>3635</v>
      </c>
      <c r="H750" s="143"/>
      <c r="I750" s="143"/>
      <c r="J750" s="143"/>
      <c r="K750" s="143"/>
      <c r="L750" s="143" t="s">
        <v>3636</v>
      </c>
      <c r="M750" s="143" t="s">
        <v>43</v>
      </c>
      <c r="N750" s="143" t="s">
        <v>3639</v>
      </c>
      <c r="O750" s="147">
        <v>299923956</v>
      </c>
      <c r="P750" s="150"/>
      <c r="Q750" s="181">
        <v>15000000</v>
      </c>
      <c r="R750" s="150"/>
      <c r="S750" s="147">
        <f t="shared" si="1029"/>
        <v>314923956</v>
      </c>
      <c r="T750" s="151">
        <v>299923956</v>
      </c>
      <c r="U750" s="143"/>
      <c r="V750" s="147">
        <v>15000000</v>
      </c>
      <c r="W750" s="143"/>
      <c r="X750" s="143"/>
      <c r="Y750" s="152">
        <f t="shared" ref="Y750:AB750" si="1483">AD750-T750</f>
        <v>0</v>
      </c>
      <c r="Z750" s="151">
        <f t="shared" si="1483"/>
        <v>0</v>
      </c>
      <c r="AA750" s="151">
        <f t="shared" si="1483"/>
        <v>0</v>
      </c>
      <c r="AB750" s="157">
        <f t="shared" si="1483"/>
        <v>0</v>
      </c>
      <c r="AC750" s="143"/>
      <c r="AD750" s="192">
        <v>299923956</v>
      </c>
      <c r="AE750" s="203"/>
      <c r="AF750" s="181">
        <v>15000000</v>
      </c>
      <c r="AG750" s="209"/>
      <c r="AH750" s="143">
        <f t="shared" si="1031"/>
        <v>0</v>
      </c>
      <c r="AI750" s="151"/>
      <c r="AJ750" s="151">
        <f t="shared" ref="AJ750:AL750" si="1484">P750-AE750</f>
        <v>0</v>
      </c>
      <c r="AK750" s="151">
        <f t="shared" si="1484"/>
        <v>0</v>
      </c>
      <c r="AL750" s="151">
        <f t="shared" si="1484"/>
        <v>0</v>
      </c>
      <c r="AM750" s="145"/>
      <c r="AN750" s="139"/>
      <c r="AO750" s="139"/>
      <c r="AP750" s="139"/>
      <c r="AQ750" s="145"/>
      <c r="AR750" s="145"/>
    </row>
    <row r="751" spans="1:44" s="156" customFormat="1" ht="31.5" x14ac:dyDescent="0.25">
      <c r="A751" s="143" t="s">
        <v>52</v>
      </c>
      <c r="B751" s="144">
        <v>738</v>
      </c>
      <c r="C751" s="143" t="s">
        <v>67</v>
      </c>
      <c r="D751" s="143" t="s">
        <v>3640</v>
      </c>
      <c r="E751" s="145"/>
      <c r="F751" s="145"/>
      <c r="G751" s="143" t="s">
        <v>3641</v>
      </c>
      <c r="H751" s="143"/>
      <c r="I751" s="143"/>
      <c r="J751" s="143"/>
      <c r="K751" s="143"/>
      <c r="L751" s="143" t="s">
        <v>3642</v>
      </c>
      <c r="M751" s="143" t="s">
        <v>43</v>
      </c>
      <c r="N751" s="143" t="s">
        <v>3643</v>
      </c>
      <c r="O751" s="147">
        <v>5079928644</v>
      </c>
      <c r="P751" s="150"/>
      <c r="Q751" s="148">
        <v>7500000</v>
      </c>
      <c r="R751" s="150"/>
      <c r="S751" s="147">
        <f t="shared" si="1029"/>
        <v>5087428644</v>
      </c>
      <c r="T751" s="158">
        <v>5079928644</v>
      </c>
      <c r="U751" s="143"/>
      <c r="V751" s="147">
        <v>7500000</v>
      </c>
      <c r="W751" s="143"/>
      <c r="X751" s="143"/>
      <c r="Y751" s="152">
        <f t="shared" ref="Y751:AB751" si="1485">AD751-T751</f>
        <v>0</v>
      </c>
      <c r="Z751" s="151">
        <f t="shared" si="1485"/>
        <v>0</v>
      </c>
      <c r="AA751" s="151">
        <f t="shared" si="1485"/>
        <v>0</v>
      </c>
      <c r="AB751" s="152">
        <f t="shared" si="1485"/>
        <v>0</v>
      </c>
      <c r="AC751" s="143"/>
      <c r="AD751" s="149">
        <v>5079928644</v>
      </c>
      <c r="AE751" s="184"/>
      <c r="AF751" s="148">
        <v>7500000</v>
      </c>
      <c r="AG751" s="182"/>
      <c r="AH751" s="143">
        <f t="shared" si="1031"/>
        <v>0</v>
      </c>
      <c r="AI751" s="151"/>
      <c r="AJ751" s="151">
        <f t="shared" ref="AJ751:AL751" si="1486">P751-AE751</f>
        <v>0</v>
      </c>
      <c r="AK751" s="151">
        <f t="shared" si="1486"/>
        <v>0</v>
      </c>
      <c r="AL751" s="151">
        <f t="shared" si="1486"/>
        <v>0</v>
      </c>
      <c r="AM751" s="145"/>
      <c r="AN751" s="139"/>
      <c r="AO751" s="139"/>
      <c r="AP751" s="139"/>
      <c r="AQ751" s="145"/>
      <c r="AR751" s="145"/>
    </row>
    <row r="752" spans="1:44" s="156" customFormat="1" ht="47.25" x14ac:dyDescent="0.25">
      <c r="A752" s="143" t="s">
        <v>60</v>
      </c>
      <c r="B752" s="144">
        <v>739</v>
      </c>
      <c r="C752" s="143" t="s">
        <v>67</v>
      </c>
      <c r="D752" s="143" t="s">
        <v>3644</v>
      </c>
      <c r="E752" s="145"/>
      <c r="F752" s="145"/>
      <c r="G752" s="143" t="s">
        <v>3645</v>
      </c>
      <c r="H752" s="143" t="s">
        <v>2623</v>
      </c>
      <c r="I752" s="143"/>
      <c r="J752" s="143"/>
      <c r="K752" s="143"/>
      <c r="L752" s="143" t="s">
        <v>3646</v>
      </c>
      <c r="M752" s="143" t="s">
        <v>43</v>
      </c>
      <c r="N752" s="143" t="s">
        <v>3647</v>
      </c>
      <c r="O752" s="147">
        <v>2887146088</v>
      </c>
      <c r="P752" s="150"/>
      <c r="Q752" s="148">
        <v>15000000</v>
      </c>
      <c r="R752" s="150"/>
      <c r="S752" s="147">
        <f t="shared" si="1029"/>
        <v>2902146088</v>
      </c>
      <c r="T752" s="151">
        <v>2887146088</v>
      </c>
      <c r="U752" s="143"/>
      <c r="V752" s="147">
        <v>15000000</v>
      </c>
      <c r="W752" s="143"/>
      <c r="X752" s="143"/>
      <c r="Y752" s="152">
        <f t="shared" ref="Y752:AB752" si="1487">AD752-T752</f>
        <v>0</v>
      </c>
      <c r="Z752" s="151">
        <f t="shared" si="1487"/>
        <v>0</v>
      </c>
      <c r="AA752" s="151">
        <f t="shared" si="1487"/>
        <v>0</v>
      </c>
      <c r="AB752" s="157">
        <f t="shared" si="1487"/>
        <v>0</v>
      </c>
      <c r="AC752" s="143"/>
      <c r="AD752" s="155">
        <v>2887146088</v>
      </c>
      <c r="AE752" s="150"/>
      <c r="AF752" s="174">
        <v>15000000</v>
      </c>
      <c r="AG752" s="167"/>
      <c r="AH752" s="143">
        <f t="shared" si="1031"/>
        <v>0</v>
      </c>
      <c r="AI752" s="151"/>
      <c r="AJ752" s="151">
        <f t="shared" ref="AJ752:AL752" si="1488">P752-AE752</f>
        <v>0</v>
      </c>
      <c r="AK752" s="151">
        <f t="shared" si="1488"/>
        <v>0</v>
      </c>
      <c r="AL752" s="151">
        <f t="shared" si="1488"/>
        <v>0</v>
      </c>
      <c r="AM752" s="145"/>
      <c r="AN752" s="139"/>
      <c r="AO752" s="139"/>
      <c r="AP752" s="139"/>
      <c r="AQ752" s="145"/>
      <c r="AR752" s="145"/>
    </row>
    <row r="753" spans="1:44" s="156" customFormat="1" ht="31.5" x14ac:dyDescent="0.25">
      <c r="A753" s="143" t="s">
        <v>52</v>
      </c>
      <c r="B753" s="144">
        <v>740</v>
      </c>
      <c r="C753" s="143" t="s">
        <v>67</v>
      </c>
      <c r="D753" s="143" t="s">
        <v>3648</v>
      </c>
      <c r="E753" s="145"/>
      <c r="F753" s="145"/>
      <c r="G753" s="143" t="s">
        <v>3649</v>
      </c>
      <c r="H753" s="143" t="s">
        <v>3650</v>
      </c>
      <c r="I753" s="143"/>
      <c r="J753" s="143"/>
      <c r="K753" s="143"/>
      <c r="L753" s="143" t="s">
        <v>3651</v>
      </c>
      <c r="M753" s="143" t="s">
        <v>43</v>
      </c>
      <c r="N753" s="143" t="s">
        <v>3652</v>
      </c>
      <c r="O753" s="147">
        <v>1459373626</v>
      </c>
      <c r="P753" s="150"/>
      <c r="Q753" s="174">
        <v>15000000</v>
      </c>
      <c r="R753" s="150"/>
      <c r="S753" s="147">
        <f t="shared" si="1029"/>
        <v>1474373626</v>
      </c>
      <c r="T753" s="158">
        <v>1459373626</v>
      </c>
      <c r="U753" s="143"/>
      <c r="V753" s="147">
        <v>15000000</v>
      </c>
      <c r="W753" s="143"/>
      <c r="X753" s="143"/>
      <c r="Y753" s="152">
        <f t="shared" ref="Y753:AB753" si="1489">AD753-T753</f>
        <v>0</v>
      </c>
      <c r="Z753" s="151">
        <f t="shared" si="1489"/>
        <v>0</v>
      </c>
      <c r="AA753" s="151">
        <f t="shared" si="1489"/>
        <v>0</v>
      </c>
      <c r="AB753" s="151">
        <f t="shared" si="1489"/>
        <v>0</v>
      </c>
      <c r="AC753" s="143"/>
      <c r="AD753" s="202">
        <v>1459373626</v>
      </c>
      <c r="AE753" s="160"/>
      <c r="AF753" s="174">
        <v>15000000</v>
      </c>
      <c r="AG753" s="160"/>
      <c r="AH753" s="143">
        <f t="shared" si="1031"/>
        <v>0</v>
      </c>
      <c r="AI753" s="151"/>
      <c r="AJ753" s="151">
        <f t="shared" ref="AJ753:AL753" si="1490">P753-AE753</f>
        <v>0</v>
      </c>
      <c r="AK753" s="151">
        <f t="shared" si="1490"/>
        <v>0</v>
      </c>
      <c r="AL753" s="151">
        <f t="shared" si="1490"/>
        <v>0</v>
      </c>
      <c r="AM753" s="145"/>
      <c r="AN753" s="139"/>
      <c r="AO753" s="139"/>
      <c r="AP753" s="139"/>
      <c r="AQ753" s="145"/>
      <c r="AR753" s="145"/>
    </row>
    <row r="754" spans="1:44" s="156" customFormat="1" ht="31.5" x14ac:dyDescent="0.25">
      <c r="A754" s="143" t="s">
        <v>275</v>
      </c>
      <c r="B754" s="144">
        <v>741</v>
      </c>
      <c r="C754" s="143" t="s">
        <v>67</v>
      </c>
      <c r="D754" s="143" t="s">
        <v>3653</v>
      </c>
      <c r="E754" s="145"/>
      <c r="F754" s="145"/>
      <c r="G754" s="143" t="s">
        <v>3654</v>
      </c>
      <c r="H754" s="143"/>
      <c r="I754" s="143"/>
      <c r="J754" s="143"/>
      <c r="K754" s="143"/>
      <c r="L754" s="143" t="s">
        <v>3655</v>
      </c>
      <c r="M754" s="143" t="s">
        <v>43</v>
      </c>
      <c r="N754" s="143" t="s">
        <v>3656</v>
      </c>
      <c r="O754" s="147">
        <v>82301352</v>
      </c>
      <c r="P754" s="150"/>
      <c r="Q754" s="148">
        <v>7500000</v>
      </c>
      <c r="R754" s="150"/>
      <c r="S754" s="147">
        <f t="shared" si="1029"/>
        <v>89801352</v>
      </c>
      <c r="T754" s="158">
        <v>82301352</v>
      </c>
      <c r="U754" s="143"/>
      <c r="V754" s="147">
        <v>7500000</v>
      </c>
      <c r="W754" s="143"/>
      <c r="X754" s="143"/>
      <c r="Y754" s="152">
        <f t="shared" ref="Y754:AB754" si="1491">AD754-T754</f>
        <v>0</v>
      </c>
      <c r="Z754" s="151">
        <f t="shared" si="1491"/>
        <v>0</v>
      </c>
      <c r="AA754" s="151">
        <f t="shared" si="1491"/>
        <v>0</v>
      </c>
      <c r="AB754" s="151">
        <f t="shared" si="1491"/>
        <v>0</v>
      </c>
      <c r="AC754" s="143"/>
      <c r="AD754" s="149">
        <v>82301352</v>
      </c>
      <c r="AE754" s="150"/>
      <c r="AF754" s="148">
        <v>7500000</v>
      </c>
      <c r="AG754" s="150"/>
      <c r="AH754" s="143">
        <f t="shared" si="1031"/>
        <v>0</v>
      </c>
      <c r="AI754" s="151"/>
      <c r="AJ754" s="151">
        <f t="shared" ref="AJ754:AL754" si="1492">P754-AE754</f>
        <v>0</v>
      </c>
      <c r="AK754" s="151">
        <f t="shared" si="1492"/>
        <v>0</v>
      </c>
      <c r="AL754" s="151">
        <f t="shared" si="1492"/>
        <v>0</v>
      </c>
      <c r="AM754" s="145"/>
      <c r="AN754" s="139"/>
      <c r="AO754" s="139"/>
      <c r="AP754" s="139"/>
      <c r="AQ754" s="145"/>
      <c r="AR754" s="145"/>
    </row>
    <row r="755" spans="1:44" s="156" customFormat="1" ht="47.25" x14ac:dyDescent="0.25">
      <c r="A755" s="143" t="s">
        <v>52</v>
      </c>
      <c r="B755" s="144">
        <v>742</v>
      </c>
      <c r="C755" s="143" t="s">
        <v>67</v>
      </c>
      <c r="D755" s="143" t="s">
        <v>3657</v>
      </c>
      <c r="E755" s="145"/>
      <c r="F755" s="145"/>
      <c r="G755" s="143" t="s">
        <v>3658</v>
      </c>
      <c r="H755" s="143"/>
      <c r="I755" s="143"/>
      <c r="J755" s="143"/>
      <c r="K755" s="143"/>
      <c r="L755" s="143" t="s">
        <v>3659</v>
      </c>
      <c r="M755" s="143" t="s">
        <v>43</v>
      </c>
      <c r="N755" s="143" t="s">
        <v>3660</v>
      </c>
      <c r="O755" s="147">
        <v>1439532080</v>
      </c>
      <c r="P755" s="150"/>
      <c r="Q755" s="169">
        <v>15000000</v>
      </c>
      <c r="R755" s="150"/>
      <c r="S755" s="147">
        <f t="shared" si="1029"/>
        <v>1454532080</v>
      </c>
      <c r="T755" s="151">
        <v>1439532080</v>
      </c>
      <c r="U755" s="143"/>
      <c r="V755" s="147">
        <v>15000000</v>
      </c>
      <c r="W755" s="143"/>
      <c r="X755" s="143"/>
      <c r="Y755" s="152">
        <f t="shared" ref="Y755:AB755" si="1493">AD755-T755</f>
        <v>0</v>
      </c>
      <c r="Z755" s="151">
        <f t="shared" si="1493"/>
        <v>0</v>
      </c>
      <c r="AA755" s="151">
        <f t="shared" si="1493"/>
        <v>0</v>
      </c>
      <c r="AB755" s="157">
        <f t="shared" si="1493"/>
        <v>0</v>
      </c>
      <c r="AC755" s="143"/>
      <c r="AD755" s="192">
        <v>1439532080</v>
      </c>
      <c r="AE755" s="170"/>
      <c r="AF755" s="148">
        <v>15000000</v>
      </c>
      <c r="AG755" s="208"/>
      <c r="AH755" s="143">
        <f t="shared" si="1031"/>
        <v>0</v>
      </c>
      <c r="AI755" s="151"/>
      <c r="AJ755" s="151">
        <f t="shared" ref="AJ755:AL755" si="1494">P755-AE755</f>
        <v>0</v>
      </c>
      <c r="AK755" s="151">
        <f t="shared" si="1494"/>
        <v>0</v>
      </c>
      <c r="AL755" s="151">
        <f t="shared" si="1494"/>
        <v>0</v>
      </c>
      <c r="AM755" s="145"/>
      <c r="AN755" s="139"/>
      <c r="AO755" s="139"/>
      <c r="AP755" s="139"/>
      <c r="AQ755" s="145"/>
      <c r="AR755" s="145"/>
    </row>
    <row r="756" spans="1:44" s="156" customFormat="1" ht="78.75" x14ac:dyDescent="0.25">
      <c r="A756" s="143" t="s">
        <v>88</v>
      </c>
      <c r="B756" s="175">
        <v>743</v>
      </c>
      <c r="C756" s="145" t="s">
        <v>67</v>
      </c>
      <c r="D756" s="143" t="s">
        <v>1899</v>
      </c>
      <c r="E756" s="145"/>
      <c r="F756" s="145" t="s">
        <v>1900</v>
      </c>
      <c r="G756" s="145" t="s">
        <v>1901</v>
      </c>
      <c r="H756" s="145"/>
      <c r="I756" s="145"/>
      <c r="J756" s="145"/>
      <c r="K756" s="146"/>
      <c r="L756" s="145" t="s">
        <v>1902</v>
      </c>
      <c r="M756" s="145" t="s">
        <v>43</v>
      </c>
      <c r="N756" s="145" t="s">
        <v>1903</v>
      </c>
      <c r="O756" s="147">
        <v>749131120</v>
      </c>
      <c r="P756" s="150"/>
      <c r="Q756" s="148">
        <v>15000000</v>
      </c>
      <c r="R756" s="148">
        <f>30000000+60000000</f>
        <v>90000000</v>
      </c>
      <c r="S756" s="147">
        <f t="shared" si="1029"/>
        <v>854131120</v>
      </c>
      <c r="T756" s="158">
        <v>749131120</v>
      </c>
      <c r="U756" s="143"/>
      <c r="V756" s="147">
        <v>15000000</v>
      </c>
      <c r="W756" s="158">
        <v>30000000</v>
      </c>
      <c r="X756" s="143"/>
      <c r="Y756" s="152">
        <f t="shared" ref="Y756:AB756" si="1495">AD756-T756</f>
        <v>0</v>
      </c>
      <c r="Z756" s="151">
        <f t="shared" si="1495"/>
        <v>0</v>
      </c>
      <c r="AA756" s="151">
        <f t="shared" si="1495"/>
        <v>0</v>
      </c>
      <c r="AB756" s="151">
        <f t="shared" si="1495"/>
        <v>0</v>
      </c>
      <c r="AC756" s="165"/>
      <c r="AD756" s="149">
        <v>749131120</v>
      </c>
      <c r="AE756" s="150"/>
      <c r="AF756" s="174">
        <v>15000000</v>
      </c>
      <c r="AG756" s="148">
        <v>30000000</v>
      </c>
      <c r="AH756" s="166">
        <f t="shared" si="1031"/>
        <v>0</v>
      </c>
      <c r="AI756" s="151"/>
      <c r="AJ756" s="151">
        <f t="shared" ref="AJ756:AL756" si="1496">P756-AE756</f>
        <v>0</v>
      </c>
      <c r="AK756" s="151">
        <f t="shared" si="1496"/>
        <v>0</v>
      </c>
      <c r="AL756" s="150">
        <f t="shared" si="1496"/>
        <v>60000000</v>
      </c>
      <c r="AM756" s="145"/>
      <c r="AN756" s="139"/>
      <c r="AO756" s="139"/>
      <c r="AP756" s="139"/>
      <c r="AQ756" s="145" t="s">
        <v>2745</v>
      </c>
      <c r="AR756" s="145"/>
    </row>
    <row r="757" spans="1:44" s="156" customFormat="1" ht="94.5" x14ac:dyDescent="0.25">
      <c r="A757" s="143" t="s">
        <v>88</v>
      </c>
      <c r="B757" s="144">
        <v>744</v>
      </c>
      <c r="C757" s="143" t="s">
        <v>67</v>
      </c>
      <c r="D757" s="143" t="s">
        <v>695</v>
      </c>
      <c r="E757" s="145"/>
      <c r="F757" s="145" t="s">
        <v>688</v>
      </c>
      <c r="G757" s="143" t="s">
        <v>696</v>
      </c>
      <c r="H757" s="143"/>
      <c r="I757" s="143"/>
      <c r="J757" s="143"/>
      <c r="K757" s="164"/>
      <c r="L757" s="143" t="s">
        <v>697</v>
      </c>
      <c r="M757" s="143" t="s">
        <v>43</v>
      </c>
      <c r="N757" s="143" t="s">
        <v>698</v>
      </c>
      <c r="O757" s="147">
        <v>416665504</v>
      </c>
      <c r="P757" s="150"/>
      <c r="Q757" s="181">
        <v>15000000</v>
      </c>
      <c r="R757" s="148">
        <f>24000000+48000000</f>
        <v>72000000</v>
      </c>
      <c r="S757" s="147">
        <f t="shared" si="1029"/>
        <v>503665504</v>
      </c>
      <c r="T757" s="158">
        <v>416665504</v>
      </c>
      <c r="U757" s="143"/>
      <c r="V757" s="147">
        <v>15000000</v>
      </c>
      <c r="W757" s="158">
        <v>72000000</v>
      </c>
      <c r="X757" s="143"/>
      <c r="Y757" s="152">
        <f t="shared" ref="Y757:AB757" si="1497">AD757-T757</f>
        <v>0</v>
      </c>
      <c r="Z757" s="151">
        <f t="shared" si="1497"/>
        <v>0</v>
      </c>
      <c r="AA757" s="151">
        <f t="shared" si="1497"/>
        <v>0</v>
      </c>
      <c r="AB757" s="151">
        <f t="shared" si="1497"/>
        <v>0</v>
      </c>
      <c r="AC757" s="143"/>
      <c r="AD757" s="194">
        <v>416665504</v>
      </c>
      <c r="AE757" s="203"/>
      <c r="AF757" s="148">
        <v>15000000</v>
      </c>
      <c r="AG757" s="181">
        <f>24000000+48000000</f>
        <v>72000000</v>
      </c>
      <c r="AH757" s="143">
        <f t="shared" si="1031"/>
        <v>0</v>
      </c>
      <c r="AI757" s="151"/>
      <c r="AJ757" s="151">
        <f t="shared" ref="AJ757:AL757" si="1498">P757-AE757</f>
        <v>0</v>
      </c>
      <c r="AK757" s="151">
        <f t="shared" si="1498"/>
        <v>0</v>
      </c>
      <c r="AL757" s="151">
        <f t="shared" si="1498"/>
        <v>0</v>
      </c>
      <c r="AM757" s="145"/>
      <c r="AN757" s="139"/>
      <c r="AO757" s="139"/>
      <c r="AP757" s="139"/>
      <c r="AQ757" s="145"/>
      <c r="AR757" s="145"/>
    </row>
    <row r="758" spans="1:44" s="156" customFormat="1" ht="78.75" x14ac:dyDescent="0.25">
      <c r="A758" s="143" t="s">
        <v>275</v>
      </c>
      <c r="B758" s="175">
        <v>745</v>
      </c>
      <c r="C758" s="145" t="s">
        <v>67</v>
      </c>
      <c r="D758" s="143" t="s">
        <v>1648</v>
      </c>
      <c r="E758" s="145" t="s">
        <v>1395</v>
      </c>
      <c r="F758" s="145" t="s">
        <v>1630</v>
      </c>
      <c r="G758" s="145" t="s">
        <v>1649</v>
      </c>
      <c r="H758" s="145" t="s">
        <v>1650</v>
      </c>
      <c r="I758" s="145"/>
      <c r="J758" s="145"/>
      <c r="K758" s="146"/>
      <c r="L758" s="145" t="s">
        <v>1651</v>
      </c>
      <c r="M758" s="145" t="s">
        <v>43</v>
      </c>
      <c r="N758" s="145" t="s">
        <v>1652</v>
      </c>
      <c r="O758" s="147">
        <v>1596400307</v>
      </c>
      <c r="P758" s="181">
        <v>333382157</v>
      </c>
      <c r="Q758" s="181">
        <v>15000000</v>
      </c>
      <c r="R758" s="148">
        <f>48000000+48000000</f>
        <v>96000000</v>
      </c>
      <c r="S758" s="147">
        <f t="shared" si="1029"/>
        <v>2040782464</v>
      </c>
      <c r="T758" s="158">
        <v>1596400307</v>
      </c>
      <c r="U758" s="158">
        <v>333382157</v>
      </c>
      <c r="V758" s="147">
        <v>15000000</v>
      </c>
      <c r="W758" s="158">
        <v>48000000</v>
      </c>
      <c r="X758" s="143"/>
      <c r="Y758" s="152">
        <f t="shared" ref="Y758:AB758" si="1499">AD758-T758</f>
        <v>0</v>
      </c>
      <c r="Z758" s="151">
        <f t="shared" si="1499"/>
        <v>0</v>
      </c>
      <c r="AA758" s="151">
        <f t="shared" si="1499"/>
        <v>0</v>
      </c>
      <c r="AB758" s="151">
        <f t="shared" si="1499"/>
        <v>0</v>
      </c>
      <c r="AC758" s="165"/>
      <c r="AD758" s="194">
        <v>1596400307</v>
      </c>
      <c r="AE758" s="181">
        <v>333382157</v>
      </c>
      <c r="AF758" s="148">
        <v>15000000</v>
      </c>
      <c r="AG758" s="181">
        <v>48000000</v>
      </c>
      <c r="AH758" s="166">
        <f t="shared" si="1031"/>
        <v>0</v>
      </c>
      <c r="AI758" s="151"/>
      <c r="AJ758" s="151">
        <f t="shared" ref="AJ758:AL758" si="1500">P758-AE758</f>
        <v>0</v>
      </c>
      <c r="AK758" s="151">
        <f t="shared" si="1500"/>
        <v>0</v>
      </c>
      <c r="AL758" s="150">
        <f t="shared" si="1500"/>
        <v>48000000</v>
      </c>
      <c r="AM758" s="145"/>
      <c r="AN758" s="139"/>
      <c r="AO758" s="139"/>
      <c r="AP758" s="139"/>
      <c r="AQ758" s="145" t="s">
        <v>3506</v>
      </c>
      <c r="AR758" s="145"/>
    </row>
    <row r="759" spans="1:44" s="156" customFormat="1" ht="126" x14ac:dyDescent="0.25">
      <c r="A759" s="143" t="s">
        <v>88</v>
      </c>
      <c r="B759" s="144">
        <v>746</v>
      </c>
      <c r="C759" s="143" t="s">
        <v>67</v>
      </c>
      <c r="D759" s="143" t="s">
        <v>1670</v>
      </c>
      <c r="E759" s="145"/>
      <c r="F759" s="145" t="s">
        <v>1671</v>
      </c>
      <c r="G759" s="143" t="s">
        <v>1672</v>
      </c>
      <c r="H759" s="143" t="s">
        <v>1673</v>
      </c>
      <c r="I759" s="143"/>
      <c r="J759" s="143"/>
      <c r="K759" s="164"/>
      <c r="L759" s="143" t="s">
        <v>1674</v>
      </c>
      <c r="M759" s="143" t="s">
        <v>43</v>
      </c>
      <c r="N759" s="143" t="s">
        <v>1675</v>
      </c>
      <c r="O759" s="147">
        <v>748291540</v>
      </c>
      <c r="P759" s="150"/>
      <c r="Q759" s="148">
        <v>15000000</v>
      </c>
      <c r="R759" s="148">
        <f>60000000+12000000+72000000</f>
        <v>144000000</v>
      </c>
      <c r="S759" s="147">
        <f t="shared" si="1029"/>
        <v>907291540</v>
      </c>
      <c r="T759" s="151">
        <v>748291540</v>
      </c>
      <c r="U759" s="143"/>
      <c r="V759" s="147">
        <v>15000000</v>
      </c>
      <c r="W759" s="158">
        <v>144000000</v>
      </c>
      <c r="X759" s="143"/>
      <c r="Y759" s="152">
        <f t="shared" ref="Y759:AB759" si="1501">AD759-T759</f>
        <v>0</v>
      </c>
      <c r="Z759" s="151">
        <f t="shared" si="1501"/>
        <v>0</v>
      </c>
      <c r="AA759" s="151">
        <f t="shared" si="1501"/>
        <v>0</v>
      </c>
      <c r="AB759" s="152">
        <f t="shared" si="1501"/>
        <v>0</v>
      </c>
      <c r="AC759" s="143"/>
      <c r="AD759" s="155">
        <v>748291540</v>
      </c>
      <c r="AE759" s="150"/>
      <c r="AF759" s="148">
        <v>15000000</v>
      </c>
      <c r="AG759" s="149">
        <f>60000000+12000000+72000000</f>
        <v>144000000</v>
      </c>
      <c r="AH759" s="143">
        <f t="shared" si="1031"/>
        <v>0</v>
      </c>
      <c r="AI759" s="151"/>
      <c r="AJ759" s="151">
        <f t="shared" ref="AJ759:AL759" si="1502">P759-AE759</f>
        <v>0</v>
      </c>
      <c r="AK759" s="151">
        <f t="shared" si="1502"/>
        <v>0</v>
      </c>
      <c r="AL759" s="151">
        <f t="shared" si="1502"/>
        <v>0</v>
      </c>
      <c r="AM759" s="145"/>
      <c r="AN759" s="139"/>
      <c r="AO759" s="139"/>
      <c r="AP759" s="139"/>
      <c r="AQ759" s="145"/>
      <c r="AR759" s="145"/>
    </row>
    <row r="760" spans="1:44" s="156" customFormat="1" ht="78.75" x14ac:dyDescent="0.25">
      <c r="A760" s="143" t="s">
        <v>35</v>
      </c>
      <c r="B760" s="144">
        <v>747</v>
      </c>
      <c r="C760" s="143" t="s">
        <v>67</v>
      </c>
      <c r="D760" s="143" t="s">
        <v>1914</v>
      </c>
      <c r="E760" s="145"/>
      <c r="F760" s="145" t="s">
        <v>1900</v>
      </c>
      <c r="G760" s="143" t="s">
        <v>1915</v>
      </c>
      <c r="H760" s="143"/>
      <c r="I760" s="143"/>
      <c r="J760" s="143"/>
      <c r="K760" s="164"/>
      <c r="L760" s="143" t="s">
        <v>1916</v>
      </c>
      <c r="M760" s="143" t="s">
        <v>43</v>
      </c>
      <c r="N760" s="143" t="s">
        <v>1917</v>
      </c>
      <c r="O760" s="147">
        <v>1886255920</v>
      </c>
      <c r="P760" s="150"/>
      <c r="Q760" s="177">
        <v>15000000</v>
      </c>
      <c r="R760" s="148">
        <f>24000000+48000000</f>
        <v>72000000</v>
      </c>
      <c r="S760" s="147">
        <f t="shared" si="1029"/>
        <v>1973255920</v>
      </c>
      <c r="T760" s="158">
        <v>1886255920</v>
      </c>
      <c r="U760" s="143"/>
      <c r="V760" s="147">
        <v>15000000</v>
      </c>
      <c r="W760" s="158">
        <v>72000000</v>
      </c>
      <c r="X760" s="143"/>
      <c r="Y760" s="152">
        <f t="shared" ref="Y760:AB760" si="1503">AD760-T760</f>
        <v>0</v>
      </c>
      <c r="Z760" s="151">
        <f t="shared" si="1503"/>
        <v>0</v>
      </c>
      <c r="AA760" s="151">
        <f t="shared" si="1503"/>
        <v>0</v>
      </c>
      <c r="AB760" s="151">
        <f t="shared" si="1503"/>
        <v>0</v>
      </c>
      <c r="AC760" s="143"/>
      <c r="AD760" s="194">
        <v>1886255920</v>
      </c>
      <c r="AE760" s="170"/>
      <c r="AF760" s="148">
        <v>15000000</v>
      </c>
      <c r="AG760" s="169">
        <f>24000000+48000000</f>
        <v>72000000</v>
      </c>
      <c r="AH760" s="143">
        <f t="shared" si="1031"/>
        <v>0</v>
      </c>
      <c r="AI760" s="151"/>
      <c r="AJ760" s="151">
        <f t="shared" ref="AJ760:AL760" si="1504">P760-AE760</f>
        <v>0</v>
      </c>
      <c r="AK760" s="151">
        <f t="shared" si="1504"/>
        <v>0</v>
      </c>
      <c r="AL760" s="151">
        <f t="shared" si="1504"/>
        <v>0</v>
      </c>
      <c r="AM760" s="145"/>
      <c r="AN760" s="139"/>
      <c r="AO760" s="139"/>
      <c r="AP760" s="139"/>
      <c r="AQ760" s="145"/>
      <c r="AR760" s="145"/>
    </row>
    <row r="761" spans="1:44" s="156" customFormat="1" ht="31.5" x14ac:dyDescent="0.25">
      <c r="A761" s="143" t="s">
        <v>88</v>
      </c>
      <c r="B761" s="144">
        <v>748</v>
      </c>
      <c r="C761" s="143" t="s">
        <v>67</v>
      </c>
      <c r="D761" s="143" t="s">
        <v>3667</v>
      </c>
      <c r="E761" s="145"/>
      <c r="F761" s="145"/>
      <c r="G761" s="143" t="s">
        <v>3668</v>
      </c>
      <c r="H761" s="143"/>
      <c r="I761" s="143"/>
      <c r="J761" s="143"/>
      <c r="K761" s="143"/>
      <c r="L761" s="143" t="s">
        <v>3669</v>
      </c>
      <c r="M761" s="143" t="s">
        <v>43</v>
      </c>
      <c r="N761" s="143" t="s">
        <v>449</v>
      </c>
      <c r="O761" s="147">
        <v>1272966611</v>
      </c>
      <c r="P761" s="150"/>
      <c r="Q761" s="148">
        <v>15000000</v>
      </c>
      <c r="R761" s="150"/>
      <c r="S761" s="147">
        <f t="shared" si="1029"/>
        <v>1287966611</v>
      </c>
      <c r="T761" s="151">
        <v>1272966611</v>
      </c>
      <c r="U761" s="143"/>
      <c r="V761" s="147">
        <v>15000000</v>
      </c>
      <c r="W761" s="143"/>
      <c r="X761" s="143"/>
      <c r="Y761" s="152">
        <f t="shared" ref="Y761:AB761" si="1505">AD761-T761</f>
        <v>0</v>
      </c>
      <c r="Z761" s="151">
        <f t="shared" si="1505"/>
        <v>0</v>
      </c>
      <c r="AA761" s="151">
        <f t="shared" si="1505"/>
        <v>0</v>
      </c>
      <c r="AB761" s="152">
        <f t="shared" si="1505"/>
        <v>0</v>
      </c>
      <c r="AC761" s="143"/>
      <c r="AD761" s="155">
        <v>1272966611</v>
      </c>
      <c r="AE761" s="150"/>
      <c r="AF761" s="148">
        <v>15000000</v>
      </c>
      <c r="AG761" s="155"/>
      <c r="AH761" s="143">
        <f t="shared" si="1031"/>
        <v>0</v>
      </c>
      <c r="AI761" s="151"/>
      <c r="AJ761" s="151">
        <f t="shared" ref="AJ761:AL761" si="1506">P761-AE761</f>
        <v>0</v>
      </c>
      <c r="AK761" s="151">
        <f t="shared" si="1506"/>
        <v>0</v>
      </c>
      <c r="AL761" s="151">
        <f t="shared" si="1506"/>
        <v>0</v>
      </c>
      <c r="AM761" s="145"/>
      <c r="AN761" s="139"/>
      <c r="AO761" s="139"/>
      <c r="AP761" s="139"/>
      <c r="AQ761" s="145"/>
      <c r="AR761" s="145"/>
    </row>
    <row r="762" spans="1:44" s="156" customFormat="1" ht="78.75" x14ac:dyDescent="0.25">
      <c r="A762" s="143" t="s">
        <v>275</v>
      </c>
      <c r="B762" s="144">
        <v>749</v>
      </c>
      <c r="C762" s="143" t="s">
        <v>67</v>
      </c>
      <c r="D762" s="143" t="s">
        <v>1215</v>
      </c>
      <c r="E762" s="145" t="s">
        <v>1216</v>
      </c>
      <c r="F762" s="145" t="s">
        <v>1217</v>
      </c>
      <c r="G762" s="143" t="s">
        <v>1218</v>
      </c>
      <c r="H762" s="143" t="s">
        <v>1219</v>
      </c>
      <c r="I762" s="143"/>
      <c r="J762" s="143"/>
      <c r="K762" s="164"/>
      <c r="L762" s="143" t="s">
        <v>1220</v>
      </c>
      <c r="M762" s="143" t="s">
        <v>43</v>
      </c>
      <c r="N762" s="143" t="s">
        <v>1221</v>
      </c>
      <c r="O762" s="147">
        <v>1467836032</v>
      </c>
      <c r="P762" s="148">
        <v>1187425264</v>
      </c>
      <c r="Q762" s="148">
        <v>15000000</v>
      </c>
      <c r="R762" s="148">
        <f>24000000+48000000</f>
        <v>72000000</v>
      </c>
      <c r="S762" s="147">
        <f t="shared" si="1029"/>
        <v>2742261296</v>
      </c>
      <c r="T762" s="158">
        <v>1467836032</v>
      </c>
      <c r="U762" s="158">
        <v>1187425264</v>
      </c>
      <c r="V762" s="147">
        <v>15000000</v>
      </c>
      <c r="W762" s="158">
        <v>72000000</v>
      </c>
      <c r="X762" s="143"/>
      <c r="Y762" s="151">
        <f t="shared" ref="Y762:AB762" si="1507">AD762-T762</f>
        <v>0</v>
      </c>
      <c r="Z762" s="151">
        <f t="shared" si="1507"/>
        <v>0</v>
      </c>
      <c r="AA762" s="151">
        <f t="shared" si="1507"/>
        <v>0</v>
      </c>
      <c r="AB762" s="151">
        <f t="shared" si="1507"/>
        <v>0</v>
      </c>
      <c r="AC762" s="143"/>
      <c r="AD762" s="148">
        <v>1467836032</v>
      </c>
      <c r="AE762" s="148">
        <v>1187425264</v>
      </c>
      <c r="AF762" s="148">
        <v>15000000</v>
      </c>
      <c r="AG762" s="148">
        <f>24000000+48000000</f>
        <v>72000000</v>
      </c>
      <c r="AH762" s="143">
        <f t="shared" si="1031"/>
        <v>0</v>
      </c>
      <c r="AI762" s="151"/>
      <c r="AJ762" s="151">
        <f t="shared" ref="AJ762:AL762" si="1508">P762-AE762</f>
        <v>0</v>
      </c>
      <c r="AK762" s="151">
        <f t="shared" si="1508"/>
        <v>0</v>
      </c>
      <c r="AL762" s="151">
        <f t="shared" si="1508"/>
        <v>0</v>
      </c>
      <c r="AM762" s="145"/>
      <c r="AN762" s="139"/>
      <c r="AO762" s="139"/>
      <c r="AP762" s="139"/>
      <c r="AQ762" s="145"/>
      <c r="AR762" s="145"/>
    </row>
    <row r="763" spans="1:44" s="156" customFormat="1" ht="78.75" x14ac:dyDescent="0.25">
      <c r="A763" s="143" t="s">
        <v>88</v>
      </c>
      <c r="B763" s="144">
        <v>750</v>
      </c>
      <c r="C763" s="143" t="s">
        <v>67</v>
      </c>
      <c r="D763" s="143" t="s">
        <v>1927</v>
      </c>
      <c r="E763" s="145"/>
      <c r="F763" s="145" t="s">
        <v>1900</v>
      </c>
      <c r="G763" s="143" t="s">
        <v>1928</v>
      </c>
      <c r="H763" s="143"/>
      <c r="I763" s="143"/>
      <c r="J763" s="143"/>
      <c r="K763" s="164"/>
      <c r="L763" s="143" t="s">
        <v>1929</v>
      </c>
      <c r="M763" s="143" t="s">
        <v>43</v>
      </c>
      <c r="N763" s="143" t="s">
        <v>1930</v>
      </c>
      <c r="O763" s="147">
        <v>923490256</v>
      </c>
      <c r="P763" s="150"/>
      <c r="Q763" s="148">
        <v>15000000</v>
      </c>
      <c r="R763" s="148">
        <f>48000000+48000000</f>
        <v>96000000</v>
      </c>
      <c r="S763" s="147">
        <f t="shared" si="1029"/>
        <v>1034490256</v>
      </c>
      <c r="T763" s="151">
        <v>923490256</v>
      </c>
      <c r="U763" s="143"/>
      <c r="V763" s="147">
        <v>15000000</v>
      </c>
      <c r="W763" s="158">
        <v>96000000</v>
      </c>
      <c r="X763" s="143"/>
      <c r="Y763" s="152">
        <f t="shared" ref="Y763:AB763" si="1509">AD763-T763</f>
        <v>0</v>
      </c>
      <c r="Z763" s="151">
        <f t="shared" si="1509"/>
        <v>0</v>
      </c>
      <c r="AA763" s="151">
        <f t="shared" si="1509"/>
        <v>0</v>
      </c>
      <c r="AB763" s="152">
        <f t="shared" si="1509"/>
        <v>0</v>
      </c>
      <c r="AC763" s="143"/>
      <c r="AD763" s="155">
        <v>923490256</v>
      </c>
      <c r="AE763" s="150"/>
      <c r="AF763" s="148">
        <v>15000000</v>
      </c>
      <c r="AG763" s="149">
        <f>48000000+48000000</f>
        <v>96000000</v>
      </c>
      <c r="AH763" s="143">
        <f t="shared" si="1031"/>
        <v>0</v>
      </c>
      <c r="AI763" s="151"/>
      <c r="AJ763" s="151">
        <f t="shared" ref="AJ763:AL763" si="1510">P763-AE763</f>
        <v>0</v>
      </c>
      <c r="AK763" s="151">
        <f t="shared" si="1510"/>
        <v>0</v>
      </c>
      <c r="AL763" s="151">
        <f t="shared" si="1510"/>
        <v>0</v>
      </c>
      <c r="AM763" s="145"/>
      <c r="AN763" s="139"/>
      <c r="AO763" s="139"/>
      <c r="AP763" s="139"/>
      <c r="AQ763" s="145"/>
      <c r="AR763" s="145"/>
    </row>
    <row r="764" spans="1:44" s="156" customFormat="1" ht="47.25" x14ac:dyDescent="0.25">
      <c r="A764" s="143" t="s">
        <v>60</v>
      </c>
      <c r="B764" s="144">
        <v>751</v>
      </c>
      <c r="C764" s="143" t="s">
        <v>67</v>
      </c>
      <c r="D764" s="143" t="s">
        <v>3671</v>
      </c>
      <c r="E764" s="145"/>
      <c r="F764" s="145"/>
      <c r="G764" s="143" t="s">
        <v>3672</v>
      </c>
      <c r="H764" s="143" t="s">
        <v>3673</v>
      </c>
      <c r="I764" s="143"/>
      <c r="J764" s="143"/>
      <c r="K764" s="143"/>
      <c r="L764" s="143" t="s">
        <v>3674</v>
      </c>
      <c r="M764" s="143" t="s">
        <v>43</v>
      </c>
      <c r="N764" s="143" t="s">
        <v>3675</v>
      </c>
      <c r="O764" s="147">
        <v>10997534236</v>
      </c>
      <c r="P764" s="150"/>
      <c r="Q764" s="169">
        <v>15000000</v>
      </c>
      <c r="R764" s="150"/>
      <c r="S764" s="147">
        <f t="shared" si="1029"/>
        <v>11012534236</v>
      </c>
      <c r="T764" s="158">
        <v>10997534236</v>
      </c>
      <c r="U764" s="143"/>
      <c r="V764" s="157">
        <v>15000000</v>
      </c>
      <c r="W764" s="143"/>
      <c r="X764" s="143"/>
      <c r="Y764" s="152">
        <f t="shared" ref="Y764:AB764" si="1511">AD764-T764</f>
        <v>0</v>
      </c>
      <c r="Z764" s="151">
        <f t="shared" si="1511"/>
        <v>0</v>
      </c>
      <c r="AA764" s="151">
        <f t="shared" si="1511"/>
        <v>0</v>
      </c>
      <c r="AB764" s="151">
        <f t="shared" si="1511"/>
        <v>0</v>
      </c>
      <c r="AC764" s="143"/>
      <c r="AD764" s="194">
        <v>10997534236</v>
      </c>
      <c r="AE764" s="170"/>
      <c r="AF764" s="148">
        <v>15000000</v>
      </c>
      <c r="AG764" s="170"/>
      <c r="AH764" s="143">
        <f t="shared" si="1031"/>
        <v>0</v>
      </c>
      <c r="AI764" s="151"/>
      <c r="AJ764" s="151">
        <f t="shared" ref="AJ764:AL764" si="1512">P764-AE764</f>
        <v>0</v>
      </c>
      <c r="AK764" s="151">
        <f t="shared" si="1512"/>
        <v>0</v>
      </c>
      <c r="AL764" s="151">
        <f t="shared" si="1512"/>
        <v>0</v>
      </c>
      <c r="AM764" s="145"/>
      <c r="AN764" s="139"/>
      <c r="AO764" s="139"/>
      <c r="AP764" s="139"/>
      <c r="AQ764" s="145"/>
      <c r="AR764" s="145"/>
    </row>
    <row r="765" spans="1:44" s="156" customFormat="1" ht="47.25" x14ac:dyDescent="0.25">
      <c r="A765" s="143" t="s">
        <v>88</v>
      </c>
      <c r="B765" s="144">
        <v>752</v>
      </c>
      <c r="C765" s="143" t="s">
        <v>67</v>
      </c>
      <c r="D765" s="143" t="s">
        <v>832</v>
      </c>
      <c r="E765" s="145" t="s">
        <v>625</v>
      </c>
      <c r="F765" s="145" t="s">
        <v>823</v>
      </c>
      <c r="G765" s="143" t="s">
        <v>834</v>
      </c>
      <c r="H765" s="143"/>
      <c r="I765" s="143"/>
      <c r="J765" s="143"/>
      <c r="K765" s="164"/>
      <c r="L765" s="143" t="s">
        <v>836</v>
      </c>
      <c r="M765" s="143" t="s">
        <v>43</v>
      </c>
      <c r="N765" s="143" t="s">
        <v>838</v>
      </c>
      <c r="O765" s="147">
        <v>10000000</v>
      </c>
      <c r="P765" s="169">
        <v>1047274020</v>
      </c>
      <c r="Q765" s="169">
        <v>15000000</v>
      </c>
      <c r="R765" s="148">
        <v>60000000</v>
      </c>
      <c r="S765" s="147">
        <f t="shared" si="1029"/>
        <v>1132274020</v>
      </c>
      <c r="T765" s="158">
        <v>10000000</v>
      </c>
      <c r="U765" s="158">
        <v>1047274020</v>
      </c>
      <c r="V765" s="147">
        <v>15000000</v>
      </c>
      <c r="W765" s="151">
        <v>60000000</v>
      </c>
      <c r="X765" s="143"/>
      <c r="Y765" s="152">
        <f t="shared" ref="Y765:AB765" si="1513">AD765-T765</f>
        <v>0</v>
      </c>
      <c r="Z765" s="151">
        <f t="shared" si="1513"/>
        <v>0</v>
      </c>
      <c r="AA765" s="151">
        <f t="shared" si="1513"/>
        <v>0</v>
      </c>
      <c r="AB765" s="151">
        <f t="shared" si="1513"/>
        <v>0</v>
      </c>
      <c r="AC765" s="143"/>
      <c r="AD765" s="191">
        <v>10000000</v>
      </c>
      <c r="AE765" s="148">
        <v>1047274020</v>
      </c>
      <c r="AF765" s="148">
        <v>15000000</v>
      </c>
      <c r="AG765" s="148">
        <v>60000000</v>
      </c>
      <c r="AH765" s="143">
        <f t="shared" si="1031"/>
        <v>0</v>
      </c>
      <c r="AI765" s="151"/>
      <c r="AJ765" s="151">
        <f t="shared" ref="AJ765:AL765" si="1514">P765-AE765</f>
        <v>0</v>
      </c>
      <c r="AK765" s="151">
        <f t="shared" si="1514"/>
        <v>0</v>
      </c>
      <c r="AL765" s="151">
        <f t="shared" si="1514"/>
        <v>0</v>
      </c>
      <c r="AM765" s="145"/>
      <c r="AN765" s="139"/>
      <c r="AO765" s="139"/>
      <c r="AP765" s="139"/>
      <c r="AQ765" s="145"/>
      <c r="AR765" s="145"/>
    </row>
    <row r="766" spans="1:44" s="156" customFormat="1" ht="31.5" x14ac:dyDescent="0.25">
      <c r="A766" s="143" t="s">
        <v>88</v>
      </c>
      <c r="B766" s="144">
        <v>753</v>
      </c>
      <c r="C766" s="143" t="s">
        <v>67</v>
      </c>
      <c r="D766" s="143" t="s">
        <v>3677</v>
      </c>
      <c r="E766" s="145"/>
      <c r="F766" s="145"/>
      <c r="G766" s="143" t="s">
        <v>3678</v>
      </c>
      <c r="H766" s="143" t="s">
        <v>3679</v>
      </c>
      <c r="I766" s="143"/>
      <c r="J766" s="143"/>
      <c r="K766" s="143"/>
      <c r="L766" s="143" t="s">
        <v>3680</v>
      </c>
      <c r="M766" s="143" t="s">
        <v>43</v>
      </c>
      <c r="N766" s="143" t="s">
        <v>3681</v>
      </c>
      <c r="O766" s="147">
        <v>2463725120</v>
      </c>
      <c r="P766" s="150"/>
      <c r="Q766" s="169">
        <v>15000000</v>
      </c>
      <c r="R766" s="150"/>
      <c r="S766" s="147">
        <f t="shared" si="1029"/>
        <v>2478725120</v>
      </c>
      <c r="T766" s="158">
        <v>2463725120</v>
      </c>
      <c r="U766" s="143"/>
      <c r="V766" s="147">
        <v>15000000</v>
      </c>
      <c r="W766" s="143"/>
      <c r="X766" s="143"/>
      <c r="Y766" s="152">
        <f t="shared" ref="Y766:AB766" si="1515">AD766-T766</f>
        <v>0</v>
      </c>
      <c r="Z766" s="151">
        <f t="shared" si="1515"/>
        <v>0</v>
      </c>
      <c r="AA766" s="151">
        <f t="shared" si="1515"/>
        <v>0</v>
      </c>
      <c r="AB766" s="152">
        <f t="shared" si="1515"/>
        <v>0</v>
      </c>
      <c r="AC766" s="143"/>
      <c r="AD766" s="204">
        <v>2463725120</v>
      </c>
      <c r="AE766" s="150"/>
      <c r="AF766" s="148">
        <v>15000000</v>
      </c>
      <c r="AG766" s="155"/>
      <c r="AH766" s="143">
        <f t="shared" si="1031"/>
        <v>0</v>
      </c>
      <c r="AI766" s="151"/>
      <c r="AJ766" s="151">
        <f t="shared" ref="AJ766:AL766" si="1516">P766-AE766</f>
        <v>0</v>
      </c>
      <c r="AK766" s="151">
        <f t="shared" si="1516"/>
        <v>0</v>
      </c>
      <c r="AL766" s="151">
        <f t="shared" si="1516"/>
        <v>0</v>
      </c>
      <c r="AM766" s="145"/>
      <c r="AN766" s="139"/>
      <c r="AO766" s="139"/>
      <c r="AP766" s="139"/>
      <c r="AQ766" s="145"/>
      <c r="AR766" s="145"/>
    </row>
    <row r="767" spans="1:44" s="156" customFormat="1" ht="31.5" x14ac:dyDescent="0.25">
      <c r="A767" s="143" t="s">
        <v>35</v>
      </c>
      <c r="B767" s="144">
        <v>754</v>
      </c>
      <c r="C767" s="143" t="s">
        <v>67</v>
      </c>
      <c r="D767" s="143" t="s">
        <v>3682</v>
      </c>
      <c r="E767" s="145"/>
      <c r="F767" s="145"/>
      <c r="G767" s="143" t="s">
        <v>3683</v>
      </c>
      <c r="H767" s="143"/>
      <c r="I767" s="143"/>
      <c r="J767" s="143"/>
      <c r="K767" s="143"/>
      <c r="L767" s="143" t="s">
        <v>3684</v>
      </c>
      <c r="M767" s="143" t="s">
        <v>43</v>
      </c>
      <c r="N767" s="143" t="s">
        <v>3385</v>
      </c>
      <c r="O767" s="147">
        <v>1935531328</v>
      </c>
      <c r="P767" s="150"/>
      <c r="Q767" s="177">
        <v>15000000</v>
      </c>
      <c r="R767" s="150"/>
      <c r="S767" s="147">
        <f t="shared" si="1029"/>
        <v>1950531328</v>
      </c>
      <c r="T767" s="151">
        <v>1935531328</v>
      </c>
      <c r="U767" s="143"/>
      <c r="V767" s="147">
        <v>15000000</v>
      </c>
      <c r="W767" s="143"/>
      <c r="X767" s="143"/>
      <c r="Y767" s="152">
        <f t="shared" ref="Y767:AB767" si="1517">AD767-T767</f>
        <v>0</v>
      </c>
      <c r="Z767" s="151">
        <f t="shared" si="1517"/>
        <v>0</v>
      </c>
      <c r="AA767" s="151">
        <f t="shared" si="1517"/>
        <v>0</v>
      </c>
      <c r="AB767" s="152">
        <f t="shared" si="1517"/>
        <v>0</v>
      </c>
      <c r="AC767" s="143"/>
      <c r="AD767" s="205">
        <v>1935531328</v>
      </c>
      <c r="AE767" s="150"/>
      <c r="AF767" s="148">
        <v>15000000</v>
      </c>
      <c r="AG767" s="155"/>
      <c r="AH767" s="143">
        <f t="shared" si="1031"/>
        <v>0</v>
      </c>
      <c r="AI767" s="151"/>
      <c r="AJ767" s="151">
        <f t="shared" ref="AJ767:AL767" si="1518">P767-AE767</f>
        <v>0</v>
      </c>
      <c r="AK767" s="151">
        <f t="shared" si="1518"/>
        <v>0</v>
      </c>
      <c r="AL767" s="151">
        <f t="shared" si="1518"/>
        <v>0</v>
      </c>
      <c r="AM767" s="145"/>
      <c r="AN767" s="139"/>
      <c r="AO767" s="139"/>
      <c r="AP767" s="139"/>
      <c r="AQ767" s="145"/>
      <c r="AR767" s="145"/>
    </row>
    <row r="768" spans="1:44" s="156" customFormat="1" ht="94.5" x14ac:dyDescent="0.25">
      <c r="A768" s="143" t="s">
        <v>88</v>
      </c>
      <c r="B768" s="144">
        <v>755</v>
      </c>
      <c r="C768" s="143" t="s">
        <v>67</v>
      </c>
      <c r="D768" s="143" t="s">
        <v>216</v>
      </c>
      <c r="E768" s="145"/>
      <c r="F768" s="145" t="s">
        <v>4026</v>
      </c>
      <c r="G768" s="143" t="s">
        <v>219</v>
      </c>
      <c r="H768" s="143"/>
      <c r="I768" s="143"/>
      <c r="J768" s="143"/>
      <c r="K768" s="164"/>
      <c r="L768" s="143" t="s">
        <v>221</v>
      </c>
      <c r="M768" s="143" t="s">
        <v>43</v>
      </c>
      <c r="N768" s="143" t="s">
        <v>223</v>
      </c>
      <c r="O768" s="147">
        <v>10000000</v>
      </c>
      <c r="P768" s="150"/>
      <c r="Q768" s="148">
        <v>15000000</v>
      </c>
      <c r="R768" s="148">
        <f t="shared" ref="R768:R769" si="1519">24000000+48000000</f>
        <v>72000000</v>
      </c>
      <c r="S768" s="147">
        <f t="shared" si="1029"/>
        <v>97000000</v>
      </c>
      <c r="T768" s="158">
        <v>10000000</v>
      </c>
      <c r="U768" s="143"/>
      <c r="V768" s="147">
        <v>15000000</v>
      </c>
      <c r="W768" s="158">
        <v>72000000</v>
      </c>
      <c r="X768" s="143"/>
      <c r="Y768" s="152">
        <f t="shared" ref="Y768:AB768" si="1520">AD768-T768</f>
        <v>0</v>
      </c>
      <c r="Z768" s="151">
        <f t="shared" si="1520"/>
        <v>0</v>
      </c>
      <c r="AA768" s="151">
        <f t="shared" si="1520"/>
        <v>0</v>
      </c>
      <c r="AB768" s="151">
        <f t="shared" si="1520"/>
        <v>0</v>
      </c>
      <c r="AC768" s="143"/>
      <c r="AD768" s="149">
        <v>10000000</v>
      </c>
      <c r="AE768" s="150"/>
      <c r="AF768" s="148">
        <v>15000000</v>
      </c>
      <c r="AG768" s="148">
        <f>24000000+48000000</f>
        <v>72000000</v>
      </c>
      <c r="AH768" s="143">
        <f t="shared" si="1031"/>
        <v>0</v>
      </c>
      <c r="AI768" s="151"/>
      <c r="AJ768" s="151">
        <f t="shared" ref="AJ768:AL768" si="1521">P768-AE768</f>
        <v>0</v>
      </c>
      <c r="AK768" s="151">
        <f t="shared" si="1521"/>
        <v>0</v>
      </c>
      <c r="AL768" s="151">
        <f t="shared" si="1521"/>
        <v>0</v>
      </c>
      <c r="AM768" s="145"/>
      <c r="AN768" s="139"/>
      <c r="AO768" s="139"/>
      <c r="AP768" s="139"/>
      <c r="AQ768" s="145"/>
      <c r="AR768" s="145"/>
    </row>
    <row r="769" spans="1:44" s="156" customFormat="1" ht="94.5" x14ac:dyDescent="0.25">
      <c r="A769" s="143" t="s">
        <v>275</v>
      </c>
      <c r="B769" s="175">
        <v>756</v>
      </c>
      <c r="C769" s="145" t="s">
        <v>67</v>
      </c>
      <c r="D769" s="143" t="s">
        <v>1000</v>
      </c>
      <c r="E769" s="145" t="s">
        <v>1002</v>
      </c>
      <c r="F769" s="145" t="s">
        <v>1003</v>
      </c>
      <c r="G769" s="145" t="s">
        <v>1004</v>
      </c>
      <c r="H769" s="145" t="s">
        <v>1005</v>
      </c>
      <c r="I769" s="145"/>
      <c r="J769" s="145"/>
      <c r="K769" s="146"/>
      <c r="L769" s="145" t="s">
        <v>1006</v>
      </c>
      <c r="M769" s="145" t="s">
        <v>43</v>
      </c>
      <c r="N769" s="145" t="s">
        <v>1007</v>
      </c>
      <c r="O769" s="147">
        <v>1842294840</v>
      </c>
      <c r="P769" s="148">
        <f>370694016+495882464</f>
        <v>866576480</v>
      </c>
      <c r="Q769" s="169">
        <v>15000000</v>
      </c>
      <c r="R769" s="148">
        <f t="shared" si="1519"/>
        <v>72000000</v>
      </c>
      <c r="S769" s="147">
        <f t="shared" si="1029"/>
        <v>2795871320</v>
      </c>
      <c r="T769" s="158">
        <v>1842294840</v>
      </c>
      <c r="U769" s="158">
        <v>866576480</v>
      </c>
      <c r="V769" s="147">
        <v>15000000</v>
      </c>
      <c r="W769" s="158">
        <v>24000000</v>
      </c>
      <c r="X769" s="143"/>
      <c r="Y769" s="152">
        <f t="shared" ref="Y769:AB769" si="1522">AD769-T769</f>
        <v>0</v>
      </c>
      <c r="Z769" s="151">
        <f t="shared" si="1522"/>
        <v>0</v>
      </c>
      <c r="AA769" s="151">
        <f t="shared" si="1522"/>
        <v>0</v>
      </c>
      <c r="AB769" s="151">
        <f t="shared" si="1522"/>
        <v>0</v>
      </c>
      <c r="AC769" s="165"/>
      <c r="AD769" s="194">
        <v>1842294840</v>
      </c>
      <c r="AE769" s="169">
        <f>370694016+495882464</f>
        <v>866576480</v>
      </c>
      <c r="AF769" s="169">
        <v>15000000</v>
      </c>
      <c r="AG769" s="169">
        <v>24000000</v>
      </c>
      <c r="AH769" s="166">
        <f t="shared" si="1031"/>
        <v>0</v>
      </c>
      <c r="AI769" s="151"/>
      <c r="AJ769" s="151">
        <f t="shared" ref="AJ769:AL769" si="1523">P769-AE769</f>
        <v>0</v>
      </c>
      <c r="AK769" s="151">
        <f t="shared" si="1523"/>
        <v>0</v>
      </c>
      <c r="AL769" s="150">
        <f t="shared" si="1523"/>
        <v>48000000</v>
      </c>
      <c r="AM769" s="145"/>
      <c r="AN769" s="139"/>
      <c r="AO769" s="139"/>
      <c r="AP769" s="139"/>
      <c r="AQ769" s="145" t="s">
        <v>4027</v>
      </c>
      <c r="AR769" s="145"/>
    </row>
    <row r="770" spans="1:44" s="156" customFormat="1" ht="31.5" x14ac:dyDescent="0.25">
      <c r="A770" s="143" t="s">
        <v>60</v>
      </c>
      <c r="B770" s="144">
        <v>757</v>
      </c>
      <c r="C770" s="143" t="s">
        <v>67</v>
      </c>
      <c r="D770" s="143" t="s">
        <v>3688</v>
      </c>
      <c r="E770" s="145"/>
      <c r="F770" s="145"/>
      <c r="G770" s="143" t="s">
        <v>3689</v>
      </c>
      <c r="H770" s="143" t="s">
        <v>1861</v>
      </c>
      <c r="I770" s="143"/>
      <c r="J770" s="143"/>
      <c r="K770" s="143"/>
      <c r="L770" s="143" t="s">
        <v>3690</v>
      </c>
      <c r="M770" s="143" t="s">
        <v>43</v>
      </c>
      <c r="N770" s="143" t="s">
        <v>3691</v>
      </c>
      <c r="O770" s="147">
        <v>5689097581</v>
      </c>
      <c r="P770" s="150"/>
      <c r="Q770" s="169">
        <v>15000000</v>
      </c>
      <c r="R770" s="150"/>
      <c r="S770" s="147">
        <f t="shared" si="1029"/>
        <v>5704097581</v>
      </c>
      <c r="T770" s="158">
        <v>5689097581</v>
      </c>
      <c r="U770" s="143"/>
      <c r="V770" s="147">
        <v>15000000</v>
      </c>
      <c r="W770" s="143"/>
      <c r="X770" s="143"/>
      <c r="Y770" s="152">
        <f t="shared" ref="Y770:AB770" si="1524">AD770-T770</f>
        <v>0</v>
      </c>
      <c r="Z770" s="151">
        <f t="shared" si="1524"/>
        <v>0</v>
      </c>
      <c r="AA770" s="151">
        <f t="shared" si="1524"/>
        <v>0</v>
      </c>
      <c r="AB770" s="151">
        <f t="shared" si="1524"/>
        <v>0</v>
      </c>
      <c r="AC770" s="143"/>
      <c r="AD770" s="191">
        <v>5689097581</v>
      </c>
      <c r="AE770" s="170"/>
      <c r="AF770" s="148">
        <v>15000000</v>
      </c>
      <c r="AG770" s="170"/>
      <c r="AH770" s="143">
        <f t="shared" si="1031"/>
        <v>0</v>
      </c>
      <c r="AI770" s="151"/>
      <c r="AJ770" s="151">
        <f t="shared" ref="AJ770:AL770" si="1525">P770-AE770</f>
        <v>0</v>
      </c>
      <c r="AK770" s="151">
        <f t="shared" si="1525"/>
        <v>0</v>
      </c>
      <c r="AL770" s="151">
        <f t="shared" si="1525"/>
        <v>0</v>
      </c>
      <c r="AM770" s="145"/>
      <c r="AN770" s="139"/>
      <c r="AO770" s="139"/>
      <c r="AP770" s="139"/>
      <c r="AQ770" s="145"/>
      <c r="AR770" s="145"/>
    </row>
    <row r="771" spans="1:44" s="156" customFormat="1" ht="47.25" x14ac:dyDescent="0.25">
      <c r="A771" s="143" t="s">
        <v>52</v>
      </c>
      <c r="B771" s="144">
        <v>758</v>
      </c>
      <c r="C771" s="143" t="s">
        <v>67</v>
      </c>
      <c r="D771" s="143" t="s">
        <v>3693</v>
      </c>
      <c r="E771" s="145"/>
      <c r="F771" s="145"/>
      <c r="G771" s="143" t="s">
        <v>3694</v>
      </c>
      <c r="H771" s="143"/>
      <c r="I771" s="143"/>
      <c r="J771" s="143"/>
      <c r="K771" s="143"/>
      <c r="L771" s="143" t="s">
        <v>3695</v>
      </c>
      <c r="M771" s="143" t="s">
        <v>43</v>
      </c>
      <c r="N771" s="143" t="s">
        <v>3696</v>
      </c>
      <c r="O771" s="147">
        <v>2504835588</v>
      </c>
      <c r="P771" s="150"/>
      <c r="Q771" s="169">
        <v>15000000</v>
      </c>
      <c r="R771" s="150"/>
      <c r="S771" s="147">
        <f t="shared" si="1029"/>
        <v>2519835588</v>
      </c>
      <c r="T771" s="158">
        <v>2504835588</v>
      </c>
      <c r="U771" s="143"/>
      <c r="V771" s="147">
        <v>15000000</v>
      </c>
      <c r="W771" s="143"/>
      <c r="X771" s="143"/>
      <c r="Y771" s="152">
        <f t="shared" ref="Y771:AB771" si="1526">AD771-T771</f>
        <v>0</v>
      </c>
      <c r="Z771" s="151">
        <f t="shared" si="1526"/>
        <v>0</v>
      </c>
      <c r="AA771" s="151">
        <f t="shared" si="1526"/>
        <v>0</v>
      </c>
      <c r="AB771" s="152">
        <f t="shared" si="1526"/>
        <v>0</v>
      </c>
      <c r="AC771" s="143"/>
      <c r="AD771" s="191">
        <v>2504835588</v>
      </c>
      <c r="AE771" s="150"/>
      <c r="AF771" s="169">
        <v>15000000</v>
      </c>
      <c r="AG771" s="155"/>
      <c r="AH771" s="143">
        <f t="shared" si="1031"/>
        <v>0</v>
      </c>
      <c r="AI771" s="151"/>
      <c r="AJ771" s="151">
        <f t="shared" ref="AJ771:AL771" si="1527">P771-AE771</f>
        <v>0</v>
      </c>
      <c r="AK771" s="151">
        <f t="shared" si="1527"/>
        <v>0</v>
      </c>
      <c r="AL771" s="151">
        <f t="shared" si="1527"/>
        <v>0</v>
      </c>
      <c r="AM771" s="145"/>
      <c r="AN771" s="139"/>
      <c r="AO771" s="139"/>
      <c r="AP771" s="139"/>
      <c r="AQ771" s="145"/>
      <c r="AR771" s="145"/>
    </row>
    <row r="772" spans="1:44" s="156" customFormat="1" ht="31.5" x14ac:dyDescent="0.25">
      <c r="A772" s="143" t="s">
        <v>35</v>
      </c>
      <c r="B772" s="144">
        <v>759</v>
      </c>
      <c r="C772" s="143" t="s">
        <v>67</v>
      </c>
      <c r="D772" s="143" t="s">
        <v>3697</v>
      </c>
      <c r="E772" s="145"/>
      <c r="F772" s="145"/>
      <c r="G772" s="143" t="s">
        <v>3698</v>
      </c>
      <c r="H772" s="143"/>
      <c r="I772" s="143"/>
      <c r="J772" s="143"/>
      <c r="K772" s="143"/>
      <c r="L772" s="143" t="s">
        <v>479</v>
      </c>
      <c r="M772" s="143" t="s">
        <v>43</v>
      </c>
      <c r="N772" s="143" t="s">
        <v>82</v>
      </c>
      <c r="O772" s="147">
        <v>851472352</v>
      </c>
      <c r="P772" s="150"/>
      <c r="Q772" s="148">
        <v>15000000</v>
      </c>
      <c r="R772" s="150"/>
      <c r="S772" s="147">
        <f t="shared" si="1029"/>
        <v>866472352</v>
      </c>
      <c r="T772" s="158">
        <v>851472352</v>
      </c>
      <c r="U772" s="143"/>
      <c r="V772" s="147">
        <v>15000000</v>
      </c>
      <c r="W772" s="143"/>
      <c r="X772" s="143"/>
      <c r="Y772" s="152">
        <f t="shared" ref="Y772:AB772" si="1528">AD772-T772</f>
        <v>0</v>
      </c>
      <c r="Z772" s="151">
        <f t="shared" si="1528"/>
        <v>0</v>
      </c>
      <c r="AA772" s="151">
        <f t="shared" si="1528"/>
        <v>0</v>
      </c>
      <c r="AB772" s="152">
        <f t="shared" si="1528"/>
        <v>0</v>
      </c>
      <c r="AC772" s="143"/>
      <c r="AD772" s="149">
        <v>851472352</v>
      </c>
      <c r="AE772" s="150"/>
      <c r="AF772" s="148">
        <v>15000000</v>
      </c>
      <c r="AG772" s="155"/>
      <c r="AH772" s="143">
        <f t="shared" si="1031"/>
        <v>0</v>
      </c>
      <c r="AI772" s="151"/>
      <c r="AJ772" s="151">
        <f t="shared" ref="AJ772:AL772" si="1529">P772-AE772</f>
        <v>0</v>
      </c>
      <c r="AK772" s="151">
        <f t="shared" si="1529"/>
        <v>0</v>
      </c>
      <c r="AL772" s="151">
        <f t="shared" si="1529"/>
        <v>0</v>
      </c>
      <c r="AM772" s="145"/>
      <c r="AN772" s="139"/>
      <c r="AO772" s="139"/>
      <c r="AP772" s="139"/>
      <c r="AQ772" s="145"/>
      <c r="AR772" s="145"/>
    </row>
    <row r="773" spans="1:44" s="156" customFormat="1" ht="94.5" x14ac:dyDescent="0.25">
      <c r="A773" s="145" t="s">
        <v>35</v>
      </c>
      <c r="B773" s="144">
        <v>760</v>
      </c>
      <c r="C773" s="143" t="s">
        <v>67</v>
      </c>
      <c r="D773" s="143" t="s">
        <v>465</v>
      </c>
      <c r="E773" s="145"/>
      <c r="F773" s="145" t="s">
        <v>466</v>
      </c>
      <c r="G773" s="145" t="s">
        <v>467</v>
      </c>
      <c r="H773" s="145"/>
      <c r="I773" s="145"/>
      <c r="J773" s="143"/>
      <c r="K773" s="164"/>
      <c r="L773" s="143" t="s">
        <v>468</v>
      </c>
      <c r="M773" s="145" t="s">
        <v>43</v>
      </c>
      <c r="N773" s="143" t="s">
        <v>82</v>
      </c>
      <c r="O773" s="183">
        <v>1230286468</v>
      </c>
      <c r="P773" s="150"/>
      <c r="Q773" s="177">
        <v>15000000</v>
      </c>
      <c r="R773" s="148">
        <f>24000000+48000000</f>
        <v>72000000</v>
      </c>
      <c r="S773" s="147">
        <f t="shared" si="1029"/>
        <v>1317286468</v>
      </c>
      <c r="T773" s="158">
        <v>1230286468</v>
      </c>
      <c r="U773" s="143"/>
      <c r="V773" s="147">
        <v>15000000</v>
      </c>
      <c r="W773" s="158">
        <v>72000000</v>
      </c>
      <c r="X773" s="143"/>
      <c r="Y773" s="152">
        <f t="shared" ref="Y773:AB773" si="1530">AD773-T773</f>
        <v>0</v>
      </c>
      <c r="Z773" s="151">
        <f t="shared" si="1530"/>
        <v>0</v>
      </c>
      <c r="AA773" s="151">
        <f t="shared" si="1530"/>
        <v>0</v>
      </c>
      <c r="AB773" s="151">
        <f t="shared" si="1530"/>
        <v>0</v>
      </c>
      <c r="AC773" s="143"/>
      <c r="AD773" s="194">
        <v>1230286468</v>
      </c>
      <c r="AE773" s="170"/>
      <c r="AF773" s="177">
        <v>15000000</v>
      </c>
      <c r="AG773" s="169">
        <f>24000000+48000000</f>
        <v>72000000</v>
      </c>
      <c r="AH773" s="143">
        <f t="shared" si="1031"/>
        <v>0</v>
      </c>
      <c r="AI773" s="151"/>
      <c r="AJ773" s="151">
        <f t="shared" ref="AJ773:AL773" si="1531">P773-AE773</f>
        <v>0</v>
      </c>
      <c r="AK773" s="151">
        <f t="shared" si="1531"/>
        <v>0</v>
      </c>
      <c r="AL773" s="151">
        <f t="shared" si="1531"/>
        <v>0</v>
      </c>
      <c r="AM773" s="145"/>
      <c r="AN773" s="139"/>
      <c r="AO773" s="139"/>
      <c r="AP773" s="139"/>
      <c r="AQ773" s="145"/>
      <c r="AR773" s="145"/>
    </row>
    <row r="774" spans="1:44" s="156" customFormat="1" ht="47.25" x14ac:dyDescent="0.25">
      <c r="A774" s="143" t="s">
        <v>52</v>
      </c>
      <c r="B774" s="144">
        <v>761</v>
      </c>
      <c r="C774" s="143" t="s">
        <v>67</v>
      </c>
      <c r="D774" s="143" t="s">
        <v>3702</v>
      </c>
      <c r="E774" s="145" t="s">
        <v>3703</v>
      </c>
      <c r="F774" s="145"/>
      <c r="G774" s="143" t="s">
        <v>3704</v>
      </c>
      <c r="H774" s="143"/>
      <c r="I774" s="143"/>
      <c r="J774" s="143"/>
      <c r="K774" s="143"/>
      <c r="L774" s="143" t="s">
        <v>3705</v>
      </c>
      <c r="M774" s="143" t="s">
        <v>43</v>
      </c>
      <c r="N774" s="143" t="s">
        <v>82</v>
      </c>
      <c r="O774" s="147">
        <v>10000000</v>
      </c>
      <c r="P774" s="148">
        <v>570457608</v>
      </c>
      <c r="Q774" s="177">
        <v>15000000</v>
      </c>
      <c r="R774" s="150"/>
      <c r="S774" s="147">
        <f t="shared" si="1029"/>
        <v>595457608</v>
      </c>
      <c r="T774" s="158">
        <v>10000000</v>
      </c>
      <c r="U774" s="158">
        <v>570457608</v>
      </c>
      <c r="V774" s="147">
        <v>15000000</v>
      </c>
      <c r="W774" s="143"/>
      <c r="X774" s="143"/>
      <c r="Y774" s="152">
        <f t="shared" ref="Y774:AB774" si="1532">AD774-T774</f>
        <v>0</v>
      </c>
      <c r="Z774" s="151">
        <f t="shared" si="1532"/>
        <v>0</v>
      </c>
      <c r="AA774" s="151">
        <f t="shared" si="1532"/>
        <v>0</v>
      </c>
      <c r="AB774" s="151">
        <f t="shared" si="1532"/>
        <v>0</v>
      </c>
      <c r="AC774" s="143"/>
      <c r="AD774" s="149">
        <v>10000000</v>
      </c>
      <c r="AE774" s="148">
        <v>570457608</v>
      </c>
      <c r="AF774" s="148">
        <v>15000000</v>
      </c>
      <c r="AG774" s="150"/>
      <c r="AH774" s="143">
        <f t="shared" si="1031"/>
        <v>0</v>
      </c>
      <c r="AI774" s="151"/>
      <c r="AJ774" s="151">
        <f t="shared" ref="AJ774:AL774" si="1533">P774-AE774</f>
        <v>0</v>
      </c>
      <c r="AK774" s="151">
        <f t="shared" si="1533"/>
        <v>0</v>
      </c>
      <c r="AL774" s="151">
        <f t="shared" si="1533"/>
        <v>0</v>
      </c>
      <c r="AM774" s="145"/>
      <c r="AN774" s="139"/>
      <c r="AO774" s="139"/>
      <c r="AP774" s="139"/>
      <c r="AQ774" s="145"/>
      <c r="AR774" s="145"/>
    </row>
    <row r="775" spans="1:44" s="156" customFormat="1" ht="94.5" x14ac:dyDescent="0.25">
      <c r="A775" s="143" t="s">
        <v>88</v>
      </c>
      <c r="B775" s="175">
        <v>762</v>
      </c>
      <c r="C775" s="145" t="s">
        <v>67</v>
      </c>
      <c r="D775" s="143" t="s">
        <v>1846</v>
      </c>
      <c r="E775" s="145"/>
      <c r="F775" s="145" t="s">
        <v>2865</v>
      </c>
      <c r="G775" s="145" t="s">
        <v>1848</v>
      </c>
      <c r="H775" s="145"/>
      <c r="I775" s="145"/>
      <c r="J775" s="145"/>
      <c r="K775" s="146"/>
      <c r="L775" s="145" t="s">
        <v>1849</v>
      </c>
      <c r="M775" s="145" t="s">
        <v>43</v>
      </c>
      <c r="N775" s="145" t="s">
        <v>1850</v>
      </c>
      <c r="O775" s="147">
        <v>2676184080</v>
      </c>
      <c r="P775" s="150"/>
      <c r="Q775" s="148">
        <v>15000000</v>
      </c>
      <c r="R775" s="148">
        <f>48000000+96000000</f>
        <v>144000000</v>
      </c>
      <c r="S775" s="147">
        <f t="shared" si="1029"/>
        <v>2835184080</v>
      </c>
      <c r="T775" s="151">
        <v>2676184080</v>
      </c>
      <c r="U775" s="143"/>
      <c r="V775" s="157"/>
      <c r="W775" s="158">
        <v>48000000</v>
      </c>
      <c r="X775" s="143"/>
      <c r="Y775" s="152">
        <f t="shared" ref="Y775:AB775" si="1534">AD775-T775</f>
        <v>0</v>
      </c>
      <c r="Z775" s="151">
        <f t="shared" si="1534"/>
        <v>0</v>
      </c>
      <c r="AA775" s="151">
        <f t="shared" si="1534"/>
        <v>0</v>
      </c>
      <c r="AB775" s="152">
        <f t="shared" si="1534"/>
        <v>0</v>
      </c>
      <c r="AC775" s="165"/>
      <c r="AD775" s="155">
        <v>2676184080</v>
      </c>
      <c r="AE775" s="150"/>
      <c r="AF775" s="150"/>
      <c r="AG775" s="149">
        <v>48000000</v>
      </c>
      <c r="AH775" s="166">
        <f t="shared" si="1031"/>
        <v>0</v>
      </c>
      <c r="AI775" s="151"/>
      <c r="AJ775" s="151">
        <f t="shared" ref="AJ775:AL775" si="1535">P775-AE775</f>
        <v>0</v>
      </c>
      <c r="AK775" s="151">
        <f t="shared" si="1535"/>
        <v>15000000</v>
      </c>
      <c r="AL775" s="150">
        <f t="shared" si="1535"/>
        <v>96000000</v>
      </c>
      <c r="AM775" s="145"/>
      <c r="AN775" s="139"/>
      <c r="AO775" s="139"/>
      <c r="AP775" s="168" t="s">
        <v>3955</v>
      </c>
      <c r="AQ775" s="145" t="s">
        <v>2808</v>
      </c>
      <c r="AR775" s="145"/>
    </row>
    <row r="776" spans="1:44" s="156" customFormat="1" ht="94.5" x14ac:dyDescent="0.25">
      <c r="A776" s="143" t="s">
        <v>60</v>
      </c>
      <c r="B776" s="175">
        <v>763</v>
      </c>
      <c r="C776" s="145" t="s">
        <v>67</v>
      </c>
      <c r="D776" s="143" t="s">
        <v>1856</v>
      </c>
      <c r="E776" s="145"/>
      <c r="F776" s="145" t="s">
        <v>2865</v>
      </c>
      <c r="G776" s="145" t="s">
        <v>1857</v>
      </c>
      <c r="H776" s="145"/>
      <c r="I776" s="145"/>
      <c r="J776" s="145"/>
      <c r="K776" s="146"/>
      <c r="L776" s="145" t="s">
        <v>1858</v>
      </c>
      <c r="M776" s="145" t="s">
        <v>43</v>
      </c>
      <c r="N776" s="145" t="s">
        <v>1859</v>
      </c>
      <c r="O776" s="147">
        <v>907403290</v>
      </c>
      <c r="P776" s="150"/>
      <c r="Q776" s="169">
        <v>15000000</v>
      </c>
      <c r="R776" s="148">
        <f>96000000+96000000</f>
        <v>192000000</v>
      </c>
      <c r="S776" s="147">
        <f t="shared" si="1029"/>
        <v>1114403290</v>
      </c>
      <c r="T776" s="158">
        <v>907403290</v>
      </c>
      <c r="U776" s="143"/>
      <c r="V776" s="147">
        <v>15000000</v>
      </c>
      <c r="W776" s="158">
        <v>96000000</v>
      </c>
      <c r="X776" s="143"/>
      <c r="Y776" s="152">
        <f t="shared" ref="Y776:AB776" si="1536">AD776-T776</f>
        <v>0</v>
      </c>
      <c r="Z776" s="151">
        <f t="shared" si="1536"/>
        <v>0</v>
      </c>
      <c r="AA776" s="151">
        <f t="shared" si="1536"/>
        <v>0</v>
      </c>
      <c r="AB776" s="151">
        <f t="shared" si="1536"/>
        <v>0</v>
      </c>
      <c r="AC776" s="165"/>
      <c r="AD776" s="194">
        <v>907403290</v>
      </c>
      <c r="AE776" s="170"/>
      <c r="AF776" s="148">
        <v>15000000</v>
      </c>
      <c r="AG776" s="169">
        <v>96000000</v>
      </c>
      <c r="AH776" s="166">
        <f t="shared" si="1031"/>
        <v>0</v>
      </c>
      <c r="AI776" s="151"/>
      <c r="AJ776" s="151">
        <f t="shared" ref="AJ776:AL776" si="1537">P776-AE776</f>
        <v>0</v>
      </c>
      <c r="AK776" s="151">
        <f t="shared" si="1537"/>
        <v>0</v>
      </c>
      <c r="AL776" s="150">
        <f t="shared" si="1537"/>
        <v>96000000</v>
      </c>
      <c r="AM776" s="145"/>
      <c r="AN776" s="139"/>
      <c r="AO776" s="139"/>
      <c r="AP776" s="139"/>
      <c r="AQ776" s="145" t="s">
        <v>2674</v>
      </c>
      <c r="AR776" s="145"/>
    </row>
    <row r="777" spans="1:44" s="156" customFormat="1" ht="47.25" x14ac:dyDescent="0.25">
      <c r="A777" s="143" t="s">
        <v>60</v>
      </c>
      <c r="B777" s="175">
        <v>764</v>
      </c>
      <c r="C777" s="145" t="s">
        <v>67</v>
      </c>
      <c r="D777" s="143" t="s">
        <v>596</v>
      </c>
      <c r="E777" s="145"/>
      <c r="F777" s="145" t="s">
        <v>584</v>
      </c>
      <c r="G777" s="145" t="s">
        <v>597</v>
      </c>
      <c r="H777" s="145"/>
      <c r="I777" s="145"/>
      <c r="J777" s="145"/>
      <c r="K777" s="146"/>
      <c r="L777" s="145" t="s">
        <v>598</v>
      </c>
      <c r="M777" s="145" t="s">
        <v>43</v>
      </c>
      <c r="N777" s="145" t="s">
        <v>600</v>
      </c>
      <c r="O777" s="147">
        <v>5514125770</v>
      </c>
      <c r="P777" s="150"/>
      <c r="Q777" s="148">
        <v>15000000</v>
      </c>
      <c r="R777" s="148">
        <v>24000000</v>
      </c>
      <c r="S777" s="147">
        <f t="shared" si="1029"/>
        <v>5553125770</v>
      </c>
      <c r="T777" s="143"/>
      <c r="U777" s="143"/>
      <c r="V777" s="157"/>
      <c r="W777" s="143"/>
      <c r="X777" s="143"/>
      <c r="Y777" s="152">
        <f t="shared" ref="Y777:AB777" si="1538">AD777-T777</f>
        <v>0</v>
      </c>
      <c r="Z777" s="151">
        <f t="shared" si="1538"/>
        <v>0</v>
      </c>
      <c r="AA777" s="151">
        <f t="shared" si="1538"/>
        <v>0</v>
      </c>
      <c r="AB777" s="152">
        <f t="shared" si="1538"/>
        <v>0</v>
      </c>
      <c r="AC777" s="165"/>
      <c r="AD777" s="155"/>
      <c r="AE777" s="150"/>
      <c r="AF777" s="150"/>
      <c r="AG777" s="155"/>
      <c r="AH777" s="166">
        <f t="shared" si="1031"/>
        <v>0</v>
      </c>
      <c r="AI777" s="151">
        <v>5514125770</v>
      </c>
      <c r="AJ777" s="151">
        <f t="shared" ref="AJ777:AL777" si="1539">P777-AE777</f>
        <v>0</v>
      </c>
      <c r="AK777" s="151">
        <f t="shared" si="1539"/>
        <v>15000000</v>
      </c>
      <c r="AL777" s="150">
        <f t="shared" si="1539"/>
        <v>24000000</v>
      </c>
      <c r="AM777" s="150">
        <v>5514125770</v>
      </c>
      <c r="AN777" s="159" t="s">
        <v>2160</v>
      </c>
      <c r="AO777" s="160"/>
      <c r="AP777" s="168" t="s">
        <v>2160</v>
      </c>
      <c r="AQ777" s="218" t="s">
        <v>4028</v>
      </c>
      <c r="AR777" s="218"/>
    </row>
    <row r="778" spans="1:44" s="156" customFormat="1" ht="47.25" x14ac:dyDescent="0.25">
      <c r="A778" s="143" t="s">
        <v>60</v>
      </c>
      <c r="B778" s="144">
        <v>765</v>
      </c>
      <c r="C778" s="143" t="s">
        <v>67</v>
      </c>
      <c r="D778" s="143" t="s">
        <v>3709</v>
      </c>
      <c r="E778" s="145"/>
      <c r="F778" s="145"/>
      <c r="G778" s="143" t="s">
        <v>3710</v>
      </c>
      <c r="H778" s="143"/>
      <c r="I778" s="143"/>
      <c r="J778" s="143"/>
      <c r="K778" s="143"/>
      <c r="L778" s="143" t="s">
        <v>3711</v>
      </c>
      <c r="M778" s="143" t="s">
        <v>43</v>
      </c>
      <c r="N778" s="143" t="s">
        <v>735</v>
      </c>
      <c r="O778" s="147">
        <v>10000000</v>
      </c>
      <c r="P778" s="150"/>
      <c r="Q778" s="148">
        <v>15000000</v>
      </c>
      <c r="R778" s="150"/>
      <c r="S778" s="147">
        <f t="shared" si="1029"/>
        <v>25000000</v>
      </c>
      <c r="T778" s="158">
        <v>10000000</v>
      </c>
      <c r="U778" s="143"/>
      <c r="V778" s="147">
        <v>15000000</v>
      </c>
      <c r="W778" s="143"/>
      <c r="X778" s="143"/>
      <c r="Y778" s="152">
        <f t="shared" ref="Y778:AB778" si="1540">AD778-T778</f>
        <v>0</v>
      </c>
      <c r="Z778" s="151">
        <f t="shared" si="1540"/>
        <v>0</v>
      </c>
      <c r="AA778" s="151">
        <f t="shared" si="1540"/>
        <v>0</v>
      </c>
      <c r="AB778" s="151">
        <f t="shared" si="1540"/>
        <v>0</v>
      </c>
      <c r="AC778" s="143"/>
      <c r="AD778" s="149">
        <v>10000000</v>
      </c>
      <c r="AE778" s="150"/>
      <c r="AF778" s="148">
        <v>15000000</v>
      </c>
      <c r="AG778" s="150"/>
      <c r="AH778" s="143">
        <f t="shared" si="1031"/>
        <v>0</v>
      </c>
      <c r="AI778" s="151"/>
      <c r="AJ778" s="151">
        <f t="shared" ref="AJ778:AL778" si="1541">P778-AE778</f>
        <v>0</v>
      </c>
      <c r="AK778" s="151">
        <f t="shared" si="1541"/>
        <v>0</v>
      </c>
      <c r="AL778" s="151">
        <f t="shared" si="1541"/>
        <v>0</v>
      </c>
      <c r="AM778" s="145"/>
      <c r="AN778" s="139"/>
      <c r="AO778" s="139"/>
      <c r="AP778" s="139"/>
      <c r="AQ778" s="145"/>
      <c r="AR778" s="145"/>
    </row>
    <row r="779" spans="1:44" s="156" customFormat="1" ht="47.25" x14ac:dyDescent="0.25">
      <c r="A779" s="143" t="s">
        <v>60</v>
      </c>
      <c r="B779" s="144">
        <v>766</v>
      </c>
      <c r="C779" s="143" t="s">
        <v>67</v>
      </c>
      <c r="D779" s="143" t="s">
        <v>3712</v>
      </c>
      <c r="E779" s="145"/>
      <c r="F779" s="145"/>
      <c r="G779" s="143" t="s">
        <v>3713</v>
      </c>
      <c r="H779" s="143"/>
      <c r="I779" s="143"/>
      <c r="J779" s="143"/>
      <c r="K779" s="143"/>
      <c r="L779" s="143" t="s">
        <v>3714</v>
      </c>
      <c r="M779" s="143" t="s">
        <v>43</v>
      </c>
      <c r="N779" s="143" t="s">
        <v>3715</v>
      </c>
      <c r="O779" s="147">
        <v>14658797865</v>
      </c>
      <c r="P779" s="150"/>
      <c r="Q779" s="169">
        <v>15000000</v>
      </c>
      <c r="R779" s="150"/>
      <c r="S779" s="147">
        <f t="shared" ref="S779:S897" si="1542">O779+P779+Q779+R779</f>
        <v>14673797865</v>
      </c>
      <c r="T779" s="143"/>
      <c r="U779" s="143"/>
      <c r="V779" s="157"/>
      <c r="W779" s="143"/>
      <c r="X779" s="143"/>
      <c r="Y779" s="152">
        <f t="shared" ref="Y779:AB779" si="1543">AD779-T779</f>
        <v>0</v>
      </c>
      <c r="Z779" s="151">
        <f t="shared" si="1543"/>
        <v>0</v>
      </c>
      <c r="AA779" s="151">
        <f t="shared" si="1543"/>
        <v>0</v>
      </c>
      <c r="AB779" s="157">
        <f t="shared" si="1543"/>
        <v>0</v>
      </c>
      <c r="AC779" s="143"/>
      <c r="AD779" s="155"/>
      <c r="AE779" s="170"/>
      <c r="AF779" s="150"/>
      <c r="AG779" s="208"/>
      <c r="AH779" s="143">
        <f t="shared" ref="AH779:AH897" si="1544">X779+AC779</f>
        <v>0</v>
      </c>
      <c r="AI779" s="151">
        <v>14658797865</v>
      </c>
      <c r="AJ779" s="151">
        <f t="shared" ref="AJ779:AL779" si="1545">P779-AE779</f>
        <v>0</v>
      </c>
      <c r="AK779" s="151">
        <f t="shared" si="1545"/>
        <v>15000000</v>
      </c>
      <c r="AL779" s="151">
        <f t="shared" si="1545"/>
        <v>0</v>
      </c>
      <c r="AM779" s="148">
        <v>14658797865</v>
      </c>
      <c r="AN779" s="159" t="s">
        <v>2160</v>
      </c>
      <c r="AO779" s="160"/>
      <c r="AP779" s="168" t="s">
        <v>2160</v>
      </c>
      <c r="AQ779" s="219"/>
      <c r="AR779" s="218"/>
    </row>
    <row r="780" spans="1:44" s="156" customFormat="1" ht="47.25" x14ac:dyDescent="0.25">
      <c r="A780" s="143" t="s">
        <v>88</v>
      </c>
      <c r="B780" s="144">
        <v>767</v>
      </c>
      <c r="C780" s="143" t="s">
        <v>67</v>
      </c>
      <c r="D780" s="143" t="s">
        <v>842</v>
      </c>
      <c r="E780" s="145" t="s">
        <v>625</v>
      </c>
      <c r="F780" s="145" t="s">
        <v>823</v>
      </c>
      <c r="G780" s="143" t="s">
        <v>843</v>
      </c>
      <c r="H780" s="143"/>
      <c r="I780" s="143"/>
      <c r="J780" s="143"/>
      <c r="K780" s="164"/>
      <c r="L780" s="143" t="s">
        <v>844</v>
      </c>
      <c r="M780" s="143" t="s">
        <v>43</v>
      </c>
      <c r="N780" s="143" t="s">
        <v>845</v>
      </c>
      <c r="O780" s="147">
        <v>10000000</v>
      </c>
      <c r="P780" s="169">
        <v>3051023772</v>
      </c>
      <c r="Q780" s="169">
        <v>15000000</v>
      </c>
      <c r="R780" s="148">
        <v>48000000</v>
      </c>
      <c r="S780" s="147">
        <f t="shared" si="1542"/>
        <v>3124023772</v>
      </c>
      <c r="T780" s="151">
        <v>10000000</v>
      </c>
      <c r="U780" s="158">
        <v>3051023772</v>
      </c>
      <c r="V780" s="147">
        <v>15000000</v>
      </c>
      <c r="W780" s="151">
        <v>48000000</v>
      </c>
      <c r="X780" s="143"/>
      <c r="Y780" s="152">
        <f t="shared" ref="Y780:AB780" si="1546">AD780-T780</f>
        <v>0</v>
      </c>
      <c r="Z780" s="151">
        <f t="shared" si="1546"/>
        <v>0</v>
      </c>
      <c r="AA780" s="151">
        <f t="shared" si="1546"/>
        <v>0</v>
      </c>
      <c r="AB780" s="152">
        <f t="shared" si="1546"/>
        <v>0</v>
      </c>
      <c r="AC780" s="143"/>
      <c r="AD780" s="155">
        <v>10000000</v>
      </c>
      <c r="AE780" s="148">
        <v>3051023772</v>
      </c>
      <c r="AF780" s="148">
        <v>15000000</v>
      </c>
      <c r="AG780" s="149">
        <v>48000000</v>
      </c>
      <c r="AH780" s="143">
        <f t="shared" si="1544"/>
        <v>0</v>
      </c>
      <c r="AI780" s="151"/>
      <c r="AJ780" s="151">
        <f t="shared" ref="AJ780:AL780" si="1547">P780-AE780</f>
        <v>0</v>
      </c>
      <c r="AK780" s="151">
        <f t="shared" si="1547"/>
        <v>0</v>
      </c>
      <c r="AL780" s="151">
        <f t="shared" si="1547"/>
        <v>0</v>
      </c>
      <c r="AM780" s="145"/>
      <c r="AN780" s="139"/>
      <c r="AO780" s="139"/>
      <c r="AP780" s="139"/>
      <c r="AQ780" s="145"/>
      <c r="AR780" s="145"/>
    </row>
    <row r="781" spans="1:44" s="156" customFormat="1" ht="78.75" x14ac:dyDescent="0.25">
      <c r="A781" s="143" t="s">
        <v>275</v>
      </c>
      <c r="B781" s="144">
        <v>768</v>
      </c>
      <c r="C781" s="143" t="s">
        <v>67</v>
      </c>
      <c r="D781" s="143" t="s">
        <v>1591</v>
      </c>
      <c r="E781" s="145" t="s">
        <v>1592</v>
      </c>
      <c r="F781" s="145" t="s">
        <v>1582</v>
      </c>
      <c r="G781" s="143" t="s">
        <v>1593</v>
      </c>
      <c r="H781" s="143" t="s">
        <v>1594</v>
      </c>
      <c r="I781" s="143"/>
      <c r="J781" s="143"/>
      <c r="K781" s="164"/>
      <c r="L781" s="143" t="s">
        <v>1595</v>
      </c>
      <c r="M781" s="143" t="s">
        <v>43</v>
      </c>
      <c r="N781" s="143" t="s">
        <v>1596</v>
      </c>
      <c r="O781" s="147">
        <v>10000000</v>
      </c>
      <c r="P781" s="169">
        <v>446131840</v>
      </c>
      <c r="Q781" s="169">
        <v>15000000</v>
      </c>
      <c r="R781" s="148">
        <f>24000000+48000000</f>
        <v>72000000</v>
      </c>
      <c r="S781" s="147">
        <f t="shared" si="1542"/>
        <v>543131840</v>
      </c>
      <c r="T781" s="158">
        <v>10000000</v>
      </c>
      <c r="U781" s="158">
        <v>446131840</v>
      </c>
      <c r="V781" s="147">
        <v>15000000</v>
      </c>
      <c r="W781" s="158">
        <v>72000000</v>
      </c>
      <c r="X781" s="143"/>
      <c r="Y781" s="151">
        <f t="shared" ref="Y781:AB781" si="1548">AD781-T781</f>
        <v>0</v>
      </c>
      <c r="Z781" s="151">
        <f t="shared" si="1548"/>
        <v>0</v>
      </c>
      <c r="AA781" s="151">
        <f t="shared" si="1548"/>
        <v>0</v>
      </c>
      <c r="AB781" s="151">
        <f t="shared" si="1548"/>
        <v>0</v>
      </c>
      <c r="AC781" s="143"/>
      <c r="AD781" s="181">
        <v>10000000</v>
      </c>
      <c r="AE781" s="169">
        <v>446131840</v>
      </c>
      <c r="AF781" s="148">
        <v>15000000</v>
      </c>
      <c r="AG781" s="169">
        <f>24000000+48000000</f>
        <v>72000000</v>
      </c>
      <c r="AH781" s="143">
        <f t="shared" si="1544"/>
        <v>0</v>
      </c>
      <c r="AI781" s="151"/>
      <c r="AJ781" s="151">
        <f t="shared" ref="AJ781:AL781" si="1549">P781-AE781</f>
        <v>0</v>
      </c>
      <c r="AK781" s="151">
        <f t="shared" si="1549"/>
        <v>0</v>
      </c>
      <c r="AL781" s="151">
        <f t="shared" si="1549"/>
        <v>0</v>
      </c>
      <c r="AM781" s="145"/>
      <c r="AN781" s="139"/>
      <c r="AO781" s="139"/>
      <c r="AP781" s="139"/>
      <c r="AQ781" s="145"/>
      <c r="AR781" s="145"/>
    </row>
    <row r="782" spans="1:44" s="156" customFormat="1" ht="47.25" x14ac:dyDescent="0.25">
      <c r="A782" s="143" t="s">
        <v>88</v>
      </c>
      <c r="B782" s="144">
        <v>769</v>
      </c>
      <c r="C782" s="143" t="s">
        <v>67</v>
      </c>
      <c r="D782" s="143" t="s">
        <v>3716</v>
      </c>
      <c r="E782" s="145" t="s">
        <v>3717</v>
      </c>
      <c r="F782" s="145"/>
      <c r="G782" s="143" t="s">
        <v>3718</v>
      </c>
      <c r="H782" s="143" t="s">
        <v>3719</v>
      </c>
      <c r="I782" s="143"/>
      <c r="J782" s="143"/>
      <c r="K782" s="143"/>
      <c r="L782" s="143" t="s">
        <v>3720</v>
      </c>
      <c r="M782" s="143" t="s">
        <v>43</v>
      </c>
      <c r="N782" s="143" t="s">
        <v>3721</v>
      </c>
      <c r="O782" s="147">
        <v>3490863064</v>
      </c>
      <c r="P782" s="148">
        <v>10000000</v>
      </c>
      <c r="Q782" s="148">
        <v>15000000</v>
      </c>
      <c r="R782" s="150"/>
      <c r="S782" s="147">
        <f t="shared" si="1542"/>
        <v>3515863064</v>
      </c>
      <c r="T782" s="151">
        <v>3490863064</v>
      </c>
      <c r="U782" s="151">
        <v>10000000</v>
      </c>
      <c r="V782" s="157">
        <v>15000000</v>
      </c>
      <c r="W782" s="143"/>
      <c r="X782" s="143"/>
      <c r="Y782" s="152">
        <f t="shared" ref="Y782:AB782" si="1550">AD782-T782</f>
        <v>0</v>
      </c>
      <c r="Z782" s="151">
        <f t="shared" si="1550"/>
        <v>0</v>
      </c>
      <c r="AA782" s="151">
        <f t="shared" si="1550"/>
        <v>0</v>
      </c>
      <c r="AB782" s="152">
        <f t="shared" si="1550"/>
        <v>0</v>
      </c>
      <c r="AC782" s="143"/>
      <c r="AD782" s="155">
        <v>3490863064</v>
      </c>
      <c r="AE782" s="148">
        <v>10000000</v>
      </c>
      <c r="AF782" s="148">
        <v>15000000</v>
      </c>
      <c r="AG782" s="155"/>
      <c r="AH782" s="143">
        <f t="shared" si="1544"/>
        <v>0</v>
      </c>
      <c r="AI782" s="151"/>
      <c r="AJ782" s="151">
        <f t="shared" ref="AJ782:AL782" si="1551">P782-AE782</f>
        <v>0</v>
      </c>
      <c r="AK782" s="151">
        <f t="shared" si="1551"/>
        <v>0</v>
      </c>
      <c r="AL782" s="151">
        <f t="shared" si="1551"/>
        <v>0</v>
      </c>
      <c r="AM782" s="145"/>
      <c r="AN782" s="139"/>
      <c r="AO782" s="139"/>
      <c r="AP782" s="139"/>
      <c r="AQ782" s="145"/>
      <c r="AR782" s="145"/>
    </row>
    <row r="783" spans="1:44" s="156" customFormat="1" ht="47.25" x14ac:dyDescent="0.25">
      <c r="A783" s="143" t="s">
        <v>52</v>
      </c>
      <c r="B783" s="144">
        <v>770</v>
      </c>
      <c r="C783" s="143" t="s">
        <v>74</v>
      </c>
      <c r="D783" s="143" t="s">
        <v>3722</v>
      </c>
      <c r="E783" s="145"/>
      <c r="F783" s="145"/>
      <c r="G783" s="143" t="s">
        <v>3723</v>
      </c>
      <c r="H783" s="143"/>
      <c r="I783" s="143"/>
      <c r="J783" s="143"/>
      <c r="K783" s="143"/>
      <c r="L783" s="143" t="s">
        <v>3724</v>
      </c>
      <c r="M783" s="143" t="s">
        <v>43</v>
      </c>
      <c r="N783" s="143" t="s">
        <v>3725</v>
      </c>
      <c r="O783" s="147">
        <v>2618310690</v>
      </c>
      <c r="P783" s="150"/>
      <c r="Q783" s="148">
        <v>15000000</v>
      </c>
      <c r="R783" s="150"/>
      <c r="S783" s="147">
        <f t="shared" si="1542"/>
        <v>2633310690</v>
      </c>
      <c r="T783" s="158">
        <v>2618310690</v>
      </c>
      <c r="U783" s="143"/>
      <c r="V783" s="147">
        <v>15000000</v>
      </c>
      <c r="W783" s="143"/>
      <c r="X783" s="143"/>
      <c r="Y783" s="152">
        <f t="shared" ref="Y783:AB783" si="1552">AD783-T783</f>
        <v>0</v>
      </c>
      <c r="Z783" s="151">
        <f t="shared" si="1552"/>
        <v>0</v>
      </c>
      <c r="AA783" s="151">
        <f t="shared" si="1552"/>
        <v>0</v>
      </c>
      <c r="AB783" s="151">
        <f t="shared" si="1552"/>
        <v>0</v>
      </c>
      <c r="AC783" s="143"/>
      <c r="AD783" s="149">
        <v>2618310690</v>
      </c>
      <c r="AE783" s="150"/>
      <c r="AF783" s="148">
        <v>15000000</v>
      </c>
      <c r="AG783" s="150"/>
      <c r="AH783" s="143">
        <f t="shared" si="1544"/>
        <v>0</v>
      </c>
      <c r="AI783" s="151"/>
      <c r="AJ783" s="151">
        <f t="shared" ref="AJ783:AL783" si="1553">P783-AE783</f>
        <v>0</v>
      </c>
      <c r="AK783" s="151">
        <f t="shared" si="1553"/>
        <v>0</v>
      </c>
      <c r="AL783" s="151">
        <f t="shared" si="1553"/>
        <v>0</v>
      </c>
      <c r="AM783" s="145"/>
      <c r="AN783" s="139"/>
      <c r="AO783" s="139"/>
      <c r="AP783" s="139"/>
      <c r="AQ783" s="145"/>
      <c r="AR783" s="145"/>
    </row>
    <row r="784" spans="1:44" s="156" customFormat="1" ht="47.25" x14ac:dyDescent="0.25">
      <c r="A784" s="143" t="s">
        <v>35</v>
      </c>
      <c r="B784" s="144">
        <v>771</v>
      </c>
      <c r="C784" s="143" t="s">
        <v>74</v>
      </c>
      <c r="D784" s="143" t="s">
        <v>3726</v>
      </c>
      <c r="E784" s="145" t="s">
        <v>3727</v>
      </c>
      <c r="F784" s="145"/>
      <c r="G784" s="143" t="s">
        <v>1154</v>
      </c>
      <c r="H784" s="143" t="s">
        <v>3728</v>
      </c>
      <c r="I784" s="143"/>
      <c r="J784" s="143"/>
      <c r="K784" s="143"/>
      <c r="L784" s="143" t="s">
        <v>479</v>
      </c>
      <c r="M784" s="143" t="s">
        <v>43</v>
      </c>
      <c r="N784" s="143" t="s">
        <v>3729</v>
      </c>
      <c r="O784" s="147">
        <v>1712844388</v>
      </c>
      <c r="P784" s="148">
        <v>448994826</v>
      </c>
      <c r="Q784" s="148">
        <v>15000000</v>
      </c>
      <c r="R784" s="150"/>
      <c r="S784" s="147">
        <f t="shared" si="1542"/>
        <v>2176839214</v>
      </c>
      <c r="T784" s="158">
        <v>1712844388</v>
      </c>
      <c r="U784" s="158">
        <v>448994826</v>
      </c>
      <c r="V784" s="147">
        <v>15000000</v>
      </c>
      <c r="W784" s="143"/>
      <c r="X784" s="143"/>
      <c r="Y784" s="152">
        <f t="shared" ref="Y784:AB784" si="1554">AD784-T784</f>
        <v>0</v>
      </c>
      <c r="Z784" s="151">
        <f t="shared" si="1554"/>
        <v>0</v>
      </c>
      <c r="AA784" s="151">
        <f t="shared" si="1554"/>
        <v>0</v>
      </c>
      <c r="AB784" s="152">
        <f t="shared" si="1554"/>
        <v>0</v>
      </c>
      <c r="AC784" s="143"/>
      <c r="AD784" s="149">
        <v>1712844388</v>
      </c>
      <c r="AE784" s="148">
        <v>448994826</v>
      </c>
      <c r="AF784" s="148">
        <v>15000000</v>
      </c>
      <c r="AG784" s="155"/>
      <c r="AH784" s="143">
        <f t="shared" si="1544"/>
        <v>0</v>
      </c>
      <c r="AI784" s="151"/>
      <c r="AJ784" s="151">
        <f t="shared" ref="AJ784:AL784" si="1555">P784-AE784</f>
        <v>0</v>
      </c>
      <c r="AK784" s="151">
        <f t="shared" si="1555"/>
        <v>0</v>
      </c>
      <c r="AL784" s="151">
        <f t="shared" si="1555"/>
        <v>0</v>
      </c>
      <c r="AM784" s="145"/>
      <c r="AN784" s="139"/>
      <c r="AO784" s="139"/>
      <c r="AP784" s="139"/>
      <c r="AQ784" s="145"/>
      <c r="AR784" s="145"/>
    </row>
    <row r="785" spans="1:44" s="156" customFormat="1" ht="31.5" x14ac:dyDescent="0.25">
      <c r="A785" s="143" t="s">
        <v>52</v>
      </c>
      <c r="B785" s="144">
        <v>772</v>
      </c>
      <c r="C785" s="143" t="s">
        <v>74</v>
      </c>
      <c r="D785" s="143" t="s">
        <v>3730</v>
      </c>
      <c r="E785" s="145"/>
      <c r="F785" s="145"/>
      <c r="G785" s="143" t="s">
        <v>3731</v>
      </c>
      <c r="H785" s="143"/>
      <c r="I785" s="143" t="s">
        <v>80</v>
      </c>
      <c r="J785" s="143"/>
      <c r="K785" s="143"/>
      <c r="L785" s="143" t="s">
        <v>3732</v>
      </c>
      <c r="M785" s="143" t="s">
        <v>43</v>
      </c>
      <c r="N785" s="143" t="s">
        <v>838</v>
      </c>
      <c r="O785" s="147">
        <v>621204580</v>
      </c>
      <c r="P785" s="150"/>
      <c r="Q785" s="148">
        <v>15000000</v>
      </c>
      <c r="R785" s="150"/>
      <c r="S785" s="147">
        <f t="shared" si="1542"/>
        <v>636204580</v>
      </c>
      <c r="T785" s="158">
        <v>621204580</v>
      </c>
      <c r="U785" s="143"/>
      <c r="V785" s="147">
        <v>15000000</v>
      </c>
      <c r="W785" s="143"/>
      <c r="X785" s="143"/>
      <c r="Y785" s="152">
        <f t="shared" ref="Y785:AB785" si="1556">AD785-T785</f>
        <v>0</v>
      </c>
      <c r="Z785" s="151">
        <f t="shared" si="1556"/>
        <v>0</v>
      </c>
      <c r="AA785" s="151">
        <f t="shared" si="1556"/>
        <v>0</v>
      </c>
      <c r="AB785" s="151">
        <f t="shared" si="1556"/>
        <v>0</v>
      </c>
      <c r="AC785" s="143"/>
      <c r="AD785" s="149">
        <v>621204580</v>
      </c>
      <c r="AE785" s="150"/>
      <c r="AF785" s="148">
        <v>15000000</v>
      </c>
      <c r="AG785" s="150"/>
      <c r="AH785" s="143">
        <f t="shared" si="1544"/>
        <v>0</v>
      </c>
      <c r="AI785" s="151"/>
      <c r="AJ785" s="151">
        <f t="shared" ref="AJ785:AL785" si="1557">P785-AE785</f>
        <v>0</v>
      </c>
      <c r="AK785" s="151">
        <f t="shared" si="1557"/>
        <v>0</v>
      </c>
      <c r="AL785" s="151">
        <f t="shared" si="1557"/>
        <v>0</v>
      </c>
      <c r="AM785" s="145"/>
      <c r="AN785" s="139"/>
      <c r="AO785" s="139"/>
      <c r="AP785" s="139"/>
      <c r="AQ785" s="145"/>
      <c r="AR785" s="145"/>
    </row>
    <row r="786" spans="1:44" s="156" customFormat="1" ht="47.25" x14ac:dyDescent="0.25">
      <c r="A786" s="143" t="s">
        <v>52</v>
      </c>
      <c r="B786" s="144">
        <v>773</v>
      </c>
      <c r="C786" s="143" t="s">
        <v>74</v>
      </c>
      <c r="D786" s="143" t="s">
        <v>3733</v>
      </c>
      <c r="E786" s="145" t="s">
        <v>3734</v>
      </c>
      <c r="F786" s="145"/>
      <c r="G786" s="143" t="s">
        <v>3735</v>
      </c>
      <c r="H786" s="143" t="s">
        <v>3736</v>
      </c>
      <c r="I786" s="143"/>
      <c r="J786" s="143"/>
      <c r="K786" s="143"/>
      <c r="L786" s="143" t="s">
        <v>3737</v>
      </c>
      <c r="M786" s="143" t="s">
        <v>43</v>
      </c>
      <c r="N786" s="143" t="s">
        <v>82</v>
      </c>
      <c r="O786" s="147">
        <v>628099720</v>
      </c>
      <c r="P786" s="148">
        <v>86421485</v>
      </c>
      <c r="Q786" s="148">
        <v>15000000</v>
      </c>
      <c r="R786" s="150"/>
      <c r="S786" s="147">
        <f t="shared" si="1542"/>
        <v>729521205</v>
      </c>
      <c r="T786" s="158">
        <v>628099720</v>
      </c>
      <c r="U786" s="158">
        <v>86421485</v>
      </c>
      <c r="V786" s="147">
        <v>15000000</v>
      </c>
      <c r="W786" s="143"/>
      <c r="X786" s="143"/>
      <c r="Y786" s="152">
        <f t="shared" ref="Y786:AB786" si="1558">AD786-T786</f>
        <v>0</v>
      </c>
      <c r="Z786" s="151">
        <f t="shared" si="1558"/>
        <v>0</v>
      </c>
      <c r="AA786" s="151">
        <f t="shared" si="1558"/>
        <v>0</v>
      </c>
      <c r="AB786" s="151">
        <f t="shared" si="1558"/>
        <v>0</v>
      </c>
      <c r="AC786" s="143"/>
      <c r="AD786" s="149">
        <v>628099720</v>
      </c>
      <c r="AE786" s="148">
        <v>86421485</v>
      </c>
      <c r="AF786" s="148">
        <v>15000000</v>
      </c>
      <c r="AG786" s="150"/>
      <c r="AH786" s="143">
        <f t="shared" si="1544"/>
        <v>0</v>
      </c>
      <c r="AI786" s="151"/>
      <c r="AJ786" s="151">
        <f t="shared" ref="AJ786:AL786" si="1559">P786-AE786</f>
        <v>0</v>
      </c>
      <c r="AK786" s="151">
        <f t="shared" si="1559"/>
        <v>0</v>
      </c>
      <c r="AL786" s="151">
        <f t="shared" si="1559"/>
        <v>0</v>
      </c>
      <c r="AM786" s="145"/>
      <c r="AN786" s="139"/>
      <c r="AO786" s="139"/>
      <c r="AP786" s="139"/>
      <c r="AQ786" s="145"/>
      <c r="AR786" s="145"/>
    </row>
    <row r="787" spans="1:44" s="156" customFormat="1" ht="31.5" x14ac:dyDescent="0.25">
      <c r="A787" s="143" t="s">
        <v>52</v>
      </c>
      <c r="B787" s="144">
        <v>774</v>
      </c>
      <c r="C787" s="143" t="s">
        <v>74</v>
      </c>
      <c r="D787" s="143" t="s">
        <v>3739</v>
      </c>
      <c r="E787" s="145"/>
      <c r="F787" s="145"/>
      <c r="G787" s="143" t="s">
        <v>3740</v>
      </c>
      <c r="H787" s="143"/>
      <c r="I787" s="143" t="s">
        <v>80</v>
      </c>
      <c r="J787" s="143"/>
      <c r="K787" s="143"/>
      <c r="L787" s="143" t="s">
        <v>3741</v>
      </c>
      <c r="M787" s="143" t="s">
        <v>43</v>
      </c>
      <c r="N787" s="143" t="s">
        <v>3742</v>
      </c>
      <c r="O787" s="147">
        <v>8111488</v>
      </c>
      <c r="P787" s="150"/>
      <c r="Q787" s="148">
        <v>7500000</v>
      </c>
      <c r="R787" s="150"/>
      <c r="S787" s="147">
        <f t="shared" si="1542"/>
        <v>15611488</v>
      </c>
      <c r="T787" s="158">
        <v>8111488</v>
      </c>
      <c r="U787" s="143"/>
      <c r="V787" s="147">
        <v>7500000</v>
      </c>
      <c r="W787" s="143"/>
      <c r="X787" s="143"/>
      <c r="Y787" s="152">
        <f t="shared" ref="Y787:AB787" si="1560">AD787-T787</f>
        <v>0</v>
      </c>
      <c r="Z787" s="151">
        <f t="shared" si="1560"/>
        <v>0</v>
      </c>
      <c r="AA787" s="151">
        <f t="shared" si="1560"/>
        <v>0</v>
      </c>
      <c r="AB787" s="151">
        <f t="shared" si="1560"/>
        <v>0</v>
      </c>
      <c r="AC787" s="143"/>
      <c r="AD787" s="149">
        <v>8111488</v>
      </c>
      <c r="AE787" s="150"/>
      <c r="AF787" s="148">
        <v>7500000</v>
      </c>
      <c r="AG787" s="150"/>
      <c r="AH787" s="143">
        <f t="shared" si="1544"/>
        <v>0</v>
      </c>
      <c r="AI787" s="151"/>
      <c r="AJ787" s="151">
        <f t="shared" ref="AJ787:AL787" si="1561">P787-AE787</f>
        <v>0</v>
      </c>
      <c r="AK787" s="151">
        <f t="shared" si="1561"/>
        <v>0</v>
      </c>
      <c r="AL787" s="151">
        <f t="shared" si="1561"/>
        <v>0</v>
      </c>
      <c r="AM787" s="145"/>
      <c r="AN787" s="139"/>
      <c r="AO787" s="139"/>
      <c r="AP787" s="139"/>
      <c r="AQ787" s="145"/>
      <c r="AR787" s="145"/>
    </row>
    <row r="788" spans="1:44" s="156" customFormat="1" ht="94.5" x14ac:dyDescent="0.25">
      <c r="A788" s="143" t="s">
        <v>52</v>
      </c>
      <c r="B788" s="144">
        <v>775</v>
      </c>
      <c r="C788" s="143" t="s">
        <v>74</v>
      </c>
      <c r="D788" s="143" t="s">
        <v>75</v>
      </c>
      <c r="E788" s="145" t="s">
        <v>76</v>
      </c>
      <c r="F788" s="145" t="s">
        <v>77</v>
      </c>
      <c r="G788" s="143" t="s">
        <v>78</v>
      </c>
      <c r="H788" s="143" t="s">
        <v>79</v>
      </c>
      <c r="I788" s="143" t="s">
        <v>80</v>
      </c>
      <c r="J788" s="143"/>
      <c r="K788" s="164"/>
      <c r="L788" s="143" t="s">
        <v>81</v>
      </c>
      <c r="M788" s="143" t="s">
        <v>43</v>
      </c>
      <c r="N788" s="143" t="s">
        <v>82</v>
      </c>
      <c r="O788" s="147">
        <v>563400736</v>
      </c>
      <c r="P788" s="148">
        <v>138350184</v>
      </c>
      <c r="Q788" s="148">
        <v>15000000</v>
      </c>
      <c r="R788" s="148">
        <f>24000000+48000000</f>
        <v>72000000</v>
      </c>
      <c r="S788" s="147">
        <f t="shared" si="1542"/>
        <v>788750920</v>
      </c>
      <c r="T788" s="158">
        <v>563400736</v>
      </c>
      <c r="U788" s="158">
        <v>138350184</v>
      </c>
      <c r="V788" s="147">
        <v>15000000</v>
      </c>
      <c r="W788" s="158">
        <v>72000000</v>
      </c>
      <c r="X788" s="143"/>
      <c r="Y788" s="152">
        <f t="shared" ref="Y788:AB788" si="1562">AD788-T788</f>
        <v>0</v>
      </c>
      <c r="Z788" s="151">
        <f t="shared" si="1562"/>
        <v>0</v>
      </c>
      <c r="AA788" s="151">
        <f t="shared" si="1562"/>
        <v>0</v>
      </c>
      <c r="AB788" s="151">
        <f t="shared" si="1562"/>
        <v>0</v>
      </c>
      <c r="AC788" s="143"/>
      <c r="AD788" s="149">
        <v>563400736</v>
      </c>
      <c r="AE788" s="148">
        <v>138350184</v>
      </c>
      <c r="AF788" s="148">
        <v>15000000</v>
      </c>
      <c r="AG788" s="148">
        <f>24000000+48000000</f>
        <v>72000000</v>
      </c>
      <c r="AH788" s="143">
        <f t="shared" si="1544"/>
        <v>0</v>
      </c>
      <c r="AI788" s="151"/>
      <c r="AJ788" s="151">
        <f t="shared" ref="AJ788:AL788" si="1563">P788-AE788</f>
        <v>0</v>
      </c>
      <c r="AK788" s="151">
        <f t="shared" si="1563"/>
        <v>0</v>
      </c>
      <c r="AL788" s="151">
        <f t="shared" si="1563"/>
        <v>0</v>
      </c>
      <c r="AM788" s="145"/>
      <c r="AN788" s="139"/>
      <c r="AO788" s="139"/>
      <c r="AP788" s="139"/>
      <c r="AQ788" s="145"/>
      <c r="AR788" s="145"/>
    </row>
    <row r="789" spans="1:44" s="156" customFormat="1" ht="47.25" x14ac:dyDescent="0.25">
      <c r="A789" s="143" t="s">
        <v>60</v>
      </c>
      <c r="B789" s="144">
        <v>776</v>
      </c>
      <c r="C789" s="143" t="s">
        <v>74</v>
      </c>
      <c r="D789" s="143" t="s">
        <v>3743</v>
      </c>
      <c r="E789" s="145" t="s">
        <v>3744</v>
      </c>
      <c r="F789" s="145"/>
      <c r="G789" s="143" t="s">
        <v>3745</v>
      </c>
      <c r="H789" s="143" t="s">
        <v>3746</v>
      </c>
      <c r="I789" s="143" t="s">
        <v>80</v>
      </c>
      <c r="J789" s="143"/>
      <c r="K789" s="143"/>
      <c r="L789" s="143" t="s">
        <v>3747</v>
      </c>
      <c r="M789" s="143" t="s">
        <v>43</v>
      </c>
      <c r="N789" s="143" t="s">
        <v>82</v>
      </c>
      <c r="O789" s="147">
        <v>449682880</v>
      </c>
      <c r="P789" s="148">
        <v>66332280</v>
      </c>
      <c r="Q789" s="148">
        <v>15000000</v>
      </c>
      <c r="R789" s="150"/>
      <c r="S789" s="147">
        <f t="shared" si="1542"/>
        <v>531015160</v>
      </c>
      <c r="T789" s="158">
        <v>449682880</v>
      </c>
      <c r="U789" s="151">
        <v>66332280</v>
      </c>
      <c r="V789" s="157">
        <v>15000000</v>
      </c>
      <c r="W789" s="143"/>
      <c r="X789" s="143"/>
      <c r="Y789" s="152">
        <f t="shared" ref="Y789:AB789" si="1564">AD789-T789</f>
        <v>0</v>
      </c>
      <c r="Z789" s="151">
        <f t="shared" si="1564"/>
        <v>0</v>
      </c>
      <c r="AA789" s="151">
        <f t="shared" si="1564"/>
        <v>0</v>
      </c>
      <c r="AB789" s="151">
        <f t="shared" si="1564"/>
        <v>0</v>
      </c>
      <c r="AC789" s="143"/>
      <c r="AD789" s="149">
        <v>449682880</v>
      </c>
      <c r="AE789" s="148">
        <v>66332280</v>
      </c>
      <c r="AF789" s="148">
        <v>15000000</v>
      </c>
      <c r="AG789" s="150"/>
      <c r="AH789" s="143">
        <f t="shared" si="1544"/>
        <v>0</v>
      </c>
      <c r="AI789" s="151"/>
      <c r="AJ789" s="151">
        <f t="shared" ref="AJ789:AL789" si="1565">P789-AE789</f>
        <v>0</v>
      </c>
      <c r="AK789" s="151">
        <f t="shared" si="1565"/>
        <v>0</v>
      </c>
      <c r="AL789" s="151">
        <f t="shared" si="1565"/>
        <v>0</v>
      </c>
      <c r="AM789" s="145"/>
      <c r="AN789" s="139"/>
      <c r="AO789" s="139"/>
      <c r="AP789" s="139"/>
      <c r="AQ789" s="145"/>
      <c r="AR789" s="145"/>
    </row>
    <row r="790" spans="1:44" s="156" customFormat="1" ht="47.25" x14ac:dyDescent="0.25">
      <c r="A790" s="143" t="s">
        <v>52</v>
      </c>
      <c r="B790" s="144">
        <v>777</v>
      </c>
      <c r="C790" s="143" t="s">
        <v>74</v>
      </c>
      <c r="D790" s="143" t="s">
        <v>749</v>
      </c>
      <c r="E790" s="145"/>
      <c r="F790" s="145" t="s">
        <v>750</v>
      </c>
      <c r="G790" s="143" t="s">
        <v>751</v>
      </c>
      <c r="H790" s="143"/>
      <c r="I790" s="143"/>
      <c r="J790" s="143"/>
      <c r="K790" s="164"/>
      <c r="L790" s="143" t="s">
        <v>752</v>
      </c>
      <c r="M790" s="143" t="s">
        <v>43</v>
      </c>
      <c r="N790" s="143" t="s">
        <v>82</v>
      </c>
      <c r="O790" s="147">
        <v>885586096</v>
      </c>
      <c r="P790" s="150"/>
      <c r="Q790" s="148">
        <v>15000000</v>
      </c>
      <c r="R790" s="148">
        <v>40000000</v>
      </c>
      <c r="S790" s="147">
        <f t="shared" si="1542"/>
        <v>940586096</v>
      </c>
      <c r="T790" s="158">
        <v>885586096</v>
      </c>
      <c r="U790" s="143"/>
      <c r="V790" s="147">
        <v>15000000</v>
      </c>
      <c r="W790" s="151">
        <v>40000000</v>
      </c>
      <c r="X790" s="143"/>
      <c r="Y790" s="152">
        <f t="shared" ref="Y790:AB790" si="1566">AD790-T790</f>
        <v>0</v>
      </c>
      <c r="Z790" s="151">
        <f t="shared" si="1566"/>
        <v>0</v>
      </c>
      <c r="AA790" s="151">
        <f t="shared" si="1566"/>
        <v>0</v>
      </c>
      <c r="AB790" s="152">
        <f t="shared" si="1566"/>
        <v>0</v>
      </c>
      <c r="AC790" s="143"/>
      <c r="AD790" s="149">
        <v>885586096</v>
      </c>
      <c r="AE790" s="150"/>
      <c r="AF790" s="148">
        <v>15000000</v>
      </c>
      <c r="AG790" s="149">
        <v>40000000</v>
      </c>
      <c r="AH790" s="143">
        <f t="shared" si="1544"/>
        <v>0</v>
      </c>
      <c r="AI790" s="151"/>
      <c r="AJ790" s="151">
        <f t="shared" ref="AJ790:AL790" si="1567">P790-AE790</f>
        <v>0</v>
      </c>
      <c r="AK790" s="151">
        <f t="shared" si="1567"/>
        <v>0</v>
      </c>
      <c r="AL790" s="151">
        <f t="shared" si="1567"/>
        <v>0</v>
      </c>
      <c r="AM790" s="145"/>
      <c r="AN790" s="139"/>
      <c r="AO790" s="139"/>
      <c r="AP790" s="139"/>
      <c r="AQ790" s="145"/>
      <c r="AR790" s="145"/>
    </row>
    <row r="791" spans="1:44" s="156" customFormat="1" ht="94.5" x14ac:dyDescent="0.25">
      <c r="A791" s="143" t="s">
        <v>52</v>
      </c>
      <c r="B791" s="144">
        <v>778</v>
      </c>
      <c r="C791" s="143" t="s">
        <v>74</v>
      </c>
      <c r="D791" s="143" t="s">
        <v>181</v>
      </c>
      <c r="E791" s="145"/>
      <c r="F791" s="145" t="s">
        <v>165</v>
      </c>
      <c r="G791" s="143" t="s">
        <v>182</v>
      </c>
      <c r="H791" s="143"/>
      <c r="I791" s="143" t="s">
        <v>80</v>
      </c>
      <c r="J791" s="143"/>
      <c r="K791" s="164"/>
      <c r="L791" s="143" t="s">
        <v>184</v>
      </c>
      <c r="M791" s="143" t="s">
        <v>43</v>
      </c>
      <c r="N791" s="143" t="s">
        <v>186</v>
      </c>
      <c r="O791" s="147">
        <v>805645312</v>
      </c>
      <c r="P791" s="150"/>
      <c r="Q791" s="148">
        <v>15000000</v>
      </c>
      <c r="R791" s="148">
        <f>24000000+48000000</f>
        <v>72000000</v>
      </c>
      <c r="S791" s="147">
        <f t="shared" si="1542"/>
        <v>892645312</v>
      </c>
      <c r="T791" s="158">
        <v>805645312</v>
      </c>
      <c r="U791" s="143"/>
      <c r="V791" s="147">
        <v>15000000</v>
      </c>
      <c r="W791" s="158">
        <v>72000000</v>
      </c>
      <c r="X791" s="143"/>
      <c r="Y791" s="152">
        <f t="shared" ref="Y791:AB791" si="1568">AD791-T791</f>
        <v>0</v>
      </c>
      <c r="Z791" s="151">
        <f t="shared" si="1568"/>
        <v>0</v>
      </c>
      <c r="AA791" s="151">
        <f t="shared" si="1568"/>
        <v>0</v>
      </c>
      <c r="AB791" s="151">
        <f t="shared" si="1568"/>
        <v>0</v>
      </c>
      <c r="AC791" s="143"/>
      <c r="AD791" s="149">
        <v>805645312</v>
      </c>
      <c r="AE791" s="150"/>
      <c r="AF791" s="148">
        <v>15000000</v>
      </c>
      <c r="AG791" s="148">
        <f>24000000+48000000</f>
        <v>72000000</v>
      </c>
      <c r="AH791" s="143">
        <f t="shared" si="1544"/>
        <v>0</v>
      </c>
      <c r="AI791" s="151"/>
      <c r="AJ791" s="151">
        <f t="shared" ref="AJ791:AL791" si="1569">P791-AE791</f>
        <v>0</v>
      </c>
      <c r="AK791" s="151">
        <f t="shared" si="1569"/>
        <v>0</v>
      </c>
      <c r="AL791" s="151">
        <f t="shared" si="1569"/>
        <v>0</v>
      </c>
      <c r="AM791" s="145"/>
      <c r="AN791" s="139"/>
      <c r="AO791" s="139"/>
      <c r="AP791" s="139"/>
      <c r="AQ791" s="145"/>
      <c r="AR791" s="145"/>
    </row>
    <row r="792" spans="1:44" s="156" customFormat="1" ht="47.25" x14ac:dyDescent="0.25">
      <c r="A792" s="143" t="s">
        <v>52</v>
      </c>
      <c r="B792" s="144">
        <v>779</v>
      </c>
      <c r="C792" s="143" t="s">
        <v>74</v>
      </c>
      <c r="D792" s="143" t="s">
        <v>3750</v>
      </c>
      <c r="E792" s="145"/>
      <c r="F792" s="145"/>
      <c r="G792" s="143" t="s">
        <v>3751</v>
      </c>
      <c r="H792" s="143"/>
      <c r="I792" s="143" t="s">
        <v>80</v>
      </c>
      <c r="J792" s="143"/>
      <c r="K792" s="143"/>
      <c r="L792" s="143" t="s">
        <v>3752</v>
      </c>
      <c r="M792" s="143" t="s">
        <v>43</v>
      </c>
      <c r="N792" s="143" t="s">
        <v>3753</v>
      </c>
      <c r="O792" s="147">
        <v>10000000</v>
      </c>
      <c r="P792" s="150"/>
      <c r="Q792" s="148">
        <v>15000000</v>
      </c>
      <c r="R792" s="150"/>
      <c r="S792" s="147">
        <f t="shared" si="1542"/>
        <v>25000000</v>
      </c>
      <c r="T792" s="158">
        <v>10000000</v>
      </c>
      <c r="U792" s="143"/>
      <c r="V792" s="147">
        <v>15000000</v>
      </c>
      <c r="W792" s="143"/>
      <c r="X792" s="143"/>
      <c r="Y792" s="152">
        <f t="shared" ref="Y792:AB792" si="1570">AD792-T792</f>
        <v>0</v>
      </c>
      <c r="Z792" s="151">
        <f t="shared" si="1570"/>
        <v>0</v>
      </c>
      <c r="AA792" s="151">
        <f t="shared" si="1570"/>
        <v>0</v>
      </c>
      <c r="AB792" s="151">
        <f t="shared" si="1570"/>
        <v>0</v>
      </c>
      <c r="AC792" s="143"/>
      <c r="AD792" s="149">
        <v>10000000</v>
      </c>
      <c r="AE792" s="150"/>
      <c r="AF792" s="148">
        <v>15000000</v>
      </c>
      <c r="AG792" s="150"/>
      <c r="AH792" s="143">
        <f t="shared" si="1544"/>
        <v>0</v>
      </c>
      <c r="AI792" s="151"/>
      <c r="AJ792" s="151">
        <f t="shared" ref="AJ792:AL792" si="1571">P792-AE792</f>
        <v>0</v>
      </c>
      <c r="AK792" s="151">
        <f t="shared" si="1571"/>
        <v>0</v>
      </c>
      <c r="AL792" s="151">
        <f t="shared" si="1571"/>
        <v>0</v>
      </c>
      <c r="AM792" s="145"/>
      <c r="AN792" s="139"/>
      <c r="AO792" s="139"/>
      <c r="AP792" s="139"/>
      <c r="AQ792" s="145"/>
      <c r="AR792" s="145"/>
    </row>
    <row r="793" spans="1:44" s="156" customFormat="1" ht="47.25" x14ac:dyDescent="0.25">
      <c r="A793" s="143" t="s">
        <v>52</v>
      </c>
      <c r="B793" s="144">
        <v>780</v>
      </c>
      <c r="C793" s="143" t="s">
        <v>74</v>
      </c>
      <c r="D793" s="143" t="s">
        <v>783</v>
      </c>
      <c r="E793" s="145" t="s">
        <v>784</v>
      </c>
      <c r="F793" s="145" t="s">
        <v>757</v>
      </c>
      <c r="G793" s="143" t="s">
        <v>785</v>
      </c>
      <c r="H793" s="143" t="s">
        <v>786</v>
      </c>
      <c r="I793" s="143" t="s">
        <v>80</v>
      </c>
      <c r="J793" s="143"/>
      <c r="K793" s="164"/>
      <c r="L793" s="143" t="s">
        <v>788</v>
      </c>
      <c r="M793" s="143" t="s">
        <v>43</v>
      </c>
      <c r="N793" s="143" t="s">
        <v>789</v>
      </c>
      <c r="O793" s="147">
        <v>10000000</v>
      </c>
      <c r="P793" s="148">
        <v>619479840</v>
      </c>
      <c r="Q793" s="148">
        <v>15000000</v>
      </c>
      <c r="R793" s="148">
        <v>48000000</v>
      </c>
      <c r="S793" s="147">
        <f t="shared" si="1542"/>
        <v>692479840</v>
      </c>
      <c r="T793" s="158">
        <v>10000000</v>
      </c>
      <c r="U793" s="158">
        <v>619479840</v>
      </c>
      <c r="V793" s="147">
        <v>15000000</v>
      </c>
      <c r="W793" s="151">
        <v>48000000</v>
      </c>
      <c r="X793" s="143"/>
      <c r="Y793" s="152">
        <f t="shared" ref="Y793:AB793" si="1572">AD793-T793</f>
        <v>0</v>
      </c>
      <c r="Z793" s="151">
        <f t="shared" si="1572"/>
        <v>0</v>
      </c>
      <c r="AA793" s="151">
        <f t="shared" si="1572"/>
        <v>0</v>
      </c>
      <c r="AB793" s="151">
        <f t="shared" si="1572"/>
        <v>0</v>
      </c>
      <c r="AC793" s="143"/>
      <c r="AD793" s="149">
        <v>10000000</v>
      </c>
      <c r="AE793" s="148">
        <v>619479840</v>
      </c>
      <c r="AF793" s="148">
        <v>15000000</v>
      </c>
      <c r="AG793" s="148">
        <v>48000000</v>
      </c>
      <c r="AH793" s="143">
        <f t="shared" si="1544"/>
        <v>0</v>
      </c>
      <c r="AI793" s="151"/>
      <c r="AJ793" s="151">
        <f t="shared" ref="AJ793:AL793" si="1573">P793-AE793</f>
        <v>0</v>
      </c>
      <c r="AK793" s="151">
        <f t="shared" si="1573"/>
        <v>0</v>
      </c>
      <c r="AL793" s="151">
        <f t="shared" si="1573"/>
        <v>0</v>
      </c>
      <c r="AM793" s="145"/>
      <c r="AN793" s="139"/>
      <c r="AO793" s="139"/>
      <c r="AP793" s="139"/>
      <c r="AQ793" s="145"/>
      <c r="AR793" s="145"/>
    </row>
    <row r="794" spans="1:44" s="156" customFormat="1" ht="47.25" x14ac:dyDescent="0.25">
      <c r="A794" s="143" t="s">
        <v>52</v>
      </c>
      <c r="B794" s="144">
        <v>781</v>
      </c>
      <c r="C794" s="143" t="s">
        <v>74</v>
      </c>
      <c r="D794" s="143" t="s">
        <v>414</v>
      </c>
      <c r="E794" s="145" t="s">
        <v>415</v>
      </c>
      <c r="F794" s="145" t="s">
        <v>388</v>
      </c>
      <c r="G794" s="143" t="s">
        <v>416</v>
      </c>
      <c r="H794" s="143" t="s">
        <v>417</v>
      </c>
      <c r="I794" s="143" t="s">
        <v>80</v>
      </c>
      <c r="J794" s="143"/>
      <c r="K794" s="164"/>
      <c r="L794" s="143" t="s">
        <v>418</v>
      </c>
      <c r="M794" s="143" t="s">
        <v>43</v>
      </c>
      <c r="N794" s="143" t="s">
        <v>419</v>
      </c>
      <c r="O794" s="147">
        <v>1064740652</v>
      </c>
      <c r="P794" s="148">
        <v>253106154</v>
      </c>
      <c r="Q794" s="148">
        <v>15000000</v>
      </c>
      <c r="R794" s="148">
        <v>12533339</v>
      </c>
      <c r="S794" s="147">
        <f t="shared" si="1542"/>
        <v>1345380145</v>
      </c>
      <c r="T794" s="158">
        <v>1064740652</v>
      </c>
      <c r="U794" s="158">
        <v>253106154</v>
      </c>
      <c r="V794" s="147">
        <v>15000000</v>
      </c>
      <c r="W794" s="158">
        <v>12533339</v>
      </c>
      <c r="X794" s="143"/>
      <c r="Y794" s="152">
        <f t="shared" ref="Y794:AB794" si="1574">AD794-T794</f>
        <v>0</v>
      </c>
      <c r="Z794" s="151">
        <f t="shared" si="1574"/>
        <v>0</v>
      </c>
      <c r="AA794" s="151">
        <f t="shared" si="1574"/>
        <v>0</v>
      </c>
      <c r="AB794" s="151">
        <f t="shared" si="1574"/>
        <v>0</v>
      </c>
      <c r="AC794" s="143"/>
      <c r="AD794" s="149">
        <v>1064740652</v>
      </c>
      <c r="AE794" s="148">
        <v>253106154</v>
      </c>
      <c r="AF794" s="148">
        <v>15000000</v>
      </c>
      <c r="AG794" s="148">
        <v>12533339</v>
      </c>
      <c r="AH794" s="143">
        <f t="shared" si="1544"/>
        <v>0</v>
      </c>
      <c r="AI794" s="151"/>
      <c r="AJ794" s="151">
        <f t="shared" ref="AJ794:AL794" si="1575">P794-AE794</f>
        <v>0</v>
      </c>
      <c r="AK794" s="151">
        <f t="shared" si="1575"/>
        <v>0</v>
      </c>
      <c r="AL794" s="151">
        <f t="shared" si="1575"/>
        <v>0</v>
      </c>
      <c r="AM794" s="145"/>
      <c r="AN794" s="139"/>
      <c r="AO794" s="139"/>
      <c r="AP794" s="139"/>
      <c r="AQ794" s="145"/>
      <c r="AR794" s="145"/>
    </row>
    <row r="795" spans="1:44" s="156" customFormat="1" ht="31.5" x14ac:dyDescent="0.25">
      <c r="A795" s="143" t="s">
        <v>52</v>
      </c>
      <c r="B795" s="144">
        <v>782</v>
      </c>
      <c r="C795" s="143" t="s">
        <v>74</v>
      </c>
      <c r="D795" s="143" t="s">
        <v>3755</v>
      </c>
      <c r="E795" s="145"/>
      <c r="F795" s="145"/>
      <c r="G795" s="143" t="s">
        <v>3756</v>
      </c>
      <c r="H795" s="143"/>
      <c r="I795" s="143"/>
      <c r="J795" s="143"/>
      <c r="K795" s="143"/>
      <c r="L795" s="143" t="s">
        <v>3757</v>
      </c>
      <c r="M795" s="143" t="s">
        <v>43</v>
      </c>
      <c r="N795" s="143" t="s">
        <v>3758</v>
      </c>
      <c r="O795" s="147">
        <v>1564043176</v>
      </c>
      <c r="P795" s="150"/>
      <c r="Q795" s="148">
        <v>15000000</v>
      </c>
      <c r="R795" s="150"/>
      <c r="S795" s="147">
        <f t="shared" si="1542"/>
        <v>1579043176</v>
      </c>
      <c r="T795" s="158">
        <v>1564043176</v>
      </c>
      <c r="U795" s="143"/>
      <c r="V795" s="147">
        <v>15000000</v>
      </c>
      <c r="W795" s="143"/>
      <c r="X795" s="143"/>
      <c r="Y795" s="152">
        <f t="shared" ref="Y795:AB795" si="1576">AD795-T795</f>
        <v>0</v>
      </c>
      <c r="Z795" s="151">
        <f t="shared" si="1576"/>
        <v>0</v>
      </c>
      <c r="AA795" s="151">
        <f t="shared" si="1576"/>
        <v>0</v>
      </c>
      <c r="AB795" s="151">
        <f t="shared" si="1576"/>
        <v>0</v>
      </c>
      <c r="AC795" s="143"/>
      <c r="AD795" s="149">
        <v>1564043176</v>
      </c>
      <c r="AE795" s="150"/>
      <c r="AF795" s="148">
        <v>15000000</v>
      </c>
      <c r="AG795" s="150"/>
      <c r="AH795" s="143">
        <f t="shared" si="1544"/>
        <v>0</v>
      </c>
      <c r="AI795" s="151"/>
      <c r="AJ795" s="151">
        <f t="shared" ref="AJ795:AL795" si="1577">P795-AE795</f>
        <v>0</v>
      </c>
      <c r="AK795" s="151">
        <f t="shared" si="1577"/>
        <v>0</v>
      </c>
      <c r="AL795" s="151">
        <f t="shared" si="1577"/>
        <v>0</v>
      </c>
      <c r="AM795" s="145"/>
      <c r="AN795" s="139"/>
      <c r="AO795" s="139"/>
      <c r="AP795" s="139"/>
      <c r="AQ795" s="145"/>
      <c r="AR795" s="145"/>
    </row>
    <row r="796" spans="1:44" s="156" customFormat="1" ht="141.75" x14ac:dyDescent="0.25">
      <c r="A796" s="143" t="s">
        <v>52</v>
      </c>
      <c r="B796" s="144">
        <v>783</v>
      </c>
      <c r="C796" s="143" t="s">
        <v>74</v>
      </c>
      <c r="D796" s="143" t="s">
        <v>289</v>
      </c>
      <c r="E796" s="145"/>
      <c r="F796" s="145" t="s">
        <v>290</v>
      </c>
      <c r="G796" s="143" t="s">
        <v>291</v>
      </c>
      <c r="H796" s="143"/>
      <c r="I796" s="143"/>
      <c r="J796" s="143"/>
      <c r="K796" s="164"/>
      <c r="L796" s="143" t="s">
        <v>292</v>
      </c>
      <c r="M796" s="143" t="s">
        <v>43</v>
      </c>
      <c r="N796" s="143" t="s">
        <v>293</v>
      </c>
      <c r="O796" s="147">
        <v>1162218928</v>
      </c>
      <c r="P796" s="150"/>
      <c r="Q796" s="148">
        <v>15000000</v>
      </c>
      <c r="R796" s="148">
        <f>24000000+24000000+72000000</f>
        <v>120000000</v>
      </c>
      <c r="S796" s="147">
        <f t="shared" si="1542"/>
        <v>1297218928</v>
      </c>
      <c r="T796" s="158">
        <v>1162218928</v>
      </c>
      <c r="U796" s="143"/>
      <c r="V796" s="147">
        <v>15000000</v>
      </c>
      <c r="W796" s="158">
        <v>120000000</v>
      </c>
      <c r="X796" s="143"/>
      <c r="Y796" s="152">
        <f t="shared" ref="Y796:AB796" si="1578">AD796-T796</f>
        <v>0</v>
      </c>
      <c r="Z796" s="151">
        <f t="shared" si="1578"/>
        <v>0</v>
      </c>
      <c r="AA796" s="151">
        <f t="shared" si="1578"/>
        <v>0</v>
      </c>
      <c r="AB796" s="151">
        <f t="shared" si="1578"/>
        <v>0</v>
      </c>
      <c r="AC796" s="143"/>
      <c r="AD796" s="149">
        <v>1162218928</v>
      </c>
      <c r="AE796" s="150"/>
      <c r="AF796" s="148">
        <v>15000000</v>
      </c>
      <c r="AG796" s="148">
        <f>24000000+24000000+72000000</f>
        <v>120000000</v>
      </c>
      <c r="AH796" s="143">
        <f t="shared" si="1544"/>
        <v>0</v>
      </c>
      <c r="AI796" s="151"/>
      <c r="AJ796" s="151">
        <f t="shared" ref="AJ796:AL796" si="1579">P796-AE796</f>
        <v>0</v>
      </c>
      <c r="AK796" s="151">
        <f t="shared" si="1579"/>
        <v>0</v>
      </c>
      <c r="AL796" s="151">
        <f t="shared" si="1579"/>
        <v>0</v>
      </c>
      <c r="AM796" s="145"/>
      <c r="AN796" s="139"/>
      <c r="AO796" s="139"/>
      <c r="AP796" s="139"/>
      <c r="AQ796" s="145"/>
      <c r="AR796" s="145"/>
    </row>
    <row r="797" spans="1:44" s="156" customFormat="1" ht="47.25" x14ac:dyDescent="0.25">
      <c r="A797" s="143" t="s">
        <v>52</v>
      </c>
      <c r="B797" s="144">
        <v>784</v>
      </c>
      <c r="C797" s="143" t="s">
        <v>74</v>
      </c>
      <c r="D797" s="143" t="s">
        <v>3759</v>
      </c>
      <c r="E797" s="145"/>
      <c r="F797" s="145"/>
      <c r="G797" s="143" t="s">
        <v>3760</v>
      </c>
      <c r="H797" s="143"/>
      <c r="I797" s="143"/>
      <c r="J797" s="143"/>
      <c r="K797" s="143"/>
      <c r="L797" s="143" t="s">
        <v>3761</v>
      </c>
      <c r="M797" s="143" t="s">
        <v>43</v>
      </c>
      <c r="N797" s="143" t="s">
        <v>3762</v>
      </c>
      <c r="O797" s="147">
        <v>253344640</v>
      </c>
      <c r="P797" s="150"/>
      <c r="Q797" s="148">
        <v>15000000</v>
      </c>
      <c r="R797" s="150"/>
      <c r="S797" s="147">
        <f t="shared" si="1542"/>
        <v>268344640</v>
      </c>
      <c r="T797" s="158">
        <v>253344640</v>
      </c>
      <c r="U797" s="143"/>
      <c r="V797" s="147">
        <v>15000000</v>
      </c>
      <c r="W797" s="143"/>
      <c r="X797" s="143"/>
      <c r="Y797" s="152">
        <f t="shared" ref="Y797:AB797" si="1580">AD797-T797</f>
        <v>0</v>
      </c>
      <c r="Z797" s="151">
        <f t="shared" si="1580"/>
        <v>0</v>
      </c>
      <c r="AA797" s="151">
        <f t="shared" si="1580"/>
        <v>0</v>
      </c>
      <c r="AB797" s="151">
        <f t="shared" si="1580"/>
        <v>0</v>
      </c>
      <c r="AC797" s="143"/>
      <c r="AD797" s="149">
        <v>253344640</v>
      </c>
      <c r="AE797" s="150"/>
      <c r="AF797" s="148">
        <v>15000000</v>
      </c>
      <c r="AG797" s="150"/>
      <c r="AH797" s="143">
        <f t="shared" si="1544"/>
        <v>0</v>
      </c>
      <c r="AI797" s="151"/>
      <c r="AJ797" s="151">
        <f t="shared" ref="AJ797:AL797" si="1581">P797-AE797</f>
        <v>0</v>
      </c>
      <c r="AK797" s="151">
        <f t="shared" si="1581"/>
        <v>0</v>
      </c>
      <c r="AL797" s="151">
        <f t="shared" si="1581"/>
        <v>0</v>
      </c>
      <c r="AM797" s="145"/>
      <c r="AN797" s="139"/>
      <c r="AO797" s="139"/>
      <c r="AP797" s="139"/>
      <c r="AQ797" s="145"/>
      <c r="AR797" s="145"/>
    </row>
    <row r="798" spans="1:44" s="156" customFormat="1" ht="47.25" x14ac:dyDescent="0.25">
      <c r="A798" s="143" t="s">
        <v>52</v>
      </c>
      <c r="B798" s="144">
        <v>785</v>
      </c>
      <c r="C798" s="143" t="s">
        <v>74</v>
      </c>
      <c r="D798" s="143" t="s">
        <v>3763</v>
      </c>
      <c r="E798" s="145" t="s">
        <v>3764</v>
      </c>
      <c r="F798" s="145"/>
      <c r="G798" s="143" t="s">
        <v>3765</v>
      </c>
      <c r="H798" s="143" t="s">
        <v>3766</v>
      </c>
      <c r="I798" s="143"/>
      <c r="J798" s="143"/>
      <c r="K798" s="143"/>
      <c r="L798" s="143" t="s">
        <v>1064</v>
      </c>
      <c r="M798" s="143" t="s">
        <v>43</v>
      </c>
      <c r="N798" s="143" t="s">
        <v>82</v>
      </c>
      <c r="O798" s="147">
        <v>1955817254</v>
      </c>
      <c r="P798" s="148">
        <v>42737240</v>
      </c>
      <c r="Q798" s="148">
        <v>15000000</v>
      </c>
      <c r="R798" s="150"/>
      <c r="S798" s="147">
        <f t="shared" si="1542"/>
        <v>2013554494</v>
      </c>
      <c r="T798" s="158">
        <v>1955817254</v>
      </c>
      <c r="U798" s="158">
        <v>42737240</v>
      </c>
      <c r="V798" s="147">
        <v>15000000</v>
      </c>
      <c r="W798" s="143"/>
      <c r="X798" s="143"/>
      <c r="Y798" s="152">
        <f t="shared" ref="Y798:AB798" si="1582">AD798-T798</f>
        <v>0</v>
      </c>
      <c r="Z798" s="151">
        <f t="shared" si="1582"/>
        <v>0</v>
      </c>
      <c r="AA798" s="151">
        <f t="shared" si="1582"/>
        <v>0</v>
      </c>
      <c r="AB798" s="151">
        <f t="shared" si="1582"/>
        <v>0</v>
      </c>
      <c r="AC798" s="143"/>
      <c r="AD798" s="149">
        <v>1955817254</v>
      </c>
      <c r="AE798" s="148">
        <v>42737240</v>
      </c>
      <c r="AF798" s="148">
        <v>15000000</v>
      </c>
      <c r="AG798" s="150"/>
      <c r="AH798" s="143">
        <f t="shared" si="1544"/>
        <v>0</v>
      </c>
      <c r="AI798" s="151"/>
      <c r="AJ798" s="151">
        <f t="shared" ref="AJ798:AL798" si="1583">P798-AE798</f>
        <v>0</v>
      </c>
      <c r="AK798" s="151">
        <f t="shared" si="1583"/>
        <v>0</v>
      </c>
      <c r="AL798" s="151">
        <f t="shared" si="1583"/>
        <v>0</v>
      </c>
      <c r="AM798" s="145"/>
      <c r="AN798" s="139"/>
      <c r="AO798" s="139"/>
      <c r="AP798" s="139"/>
      <c r="AQ798" s="145"/>
      <c r="AR798" s="145"/>
    </row>
    <row r="799" spans="1:44" s="156" customFormat="1" ht="47.25" x14ac:dyDescent="0.25">
      <c r="A799" s="143" t="s">
        <v>52</v>
      </c>
      <c r="B799" s="144">
        <v>786</v>
      </c>
      <c r="C799" s="143" t="s">
        <v>74</v>
      </c>
      <c r="D799" s="143" t="s">
        <v>513</v>
      </c>
      <c r="E799" s="145" t="s">
        <v>514</v>
      </c>
      <c r="F799" s="145" t="s">
        <v>515</v>
      </c>
      <c r="G799" s="143" t="s">
        <v>516</v>
      </c>
      <c r="H799" s="143" t="s">
        <v>517</v>
      </c>
      <c r="I799" s="143"/>
      <c r="J799" s="143"/>
      <c r="K799" s="164"/>
      <c r="L799" s="143" t="s">
        <v>518</v>
      </c>
      <c r="M799" s="143" t="s">
        <v>43</v>
      </c>
      <c r="N799" s="143" t="s">
        <v>519</v>
      </c>
      <c r="O799" s="147">
        <v>10000000</v>
      </c>
      <c r="P799" s="148">
        <v>1809369992</v>
      </c>
      <c r="Q799" s="148">
        <v>15000000</v>
      </c>
      <c r="R799" s="148">
        <v>24000000</v>
      </c>
      <c r="S799" s="147">
        <f t="shared" si="1542"/>
        <v>1858369992</v>
      </c>
      <c r="T799" s="158">
        <v>10000000</v>
      </c>
      <c r="U799" s="158">
        <v>1809369992</v>
      </c>
      <c r="V799" s="157"/>
      <c r="W799" s="158">
        <v>24000000</v>
      </c>
      <c r="X799" s="143"/>
      <c r="Y799" s="152">
        <f t="shared" ref="Y799:AB799" si="1584">AD799-T799</f>
        <v>0</v>
      </c>
      <c r="Z799" s="151">
        <f t="shared" si="1584"/>
        <v>0</v>
      </c>
      <c r="AA799" s="151">
        <f t="shared" si="1584"/>
        <v>0</v>
      </c>
      <c r="AB799" s="151">
        <f t="shared" si="1584"/>
        <v>0</v>
      </c>
      <c r="AC799" s="143"/>
      <c r="AD799" s="149">
        <v>10000000</v>
      </c>
      <c r="AE799" s="148">
        <v>1809369992</v>
      </c>
      <c r="AF799" s="150"/>
      <c r="AG799" s="148">
        <v>24000000</v>
      </c>
      <c r="AH799" s="143">
        <f t="shared" si="1544"/>
        <v>0</v>
      </c>
      <c r="AI799" s="151"/>
      <c r="AJ799" s="151">
        <f t="shared" ref="AJ799:AL799" si="1585">P799-AE799</f>
        <v>0</v>
      </c>
      <c r="AK799" s="151">
        <f t="shared" si="1585"/>
        <v>15000000</v>
      </c>
      <c r="AL799" s="151">
        <f t="shared" si="1585"/>
        <v>0</v>
      </c>
      <c r="AM799" s="145"/>
      <c r="AN799" s="139"/>
      <c r="AO799" s="139"/>
      <c r="AP799" s="168" t="s">
        <v>4008</v>
      </c>
      <c r="AQ799" s="145"/>
      <c r="AR799" s="145"/>
    </row>
    <row r="800" spans="1:44" s="156" customFormat="1" ht="110.25" x14ac:dyDescent="0.25">
      <c r="A800" s="143" t="s">
        <v>52</v>
      </c>
      <c r="B800" s="144">
        <v>787</v>
      </c>
      <c r="C800" s="143" t="s">
        <v>74</v>
      </c>
      <c r="D800" s="143" t="s">
        <v>208</v>
      </c>
      <c r="E800" s="145"/>
      <c r="F800" s="145" t="s">
        <v>4029</v>
      </c>
      <c r="G800" s="143" t="s">
        <v>210</v>
      </c>
      <c r="H800" s="143"/>
      <c r="I800" s="143" t="s">
        <v>80</v>
      </c>
      <c r="J800" s="143"/>
      <c r="K800" s="164"/>
      <c r="L800" s="143" t="s">
        <v>211</v>
      </c>
      <c r="M800" s="143" t="s">
        <v>43</v>
      </c>
      <c r="N800" s="143" t="s">
        <v>212</v>
      </c>
      <c r="O800" s="147">
        <v>444381674</v>
      </c>
      <c r="P800" s="150"/>
      <c r="Q800" s="148">
        <v>15000000</v>
      </c>
      <c r="R800" s="148">
        <f>24000000+48000000</f>
        <v>72000000</v>
      </c>
      <c r="S800" s="147">
        <f t="shared" si="1542"/>
        <v>531381674</v>
      </c>
      <c r="T800" s="158">
        <v>444381674</v>
      </c>
      <c r="U800" s="143"/>
      <c r="V800" s="147">
        <v>15000000</v>
      </c>
      <c r="W800" s="158">
        <v>72000000</v>
      </c>
      <c r="X800" s="143"/>
      <c r="Y800" s="152">
        <f t="shared" ref="Y800:AB800" si="1586">AD800-T800</f>
        <v>0</v>
      </c>
      <c r="Z800" s="151">
        <f t="shared" si="1586"/>
        <v>0</v>
      </c>
      <c r="AA800" s="151">
        <f t="shared" si="1586"/>
        <v>0</v>
      </c>
      <c r="AB800" s="151">
        <f t="shared" si="1586"/>
        <v>0</v>
      </c>
      <c r="AC800" s="143"/>
      <c r="AD800" s="149">
        <v>444381674</v>
      </c>
      <c r="AE800" s="150"/>
      <c r="AF800" s="148">
        <v>15000000</v>
      </c>
      <c r="AG800" s="148">
        <f>24000000+48000000</f>
        <v>72000000</v>
      </c>
      <c r="AH800" s="143">
        <f t="shared" si="1544"/>
        <v>0</v>
      </c>
      <c r="AI800" s="151"/>
      <c r="AJ800" s="151">
        <f t="shared" ref="AJ800:AL800" si="1587">P800-AE800</f>
        <v>0</v>
      </c>
      <c r="AK800" s="151">
        <f t="shared" si="1587"/>
        <v>0</v>
      </c>
      <c r="AL800" s="151">
        <f t="shared" si="1587"/>
        <v>0</v>
      </c>
      <c r="AM800" s="145"/>
      <c r="AN800" s="139"/>
      <c r="AO800" s="139"/>
      <c r="AP800" s="139"/>
      <c r="AQ800" s="145"/>
      <c r="AR800" s="145"/>
    </row>
    <row r="801" spans="1:44" s="156" customFormat="1" ht="47.25" x14ac:dyDescent="0.25">
      <c r="A801" s="143" t="s">
        <v>52</v>
      </c>
      <c r="B801" s="144">
        <v>788</v>
      </c>
      <c r="C801" s="143" t="s">
        <v>74</v>
      </c>
      <c r="D801" s="143" t="s">
        <v>3768</v>
      </c>
      <c r="E801" s="145"/>
      <c r="F801" s="145"/>
      <c r="G801" s="143" t="s">
        <v>3769</v>
      </c>
      <c r="H801" s="143" t="s">
        <v>3770</v>
      </c>
      <c r="I801" s="143"/>
      <c r="J801" s="143"/>
      <c r="K801" s="143"/>
      <c r="L801" s="143" t="s">
        <v>3771</v>
      </c>
      <c r="M801" s="143" t="s">
        <v>43</v>
      </c>
      <c r="N801" s="143" t="s">
        <v>3772</v>
      </c>
      <c r="O801" s="147">
        <v>1471524200</v>
      </c>
      <c r="P801" s="150"/>
      <c r="Q801" s="148">
        <v>15000000</v>
      </c>
      <c r="R801" s="150"/>
      <c r="S801" s="147">
        <f t="shared" si="1542"/>
        <v>1486524200</v>
      </c>
      <c r="T801" s="158">
        <v>1471524200</v>
      </c>
      <c r="U801" s="143"/>
      <c r="V801" s="147">
        <v>15000000</v>
      </c>
      <c r="W801" s="143"/>
      <c r="X801" s="143"/>
      <c r="Y801" s="152">
        <f t="shared" ref="Y801:AB801" si="1588">AD801-T801</f>
        <v>0</v>
      </c>
      <c r="Z801" s="151">
        <f t="shared" si="1588"/>
        <v>0</v>
      </c>
      <c r="AA801" s="151">
        <f t="shared" si="1588"/>
        <v>0</v>
      </c>
      <c r="AB801" s="152">
        <f t="shared" si="1588"/>
        <v>0</v>
      </c>
      <c r="AC801" s="143"/>
      <c r="AD801" s="149">
        <v>1471524200</v>
      </c>
      <c r="AE801" s="150"/>
      <c r="AF801" s="148">
        <v>15000000</v>
      </c>
      <c r="AG801" s="155"/>
      <c r="AH801" s="143">
        <f t="shared" si="1544"/>
        <v>0</v>
      </c>
      <c r="AI801" s="151"/>
      <c r="AJ801" s="151">
        <f t="shared" ref="AJ801:AL801" si="1589">P801-AE801</f>
        <v>0</v>
      </c>
      <c r="AK801" s="151">
        <f t="shared" si="1589"/>
        <v>0</v>
      </c>
      <c r="AL801" s="151">
        <f t="shared" si="1589"/>
        <v>0</v>
      </c>
      <c r="AM801" s="145"/>
      <c r="AN801" s="139"/>
      <c r="AO801" s="139"/>
      <c r="AP801" s="139"/>
      <c r="AQ801" s="145"/>
      <c r="AR801" s="145"/>
    </row>
    <row r="802" spans="1:44" s="156" customFormat="1" ht="47.25" x14ac:dyDescent="0.25">
      <c r="A802" s="143" t="s">
        <v>52</v>
      </c>
      <c r="B802" s="144">
        <v>789</v>
      </c>
      <c r="C802" s="143" t="s">
        <v>74</v>
      </c>
      <c r="D802" s="143" t="s">
        <v>3773</v>
      </c>
      <c r="E802" s="145" t="s">
        <v>3774</v>
      </c>
      <c r="F802" s="145"/>
      <c r="G802" s="143" t="s">
        <v>3775</v>
      </c>
      <c r="H802" s="143" t="s">
        <v>3776</v>
      </c>
      <c r="I802" s="143"/>
      <c r="J802" s="143"/>
      <c r="K802" s="143"/>
      <c r="L802" s="143" t="s">
        <v>1064</v>
      </c>
      <c r="M802" s="143" t="s">
        <v>43</v>
      </c>
      <c r="N802" s="143" t="s">
        <v>3573</v>
      </c>
      <c r="O802" s="147">
        <v>10000000</v>
      </c>
      <c r="P802" s="148">
        <v>210398720</v>
      </c>
      <c r="Q802" s="148">
        <v>15000000</v>
      </c>
      <c r="R802" s="150"/>
      <c r="S802" s="147">
        <f t="shared" si="1542"/>
        <v>235398720</v>
      </c>
      <c r="T802" s="158">
        <v>10000000</v>
      </c>
      <c r="U802" s="158">
        <v>210398720</v>
      </c>
      <c r="V802" s="147">
        <v>15000000</v>
      </c>
      <c r="W802" s="143"/>
      <c r="X802" s="143"/>
      <c r="Y802" s="152">
        <f t="shared" ref="Y802:AB802" si="1590">AD802-T802</f>
        <v>0</v>
      </c>
      <c r="Z802" s="151">
        <f t="shared" si="1590"/>
        <v>0</v>
      </c>
      <c r="AA802" s="151">
        <f t="shared" si="1590"/>
        <v>0</v>
      </c>
      <c r="AB802" s="151">
        <f t="shared" si="1590"/>
        <v>0</v>
      </c>
      <c r="AC802" s="143"/>
      <c r="AD802" s="149">
        <v>10000000</v>
      </c>
      <c r="AE802" s="148">
        <v>210398720</v>
      </c>
      <c r="AF802" s="148">
        <v>15000000</v>
      </c>
      <c r="AG802" s="150"/>
      <c r="AH802" s="143">
        <f t="shared" si="1544"/>
        <v>0</v>
      </c>
      <c r="AI802" s="151"/>
      <c r="AJ802" s="151">
        <f t="shared" ref="AJ802:AL802" si="1591">P802-AE802</f>
        <v>0</v>
      </c>
      <c r="AK802" s="151">
        <f t="shared" si="1591"/>
        <v>0</v>
      </c>
      <c r="AL802" s="151">
        <f t="shared" si="1591"/>
        <v>0</v>
      </c>
      <c r="AM802" s="145"/>
      <c r="AN802" s="139"/>
      <c r="AO802" s="139"/>
      <c r="AP802" s="139"/>
      <c r="AQ802" s="145"/>
      <c r="AR802" s="145"/>
    </row>
    <row r="803" spans="1:44" s="156" customFormat="1" ht="94.5" x14ac:dyDescent="0.25">
      <c r="A803" s="143" t="s">
        <v>52</v>
      </c>
      <c r="B803" s="175">
        <v>790</v>
      </c>
      <c r="C803" s="145" t="s">
        <v>74</v>
      </c>
      <c r="D803" s="143" t="s">
        <v>1864</v>
      </c>
      <c r="E803" s="145" t="s">
        <v>784</v>
      </c>
      <c r="F803" s="145" t="s">
        <v>2865</v>
      </c>
      <c r="G803" s="145" t="s">
        <v>1865</v>
      </c>
      <c r="H803" s="145" t="s">
        <v>1866</v>
      </c>
      <c r="I803" s="145" t="s">
        <v>80</v>
      </c>
      <c r="J803" s="145"/>
      <c r="K803" s="146"/>
      <c r="L803" s="145" t="s">
        <v>1867</v>
      </c>
      <c r="M803" s="145" t="s">
        <v>43</v>
      </c>
      <c r="N803" s="145" t="s">
        <v>789</v>
      </c>
      <c r="O803" s="147">
        <v>10000000</v>
      </c>
      <c r="P803" s="148">
        <v>1756584270</v>
      </c>
      <c r="Q803" s="148">
        <v>15000000</v>
      </c>
      <c r="R803" s="148">
        <f>24000000+48000000</f>
        <v>72000000</v>
      </c>
      <c r="S803" s="147">
        <f t="shared" si="1542"/>
        <v>1853584270</v>
      </c>
      <c r="T803" s="158">
        <v>10000000</v>
      </c>
      <c r="U803" s="158">
        <v>1756584270</v>
      </c>
      <c r="V803" s="147">
        <v>15000000</v>
      </c>
      <c r="W803" s="158">
        <v>24000000</v>
      </c>
      <c r="X803" s="143"/>
      <c r="Y803" s="152">
        <f t="shared" ref="Y803:AB803" si="1592">AD803-T803</f>
        <v>0</v>
      </c>
      <c r="Z803" s="151">
        <f t="shared" si="1592"/>
        <v>0</v>
      </c>
      <c r="AA803" s="151">
        <f t="shared" si="1592"/>
        <v>0</v>
      </c>
      <c r="AB803" s="151">
        <f t="shared" si="1592"/>
        <v>0</v>
      </c>
      <c r="AC803" s="165"/>
      <c r="AD803" s="149">
        <v>10000000</v>
      </c>
      <c r="AE803" s="148">
        <v>1756584270</v>
      </c>
      <c r="AF803" s="148">
        <v>15000000</v>
      </c>
      <c r="AG803" s="148">
        <v>24000000</v>
      </c>
      <c r="AH803" s="166">
        <f t="shared" si="1544"/>
        <v>0</v>
      </c>
      <c r="AI803" s="151"/>
      <c r="AJ803" s="151">
        <f t="shared" ref="AJ803:AL803" si="1593">P803-AE803</f>
        <v>0</v>
      </c>
      <c r="AK803" s="151">
        <f t="shared" si="1593"/>
        <v>0</v>
      </c>
      <c r="AL803" s="150">
        <f t="shared" si="1593"/>
        <v>48000000</v>
      </c>
      <c r="AM803" s="145"/>
      <c r="AN803" s="139"/>
      <c r="AO803" s="139"/>
      <c r="AP803" s="139"/>
      <c r="AQ803" s="145" t="s">
        <v>2808</v>
      </c>
      <c r="AR803" s="145"/>
    </row>
    <row r="804" spans="1:44" s="156" customFormat="1" ht="47.25" x14ac:dyDescent="0.25">
      <c r="A804" s="143" t="s">
        <v>88</v>
      </c>
      <c r="B804" s="144">
        <v>791</v>
      </c>
      <c r="C804" s="143" t="s">
        <v>74</v>
      </c>
      <c r="D804" s="143" t="s">
        <v>3777</v>
      </c>
      <c r="E804" s="145"/>
      <c r="F804" s="145"/>
      <c r="G804" s="143" t="s">
        <v>3778</v>
      </c>
      <c r="H804" s="143"/>
      <c r="I804" s="143"/>
      <c r="J804" s="143"/>
      <c r="K804" s="143"/>
      <c r="L804" s="143" t="s">
        <v>3779</v>
      </c>
      <c r="M804" s="143" t="s">
        <v>43</v>
      </c>
      <c r="N804" s="143" t="s">
        <v>3780</v>
      </c>
      <c r="O804" s="147">
        <v>590950720</v>
      </c>
      <c r="P804" s="150"/>
      <c r="Q804" s="148">
        <v>15000000</v>
      </c>
      <c r="R804" s="150"/>
      <c r="S804" s="147">
        <f t="shared" si="1542"/>
        <v>605950720</v>
      </c>
      <c r="T804" s="158">
        <v>590950720</v>
      </c>
      <c r="U804" s="143"/>
      <c r="V804" s="147">
        <v>15000000</v>
      </c>
      <c r="W804" s="143"/>
      <c r="X804" s="143"/>
      <c r="Y804" s="152">
        <f t="shared" ref="Y804:AB804" si="1594">AD804-T804</f>
        <v>0</v>
      </c>
      <c r="Z804" s="151">
        <f t="shared" si="1594"/>
        <v>0</v>
      </c>
      <c r="AA804" s="151">
        <f t="shared" si="1594"/>
        <v>0</v>
      </c>
      <c r="AB804" s="152">
        <f t="shared" si="1594"/>
        <v>0</v>
      </c>
      <c r="AC804" s="143"/>
      <c r="AD804" s="149">
        <v>590950720</v>
      </c>
      <c r="AE804" s="150"/>
      <c r="AF804" s="148">
        <v>15000000</v>
      </c>
      <c r="AG804" s="155"/>
      <c r="AH804" s="143">
        <f t="shared" si="1544"/>
        <v>0</v>
      </c>
      <c r="AI804" s="151"/>
      <c r="AJ804" s="151">
        <f t="shared" ref="AJ804:AL804" si="1595">P804-AE804</f>
        <v>0</v>
      </c>
      <c r="AK804" s="151">
        <f t="shared" si="1595"/>
        <v>0</v>
      </c>
      <c r="AL804" s="151">
        <f t="shared" si="1595"/>
        <v>0</v>
      </c>
      <c r="AM804" s="145"/>
      <c r="AN804" s="139"/>
      <c r="AO804" s="139"/>
      <c r="AP804" s="139"/>
      <c r="AQ804" s="145"/>
      <c r="AR804" s="145"/>
    </row>
    <row r="805" spans="1:44" s="156" customFormat="1" ht="47.25" x14ac:dyDescent="0.25">
      <c r="A805" s="143" t="s">
        <v>52</v>
      </c>
      <c r="B805" s="144">
        <v>792</v>
      </c>
      <c r="C805" s="143" t="s">
        <v>74</v>
      </c>
      <c r="D805" s="143" t="s">
        <v>3781</v>
      </c>
      <c r="E805" s="145"/>
      <c r="F805" s="145"/>
      <c r="G805" s="143" t="s">
        <v>3782</v>
      </c>
      <c r="H805" s="143"/>
      <c r="I805" s="143"/>
      <c r="J805" s="143"/>
      <c r="K805" s="143"/>
      <c r="L805" s="143" t="s">
        <v>3783</v>
      </c>
      <c r="M805" s="143" t="s">
        <v>43</v>
      </c>
      <c r="N805" s="143" t="s">
        <v>212</v>
      </c>
      <c r="O805" s="147">
        <v>692152100</v>
      </c>
      <c r="P805" s="150"/>
      <c r="Q805" s="148">
        <v>15000000</v>
      </c>
      <c r="R805" s="150"/>
      <c r="S805" s="147">
        <f t="shared" si="1542"/>
        <v>707152100</v>
      </c>
      <c r="T805" s="158">
        <v>692152100</v>
      </c>
      <c r="U805" s="143"/>
      <c r="V805" s="147">
        <v>15000000</v>
      </c>
      <c r="W805" s="143"/>
      <c r="X805" s="143"/>
      <c r="Y805" s="152">
        <f t="shared" ref="Y805:AB805" si="1596">AD805-T805</f>
        <v>0</v>
      </c>
      <c r="Z805" s="151">
        <f t="shared" si="1596"/>
        <v>0</v>
      </c>
      <c r="AA805" s="151">
        <f t="shared" si="1596"/>
        <v>0</v>
      </c>
      <c r="AB805" s="151">
        <f t="shared" si="1596"/>
        <v>0</v>
      </c>
      <c r="AC805" s="143"/>
      <c r="AD805" s="149">
        <v>692152100</v>
      </c>
      <c r="AE805" s="150"/>
      <c r="AF805" s="148">
        <v>15000000</v>
      </c>
      <c r="AG805" s="150"/>
      <c r="AH805" s="143">
        <f t="shared" si="1544"/>
        <v>0</v>
      </c>
      <c r="AI805" s="151"/>
      <c r="AJ805" s="151">
        <f t="shared" ref="AJ805:AL805" si="1597">P805-AE805</f>
        <v>0</v>
      </c>
      <c r="AK805" s="151">
        <f t="shared" si="1597"/>
        <v>0</v>
      </c>
      <c r="AL805" s="151">
        <f t="shared" si="1597"/>
        <v>0</v>
      </c>
      <c r="AM805" s="145"/>
      <c r="AN805" s="139"/>
      <c r="AO805" s="139"/>
      <c r="AP805" s="139"/>
      <c r="AQ805" s="145"/>
      <c r="AR805" s="145"/>
    </row>
    <row r="806" spans="1:44" s="156" customFormat="1" ht="31.5" x14ac:dyDescent="0.25">
      <c r="A806" s="143" t="s">
        <v>52</v>
      </c>
      <c r="B806" s="144">
        <v>793</v>
      </c>
      <c r="C806" s="143" t="s">
        <v>74</v>
      </c>
      <c r="D806" s="143" t="s">
        <v>3784</v>
      </c>
      <c r="E806" s="145"/>
      <c r="F806" s="145"/>
      <c r="G806" s="143" t="s">
        <v>3785</v>
      </c>
      <c r="H806" s="143"/>
      <c r="I806" s="143"/>
      <c r="J806" s="143"/>
      <c r="K806" s="143"/>
      <c r="L806" s="143" t="s">
        <v>3786</v>
      </c>
      <c r="M806" s="143" t="s">
        <v>43</v>
      </c>
      <c r="N806" s="143" t="s">
        <v>3385</v>
      </c>
      <c r="O806" s="147">
        <v>1833190096</v>
      </c>
      <c r="P806" s="150"/>
      <c r="Q806" s="148">
        <v>15000000</v>
      </c>
      <c r="R806" s="150"/>
      <c r="S806" s="147">
        <f t="shared" si="1542"/>
        <v>1848190096</v>
      </c>
      <c r="T806" s="158">
        <v>1833190096</v>
      </c>
      <c r="U806" s="143"/>
      <c r="V806" s="147">
        <v>15000000</v>
      </c>
      <c r="W806" s="143"/>
      <c r="X806" s="143"/>
      <c r="Y806" s="152">
        <f t="shared" ref="Y806:AB806" si="1598">AD806-T806</f>
        <v>0</v>
      </c>
      <c r="Z806" s="151">
        <f t="shared" si="1598"/>
        <v>0</v>
      </c>
      <c r="AA806" s="151">
        <f t="shared" si="1598"/>
        <v>0</v>
      </c>
      <c r="AB806" s="151">
        <f t="shared" si="1598"/>
        <v>0</v>
      </c>
      <c r="AC806" s="143"/>
      <c r="AD806" s="149">
        <v>1833190096</v>
      </c>
      <c r="AE806" s="150"/>
      <c r="AF806" s="148">
        <v>15000000</v>
      </c>
      <c r="AG806" s="150"/>
      <c r="AH806" s="143">
        <f t="shared" si="1544"/>
        <v>0</v>
      </c>
      <c r="AI806" s="151"/>
      <c r="AJ806" s="151">
        <f t="shared" ref="AJ806:AL806" si="1599">P806-AE806</f>
        <v>0</v>
      </c>
      <c r="AK806" s="151">
        <f t="shared" si="1599"/>
        <v>0</v>
      </c>
      <c r="AL806" s="151">
        <f t="shared" si="1599"/>
        <v>0</v>
      </c>
      <c r="AM806" s="145"/>
      <c r="AN806" s="139"/>
      <c r="AO806" s="139"/>
      <c r="AP806" s="139"/>
      <c r="AQ806" s="145"/>
      <c r="AR806" s="145"/>
    </row>
    <row r="807" spans="1:44" s="156" customFormat="1" ht="47.25" x14ac:dyDescent="0.25">
      <c r="A807" s="143" t="s">
        <v>52</v>
      </c>
      <c r="B807" s="144">
        <v>794</v>
      </c>
      <c r="C807" s="143" t="s">
        <v>74</v>
      </c>
      <c r="D807" s="143" t="s">
        <v>3787</v>
      </c>
      <c r="E807" s="145" t="s">
        <v>3788</v>
      </c>
      <c r="F807" s="145"/>
      <c r="G807" s="143" t="s">
        <v>3789</v>
      </c>
      <c r="H807" s="143" t="s">
        <v>3790</v>
      </c>
      <c r="I807" s="143" t="s">
        <v>80</v>
      </c>
      <c r="J807" s="143"/>
      <c r="K807" s="143"/>
      <c r="L807" s="143" t="s">
        <v>3791</v>
      </c>
      <c r="M807" s="143" t="s">
        <v>43</v>
      </c>
      <c r="N807" s="143" t="s">
        <v>3792</v>
      </c>
      <c r="O807" s="147">
        <v>339766192</v>
      </c>
      <c r="P807" s="148">
        <v>82441548</v>
      </c>
      <c r="Q807" s="148">
        <v>15000000</v>
      </c>
      <c r="R807" s="150"/>
      <c r="S807" s="147">
        <f t="shared" si="1542"/>
        <v>437207740</v>
      </c>
      <c r="T807" s="158">
        <v>339766192</v>
      </c>
      <c r="U807" s="158">
        <v>82441548</v>
      </c>
      <c r="V807" s="147">
        <v>15000000</v>
      </c>
      <c r="W807" s="143"/>
      <c r="X807" s="143"/>
      <c r="Y807" s="152">
        <f t="shared" ref="Y807:AB807" si="1600">AD807-T807</f>
        <v>0</v>
      </c>
      <c r="Z807" s="151">
        <f t="shared" si="1600"/>
        <v>0</v>
      </c>
      <c r="AA807" s="151">
        <f t="shared" si="1600"/>
        <v>0</v>
      </c>
      <c r="AB807" s="151">
        <f t="shared" si="1600"/>
        <v>0</v>
      </c>
      <c r="AC807" s="143"/>
      <c r="AD807" s="149">
        <v>339766192</v>
      </c>
      <c r="AE807" s="148">
        <v>82441548</v>
      </c>
      <c r="AF807" s="148">
        <v>15000000</v>
      </c>
      <c r="AG807" s="150"/>
      <c r="AH807" s="143">
        <f t="shared" si="1544"/>
        <v>0</v>
      </c>
      <c r="AI807" s="151"/>
      <c r="AJ807" s="151">
        <f t="shared" ref="AJ807:AL807" si="1601">P807-AE807</f>
        <v>0</v>
      </c>
      <c r="AK807" s="151">
        <f t="shared" si="1601"/>
        <v>0</v>
      </c>
      <c r="AL807" s="151">
        <f t="shared" si="1601"/>
        <v>0</v>
      </c>
      <c r="AM807" s="145"/>
      <c r="AN807" s="139"/>
      <c r="AO807" s="139"/>
      <c r="AP807" s="139"/>
      <c r="AQ807" s="145"/>
      <c r="AR807" s="145"/>
    </row>
    <row r="808" spans="1:44" s="156" customFormat="1" ht="110.25" x14ac:dyDescent="0.25">
      <c r="A808" s="143" t="s">
        <v>52</v>
      </c>
      <c r="B808" s="175">
        <v>795</v>
      </c>
      <c r="C808" s="145" t="s">
        <v>74</v>
      </c>
      <c r="D808" s="143" t="s">
        <v>624</v>
      </c>
      <c r="E808" s="145" t="s">
        <v>625</v>
      </c>
      <c r="F808" s="145" t="s">
        <v>3767</v>
      </c>
      <c r="G808" s="145" t="s">
        <v>626</v>
      </c>
      <c r="H808" s="145" t="s">
        <v>627</v>
      </c>
      <c r="I808" s="145"/>
      <c r="J808" s="145"/>
      <c r="K808" s="146"/>
      <c r="L808" s="145" t="s">
        <v>628</v>
      </c>
      <c r="M808" s="145" t="s">
        <v>43</v>
      </c>
      <c r="N808" s="145" t="s">
        <v>629</v>
      </c>
      <c r="O808" s="147">
        <v>10000000</v>
      </c>
      <c r="P808" s="148">
        <v>2527001190</v>
      </c>
      <c r="Q808" s="148">
        <v>15000000</v>
      </c>
      <c r="R808" s="148">
        <f>30000000+60000000</f>
        <v>90000000</v>
      </c>
      <c r="S808" s="147">
        <f t="shared" si="1542"/>
        <v>2642001190</v>
      </c>
      <c r="T808" s="158">
        <v>10000000</v>
      </c>
      <c r="U808" s="158">
        <v>2527001190</v>
      </c>
      <c r="V808" s="147">
        <v>15000000</v>
      </c>
      <c r="W808" s="158">
        <v>30000000</v>
      </c>
      <c r="X808" s="143"/>
      <c r="Y808" s="152">
        <f t="shared" ref="Y808:AB808" si="1602">AD808-T808</f>
        <v>0</v>
      </c>
      <c r="Z808" s="151">
        <f t="shared" si="1602"/>
        <v>0</v>
      </c>
      <c r="AA808" s="151">
        <f t="shared" si="1602"/>
        <v>0</v>
      </c>
      <c r="AB808" s="151">
        <f t="shared" si="1602"/>
        <v>0</v>
      </c>
      <c r="AC808" s="165"/>
      <c r="AD808" s="149">
        <v>10000000</v>
      </c>
      <c r="AE808" s="148">
        <v>2527001190</v>
      </c>
      <c r="AF808" s="148">
        <v>15000000</v>
      </c>
      <c r="AG808" s="148">
        <v>30000000</v>
      </c>
      <c r="AH808" s="166">
        <f t="shared" si="1544"/>
        <v>0</v>
      </c>
      <c r="AI808" s="151"/>
      <c r="AJ808" s="151">
        <f t="shared" ref="AJ808:AL808" si="1603">P808-AE808</f>
        <v>0</v>
      </c>
      <c r="AK808" s="151">
        <f t="shared" si="1603"/>
        <v>0</v>
      </c>
      <c r="AL808" s="150">
        <f t="shared" si="1603"/>
        <v>60000000</v>
      </c>
      <c r="AM808" s="145"/>
      <c r="AN808" s="139"/>
      <c r="AO808" s="139"/>
      <c r="AP808" s="139"/>
      <c r="AQ808" s="145" t="s">
        <v>2808</v>
      </c>
      <c r="AR808" s="145"/>
    </row>
    <row r="809" spans="1:44" s="156" customFormat="1" ht="78.75" x14ac:dyDescent="0.25">
      <c r="A809" s="143" t="s">
        <v>60</v>
      </c>
      <c r="B809" s="144">
        <v>796</v>
      </c>
      <c r="C809" s="143" t="s">
        <v>74</v>
      </c>
      <c r="D809" s="143" t="s">
        <v>1684</v>
      </c>
      <c r="E809" s="145"/>
      <c r="F809" s="145" t="s">
        <v>1686</v>
      </c>
      <c r="G809" s="143" t="s">
        <v>1687</v>
      </c>
      <c r="H809" s="143"/>
      <c r="I809" s="143"/>
      <c r="J809" s="143"/>
      <c r="K809" s="164"/>
      <c r="L809" s="143" t="s">
        <v>1688</v>
      </c>
      <c r="M809" s="143" t="s">
        <v>43</v>
      </c>
      <c r="N809" s="143" t="s">
        <v>1689</v>
      </c>
      <c r="O809" s="147">
        <v>1479042664</v>
      </c>
      <c r="P809" s="150"/>
      <c r="Q809" s="148">
        <v>15000000</v>
      </c>
      <c r="R809" s="148">
        <f>48000000+48000000</f>
        <v>96000000</v>
      </c>
      <c r="S809" s="147">
        <f t="shared" si="1542"/>
        <v>1590042664</v>
      </c>
      <c r="T809" s="158">
        <v>1479042664</v>
      </c>
      <c r="U809" s="143"/>
      <c r="V809" s="147">
        <v>15000000</v>
      </c>
      <c r="W809" s="158">
        <v>96000000</v>
      </c>
      <c r="X809" s="143"/>
      <c r="Y809" s="152">
        <f t="shared" ref="Y809:AB809" si="1604">AD809-T809</f>
        <v>0</v>
      </c>
      <c r="Z809" s="151">
        <f t="shared" si="1604"/>
        <v>0</v>
      </c>
      <c r="AA809" s="151">
        <f t="shared" si="1604"/>
        <v>0</v>
      </c>
      <c r="AB809" s="152">
        <f t="shared" si="1604"/>
        <v>0</v>
      </c>
      <c r="AC809" s="143"/>
      <c r="AD809" s="149">
        <v>1479042664</v>
      </c>
      <c r="AE809" s="150"/>
      <c r="AF809" s="148">
        <v>15000000</v>
      </c>
      <c r="AG809" s="149">
        <f>48000000+48000000</f>
        <v>96000000</v>
      </c>
      <c r="AH809" s="143">
        <f t="shared" si="1544"/>
        <v>0</v>
      </c>
      <c r="AI809" s="151"/>
      <c r="AJ809" s="151">
        <f t="shared" ref="AJ809:AL809" si="1605">P809-AE809</f>
        <v>0</v>
      </c>
      <c r="AK809" s="151">
        <f t="shared" si="1605"/>
        <v>0</v>
      </c>
      <c r="AL809" s="151">
        <f t="shared" si="1605"/>
        <v>0</v>
      </c>
      <c r="AM809" s="145"/>
      <c r="AN809" s="139"/>
      <c r="AO809" s="139"/>
      <c r="AP809" s="139"/>
      <c r="AQ809" s="145"/>
      <c r="AR809" s="145"/>
    </row>
    <row r="810" spans="1:44" s="156" customFormat="1" ht="47.25" x14ac:dyDescent="0.25">
      <c r="A810" s="143" t="s">
        <v>60</v>
      </c>
      <c r="B810" s="144">
        <v>797</v>
      </c>
      <c r="C810" s="143" t="s">
        <v>74</v>
      </c>
      <c r="D810" s="143" t="s">
        <v>3793</v>
      </c>
      <c r="E810" s="145"/>
      <c r="F810" s="145"/>
      <c r="G810" s="143" t="s">
        <v>3794</v>
      </c>
      <c r="H810" s="143"/>
      <c r="I810" s="143"/>
      <c r="J810" s="143"/>
      <c r="K810" s="143"/>
      <c r="L810" s="143" t="s">
        <v>3795</v>
      </c>
      <c r="M810" s="143" t="s">
        <v>43</v>
      </c>
      <c r="N810" s="143" t="s">
        <v>3796</v>
      </c>
      <c r="O810" s="147">
        <v>869322940</v>
      </c>
      <c r="P810" s="150"/>
      <c r="Q810" s="148">
        <v>15000000</v>
      </c>
      <c r="R810" s="150"/>
      <c r="S810" s="147">
        <f t="shared" si="1542"/>
        <v>884322940</v>
      </c>
      <c r="T810" s="151">
        <v>869322940</v>
      </c>
      <c r="U810" s="143"/>
      <c r="V810" s="147">
        <v>15000000</v>
      </c>
      <c r="W810" s="143"/>
      <c r="X810" s="143"/>
      <c r="Y810" s="152">
        <f t="shared" ref="Y810:AB810" si="1606">AD810-T810</f>
        <v>0</v>
      </c>
      <c r="Z810" s="151">
        <f t="shared" si="1606"/>
        <v>0</v>
      </c>
      <c r="AA810" s="151">
        <f t="shared" si="1606"/>
        <v>0</v>
      </c>
      <c r="AB810" s="152">
        <f t="shared" si="1606"/>
        <v>0</v>
      </c>
      <c r="AC810" s="143"/>
      <c r="AD810" s="155">
        <v>869322940</v>
      </c>
      <c r="AE810" s="150"/>
      <c r="AF810" s="148">
        <v>15000000</v>
      </c>
      <c r="AG810" s="155"/>
      <c r="AH810" s="143">
        <f t="shared" si="1544"/>
        <v>0</v>
      </c>
      <c r="AI810" s="151"/>
      <c r="AJ810" s="151">
        <f t="shared" ref="AJ810:AL810" si="1607">P810-AE810</f>
        <v>0</v>
      </c>
      <c r="AK810" s="151">
        <f t="shared" si="1607"/>
        <v>0</v>
      </c>
      <c r="AL810" s="151">
        <f t="shared" si="1607"/>
        <v>0</v>
      </c>
      <c r="AM810" s="145"/>
      <c r="AN810" s="139"/>
      <c r="AO810" s="139"/>
      <c r="AP810" s="139"/>
      <c r="AQ810" s="145"/>
      <c r="AR810" s="145"/>
    </row>
    <row r="811" spans="1:44" s="156" customFormat="1" ht="47.25" x14ac:dyDescent="0.25">
      <c r="A811" s="143" t="s">
        <v>60</v>
      </c>
      <c r="B811" s="144">
        <v>798</v>
      </c>
      <c r="C811" s="143" t="s">
        <v>74</v>
      </c>
      <c r="D811" s="143" t="s">
        <v>3797</v>
      </c>
      <c r="E811" s="145"/>
      <c r="F811" s="145"/>
      <c r="G811" s="143" t="s">
        <v>3798</v>
      </c>
      <c r="H811" s="143"/>
      <c r="I811" s="143"/>
      <c r="J811" s="143"/>
      <c r="K811" s="143"/>
      <c r="L811" s="143" t="s">
        <v>1064</v>
      </c>
      <c r="M811" s="143" t="s">
        <v>43</v>
      </c>
      <c r="N811" s="143" t="s">
        <v>3799</v>
      </c>
      <c r="O811" s="147">
        <v>323702710</v>
      </c>
      <c r="P811" s="150"/>
      <c r="Q811" s="148">
        <v>15000000</v>
      </c>
      <c r="R811" s="150"/>
      <c r="S811" s="147">
        <f t="shared" si="1542"/>
        <v>338702710</v>
      </c>
      <c r="T811" s="151">
        <v>323702710</v>
      </c>
      <c r="U811" s="143"/>
      <c r="V811" s="147">
        <v>15000000</v>
      </c>
      <c r="W811" s="143"/>
      <c r="X811" s="143"/>
      <c r="Y811" s="152">
        <f t="shared" ref="Y811:AB811" si="1608">AD811-T811</f>
        <v>0</v>
      </c>
      <c r="Z811" s="151">
        <f t="shared" si="1608"/>
        <v>0</v>
      </c>
      <c r="AA811" s="151">
        <f t="shared" si="1608"/>
        <v>0</v>
      </c>
      <c r="AB811" s="152">
        <f t="shared" si="1608"/>
        <v>0</v>
      </c>
      <c r="AC811" s="143"/>
      <c r="AD811" s="155">
        <v>323702710</v>
      </c>
      <c r="AE811" s="150"/>
      <c r="AF811" s="148">
        <v>15000000</v>
      </c>
      <c r="AG811" s="155"/>
      <c r="AH811" s="143">
        <f t="shared" si="1544"/>
        <v>0</v>
      </c>
      <c r="AI811" s="151"/>
      <c r="AJ811" s="151">
        <f t="shared" ref="AJ811:AL811" si="1609">P811-AE811</f>
        <v>0</v>
      </c>
      <c r="AK811" s="151">
        <f t="shared" si="1609"/>
        <v>0</v>
      </c>
      <c r="AL811" s="151">
        <f t="shared" si="1609"/>
        <v>0</v>
      </c>
      <c r="AM811" s="145"/>
      <c r="AN811" s="139"/>
      <c r="AO811" s="139"/>
      <c r="AP811" s="139"/>
      <c r="AQ811" s="145"/>
      <c r="AR811" s="145"/>
    </row>
    <row r="812" spans="1:44" s="156" customFormat="1" ht="31.5" x14ac:dyDescent="0.25">
      <c r="A812" s="143" t="s">
        <v>60</v>
      </c>
      <c r="B812" s="144">
        <v>799</v>
      </c>
      <c r="C812" s="143" t="s">
        <v>74</v>
      </c>
      <c r="D812" s="143" t="s">
        <v>3800</v>
      </c>
      <c r="E812" s="145"/>
      <c r="F812" s="145"/>
      <c r="G812" s="143" t="s">
        <v>3801</v>
      </c>
      <c r="H812" s="143"/>
      <c r="I812" s="143"/>
      <c r="J812" s="143"/>
      <c r="K812" s="143"/>
      <c r="L812" s="143" t="s">
        <v>3802</v>
      </c>
      <c r="M812" s="143" t="s">
        <v>43</v>
      </c>
      <c r="N812" s="143" t="s">
        <v>3803</v>
      </c>
      <c r="O812" s="147">
        <v>1566913848</v>
      </c>
      <c r="P812" s="150"/>
      <c r="Q812" s="148">
        <v>15000000</v>
      </c>
      <c r="R812" s="150"/>
      <c r="S812" s="147">
        <f t="shared" si="1542"/>
        <v>1581913848</v>
      </c>
      <c r="T812" s="158">
        <v>1566913848</v>
      </c>
      <c r="U812" s="143"/>
      <c r="V812" s="147">
        <v>15000000</v>
      </c>
      <c r="W812" s="143"/>
      <c r="X812" s="143"/>
      <c r="Y812" s="152">
        <f t="shared" ref="Y812:AB812" si="1610">AD812-T812</f>
        <v>0</v>
      </c>
      <c r="Z812" s="151">
        <f t="shared" si="1610"/>
        <v>0</v>
      </c>
      <c r="AA812" s="151">
        <f t="shared" si="1610"/>
        <v>0</v>
      </c>
      <c r="AB812" s="151">
        <f t="shared" si="1610"/>
        <v>0</v>
      </c>
      <c r="AC812" s="143"/>
      <c r="AD812" s="149">
        <v>1566913848</v>
      </c>
      <c r="AE812" s="150"/>
      <c r="AF812" s="148">
        <v>15000000</v>
      </c>
      <c r="AG812" s="150"/>
      <c r="AH812" s="143">
        <f t="shared" si="1544"/>
        <v>0</v>
      </c>
      <c r="AI812" s="151"/>
      <c r="AJ812" s="151">
        <f t="shared" ref="AJ812:AL812" si="1611">P812-AE812</f>
        <v>0</v>
      </c>
      <c r="AK812" s="151">
        <f t="shared" si="1611"/>
        <v>0</v>
      </c>
      <c r="AL812" s="151">
        <f t="shared" si="1611"/>
        <v>0</v>
      </c>
      <c r="AM812" s="145"/>
      <c r="AN812" s="139"/>
      <c r="AO812" s="139"/>
      <c r="AP812" s="139"/>
      <c r="AQ812" s="145"/>
      <c r="AR812" s="145"/>
    </row>
    <row r="813" spans="1:44" s="156" customFormat="1" ht="47.25" x14ac:dyDescent="0.25">
      <c r="A813" s="143" t="s">
        <v>60</v>
      </c>
      <c r="B813" s="144">
        <v>800</v>
      </c>
      <c r="C813" s="143" t="s">
        <v>74</v>
      </c>
      <c r="D813" s="143" t="s">
        <v>1442</v>
      </c>
      <c r="E813" s="145"/>
      <c r="F813" s="145" t="s">
        <v>1443</v>
      </c>
      <c r="G813" s="143" t="s">
        <v>1444</v>
      </c>
      <c r="H813" s="143" t="s">
        <v>1445</v>
      </c>
      <c r="I813" s="143"/>
      <c r="J813" s="143"/>
      <c r="K813" s="164"/>
      <c r="L813" s="143" t="s">
        <v>1446</v>
      </c>
      <c r="M813" s="143" t="s">
        <v>43</v>
      </c>
      <c r="N813" s="143" t="s">
        <v>1447</v>
      </c>
      <c r="O813" s="147">
        <v>1848889516</v>
      </c>
      <c r="P813" s="150"/>
      <c r="Q813" s="148">
        <v>15000000</v>
      </c>
      <c r="R813" s="148">
        <v>16000000</v>
      </c>
      <c r="S813" s="147">
        <f t="shared" si="1542"/>
        <v>1879889516</v>
      </c>
      <c r="T813" s="158">
        <v>1848889516</v>
      </c>
      <c r="U813" s="143"/>
      <c r="V813" s="147">
        <v>15000000</v>
      </c>
      <c r="W813" s="158">
        <v>16000000</v>
      </c>
      <c r="X813" s="143"/>
      <c r="Y813" s="152">
        <f t="shared" ref="Y813:AB813" si="1612">AD813-T813</f>
        <v>0</v>
      </c>
      <c r="Z813" s="151">
        <f t="shared" si="1612"/>
        <v>0</v>
      </c>
      <c r="AA813" s="151">
        <f t="shared" si="1612"/>
        <v>0</v>
      </c>
      <c r="AB813" s="152">
        <f t="shared" si="1612"/>
        <v>0</v>
      </c>
      <c r="AC813" s="143"/>
      <c r="AD813" s="149">
        <v>1848889516</v>
      </c>
      <c r="AE813" s="150"/>
      <c r="AF813" s="148">
        <v>15000000</v>
      </c>
      <c r="AG813" s="149">
        <v>16000000</v>
      </c>
      <c r="AH813" s="143">
        <f t="shared" si="1544"/>
        <v>0</v>
      </c>
      <c r="AI813" s="151"/>
      <c r="AJ813" s="151">
        <f t="shared" ref="AJ813:AL813" si="1613">P813-AE813</f>
        <v>0</v>
      </c>
      <c r="AK813" s="151">
        <f t="shared" si="1613"/>
        <v>0</v>
      </c>
      <c r="AL813" s="151">
        <f t="shared" si="1613"/>
        <v>0</v>
      </c>
      <c r="AM813" s="145"/>
      <c r="AN813" s="139"/>
      <c r="AO813" s="139"/>
      <c r="AP813" s="139"/>
      <c r="AQ813" s="145"/>
      <c r="AR813" s="145"/>
    </row>
    <row r="814" spans="1:44" s="156" customFormat="1" ht="47.25" x14ac:dyDescent="0.25">
      <c r="A814" s="143" t="s">
        <v>60</v>
      </c>
      <c r="B814" s="144">
        <v>801</v>
      </c>
      <c r="C814" s="143" t="s">
        <v>74</v>
      </c>
      <c r="D814" s="143" t="s">
        <v>3804</v>
      </c>
      <c r="E814" s="145" t="s">
        <v>3805</v>
      </c>
      <c r="F814" s="145"/>
      <c r="G814" s="143" t="s">
        <v>3806</v>
      </c>
      <c r="H814" s="143"/>
      <c r="I814" s="143"/>
      <c r="J814" s="143"/>
      <c r="K814" s="143"/>
      <c r="L814" s="143" t="s">
        <v>3807</v>
      </c>
      <c r="M814" s="143" t="s">
        <v>43</v>
      </c>
      <c r="N814" s="143" t="s">
        <v>1447</v>
      </c>
      <c r="O814" s="147">
        <v>10000000</v>
      </c>
      <c r="P814" s="148">
        <v>2092077756</v>
      </c>
      <c r="Q814" s="148">
        <v>15000000</v>
      </c>
      <c r="R814" s="150"/>
      <c r="S814" s="147">
        <f t="shared" si="1542"/>
        <v>2117077756</v>
      </c>
      <c r="T814" s="151">
        <v>10000000</v>
      </c>
      <c r="U814" s="158">
        <v>2092077756</v>
      </c>
      <c r="V814" s="157"/>
      <c r="W814" s="143"/>
      <c r="X814" s="143"/>
      <c r="Y814" s="152">
        <f t="shared" ref="Y814:AB814" si="1614">AD814-T814</f>
        <v>0</v>
      </c>
      <c r="Z814" s="151">
        <f t="shared" si="1614"/>
        <v>0</v>
      </c>
      <c r="AA814" s="151">
        <f t="shared" si="1614"/>
        <v>0</v>
      </c>
      <c r="AB814" s="152">
        <f t="shared" si="1614"/>
        <v>0</v>
      </c>
      <c r="AC814" s="143"/>
      <c r="AD814" s="155">
        <v>10000000</v>
      </c>
      <c r="AE814" s="148">
        <v>2092077756</v>
      </c>
      <c r="AF814" s="150"/>
      <c r="AG814" s="155"/>
      <c r="AH814" s="143">
        <f t="shared" si="1544"/>
        <v>0</v>
      </c>
      <c r="AI814" s="151"/>
      <c r="AJ814" s="151">
        <f t="shared" ref="AJ814:AL814" si="1615">P814-AE814</f>
        <v>0</v>
      </c>
      <c r="AK814" s="151">
        <f t="shared" si="1615"/>
        <v>15000000</v>
      </c>
      <c r="AL814" s="151">
        <f t="shared" si="1615"/>
        <v>0</v>
      </c>
      <c r="AM814" s="145"/>
      <c r="AN814" s="139"/>
      <c r="AO814" s="139"/>
      <c r="AP814" s="162" t="s">
        <v>1970</v>
      </c>
      <c r="AQ814" s="145"/>
      <c r="AR814" s="145"/>
    </row>
    <row r="815" spans="1:44" s="156" customFormat="1" ht="110.25" x14ac:dyDescent="0.25">
      <c r="A815" s="143" t="s">
        <v>60</v>
      </c>
      <c r="B815" s="144">
        <v>802</v>
      </c>
      <c r="C815" s="143" t="s">
        <v>74</v>
      </c>
      <c r="D815" s="143" t="s">
        <v>444</v>
      </c>
      <c r="E815" s="145"/>
      <c r="F815" s="145" t="s">
        <v>4030</v>
      </c>
      <c r="G815" s="143" t="s">
        <v>447</v>
      </c>
      <c r="H815" s="143"/>
      <c r="I815" s="143"/>
      <c r="J815" s="143"/>
      <c r="K815" s="164"/>
      <c r="L815" s="143" t="s">
        <v>448</v>
      </c>
      <c r="M815" s="143" t="s">
        <v>43</v>
      </c>
      <c r="N815" s="143" t="s">
        <v>449</v>
      </c>
      <c r="O815" s="147">
        <v>10000000</v>
      </c>
      <c r="P815" s="150"/>
      <c r="Q815" s="148">
        <v>15000000</v>
      </c>
      <c r="R815" s="148">
        <f>24000000+48000000</f>
        <v>72000000</v>
      </c>
      <c r="S815" s="147">
        <f t="shared" si="1542"/>
        <v>97000000</v>
      </c>
      <c r="T815" s="151">
        <v>10000000</v>
      </c>
      <c r="U815" s="143"/>
      <c r="V815" s="147">
        <v>15000000</v>
      </c>
      <c r="W815" s="158">
        <v>72000000</v>
      </c>
      <c r="X815" s="143"/>
      <c r="Y815" s="152">
        <f t="shared" ref="Y815:AB815" si="1616">AD815-T815</f>
        <v>0</v>
      </c>
      <c r="Z815" s="151">
        <f t="shared" si="1616"/>
        <v>0</v>
      </c>
      <c r="AA815" s="151">
        <f t="shared" si="1616"/>
        <v>0</v>
      </c>
      <c r="AB815" s="152">
        <f t="shared" si="1616"/>
        <v>0</v>
      </c>
      <c r="AC815" s="143"/>
      <c r="AD815" s="155">
        <v>10000000</v>
      </c>
      <c r="AE815" s="150"/>
      <c r="AF815" s="148">
        <v>15000000</v>
      </c>
      <c r="AG815" s="149">
        <f>24000000+48000000</f>
        <v>72000000</v>
      </c>
      <c r="AH815" s="143">
        <f t="shared" si="1544"/>
        <v>0</v>
      </c>
      <c r="AI815" s="151"/>
      <c r="AJ815" s="151">
        <f t="shared" ref="AJ815:AL815" si="1617">P815-AE815</f>
        <v>0</v>
      </c>
      <c r="AK815" s="151">
        <f t="shared" si="1617"/>
        <v>0</v>
      </c>
      <c r="AL815" s="151">
        <f t="shared" si="1617"/>
        <v>0</v>
      </c>
      <c r="AM815" s="145"/>
      <c r="AN815" s="139"/>
      <c r="AO815" s="139"/>
      <c r="AP815" s="139"/>
      <c r="AQ815" s="145"/>
      <c r="AR815" s="145"/>
    </row>
    <row r="816" spans="1:44" s="156" customFormat="1" ht="47.25" x14ac:dyDescent="0.25">
      <c r="A816" s="143" t="s">
        <v>60</v>
      </c>
      <c r="B816" s="144">
        <v>803</v>
      </c>
      <c r="C816" s="143" t="s">
        <v>74</v>
      </c>
      <c r="D816" s="143" t="s">
        <v>3811</v>
      </c>
      <c r="E816" s="145"/>
      <c r="F816" s="145"/>
      <c r="G816" s="143" t="s">
        <v>3812</v>
      </c>
      <c r="H816" s="143" t="s">
        <v>3813</v>
      </c>
      <c r="I816" s="143"/>
      <c r="J816" s="143"/>
      <c r="K816" s="143"/>
      <c r="L816" s="143" t="s">
        <v>3814</v>
      </c>
      <c r="M816" s="143" t="s">
        <v>43</v>
      </c>
      <c r="N816" s="143" t="s">
        <v>3815</v>
      </c>
      <c r="O816" s="147">
        <v>5236394180</v>
      </c>
      <c r="P816" s="150"/>
      <c r="Q816" s="148">
        <v>15000000</v>
      </c>
      <c r="R816" s="150"/>
      <c r="S816" s="147">
        <f t="shared" si="1542"/>
        <v>5251394180</v>
      </c>
      <c r="T816" s="158">
        <v>5236394180</v>
      </c>
      <c r="U816" s="143"/>
      <c r="V816" s="157"/>
      <c r="W816" s="143"/>
      <c r="X816" s="143"/>
      <c r="Y816" s="152">
        <f t="shared" ref="Y816:AB816" si="1618">AD816-T816</f>
        <v>0</v>
      </c>
      <c r="Z816" s="151">
        <f t="shared" si="1618"/>
        <v>0</v>
      </c>
      <c r="AA816" s="151">
        <f t="shared" si="1618"/>
        <v>0</v>
      </c>
      <c r="AB816" s="151">
        <f t="shared" si="1618"/>
        <v>0</v>
      </c>
      <c r="AC816" s="143"/>
      <c r="AD816" s="149">
        <v>5236394180</v>
      </c>
      <c r="AE816" s="150"/>
      <c r="AF816" s="150"/>
      <c r="AG816" s="150"/>
      <c r="AH816" s="143">
        <f t="shared" si="1544"/>
        <v>0</v>
      </c>
      <c r="AI816" s="151"/>
      <c r="AJ816" s="151">
        <f t="shared" ref="AJ816:AL816" si="1619">P816-AE816</f>
        <v>0</v>
      </c>
      <c r="AK816" s="151">
        <f t="shared" si="1619"/>
        <v>15000000</v>
      </c>
      <c r="AL816" s="151">
        <f t="shared" si="1619"/>
        <v>0</v>
      </c>
      <c r="AM816" s="145"/>
      <c r="AN816" s="139"/>
      <c r="AO816" s="139"/>
      <c r="AP816" s="168" t="s">
        <v>3955</v>
      </c>
      <c r="AQ816" s="145"/>
      <c r="AR816" s="145"/>
    </row>
    <row r="817" spans="1:44" s="156" customFormat="1" ht="141.75" x14ac:dyDescent="0.25">
      <c r="A817" s="143" t="s">
        <v>60</v>
      </c>
      <c r="B817" s="144">
        <v>804</v>
      </c>
      <c r="C817" s="143" t="s">
        <v>74</v>
      </c>
      <c r="D817" s="143" t="s">
        <v>1531</v>
      </c>
      <c r="E817" s="145" t="s">
        <v>1532</v>
      </c>
      <c r="F817" s="145" t="s">
        <v>1526</v>
      </c>
      <c r="G817" s="143" t="s">
        <v>1533</v>
      </c>
      <c r="H817" s="143" t="s">
        <v>1534</v>
      </c>
      <c r="I817" s="143"/>
      <c r="J817" s="143"/>
      <c r="K817" s="164"/>
      <c r="L817" s="143" t="s">
        <v>1535</v>
      </c>
      <c r="M817" s="143" t="s">
        <v>43</v>
      </c>
      <c r="N817" s="143" t="s">
        <v>1536</v>
      </c>
      <c r="O817" s="147">
        <v>5239490644</v>
      </c>
      <c r="P817" s="148">
        <f>419908020+200810096+10000000</f>
        <v>630718116</v>
      </c>
      <c r="Q817" s="148">
        <v>15000000</v>
      </c>
      <c r="R817" s="148">
        <f>24000000+48000000</f>
        <v>72000000</v>
      </c>
      <c r="S817" s="147">
        <f t="shared" si="1542"/>
        <v>5957208760</v>
      </c>
      <c r="T817" s="151">
        <v>5239490644</v>
      </c>
      <c r="U817" s="158">
        <v>630718116</v>
      </c>
      <c r="V817" s="147">
        <v>15000000</v>
      </c>
      <c r="W817" s="158">
        <v>72000000</v>
      </c>
      <c r="X817" s="143"/>
      <c r="Y817" s="152">
        <f t="shared" ref="Y817:AB817" si="1620">AD817-T817</f>
        <v>0</v>
      </c>
      <c r="Z817" s="151">
        <f t="shared" si="1620"/>
        <v>0</v>
      </c>
      <c r="AA817" s="151">
        <f t="shared" si="1620"/>
        <v>0</v>
      </c>
      <c r="AB817" s="152">
        <f t="shared" si="1620"/>
        <v>0</v>
      </c>
      <c r="AC817" s="143"/>
      <c r="AD817" s="155">
        <v>5239490644</v>
      </c>
      <c r="AE817" s="148">
        <f>419908020+200810096+10000000</f>
        <v>630718116</v>
      </c>
      <c r="AF817" s="148">
        <v>15000000</v>
      </c>
      <c r="AG817" s="149">
        <f>24000000+48000000</f>
        <v>72000000</v>
      </c>
      <c r="AH817" s="143">
        <f t="shared" si="1544"/>
        <v>0</v>
      </c>
      <c r="AI817" s="151"/>
      <c r="AJ817" s="151">
        <f t="shared" ref="AJ817:AL817" si="1621">P817-AE817</f>
        <v>0</v>
      </c>
      <c r="AK817" s="151">
        <f t="shared" si="1621"/>
        <v>0</v>
      </c>
      <c r="AL817" s="151">
        <f t="shared" si="1621"/>
        <v>0</v>
      </c>
      <c r="AM817" s="145"/>
      <c r="AN817" s="139"/>
      <c r="AO817" s="139"/>
      <c r="AP817" s="139"/>
      <c r="AQ817" s="145"/>
      <c r="AR817" s="145"/>
    </row>
    <row r="818" spans="1:44" s="156" customFormat="1" ht="47.25" x14ac:dyDescent="0.25">
      <c r="A818" s="143" t="s">
        <v>35</v>
      </c>
      <c r="B818" s="144">
        <v>805</v>
      </c>
      <c r="C818" s="143" t="s">
        <v>74</v>
      </c>
      <c r="D818" s="143" t="s">
        <v>3816</v>
      </c>
      <c r="E818" s="145" t="s">
        <v>3817</v>
      </c>
      <c r="F818" s="145"/>
      <c r="G818" s="143" t="s">
        <v>3818</v>
      </c>
      <c r="H818" s="143"/>
      <c r="I818" s="143"/>
      <c r="J818" s="143"/>
      <c r="K818" s="143"/>
      <c r="L818" s="143" t="s">
        <v>3819</v>
      </c>
      <c r="M818" s="143" t="s">
        <v>43</v>
      </c>
      <c r="N818" s="143" t="s">
        <v>212</v>
      </c>
      <c r="O818" s="147">
        <v>10000000</v>
      </c>
      <c r="P818" s="148">
        <v>5132223264</v>
      </c>
      <c r="Q818" s="148">
        <v>15000000</v>
      </c>
      <c r="R818" s="150"/>
      <c r="S818" s="147">
        <f t="shared" si="1542"/>
        <v>5157223264</v>
      </c>
      <c r="T818" s="158">
        <v>10000000</v>
      </c>
      <c r="U818" s="158">
        <v>5132223264</v>
      </c>
      <c r="V818" s="147">
        <v>15000000</v>
      </c>
      <c r="W818" s="143"/>
      <c r="X818" s="143"/>
      <c r="Y818" s="151">
        <f t="shared" ref="Y818:AB818" si="1622">AD818-T818</f>
        <v>0</v>
      </c>
      <c r="Z818" s="151">
        <f t="shared" si="1622"/>
        <v>0</v>
      </c>
      <c r="AA818" s="151">
        <f t="shared" si="1622"/>
        <v>0</v>
      </c>
      <c r="AB818" s="152">
        <f t="shared" si="1622"/>
        <v>0</v>
      </c>
      <c r="AC818" s="143"/>
      <c r="AD818" s="148">
        <v>10000000</v>
      </c>
      <c r="AE818" s="148">
        <v>5132223264</v>
      </c>
      <c r="AF818" s="148">
        <v>15000000</v>
      </c>
      <c r="AG818" s="155"/>
      <c r="AH818" s="143">
        <f t="shared" si="1544"/>
        <v>0</v>
      </c>
      <c r="AI818" s="151"/>
      <c r="AJ818" s="151">
        <f t="shared" ref="AJ818:AL818" si="1623">P818-AE818</f>
        <v>0</v>
      </c>
      <c r="AK818" s="151">
        <f t="shared" si="1623"/>
        <v>0</v>
      </c>
      <c r="AL818" s="151">
        <f t="shared" si="1623"/>
        <v>0</v>
      </c>
      <c r="AM818" s="145"/>
      <c r="AN818" s="139"/>
      <c r="AO818" s="139"/>
      <c r="AP818" s="139"/>
      <c r="AQ818" s="145"/>
      <c r="AR818" s="145"/>
    </row>
    <row r="819" spans="1:44" s="156" customFormat="1" ht="78.75" x14ac:dyDescent="0.25">
      <c r="A819" s="143" t="s">
        <v>60</v>
      </c>
      <c r="B819" s="144">
        <v>806</v>
      </c>
      <c r="C819" s="143" t="s">
        <v>74</v>
      </c>
      <c r="D819" s="143" t="s">
        <v>1714</v>
      </c>
      <c r="E819" s="145"/>
      <c r="F819" s="145" t="s">
        <v>1716</v>
      </c>
      <c r="G819" s="143" t="s">
        <v>1717</v>
      </c>
      <c r="H819" s="143"/>
      <c r="I819" s="143"/>
      <c r="J819" s="143"/>
      <c r="K819" s="164"/>
      <c r="L819" s="143" t="s">
        <v>1719</v>
      </c>
      <c r="M819" s="143" t="s">
        <v>43</v>
      </c>
      <c r="N819" s="143" t="s">
        <v>1720</v>
      </c>
      <c r="O819" s="147">
        <v>1611681135</v>
      </c>
      <c r="P819" s="150"/>
      <c r="Q819" s="148">
        <v>15000000</v>
      </c>
      <c r="R819" s="148">
        <f t="shared" ref="R819:R820" si="1624">48000000+48000000</f>
        <v>96000000</v>
      </c>
      <c r="S819" s="147">
        <f t="shared" si="1542"/>
        <v>1722681135</v>
      </c>
      <c r="T819" s="151">
        <v>1611681135</v>
      </c>
      <c r="U819" s="143"/>
      <c r="V819" s="147">
        <v>15000000</v>
      </c>
      <c r="W819" s="158">
        <v>96000000</v>
      </c>
      <c r="X819" s="143"/>
      <c r="Y819" s="152">
        <f t="shared" ref="Y819:AB819" si="1625">AD819-T819</f>
        <v>0</v>
      </c>
      <c r="Z819" s="151">
        <f t="shared" si="1625"/>
        <v>0</v>
      </c>
      <c r="AA819" s="151">
        <f t="shared" si="1625"/>
        <v>0</v>
      </c>
      <c r="AB819" s="152">
        <f t="shared" si="1625"/>
        <v>0</v>
      </c>
      <c r="AC819" s="143"/>
      <c r="AD819" s="155">
        <v>1611681135</v>
      </c>
      <c r="AE819" s="150"/>
      <c r="AF819" s="148">
        <v>15000000</v>
      </c>
      <c r="AG819" s="149">
        <f t="shared" ref="AG819:AG820" si="1626">48000000+48000000</f>
        <v>96000000</v>
      </c>
      <c r="AH819" s="143">
        <f t="shared" si="1544"/>
        <v>0</v>
      </c>
      <c r="AI819" s="151"/>
      <c r="AJ819" s="151">
        <f t="shared" ref="AJ819:AL819" si="1627">P819-AE819</f>
        <v>0</v>
      </c>
      <c r="AK819" s="151">
        <f t="shared" si="1627"/>
        <v>0</v>
      </c>
      <c r="AL819" s="151">
        <f t="shared" si="1627"/>
        <v>0</v>
      </c>
      <c r="AM819" s="145"/>
      <c r="AN819" s="139"/>
      <c r="AO819" s="139"/>
      <c r="AP819" s="139"/>
      <c r="AQ819" s="145"/>
      <c r="AR819" s="145"/>
    </row>
    <row r="820" spans="1:44" s="156" customFormat="1" ht="78.75" x14ac:dyDescent="0.25">
      <c r="A820" s="143" t="s">
        <v>60</v>
      </c>
      <c r="B820" s="144">
        <v>807</v>
      </c>
      <c r="C820" s="143" t="s">
        <v>74</v>
      </c>
      <c r="D820" s="143" t="s">
        <v>1694</v>
      </c>
      <c r="E820" s="145" t="s">
        <v>1695</v>
      </c>
      <c r="F820" s="145" t="s">
        <v>1696</v>
      </c>
      <c r="G820" s="143" t="s">
        <v>1697</v>
      </c>
      <c r="H820" s="143"/>
      <c r="I820" s="143"/>
      <c r="J820" s="143"/>
      <c r="K820" s="164"/>
      <c r="L820" s="143" t="s">
        <v>1698</v>
      </c>
      <c r="M820" s="143" t="s">
        <v>43</v>
      </c>
      <c r="N820" s="143" t="s">
        <v>1699</v>
      </c>
      <c r="O820" s="147">
        <v>1246747708</v>
      </c>
      <c r="P820" s="148">
        <v>193650240</v>
      </c>
      <c r="Q820" s="148">
        <v>15000000</v>
      </c>
      <c r="R820" s="148">
        <f t="shared" si="1624"/>
        <v>96000000</v>
      </c>
      <c r="S820" s="147">
        <f t="shared" si="1542"/>
        <v>1551397948</v>
      </c>
      <c r="T820" s="151">
        <v>1246747708</v>
      </c>
      <c r="U820" s="158">
        <v>193650240</v>
      </c>
      <c r="V820" s="147">
        <v>15000000</v>
      </c>
      <c r="W820" s="158">
        <v>96000000</v>
      </c>
      <c r="X820" s="143"/>
      <c r="Y820" s="152">
        <f t="shared" ref="Y820:AB820" si="1628">AD820-T820</f>
        <v>0</v>
      </c>
      <c r="Z820" s="151">
        <f t="shared" si="1628"/>
        <v>0</v>
      </c>
      <c r="AA820" s="151">
        <f t="shared" si="1628"/>
        <v>0</v>
      </c>
      <c r="AB820" s="152">
        <f t="shared" si="1628"/>
        <v>0</v>
      </c>
      <c r="AC820" s="143"/>
      <c r="AD820" s="155">
        <v>1246747708</v>
      </c>
      <c r="AE820" s="148">
        <v>193650240</v>
      </c>
      <c r="AF820" s="148">
        <v>15000000</v>
      </c>
      <c r="AG820" s="149">
        <f t="shared" si="1626"/>
        <v>96000000</v>
      </c>
      <c r="AH820" s="143">
        <f t="shared" si="1544"/>
        <v>0</v>
      </c>
      <c r="AI820" s="151"/>
      <c r="AJ820" s="151">
        <f t="shared" ref="AJ820:AL820" si="1629">P820-AE820</f>
        <v>0</v>
      </c>
      <c r="AK820" s="151">
        <f t="shared" si="1629"/>
        <v>0</v>
      </c>
      <c r="AL820" s="151">
        <f t="shared" si="1629"/>
        <v>0</v>
      </c>
      <c r="AM820" s="145"/>
      <c r="AN820" s="139"/>
      <c r="AO820" s="139"/>
      <c r="AP820" s="139"/>
      <c r="AQ820" s="145"/>
      <c r="AR820" s="145"/>
    </row>
    <row r="821" spans="1:44" s="156" customFormat="1" ht="94.5" x14ac:dyDescent="0.25">
      <c r="A821" s="143" t="s">
        <v>60</v>
      </c>
      <c r="B821" s="144">
        <v>808</v>
      </c>
      <c r="C821" s="143" t="s">
        <v>74</v>
      </c>
      <c r="D821" s="143" t="s">
        <v>190</v>
      </c>
      <c r="E821" s="145" t="s">
        <v>191</v>
      </c>
      <c r="F821" s="145" t="s">
        <v>165</v>
      </c>
      <c r="G821" s="143" t="s">
        <v>192</v>
      </c>
      <c r="H821" s="143" t="s">
        <v>193</v>
      </c>
      <c r="I821" s="144" t="s">
        <v>194</v>
      </c>
      <c r="J821" s="143"/>
      <c r="K821" s="164"/>
      <c r="L821" s="143" t="s">
        <v>195</v>
      </c>
      <c r="M821" s="143" t="s">
        <v>43</v>
      </c>
      <c r="N821" s="143" t="s">
        <v>186</v>
      </c>
      <c r="O821" s="147">
        <v>1042844736</v>
      </c>
      <c r="P821" s="148">
        <f>15000000+338989728</f>
        <v>353989728</v>
      </c>
      <c r="Q821" s="148">
        <v>15000000</v>
      </c>
      <c r="R821" s="148">
        <f>36000000+72000000</f>
        <v>108000000</v>
      </c>
      <c r="S821" s="147">
        <f t="shared" si="1542"/>
        <v>1519834464</v>
      </c>
      <c r="T821" s="158">
        <v>1042844736</v>
      </c>
      <c r="U821" s="158">
        <v>353989728</v>
      </c>
      <c r="V821" s="147">
        <v>15000000</v>
      </c>
      <c r="W821" s="158">
        <v>108000000</v>
      </c>
      <c r="X821" s="143"/>
      <c r="Y821" s="152">
        <f t="shared" ref="Y821:AB821" si="1630">AD821-T821</f>
        <v>0</v>
      </c>
      <c r="Z821" s="151">
        <f t="shared" si="1630"/>
        <v>0</v>
      </c>
      <c r="AA821" s="151">
        <f t="shared" si="1630"/>
        <v>0</v>
      </c>
      <c r="AB821" s="152">
        <f t="shared" si="1630"/>
        <v>0</v>
      </c>
      <c r="AC821" s="143"/>
      <c r="AD821" s="149">
        <v>1042844736</v>
      </c>
      <c r="AE821" s="148">
        <f>15000000+338989728</f>
        <v>353989728</v>
      </c>
      <c r="AF821" s="148">
        <v>15000000</v>
      </c>
      <c r="AG821" s="149">
        <f>36000000+72000000</f>
        <v>108000000</v>
      </c>
      <c r="AH821" s="143">
        <f t="shared" si="1544"/>
        <v>0</v>
      </c>
      <c r="AI821" s="151"/>
      <c r="AJ821" s="151">
        <f t="shared" ref="AJ821:AL821" si="1631">P821-AE821</f>
        <v>0</v>
      </c>
      <c r="AK821" s="151">
        <f t="shared" si="1631"/>
        <v>0</v>
      </c>
      <c r="AL821" s="151">
        <f t="shared" si="1631"/>
        <v>0</v>
      </c>
      <c r="AM821" s="145"/>
      <c r="AN821" s="139"/>
      <c r="AO821" s="139"/>
      <c r="AP821" s="139"/>
      <c r="AQ821" s="145"/>
      <c r="AR821" s="145"/>
    </row>
    <row r="822" spans="1:44" s="156" customFormat="1" ht="47.25" x14ac:dyDescent="0.25">
      <c r="A822" s="143" t="s">
        <v>60</v>
      </c>
      <c r="B822" s="144">
        <v>809</v>
      </c>
      <c r="C822" s="143" t="s">
        <v>74</v>
      </c>
      <c r="D822" s="143" t="s">
        <v>3821</v>
      </c>
      <c r="E822" s="145"/>
      <c r="F822" s="145"/>
      <c r="G822" s="143" t="s">
        <v>3822</v>
      </c>
      <c r="H822" s="143"/>
      <c r="I822" s="143"/>
      <c r="J822" s="143"/>
      <c r="K822" s="143"/>
      <c r="L822" s="143" t="s">
        <v>3823</v>
      </c>
      <c r="M822" s="143" t="s">
        <v>43</v>
      </c>
      <c r="N822" s="143" t="s">
        <v>3824</v>
      </c>
      <c r="O822" s="147">
        <v>3051594287</v>
      </c>
      <c r="P822" s="150"/>
      <c r="Q822" s="148">
        <v>15000000</v>
      </c>
      <c r="R822" s="150"/>
      <c r="S822" s="147">
        <f t="shared" si="1542"/>
        <v>3066594287</v>
      </c>
      <c r="T822" s="151">
        <v>3051594287</v>
      </c>
      <c r="U822" s="143"/>
      <c r="V822" s="147">
        <v>15000000</v>
      </c>
      <c r="W822" s="143"/>
      <c r="X822" s="143"/>
      <c r="Y822" s="152">
        <f t="shared" ref="Y822:AB822" si="1632">AD822-T822</f>
        <v>0</v>
      </c>
      <c r="Z822" s="151">
        <f t="shared" si="1632"/>
        <v>0</v>
      </c>
      <c r="AA822" s="151">
        <f t="shared" si="1632"/>
        <v>0</v>
      </c>
      <c r="AB822" s="152">
        <f t="shared" si="1632"/>
        <v>0</v>
      </c>
      <c r="AC822" s="143"/>
      <c r="AD822" s="155">
        <v>3051594287</v>
      </c>
      <c r="AE822" s="150"/>
      <c r="AF822" s="148">
        <v>15000000</v>
      </c>
      <c r="AG822" s="155"/>
      <c r="AH822" s="143">
        <f t="shared" si="1544"/>
        <v>0</v>
      </c>
      <c r="AI822" s="151"/>
      <c r="AJ822" s="151">
        <f t="shared" ref="AJ822:AL822" si="1633">P822-AE822</f>
        <v>0</v>
      </c>
      <c r="AK822" s="151">
        <f t="shared" si="1633"/>
        <v>0</v>
      </c>
      <c r="AL822" s="151">
        <f t="shared" si="1633"/>
        <v>0</v>
      </c>
      <c r="AM822" s="145"/>
      <c r="AN822" s="139"/>
      <c r="AO822" s="139"/>
      <c r="AP822" s="139"/>
      <c r="AQ822" s="145"/>
      <c r="AR822" s="145"/>
    </row>
    <row r="823" spans="1:44" s="156" customFormat="1" ht="31.5" x14ac:dyDescent="0.25">
      <c r="A823" s="143" t="s">
        <v>60</v>
      </c>
      <c r="B823" s="144">
        <v>810</v>
      </c>
      <c r="C823" s="143" t="s">
        <v>74</v>
      </c>
      <c r="D823" s="143" t="s">
        <v>3825</v>
      </c>
      <c r="E823" s="145"/>
      <c r="F823" s="145"/>
      <c r="G823" s="143" t="s">
        <v>3826</v>
      </c>
      <c r="H823" s="143" t="s">
        <v>3827</v>
      </c>
      <c r="I823" s="143"/>
      <c r="J823" s="143"/>
      <c r="K823" s="143"/>
      <c r="L823" s="143" t="s">
        <v>3828</v>
      </c>
      <c r="M823" s="143" t="s">
        <v>43</v>
      </c>
      <c r="N823" s="143" t="s">
        <v>3829</v>
      </c>
      <c r="O823" s="147">
        <v>22476062320</v>
      </c>
      <c r="P823" s="150"/>
      <c r="Q823" s="148">
        <v>15000000</v>
      </c>
      <c r="R823" s="150"/>
      <c r="S823" s="147">
        <f t="shared" si="1542"/>
        <v>22491062320</v>
      </c>
      <c r="T823" s="158">
        <v>22476062320</v>
      </c>
      <c r="U823" s="143"/>
      <c r="V823" s="147">
        <v>15000000</v>
      </c>
      <c r="W823" s="143"/>
      <c r="X823" s="143"/>
      <c r="Y823" s="152">
        <f t="shared" ref="Y823:AB823" si="1634">AD823-T823</f>
        <v>0</v>
      </c>
      <c r="Z823" s="151">
        <f t="shared" si="1634"/>
        <v>0</v>
      </c>
      <c r="AA823" s="151">
        <f t="shared" si="1634"/>
        <v>0</v>
      </c>
      <c r="AB823" s="151">
        <f t="shared" si="1634"/>
        <v>0</v>
      </c>
      <c r="AC823" s="143"/>
      <c r="AD823" s="149">
        <v>22476062320</v>
      </c>
      <c r="AE823" s="150"/>
      <c r="AF823" s="148">
        <v>15000000</v>
      </c>
      <c r="AG823" s="150"/>
      <c r="AH823" s="143">
        <f t="shared" si="1544"/>
        <v>0</v>
      </c>
      <c r="AI823" s="151"/>
      <c r="AJ823" s="151">
        <f t="shared" ref="AJ823:AL823" si="1635">P823-AE823</f>
        <v>0</v>
      </c>
      <c r="AK823" s="151">
        <f t="shared" si="1635"/>
        <v>0</v>
      </c>
      <c r="AL823" s="151">
        <f t="shared" si="1635"/>
        <v>0</v>
      </c>
      <c r="AM823" s="145"/>
      <c r="AN823" s="139"/>
      <c r="AO823" s="139"/>
      <c r="AP823" s="139"/>
      <c r="AQ823" s="145"/>
      <c r="AR823" s="145"/>
    </row>
    <row r="824" spans="1:44" s="156" customFormat="1" ht="63" x14ac:dyDescent="0.25">
      <c r="A824" s="143" t="s">
        <v>60</v>
      </c>
      <c r="B824" s="175">
        <v>811</v>
      </c>
      <c r="C824" s="145" t="s">
        <v>74</v>
      </c>
      <c r="D824" s="143" t="s">
        <v>3830</v>
      </c>
      <c r="E824" s="145" t="s">
        <v>3831</v>
      </c>
      <c r="F824" s="145" t="s">
        <v>4031</v>
      </c>
      <c r="G824" s="145" t="s">
        <v>3832</v>
      </c>
      <c r="H824" s="145" t="s">
        <v>3833</v>
      </c>
      <c r="I824" s="145"/>
      <c r="J824" s="145"/>
      <c r="K824" s="145"/>
      <c r="L824" s="145" t="s">
        <v>3834</v>
      </c>
      <c r="M824" s="145" t="s">
        <v>43</v>
      </c>
      <c r="N824" s="145" t="s">
        <v>838</v>
      </c>
      <c r="O824" s="147">
        <v>1218195100</v>
      </c>
      <c r="P824" s="148">
        <v>178916160</v>
      </c>
      <c r="Q824" s="148">
        <v>15000000</v>
      </c>
      <c r="R824" s="148">
        <v>48000000</v>
      </c>
      <c r="S824" s="147">
        <f t="shared" si="1542"/>
        <v>1460111260</v>
      </c>
      <c r="T824" s="151">
        <v>1218195100</v>
      </c>
      <c r="U824" s="151">
        <v>178916160</v>
      </c>
      <c r="V824" s="147">
        <v>15000000</v>
      </c>
      <c r="W824" s="143"/>
      <c r="X824" s="143"/>
      <c r="Y824" s="151">
        <f t="shared" ref="Y824:AB824" si="1636">AD824-T824</f>
        <v>0</v>
      </c>
      <c r="Z824" s="151">
        <f t="shared" si="1636"/>
        <v>0</v>
      </c>
      <c r="AA824" s="151">
        <f t="shared" si="1636"/>
        <v>0</v>
      </c>
      <c r="AB824" s="151">
        <f t="shared" si="1636"/>
        <v>0</v>
      </c>
      <c r="AC824" s="165"/>
      <c r="AD824" s="148">
        <v>1218195100</v>
      </c>
      <c r="AE824" s="148">
        <v>178916160</v>
      </c>
      <c r="AF824" s="148">
        <v>15000000</v>
      </c>
      <c r="AG824" s="150"/>
      <c r="AH824" s="166">
        <f t="shared" si="1544"/>
        <v>0</v>
      </c>
      <c r="AI824" s="151"/>
      <c r="AJ824" s="151">
        <f t="shared" ref="AJ824:AL824" si="1637">P824-AE824</f>
        <v>0</v>
      </c>
      <c r="AK824" s="151">
        <f t="shared" si="1637"/>
        <v>0</v>
      </c>
      <c r="AL824" s="150">
        <f t="shared" si="1637"/>
        <v>48000000</v>
      </c>
      <c r="AM824" s="148"/>
      <c r="AN824" s="160"/>
      <c r="AO824" s="160"/>
      <c r="AP824" s="160"/>
      <c r="AQ824" s="145" t="s">
        <v>3506</v>
      </c>
      <c r="AR824" s="145"/>
    </row>
    <row r="825" spans="1:44" s="156" customFormat="1" ht="78.75" x14ac:dyDescent="0.25">
      <c r="A825" s="143" t="s">
        <v>88</v>
      </c>
      <c r="B825" s="175">
        <v>812</v>
      </c>
      <c r="C825" s="145" t="s">
        <v>89</v>
      </c>
      <c r="D825" s="143" t="s">
        <v>90</v>
      </c>
      <c r="E825" s="145" t="s">
        <v>91</v>
      </c>
      <c r="F825" s="145" t="s">
        <v>92</v>
      </c>
      <c r="G825" s="145" t="s">
        <v>93</v>
      </c>
      <c r="H825" s="145" t="s">
        <v>94</v>
      </c>
      <c r="I825" s="145"/>
      <c r="J825" s="145"/>
      <c r="K825" s="146"/>
      <c r="L825" s="145" t="s">
        <v>95</v>
      </c>
      <c r="M825" s="145" t="s">
        <v>43</v>
      </c>
      <c r="N825" s="145" t="s">
        <v>96</v>
      </c>
      <c r="O825" s="147">
        <v>2652068258</v>
      </c>
      <c r="P825" s="148">
        <v>680801625</v>
      </c>
      <c r="Q825" s="148">
        <v>15000000</v>
      </c>
      <c r="R825" s="148">
        <v>24000000</v>
      </c>
      <c r="S825" s="147">
        <f t="shared" si="1542"/>
        <v>3371869883</v>
      </c>
      <c r="T825" s="143"/>
      <c r="U825" s="143"/>
      <c r="V825" s="157"/>
      <c r="W825" s="143"/>
      <c r="X825" s="143"/>
      <c r="Y825" s="152">
        <f t="shared" ref="Y825:AB825" si="1638">AD825-T825</f>
        <v>0</v>
      </c>
      <c r="Z825" s="151">
        <f t="shared" si="1638"/>
        <v>0</v>
      </c>
      <c r="AA825" s="151">
        <f t="shared" si="1638"/>
        <v>0</v>
      </c>
      <c r="AB825" s="151">
        <f t="shared" si="1638"/>
        <v>0</v>
      </c>
      <c r="AC825" s="165"/>
      <c r="AD825" s="155"/>
      <c r="AE825" s="150"/>
      <c r="AF825" s="150"/>
      <c r="AG825" s="150"/>
      <c r="AH825" s="166">
        <f t="shared" si="1544"/>
        <v>0</v>
      </c>
      <c r="AI825" s="151">
        <v>2652068258</v>
      </c>
      <c r="AJ825" s="151">
        <f t="shared" ref="AJ825:AL825" si="1639">P825-AE825</f>
        <v>680801625</v>
      </c>
      <c r="AK825" s="151">
        <f t="shared" si="1639"/>
        <v>15000000</v>
      </c>
      <c r="AL825" s="150">
        <f t="shared" si="1639"/>
        <v>24000000</v>
      </c>
      <c r="AM825" s="148">
        <v>2652068258</v>
      </c>
      <c r="AN825" s="195" t="s">
        <v>2160</v>
      </c>
      <c r="AO825" s="162" t="s">
        <v>4032</v>
      </c>
      <c r="AP825" s="162" t="s">
        <v>1970</v>
      </c>
      <c r="AQ825" s="218" t="s">
        <v>4028</v>
      </c>
      <c r="AR825" s="218"/>
    </row>
    <row r="826" spans="1:44" s="156" customFormat="1" ht="47.25" x14ac:dyDescent="0.25">
      <c r="A826" s="143" t="s">
        <v>88</v>
      </c>
      <c r="B826" s="144">
        <v>813</v>
      </c>
      <c r="C826" s="143" t="s">
        <v>89</v>
      </c>
      <c r="D826" s="143" t="s">
        <v>1872</v>
      </c>
      <c r="E826" s="145"/>
      <c r="F826" s="145"/>
      <c r="G826" s="143" t="s">
        <v>3835</v>
      </c>
      <c r="H826" s="143"/>
      <c r="I826" s="143"/>
      <c r="J826" s="143"/>
      <c r="K826" s="143"/>
      <c r="L826" s="143" t="s">
        <v>3836</v>
      </c>
      <c r="M826" s="143" t="s">
        <v>43</v>
      </c>
      <c r="N826" s="143" t="s">
        <v>3837</v>
      </c>
      <c r="O826" s="147">
        <v>285679923760</v>
      </c>
      <c r="P826" s="150"/>
      <c r="Q826" s="148">
        <v>7500000</v>
      </c>
      <c r="R826" s="150"/>
      <c r="S826" s="147">
        <f t="shared" si="1542"/>
        <v>285687423760</v>
      </c>
      <c r="T826" s="158">
        <v>285679923760</v>
      </c>
      <c r="U826" s="143"/>
      <c r="V826" s="157"/>
      <c r="W826" s="143"/>
      <c r="X826" s="143"/>
      <c r="Y826" s="151">
        <f t="shared" ref="Y826:AB826" si="1640">AD826-T826</f>
        <v>0</v>
      </c>
      <c r="Z826" s="151">
        <f t="shared" si="1640"/>
        <v>0</v>
      </c>
      <c r="AA826" s="151">
        <f t="shared" si="1640"/>
        <v>0</v>
      </c>
      <c r="AB826" s="151">
        <f t="shared" si="1640"/>
        <v>0</v>
      </c>
      <c r="AC826" s="143"/>
      <c r="AD826" s="148">
        <v>285679923760</v>
      </c>
      <c r="AE826" s="150"/>
      <c r="AF826" s="150"/>
      <c r="AG826" s="150"/>
      <c r="AH826" s="143">
        <f t="shared" si="1544"/>
        <v>0</v>
      </c>
      <c r="AI826" s="151"/>
      <c r="AJ826" s="151">
        <f t="shared" ref="AJ826:AL826" si="1641">P826-AE826</f>
        <v>0</v>
      </c>
      <c r="AK826" s="151">
        <f t="shared" si="1641"/>
        <v>7500000</v>
      </c>
      <c r="AL826" s="151">
        <f t="shared" si="1641"/>
        <v>0</v>
      </c>
      <c r="AM826" s="145"/>
      <c r="AN826" s="139"/>
      <c r="AO826" s="139"/>
      <c r="AP826" s="162" t="s">
        <v>394</v>
      </c>
      <c r="AQ826" s="145"/>
      <c r="AR826" s="145"/>
    </row>
    <row r="827" spans="1:44" s="156" customFormat="1" ht="31.5" x14ac:dyDescent="0.25">
      <c r="A827" s="143" t="s">
        <v>88</v>
      </c>
      <c r="B827" s="144">
        <v>814</v>
      </c>
      <c r="C827" s="143" t="s">
        <v>89</v>
      </c>
      <c r="D827" s="143" t="s">
        <v>3838</v>
      </c>
      <c r="E827" s="145"/>
      <c r="F827" s="145"/>
      <c r="G827" s="143" t="s">
        <v>3839</v>
      </c>
      <c r="H827" s="143"/>
      <c r="I827" s="143"/>
      <c r="J827" s="143"/>
      <c r="K827" s="143"/>
      <c r="L827" s="143" t="s">
        <v>3840</v>
      </c>
      <c r="M827" s="143" t="s">
        <v>43</v>
      </c>
      <c r="N827" s="143" t="s">
        <v>3841</v>
      </c>
      <c r="O827" s="147">
        <v>886470700</v>
      </c>
      <c r="P827" s="150"/>
      <c r="Q827" s="148">
        <v>15000000</v>
      </c>
      <c r="R827" s="150"/>
      <c r="S827" s="147">
        <f t="shared" si="1542"/>
        <v>901470700</v>
      </c>
      <c r="T827" s="158">
        <v>886470700</v>
      </c>
      <c r="U827" s="143"/>
      <c r="V827" s="147">
        <v>15000000</v>
      </c>
      <c r="W827" s="143"/>
      <c r="X827" s="143"/>
      <c r="Y827" s="152">
        <f t="shared" ref="Y827:AB827" si="1642">AD827-T827</f>
        <v>0</v>
      </c>
      <c r="Z827" s="151">
        <f t="shared" si="1642"/>
        <v>0</v>
      </c>
      <c r="AA827" s="151">
        <f t="shared" si="1642"/>
        <v>0</v>
      </c>
      <c r="AB827" s="151">
        <f t="shared" si="1642"/>
        <v>0</v>
      </c>
      <c r="AC827" s="143"/>
      <c r="AD827" s="149">
        <v>886470700</v>
      </c>
      <c r="AE827" s="150"/>
      <c r="AF827" s="148">
        <v>15000000</v>
      </c>
      <c r="AG827" s="150"/>
      <c r="AH827" s="143">
        <f t="shared" si="1544"/>
        <v>0</v>
      </c>
      <c r="AI827" s="151"/>
      <c r="AJ827" s="151">
        <f t="shared" ref="AJ827:AL827" si="1643">P827-AE827</f>
        <v>0</v>
      </c>
      <c r="AK827" s="151">
        <f t="shared" si="1643"/>
        <v>0</v>
      </c>
      <c r="AL827" s="151">
        <f t="shared" si="1643"/>
        <v>0</v>
      </c>
      <c r="AM827" s="145"/>
      <c r="AN827" s="139"/>
      <c r="AO827" s="139"/>
      <c r="AP827" s="139"/>
      <c r="AQ827" s="145"/>
      <c r="AR827" s="145"/>
    </row>
    <row r="828" spans="1:44" s="156" customFormat="1" ht="31.5" x14ac:dyDescent="0.25">
      <c r="A828" s="143" t="s">
        <v>35</v>
      </c>
      <c r="B828" s="144">
        <v>815</v>
      </c>
      <c r="C828" s="143" t="s">
        <v>89</v>
      </c>
      <c r="D828" s="143" t="s">
        <v>3842</v>
      </c>
      <c r="E828" s="145"/>
      <c r="F828" s="145"/>
      <c r="G828" s="143" t="s">
        <v>3843</v>
      </c>
      <c r="H828" s="143"/>
      <c r="I828" s="143"/>
      <c r="J828" s="143"/>
      <c r="K828" s="143"/>
      <c r="L828" s="143" t="s">
        <v>3576</v>
      </c>
      <c r="M828" s="143" t="s">
        <v>43</v>
      </c>
      <c r="N828" s="143" t="s">
        <v>3844</v>
      </c>
      <c r="O828" s="147">
        <v>1059226080</v>
      </c>
      <c r="P828" s="150"/>
      <c r="Q828" s="148">
        <v>15000000</v>
      </c>
      <c r="R828" s="150"/>
      <c r="S828" s="147">
        <f t="shared" si="1542"/>
        <v>1074226080</v>
      </c>
      <c r="T828" s="158">
        <v>1059226080</v>
      </c>
      <c r="U828" s="143"/>
      <c r="V828" s="147">
        <v>15000000</v>
      </c>
      <c r="W828" s="143"/>
      <c r="X828" s="143"/>
      <c r="Y828" s="152">
        <f t="shared" ref="Y828:AB828" si="1644">AD828-T828</f>
        <v>0</v>
      </c>
      <c r="Z828" s="151">
        <f t="shared" si="1644"/>
        <v>0</v>
      </c>
      <c r="AA828" s="151">
        <f t="shared" si="1644"/>
        <v>0</v>
      </c>
      <c r="AB828" s="152">
        <f t="shared" si="1644"/>
        <v>0</v>
      </c>
      <c r="AC828" s="143"/>
      <c r="AD828" s="149">
        <v>1059226080</v>
      </c>
      <c r="AE828" s="150"/>
      <c r="AF828" s="148">
        <v>15000000</v>
      </c>
      <c r="AG828" s="155"/>
      <c r="AH828" s="143">
        <f t="shared" si="1544"/>
        <v>0</v>
      </c>
      <c r="AI828" s="151"/>
      <c r="AJ828" s="151">
        <f t="shared" ref="AJ828:AL828" si="1645">P828-AE828</f>
        <v>0</v>
      </c>
      <c r="AK828" s="151">
        <f t="shared" si="1645"/>
        <v>0</v>
      </c>
      <c r="AL828" s="151">
        <f t="shared" si="1645"/>
        <v>0</v>
      </c>
      <c r="AM828" s="145"/>
      <c r="AN828" s="139"/>
      <c r="AO828" s="139"/>
      <c r="AP828" s="139"/>
      <c r="AQ828" s="145"/>
      <c r="AR828" s="145"/>
    </row>
    <row r="829" spans="1:44" s="156" customFormat="1" ht="78.75" x14ac:dyDescent="0.25">
      <c r="A829" s="143" t="s">
        <v>88</v>
      </c>
      <c r="B829" s="144">
        <v>816</v>
      </c>
      <c r="C829" s="143" t="s">
        <v>89</v>
      </c>
      <c r="D829" s="143" t="s">
        <v>1090</v>
      </c>
      <c r="E829" s="145"/>
      <c r="F829" s="145" t="s">
        <v>1012</v>
      </c>
      <c r="G829" s="143" t="s">
        <v>1091</v>
      </c>
      <c r="H829" s="143"/>
      <c r="I829" s="143"/>
      <c r="J829" s="143"/>
      <c r="K829" s="164"/>
      <c r="L829" s="143" t="s">
        <v>1092</v>
      </c>
      <c r="M829" s="143" t="s">
        <v>43</v>
      </c>
      <c r="N829" s="143" t="s">
        <v>1093</v>
      </c>
      <c r="O829" s="147">
        <v>5929074343</v>
      </c>
      <c r="P829" s="150"/>
      <c r="Q829" s="148">
        <v>15000000</v>
      </c>
      <c r="R829" s="148">
        <v>24000000</v>
      </c>
      <c r="S829" s="147">
        <f t="shared" si="1542"/>
        <v>5968074343</v>
      </c>
      <c r="T829" s="158">
        <v>5929074343</v>
      </c>
      <c r="U829" s="143"/>
      <c r="V829" s="147">
        <v>15000000</v>
      </c>
      <c r="W829" s="158">
        <v>24000000</v>
      </c>
      <c r="X829" s="143"/>
      <c r="Y829" s="152">
        <f t="shared" ref="Y829:AB829" si="1646">AD829-T829</f>
        <v>0</v>
      </c>
      <c r="Z829" s="151">
        <f t="shared" si="1646"/>
        <v>0</v>
      </c>
      <c r="AA829" s="151">
        <f t="shared" si="1646"/>
        <v>0</v>
      </c>
      <c r="AB829" s="152">
        <f t="shared" si="1646"/>
        <v>0</v>
      </c>
      <c r="AC829" s="143"/>
      <c r="AD829" s="149">
        <v>5929074343</v>
      </c>
      <c r="AE829" s="150"/>
      <c r="AF829" s="148">
        <v>15000000</v>
      </c>
      <c r="AG829" s="149">
        <v>24000000</v>
      </c>
      <c r="AH829" s="143">
        <f t="shared" si="1544"/>
        <v>0</v>
      </c>
      <c r="AI829" s="151"/>
      <c r="AJ829" s="151">
        <f t="shared" ref="AJ829:AL829" si="1647">P829-AE829</f>
        <v>0</v>
      </c>
      <c r="AK829" s="151">
        <f t="shared" si="1647"/>
        <v>0</v>
      </c>
      <c r="AL829" s="151">
        <f t="shared" si="1647"/>
        <v>0</v>
      </c>
      <c r="AM829" s="145"/>
      <c r="AN829" s="139"/>
      <c r="AO829" s="139"/>
      <c r="AP829" s="139"/>
      <c r="AQ829" s="145"/>
      <c r="AR829" s="145"/>
    </row>
    <row r="830" spans="1:44" s="156" customFormat="1" ht="47.25" x14ac:dyDescent="0.25">
      <c r="A830" s="143" t="s">
        <v>88</v>
      </c>
      <c r="B830" s="144">
        <v>817</v>
      </c>
      <c r="C830" s="143" t="s">
        <v>89</v>
      </c>
      <c r="D830" s="143" t="s">
        <v>3847</v>
      </c>
      <c r="E830" s="145"/>
      <c r="F830" s="145"/>
      <c r="G830" s="143" t="s">
        <v>3848</v>
      </c>
      <c r="H830" s="143"/>
      <c r="I830" s="143"/>
      <c r="J830" s="143"/>
      <c r="K830" s="143"/>
      <c r="L830" s="143" t="s">
        <v>3849</v>
      </c>
      <c r="M830" s="143" t="s">
        <v>43</v>
      </c>
      <c r="N830" s="143" t="s">
        <v>3850</v>
      </c>
      <c r="O830" s="147">
        <v>3385207540</v>
      </c>
      <c r="P830" s="150"/>
      <c r="Q830" s="148">
        <v>15000000</v>
      </c>
      <c r="R830" s="150"/>
      <c r="S830" s="147">
        <f t="shared" si="1542"/>
        <v>3400207540</v>
      </c>
      <c r="T830" s="158">
        <v>3385207540</v>
      </c>
      <c r="U830" s="143"/>
      <c r="V830" s="147">
        <v>15000000</v>
      </c>
      <c r="W830" s="143"/>
      <c r="X830" s="143"/>
      <c r="Y830" s="152">
        <f t="shared" ref="Y830:AB830" si="1648">AD830-T830</f>
        <v>0</v>
      </c>
      <c r="Z830" s="151">
        <f t="shared" si="1648"/>
        <v>0</v>
      </c>
      <c r="AA830" s="151">
        <f t="shared" si="1648"/>
        <v>0</v>
      </c>
      <c r="AB830" s="152">
        <f t="shared" si="1648"/>
        <v>0</v>
      </c>
      <c r="AC830" s="143"/>
      <c r="AD830" s="149">
        <v>3385207540</v>
      </c>
      <c r="AE830" s="150"/>
      <c r="AF830" s="148">
        <v>15000000</v>
      </c>
      <c r="AG830" s="155"/>
      <c r="AH830" s="143">
        <f t="shared" si="1544"/>
        <v>0</v>
      </c>
      <c r="AI830" s="151"/>
      <c r="AJ830" s="151">
        <f t="shared" ref="AJ830:AL830" si="1649">P830-AE830</f>
        <v>0</v>
      </c>
      <c r="AK830" s="151">
        <f t="shared" si="1649"/>
        <v>0</v>
      </c>
      <c r="AL830" s="151">
        <f t="shared" si="1649"/>
        <v>0</v>
      </c>
      <c r="AM830" s="145"/>
      <c r="AN830" s="139"/>
      <c r="AO830" s="139"/>
      <c r="AP830" s="139"/>
      <c r="AQ830" s="145"/>
      <c r="AR830" s="145"/>
    </row>
    <row r="831" spans="1:44" s="156" customFormat="1" ht="63" x14ac:dyDescent="0.25">
      <c r="A831" s="143" t="s">
        <v>88</v>
      </c>
      <c r="B831" s="144">
        <v>818</v>
      </c>
      <c r="C831" s="143" t="s">
        <v>89</v>
      </c>
      <c r="D831" s="143" t="s">
        <v>3851</v>
      </c>
      <c r="E831" s="145"/>
      <c r="F831" s="145"/>
      <c r="G831" s="143" t="s">
        <v>3852</v>
      </c>
      <c r="H831" s="143"/>
      <c r="I831" s="143"/>
      <c r="J831" s="143"/>
      <c r="K831" s="143"/>
      <c r="L831" s="143" t="s">
        <v>3853</v>
      </c>
      <c r="M831" s="143" t="s">
        <v>43</v>
      </c>
      <c r="N831" s="143" t="s">
        <v>682</v>
      </c>
      <c r="O831" s="147">
        <v>1230685480</v>
      </c>
      <c r="P831" s="150"/>
      <c r="Q831" s="148">
        <v>15000000</v>
      </c>
      <c r="R831" s="150"/>
      <c r="S831" s="147">
        <f t="shared" si="1542"/>
        <v>1245685480</v>
      </c>
      <c r="T831" s="158">
        <v>1230685480</v>
      </c>
      <c r="U831" s="143"/>
      <c r="V831" s="147">
        <v>15000000</v>
      </c>
      <c r="W831" s="143"/>
      <c r="X831" s="143"/>
      <c r="Y831" s="152">
        <f t="shared" ref="Y831:AB831" si="1650">AD831-T831</f>
        <v>0</v>
      </c>
      <c r="Z831" s="151">
        <f t="shared" si="1650"/>
        <v>0</v>
      </c>
      <c r="AA831" s="151">
        <f t="shared" si="1650"/>
        <v>0</v>
      </c>
      <c r="AB831" s="151">
        <f t="shared" si="1650"/>
        <v>0</v>
      </c>
      <c r="AC831" s="143"/>
      <c r="AD831" s="149">
        <v>1230685480</v>
      </c>
      <c r="AE831" s="150"/>
      <c r="AF831" s="148">
        <v>15000000</v>
      </c>
      <c r="AG831" s="150"/>
      <c r="AH831" s="143">
        <f t="shared" si="1544"/>
        <v>0</v>
      </c>
      <c r="AI831" s="151"/>
      <c r="AJ831" s="151">
        <f t="shared" ref="AJ831:AL831" si="1651">P831-AE831</f>
        <v>0</v>
      </c>
      <c r="AK831" s="151">
        <f t="shared" si="1651"/>
        <v>0</v>
      </c>
      <c r="AL831" s="151">
        <f t="shared" si="1651"/>
        <v>0</v>
      </c>
      <c r="AM831" s="145"/>
      <c r="AN831" s="139"/>
      <c r="AO831" s="139"/>
      <c r="AP831" s="139"/>
      <c r="AQ831" s="145"/>
      <c r="AR831" s="145"/>
    </row>
    <row r="832" spans="1:44" s="156" customFormat="1" ht="78.75" x14ac:dyDescent="0.25">
      <c r="A832" s="143" t="s">
        <v>88</v>
      </c>
      <c r="B832" s="144">
        <v>819</v>
      </c>
      <c r="C832" s="143" t="s">
        <v>89</v>
      </c>
      <c r="D832" s="143" t="s">
        <v>1572</v>
      </c>
      <c r="E832" s="145"/>
      <c r="F832" s="145" t="s">
        <v>1561</v>
      </c>
      <c r="G832" s="143" t="s">
        <v>1573</v>
      </c>
      <c r="H832" s="143"/>
      <c r="I832" s="143"/>
      <c r="J832" s="143"/>
      <c r="K832" s="164"/>
      <c r="L832" s="143" t="s">
        <v>1575</v>
      </c>
      <c r="M832" s="143" t="s">
        <v>43</v>
      </c>
      <c r="N832" s="143" t="s">
        <v>1576</v>
      </c>
      <c r="O832" s="147">
        <v>1248685600</v>
      </c>
      <c r="P832" s="150"/>
      <c r="Q832" s="148">
        <v>15000000</v>
      </c>
      <c r="R832" s="148">
        <f>60000000+60000000</f>
        <v>120000000</v>
      </c>
      <c r="S832" s="147">
        <f t="shared" si="1542"/>
        <v>1383685600</v>
      </c>
      <c r="T832" s="158">
        <v>1248685600</v>
      </c>
      <c r="U832" s="143"/>
      <c r="V832" s="147">
        <v>15000000</v>
      </c>
      <c r="W832" s="158">
        <v>120000000</v>
      </c>
      <c r="X832" s="143"/>
      <c r="Y832" s="152">
        <f t="shared" ref="Y832:AB832" si="1652">AD832-T832</f>
        <v>0</v>
      </c>
      <c r="Z832" s="151">
        <f t="shared" si="1652"/>
        <v>0</v>
      </c>
      <c r="AA832" s="151">
        <f t="shared" si="1652"/>
        <v>0</v>
      </c>
      <c r="AB832" s="151">
        <f t="shared" si="1652"/>
        <v>0</v>
      </c>
      <c r="AC832" s="143"/>
      <c r="AD832" s="149">
        <v>1248685600</v>
      </c>
      <c r="AE832" s="150"/>
      <c r="AF832" s="148">
        <v>15000000</v>
      </c>
      <c r="AG832" s="148">
        <f>60000000+60000000</f>
        <v>120000000</v>
      </c>
      <c r="AH832" s="143">
        <f t="shared" si="1544"/>
        <v>0</v>
      </c>
      <c r="AI832" s="151"/>
      <c r="AJ832" s="151">
        <f t="shared" ref="AJ832:AL832" si="1653">P832-AE832</f>
        <v>0</v>
      </c>
      <c r="AK832" s="151">
        <f t="shared" si="1653"/>
        <v>0</v>
      </c>
      <c r="AL832" s="151">
        <f t="shared" si="1653"/>
        <v>0</v>
      </c>
      <c r="AM832" s="145"/>
      <c r="AN832" s="139"/>
      <c r="AO832" s="139"/>
      <c r="AP832" s="139"/>
      <c r="AQ832" s="145"/>
      <c r="AR832" s="145"/>
    </row>
    <row r="833" spans="1:44" s="156" customFormat="1" ht="47.25" x14ac:dyDescent="0.25">
      <c r="A833" s="143" t="s">
        <v>88</v>
      </c>
      <c r="B833" s="144">
        <v>820</v>
      </c>
      <c r="C833" s="143" t="s">
        <v>89</v>
      </c>
      <c r="D833" s="143" t="s">
        <v>3854</v>
      </c>
      <c r="E833" s="145" t="s">
        <v>3855</v>
      </c>
      <c r="F833" s="145"/>
      <c r="G833" s="143" t="s">
        <v>3856</v>
      </c>
      <c r="H833" s="143"/>
      <c r="I833" s="143"/>
      <c r="J833" s="143"/>
      <c r="K833" s="143"/>
      <c r="L833" s="143" t="s">
        <v>3857</v>
      </c>
      <c r="M833" s="143" t="s">
        <v>43</v>
      </c>
      <c r="N833" s="143" t="s">
        <v>3858</v>
      </c>
      <c r="O833" s="147">
        <v>66562996457</v>
      </c>
      <c r="P833" s="148">
        <v>1413212834</v>
      </c>
      <c r="Q833" s="148">
        <v>7500000</v>
      </c>
      <c r="R833" s="150"/>
      <c r="S833" s="147">
        <f t="shared" si="1542"/>
        <v>67983709291</v>
      </c>
      <c r="T833" s="158">
        <v>66562996457</v>
      </c>
      <c r="U833" s="158">
        <v>1413212834</v>
      </c>
      <c r="V833" s="147">
        <v>7500000</v>
      </c>
      <c r="W833" s="143"/>
      <c r="X833" s="143"/>
      <c r="Y833" s="151">
        <f t="shared" ref="Y833:AB833" si="1654">AD833-T833</f>
        <v>0</v>
      </c>
      <c r="Z833" s="151">
        <f t="shared" si="1654"/>
        <v>0</v>
      </c>
      <c r="AA833" s="151">
        <f t="shared" si="1654"/>
        <v>0</v>
      </c>
      <c r="AB833" s="151">
        <f t="shared" si="1654"/>
        <v>0</v>
      </c>
      <c r="AC833" s="143"/>
      <c r="AD833" s="148">
        <v>66562996457</v>
      </c>
      <c r="AE833" s="148">
        <v>1413212834</v>
      </c>
      <c r="AF833" s="148">
        <v>7500000</v>
      </c>
      <c r="AG833" s="150"/>
      <c r="AH833" s="143">
        <f t="shared" si="1544"/>
        <v>0</v>
      </c>
      <c r="AI833" s="151"/>
      <c r="AJ833" s="151">
        <f t="shared" ref="AJ833:AL833" si="1655">P833-AE833</f>
        <v>0</v>
      </c>
      <c r="AK833" s="151">
        <f t="shared" si="1655"/>
        <v>0</v>
      </c>
      <c r="AL833" s="151">
        <f t="shared" si="1655"/>
        <v>0</v>
      </c>
      <c r="AM833" s="145"/>
      <c r="AN833" s="139"/>
      <c r="AO833" s="139"/>
      <c r="AP833" s="139"/>
      <c r="AQ833" s="145"/>
      <c r="AR833" s="145"/>
    </row>
    <row r="834" spans="1:44" s="156" customFormat="1" ht="31.5" x14ac:dyDescent="0.25">
      <c r="A834" s="143" t="s">
        <v>88</v>
      </c>
      <c r="B834" s="144">
        <v>821</v>
      </c>
      <c r="C834" s="143" t="s">
        <v>89</v>
      </c>
      <c r="D834" s="143" t="s">
        <v>3859</v>
      </c>
      <c r="E834" s="145"/>
      <c r="F834" s="146"/>
      <c r="G834" s="143" t="s">
        <v>3860</v>
      </c>
      <c r="H834" s="143"/>
      <c r="I834" s="143" t="s">
        <v>85</v>
      </c>
      <c r="J834" s="143"/>
      <c r="K834" s="143"/>
      <c r="L834" s="143" t="s">
        <v>3861</v>
      </c>
      <c r="M834" s="143" t="s">
        <v>43</v>
      </c>
      <c r="N834" s="143" t="s">
        <v>3197</v>
      </c>
      <c r="O834" s="147"/>
      <c r="P834" s="150"/>
      <c r="Q834" s="150"/>
      <c r="R834" s="150"/>
      <c r="S834" s="147">
        <f t="shared" si="1542"/>
        <v>0</v>
      </c>
      <c r="T834" s="144">
        <v>0</v>
      </c>
      <c r="U834" s="143"/>
      <c r="V834" s="157"/>
      <c r="W834" s="143"/>
      <c r="X834" s="143"/>
      <c r="Y834" s="151">
        <f t="shared" ref="Y834:AB834" si="1656">AD834-T834</f>
        <v>0</v>
      </c>
      <c r="Z834" s="151">
        <f t="shared" si="1656"/>
        <v>0</v>
      </c>
      <c r="AA834" s="151">
        <f t="shared" si="1656"/>
        <v>0</v>
      </c>
      <c r="AB834" s="152">
        <f t="shared" si="1656"/>
        <v>0</v>
      </c>
      <c r="AC834" s="143"/>
      <c r="AD834" s="148">
        <v>0</v>
      </c>
      <c r="AE834" s="150"/>
      <c r="AF834" s="150"/>
      <c r="AG834" s="155"/>
      <c r="AH834" s="143">
        <f t="shared" si="1544"/>
        <v>0</v>
      </c>
      <c r="AI834" s="151"/>
      <c r="AJ834" s="151">
        <f t="shared" ref="AJ834:AL834" si="1657">P834-AE834</f>
        <v>0</v>
      </c>
      <c r="AK834" s="151">
        <f t="shared" si="1657"/>
        <v>0</v>
      </c>
      <c r="AL834" s="151">
        <f t="shared" si="1657"/>
        <v>0</v>
      </c>
      <c r="AM834" s="145"/>
      <c r="AN834" s="139"/>
      <c r="AO834" s="139"/>
      <c r="AP834" s="139"/>
      <c r="AQ834" s="145"/>
      <c r="AR834" s="145"/>
    </row>
    <row r="835" spans="1:44" s="156" customFormat="1" ht="110.25" x14ac:dyDescent="0.25">
      <c r="A835" s="143" t="s">
        <v>88</v>
      </c>
      <c r="B835" s="175">
        <v>822</v>
      </c>
      <c r="C835" s="145" t="s">
        <v>89</v>
      </c>
      <c r="D835" s="143" t="s">
        <v>423</v>
      </c>
      <c r="E835" s="145" t="s">
        <v>424</v>
      </c>
      <c r="F835" s="145" t="s">
        <v>4033</v>
      </c>
      <c r="G835" s="145" t="s">
        <v>425</v>
      </c>
      <c r="H835" s="145" t="s">
        <v>426</v>
      </c>
      <c r="I835" s="145"/>
      <c r="J835" s="145"/>
      <c r="K835" s="146"/>
      <c r="L835" s="145" t="s">
        <v>427</v>
      </c>
      <c r="M835" s="145" t="s">
        <v>43</v>
      </c>
      <c r="N835" s="145" t="s">
        <v>428</v>
      </c>
      <c r="O835" s="147">
        <v>10000000</v>
      </c>
      <c r="P835" s="148">
        <v>715604580</v>
      </c>
      <c r="Q835" s="148">
        <v>15000000</v>
      </c>
      <c r="R835" s="148">
        <f t="shared" ref="R835:R836" si="1658">24000000+48000000</f>
        <v>72000000</v>
      </c>
      <c r="S835" s="147">
        <f t="shared" si="1542"/>
        <v>812604580</v>
      </c>
      <c r="T835" s="158">
        <v>10000000</v>
      </c>
      <c r="U835" s="158">
        <v>715604580</v>
      </c>
      <c r="V835" s="147">
        <v>15000000</v>
      </c>
      <c r="W835" s="158">
        <v>24000000</v>
      </c>
      <c r="X835" s="143"/>
      <c r="Y835" s="151">
        <f t="shared" ref="Y835:AB835" si="1659">AD835-T835</f>
        <v>0</v>
      </c>
      <c r="Z835" s="151">
        <f t="shared" si="1659"/>
        <v>0</v>
      </c>
      <c r="AA835" s="151">
        <f t="shared" si="1659"/>
        <v>0</v>
      </c>
      <c r="AB835" s="151">
        <f t="shared" si="1659"/>
        <v>0</v>
      </c>
      <c r="AC835" s="165"/>
      <c r="AD835" s="148">
        <v>10000000</v>
      </c>
      <c r="AE835" s="148">
        <v>715604580</v>
      </c>
      <c r="AF835" s="148">
        <v>15000000</v>
      </c>
      <c r="AG835" s="148">
        <v>24000000</v>
      </c>
      <c r="AH835" s="166">
        <f t="shared" si="1544"/>
        <v>0</v>
      </c>
      <c r="AI835" s="151"/>
      <c r="AJ835" s="151">
        <f t="shared" ref="AJ835:AL835" si="1660">P835-AE835</f>
        <v>0</v>
      </c>
      <c r="AK835" s="151">
        <f t="shared" si="1660"/>
        <v>0</v>
      </c>
      <c r="AL835" s="150">
        <f t="shared" si="1660"/>
        <v>48000000</v>
      </c>
      <c r="AM835" s="145"/>
      <c r="AN835" s="139"/>
      <c r="AO835" s="139"/>
      <c r="AP835" s="139"/>
      <c r="AQ835" s="145" t="s">
        <v>2674</v>
      </c>
      <c r="AR835" s="145"/>
    </row>
    <row r="836" spans="1:44" s="156" customFormat="1" ht="110.25" x14ac:dyDescent="0.25">
      <c r="A836" s="143" t="s">
        <v>88</v>
      </c>
      <c r="B836" s="144">
        <v>823</v>
      </c>
      <c r="C836" s="143" t="s">
        <v>89</v>
      </c>
      <c r="D836" s="143" t="s">
        <v>634</v>
      </c>
      <c r="E836" s="145" t="s">
        <v>625</v>
      </c>
      <c r="F836" s="145" t="s">
        <v>3767</v>
      </c>
      <c r="G836" s="143" t="s">
        <v>635</v>
      </c>
      <c r="H836" s="143" t="s">
        <v>636</v>
      </c>
      <c r="I836" s="143"/>
      <c r="J836" s="143"/>
      <c r="K836" s="164"/>
      <c r="L836" s="143" t="s">
        <v>637</v>
      </c>
      <c r="M836" s="143" t="s">
        <v>43</v>
      </c>
      <c r="N836" s="143" t="s">
        <v>638</v>
      </c>
      <c r="O836" s="147">
        <v>10000000</v>
      </c>
      <c r="P836" s="148">
        <v>417893364</v>
      </c>
      <c r="Q836" s="148">
        <v>15000000</v>
      </c>
      <c r="R836" s="148">
        <f t="shared" si="1658"/>
        <v>72000000</v>
      </c>
      <c r="S836" s="147">
        <f t="shared" si="1542"/>
        <v>514893364</v>
      </c>
      <c r="T836" s="158">
        <v>10000000</v>
      </c>
      <c r="U836" s="158">
        <v>417893364</v>
      </c>
      <c r="V836" s="147">
        <v>15000000</v>
      </c>
      <c r="W836" s="158">
        <v>24000000</v>
      </c>
      <c r="X836" s="143"/>
      <c r="Y836" s="151">
        <f t="shared" ref="Y836:AB836" si="1661">AD836-T836</f>
        <v>0</v>
      </c>
      <c r="Z836" s="151">
        <f t="shared" si="1661"/>
        <v>0</v>
      </c>
      <c r="AA836" s="151">
        <f t="shared" si="1661"/>
        <v>0</v>
      </c>
      <c r="AB836" s="151">
        <f t="shared" si="1661"/>
        <v>48000000</v>
      </c>
      <c r="AC836" s="165"/>
      <c r="AD836" s="148">
        <v>10000000</v>
      </c>
      <c r="AE836" s="148">
        <v>417893364</v>
      </c>
      <c r="AF836" s="148">
        <v>15000000</v>
      </c>
      <c r="AG836" s="148">
        <f>24000000+48000000</f>
        <v>72000000</v>
      </c>
      <c r="AH836" s="166">
        <f t="shared" si="1544"/>
        <v>0</v>
      </c>
      <c r="AI836" s="151"/>
      <c r="AJ836" s="151">
        <f t="shared" ref="AJ836:AL836" si="1662">P836-AE836</f>
        <v>0</v>
      </c>
      <c r="AK836" s="151">
        <f t="shared" si="1662"/>
        <v>0</v>
      </c>
      <c r="AL836" s="151">
        <f t="shared" si="1662"/>
        <v>0</v>
      </c>
      <c r="AM836" s="145"/>
      <c r="AN836" s="139"/>
      <c r="AO836" s="139"/>
      <c r="AP836" s="139"/>
      <c r="AQ836" s="145" t="s">
        <v>2745</v>
      </c>
      <c r="AR836" s="145"/>
    </row>
    <row r="837" spans="1:44" s="156" customFormat="1" ht="47.25" x14ac:dyDescent="0.25">
      <c r="A837" s="143" t="s">
        <v>88</v>
      </c>
      <c r="B837" s="144">
        <v>824</v>
      </c>
      <c r="C837" s="143" t="s">
        <v>89</v>
      </c>
      <c r="D837" s="143" t="s">
        <v>1107</v>
      </c>
      <c r="E837" s="145" t="s">
        <v>1108</v>
      </c>
      <c r="F837" s="145" t="s">
        <v>1012</v>
      </c>
      <c r="G837" s="143" t="s">
        <v>1109</v>
      </c>
      <c r="H837" s="143"/>
      <c r="I837" s="143"/>
      <c r="J837" s="143"/>
      <c r="K837" s="164"/>
      <c r="L837" s="143" t="s">
        <v>1110</v>
      </c>
      <c r="M837" s="143" t="s">
        <v>43</v>
      </c>
      <c r="N837" s="143" t="s">
        <v>1111</v>
      </c>
      <c r="O837" s="147">
        <v>1278949840</v>
      </c>
      <c r="P837" s="148">
        <v>451639776</v>
      </c>
      <c r="Q837" s="148">
        <v>15000000</v>
      </c>
      <c r="R837" s="148">
        <v>24000000</v>
      </c>
      <c r="S837" s="147">
        <f t="shared" si="1542"/>
        <v>1769589616</v>
      </c>
      <c r="T837" s="158">
        <v>1278949840</v>
      </c>
      <c r="U837" s="158">
        <v>451639776</v>
      </c>
      <c r="V837" s="157"/>
      <c r="W837" s="158">
        <v>24000000</v>
      </c>
      <c r="X837" s="143"/>
      <c r="Y837" s="152">
        <f t="shared" ref="Y837:AB837" si="1663">AD837-T837</f>
        <v>0</v>
      </c>
      <c r="Z837" s="151">
        <f t="shared" si="1663"/>
        <v>0</v>
      </c>
      <c r="AA837" s="151">
        <f t="shared" si="1663"/>
        <v>0</v>
      </c>
      <c r="AB837" s="151">
        <f t="shared" si="1663"/>
        <v>0</v>
      </c>
      <c r="AC837" s="143"/>
      <c r="AD837" s="149">
        <v>1278949840</v>
      </c>
      <c r="AE837" s="148">
        <v>451639776</v>
      </c>
      <c r="AF837" s="150"/>
      <c r="AG837" s="148">
        <v>24000000</v>
      </c>
      <c r="AH837" s="143">
        <f t="shared" si="1544"/>
        <v>0</v>
      </c>
      <c r="AI837" s="151"/>
      <c r="AJ837" s="151">
        <f t="shared" ref="AJ837:AL837" si="1664">P837-AE837</f>
        <v>0</v>
      </c>
      <c r="AK837" s="151">
        <f t="shared" si="1664"/>
        <v>15000000</v>
      </c>
      <c r="AL837" s="151">
        <f t="shared" si="1664"/>
        <v>0</v>
      </c>
      <c r="AM837" s="145"/>
      <c r="AN837" s="139"/>
      <c r="AO837" s="139"/>
      <c r="AP837" s="162" t="s">
        <v>3955</v>
      </c>
      <c r="AQ837" s="145"/>
      <c r="AR837" s="145"/>
    </row>
    <row r="838" spans="1:44" s="156" customFormat="1" ht="47.25" x14ac:dyDescent="0.25">
      <c r="A838" s="143" t="s">
        <v>35</v>
      </c>
      <c r="B838" s="144">
        <v>825</v>
      </c>
      <c r="C838" s="143" t="s">
        <v>89</v>
      </c>
      <c r="D838" s="143" t="s">
        <v>1694</v>
      </c>
      <c r="E838" s="145" t="s">
        <v>1437</v>
      </c>
      <c r="F838" s="145"/>
      <c r="G838" s="143" t="s">
        <v>3862</v>
      </c>
      <c r="H838" s="143" t="s">
        <v>3863</v>
      </c>
      <c r="I838" s="143"/>
      <c r="J838" s="143"/>
      <c r="K838" s="143"/>
      <c r="L838" s="143" t="s">
        <v>3864</v>
      </c>
      <c r="M838" s="143" t="s">
        <v>43</v>
      </c>
      <c r="N838" s="143" t="s">
        <v>3865</v>
      </c>
      <c r="O838" s="147">
        <v>1083708020</v>
      </c>
      <c r="P838" s="148">
        <v>1129749824</v>
      </c>
      <c r="Q838" s="148">
        <v>15000000</v>
      </c>
      <c r="R838" s="150"/>
      <c r="S838" s="147">
        <f t="shared" si="1542"/>
        <v>2228457844</v>
      </c>
      <c r="T838" s="158">
        <v>1083708020</v>
      </c>
      <c r="U838" s="158">
        <v>1129749824</v>
      </c>
      <c r="V838" s="147">
        <v>15000000</v>
      </c>
      <c r="W838" s="143"/>
      <c r="X838" s="143"/>
      <c r="Y838" s="152">
        <f t="shared" ref="Y838:AB838" si="1665">AD838-T838</f>
        <v>0</v>
      </c>
      <c r="Z838" s="151">
        <f t="shared" si="1665"/>
        <v>0</v>
      </c>
      <c r="AA838" s="151">
        <f t="shared" si="1665"/>
        <v>0</v>
      </c>
      <c r="AB838" s="152">
        <f t="shared" si="1665"/>
        <v>0</v>
      </c>
      <c r="AC838" s="143"/>
      <c r="AD838" s="149">
        <v>1083708020</v>
      </c>
      <c r="AE838" s="148">
        <v>1129749824</v>
      </c>
      <c r="AF838" s="148">
        <v>15000000</v>
      </c>
      <c r="AG838" s="155"/>
      <c r="AH838" s="143">
        <f t="shared" si="1544"/>
        <v>0</v>
      </c>
      <c r="AI838" s="151"/>
      <c r="AJ838" s="151">
        <f t="shared" ref="AJ838:AL838" si="1666">P838-AE838</f>
        <v>0</v>
      </c>
      <c r="AK838" s="151">
        <f t="shared" si="1666"/>
        <v>0</v>
      </c>
      <c r="AL838" s="151">
        <f t="shared" si="1666"/>
        <v>0</v>
      </c>
      <c r="AM838" s="145"/>
      <c r="AN838" s="139"/>
      <c r="AO838" s="139"/>
      <c r="AP838" s="139"/>
      <c r="AQ838" s="145"/>
      <c r="AR838" s="145"/>
    </row>
    <row r="839" spans="1:44" s="156" customFormat="1" ht="47.25" x14ac:dyDescent="0.25">
      <c r="A839" s="143" t="s">
        <v>88</v>
      </c>
      <c r="B839" s="144">
        <v>826</v>
      </c>
      <c r="C839" s="143" t="s">
        <v>89</v>
      </c>
      <c r="D839" s="143" t="s">
        <v>1785</v>
      </c>
      <c r="E839" s="145" t="s">
        <v>1786</v>
      </c>
      <c r="F839" s="145" t="s">
        <v>1767</v>
      </c>
      <c r="G839" s="143" t="s">
        <v>1787</v>
      </c>
      <c r="H839" s="143" t="s">
        <v>1788</v>
      </c>
      <c r="I839" s="143"/>
      <c r="J839" s="143"/>
      <c r="K839" s="164"/>
      <c r="L839" s="143" t="s">
        <v>1789</v>
      </c>
      <c r="M839" s="143" t="s">
        <v>43</v>
      </c>
      <c r="N839" s="143" t="s">
        <v>1790</v>
      </c>
      <c r="O839" s="147">
        <v>669621130</v>
      </c>
      <c r="P839" s="148">
        <v>1200081192</v>
      </c>
      <c r="Q839" s="148">
        <v>15000000</v>
      </c>
      <c r="R839" s="148">
        <v>8000000</v>
      </c>
      <c r="S839" s="147">
        <f t="shared" si="1542"/>
        <v>1892702322</v>
      </c>
      <c r="T839" s="158">
        <v>669621130</v>
      </c>
      <c r="U839" s="158">
        <v>1200081192</v>
      </c>
      <c r="V839" s="147">
        <v>15000000</v>
      </c>
      <c r="W839" s="158">
        <v>8000000</v>
      </c>
      <c r="X839" s="143"/>
      <c r="Y839" s="152">
        <f t="shared" ref="Y839:AB839" si="1667">AD839-T839</f>
        <v>0</v>
      </c>
      <c r="Z839" s="151">
        <f t="shared" si="1667"/>
        <v>0</v>
      </c>
      <c r="AA839" s="151">
        <f t="shared" si="1667"/>
        <v>0</v>
      </c>
      <c r="AB839" s="151">
        <f t="shared" si="1667"/>
        <v>0</v>
      </c>
      <c r="AC839" s="143"/>
      <c r="AD839" s="149">
        <v>669621130</v>
      </c>
      <c r="AE839" s="148">
        <v>1200081192</v>
      </c>
      <c r="AF839" s="148">
        <v>15000000</v>
      </c>
      <c r="AG839" s="148">
        <v>8000000</v>
      </c>
      <c r="AH839" s="143">
        <f t="shared" si="1544"/>
        <v>0</v>
      </c>
      <c r="AI839" s="151"/>
      <c r="AJ839" s="151">
        <f t="shared" ref="AJ839:AL839" si="1668">P839-AE839</f>
        <v>0</v>
      </c>
      <c r="AK839" s="151">
        <f t="shared" si="1668"/>
        <v>0</v>
      </c>
      <c r="AL839" s="151">
        <f t="shared" si="1668"/>
        <v>0</v>
      </c>
      <c r="AM839" s="145"/>
      <c r="AN839" s="139"/>
      <c r="AO839" s="139"/>
      <c r="AP839" s="139"/>
      <c r="AQ839" s="145"/>
      <c r="AR839" s="145"/>
    </row>
    <row r="840" spans="1:44" s="156" customFormat="1" ht="47.25" x14ac:dyDescent="0.25">
      <c r="A840" s="143" t="s">
        <v>88</v>
      </c>
      <c r="B840" s="144">
        <v>827</v>
      </c>
      <c r="C840" s="143" t="s">
        <v>89</v>
      </c>
      <c r="D840" s="143" t="s">
        <v>3866</v>
      </c>
      <c r="E840" s="145"/>
      <c r="F840" s="145"/>
      <c r="G840" s="143" t="s">
        <v>3867</v>
      </c>
      <c r="H840" s="143"/>
      <c r="I840" s="143"/>
      <c r="J840" s="143"/>
      <c r="K840" s="143"/>
      <c r="L840" s="143" t="s">
        <v>3868</v>
      </c>
      <c r="M840" s="143" t="s">
        <v>43</v>
      </c>
      <c r="N840" s="143" t="s">
        <v>3869</v>
      </c>
      <c r="O840" s="147">
        <v>6071608000</v>
      </c>
      <c r="P840" s="150"/>
      <c r="Q840" s="148">
        <v>15000000</v>
      </c>
      <c r="R840" s="150"/>
      <c r="S840" s="147">
        <f t="shared" si="1542"/>
        <v>6086608000</v>
      </c>
      <c r="T840" s="158">
        <v>6071608000</v>
      </c>
      <c r="U840" s="143"/>
      <c r="V840" s="147">
        <v>15000000</v>
      </c>
      <c r="W840" s="143"/>
      <c r="X840" s="143"/>
      <c r="Y840" s="152">
        <f t="shared" ref="Y840:AB840" si="1669">AD840-T840</f>
        <v>0</v>
      </c>
      <c r="Z840" s="151">
        <f t="shared" si="1669"/>
        <v>0</v>
      </c>
      <c r="AA840" s="151">
        <f t="shared" si="1669"/>
        <v>0</v>
      </c>
      <c r="AB840" s="151">
        <f t="shared" si="1669"/>
        <v>0</v>
      </c>
      <c r="AC840" s="143"/>
      <c r="AD840" s="149">
        <v>6071608000</v>
      </c>
      <c r="AE840" s="150"/>
      <c r="AF840" s="148">
        <v>15000000</v>
      </c>
      <c r="AG840" s="150"/>
      <c r="AH840" s="143">
        <f t="shared" si="1544"/>
        <v>0</v>
      </c>
      <c r="AI840" s="151"/>
      <c r="AJ840" s="151">
        <f t="shared" ref="AJ840:AL840" si="1670">P840-AE840</f>
        <v>0</v>
      </c>
      <c r="AK840" s="151">
        <f t="shared" si="1670"/>
        <v>0</v>
      </c>
      <c r="AL840" s="151">
        <f t="shared" si="1670"/>
        <v>0</v>
      </c>
      <c r="AM840" s="145"/>
      <c r="AN840" s="139"/>
      <c r="AO840" s="139"/>
      <c r="AP840" s="139"/>
      <c r="AQ840" s="145"/>
      <c r="AR840" s="145"/>
    </row>
    <row r="841" spans="1:44" s="156" customFormat="1" ht="47.25" x14ac:dyDescent="0.25">
      <c r="A841" s="143" t="s">
        <v>88</v>
      </c>
      <c r="B841" s="144">
        <v>828</v>
      </c>
      <c r="C841" s="143" t="s">
        <v>89</v>
      </c>
      <c r="D841" s="143" t="s">
        <v>434</v>
      </c>
      <c r="E841" s="145"/>
      <c r="F841" s="145" t="s">
        <v>388</v>
      </c>
      <c r="G841" s="143" t="s">
        <v>435</v>
      </c>
      <c r="H841" s="143"/>
      <c r="I841" s="143"/>
      <c r="J841" s="143"/>
      <c r="K841" s="164"/>
      <c r="L841" s="143" t="s">
        <v>436</v>
      </c>
      <c r="M841" s="143" t="s">
        <v>43</v>
      </c>
      <c r="N841" s="143" t="s">
        <v>437</v>
      </c>
      <c r="O841" s="147">
        <v>1770648232</v>
      </c>
      <c r="P841" s="150"/>
      <c r="Q841" s="148">
        <v>15000000</v>
      </c>
      <c r="R841" s="148">
        <v>33333335</v>
      </c>
      <c r="S841" s="147">
        <f t="shared" si="1542"/>
        <v>1818981567</v>
      </c>
      <c r="T841" s="158">
        <v>1770648232</v>
      </c>
      <c r="U841" s="143"/>
      <c r="V841" s="147">
        <v>15000000</v>
      </c>
      <c r="W841" s="158">
        <v>33333335</v>
      </c>
      <c r="X841" s="143"/>
      <c r="Y841" s="152">
        <f t="shared" ref="Y841:AB841" si="1671">AD841-T841</f>
        <v>0</v>
      </c>
      <c r="Z841" s="151">
        <f t="shared" si="1671"/>
        <v>0</v>
      </c>
      <c r="AA841" s="151">
        <f t="shared" si="1671"/>
        <v>0</v>
      </c>
      <c r="AB841" s="151">
        <f t="shared" si="1671"/>
        <v>0</v>
      </c>
      <c r="AC841" s="143"/>
      <c r="AD841" s="149">
        <v>1770648232</v>
      </c>
      <c r="AE841" s="150"/>
      <c r="AF841" s="148">
        <v>15000000</v>
      </c>
      <c r="AG841" s="148">
        <v>33333335</v>
      </c>
      <c r="AH841" s="143">
        <f t="shared" si="1544"/>
        <v>0</v>
      </c>
      <c r="AI841" s="151"/>
      <c r="AJ841" s="151">
        <f t="shared" ref="AJ841:AL841" si="1672">P841-AE841</f>
        <v>0</v>
      </c>
      <c r="AK841" s="151">
        <f t="shared" si="1672"/>
        <v>0</v>
      </c>
      <c r="AL841" s="151">
        <f t="shared" si="1672"/>
        <v>0</v>
      </c>
      <c r="AM841" s="145"/>
      <c r="AN841" s="139"/>
      <c r="AO841" s="139"/>
      <c r="AP841" s="139"/>
      <c r="AQ841" s="145"/>
      <c r="AR841" s="145"/>
    </row>
    <row r="842" spans="1:44" s="156" customFormat="1" ht="31.5" x14ac:dyDescent="0.25">
      <c r="A842" s="143" t="s">
        <v>88</v>
      </c>
      <c r="B842" s="144">
        <v>829</v>
      </c>
      <c r="C842" s="143" t="s">
        <v>89</v>
      </c>
      <c r="D842" s="143" t="s">
        <v>3870</v>
      </c>
      <c r="E842" s="145"/>
      <c r="F842" s="145"/>
      <c r="G842" s="143" t="s">
        <v>3871</v>
      </c>
      <c r="H842" s="143"/>
      <c r="I842" s="143"/>
      <c r="J842" s="143"/>
      <c r="K842" s="143"/>
      <c r="L842" s="143" t="s">
        <v>3872</v>
      </c>
      <c r="M842" s="143" t="s">
        <v>43</v>
      </c>
      <c r="N842" s="143" t="s">
        <v>293</v>
      </c>
      <c r="O842" s="147">
        <v>1108965112</v>
      </c>
      <c r="P842" s="150"/>
      <c r="Q842" s="148">
        <v>15000000</v>
      </c>
      <c r="R842" s="150"/>
      <c r="S842" s="147">
        <f t="shared" si="1542"/>
        <v>1123965112</v>
      </c>
      <c r="T842" s="158">
        <v>1108965112</v>
      </c>
      <c r="U842" s="143"/>
      <c r="V842" s="147">
        <v>15000000</v>
      </c>
      <c r="W842" s="143"/>
      <c r="X842" s="143"/>
      <c r="Y842" s="152">
        <f t="shared" ref="Y842:AB842" si="1673">AD842-T842</f>
        <v>0</v>
      </c>
      <c r="Z842" s="151">
        <f t="shared" si="1673"/>
        <v>0</v>
      </c>
      <c r="AA842" s="151">
        <f t="shared" si="1673"/>
        <v>0</v>
      </c>
      <c r="AB842" s="151">
        <f t="shared" si="1673"/>
        <v>0</v>
      </c>
      <c r="AC842" s="143"/>
      <c r="AD842" s="149">
        <v>1108965112</v>
      </c>
      <c r="AE842" s="150"/>
      <c r="AF842" s="148">
        <v>15000000</v>
      </c>
      <c r="AG842" s="150"/>
      <c r="AH842" s="143">
        <f t="shared" si="1544"/>
        <v>0</v>
      </c>
      <c r="AI842" s="151"/>
      <c r="AJ842" s="151">
        <f t="shared" ref="AJ842:AL842" si="1674">P842-AE842</f>
        <v>0</v>
      </c>
      <c r="AK842" s="151">
        <f t="shared" si="1674"/>
        <v>0</v>
      </c>
      <c r="AL842" s="151">
        <f t="shared" si="1674"/>
        <v>0</v>
      </c>
      <c r="AM842" s="145"/>
      <c r="AN842" s="139"/>
      <c r="AO842" s="139"/>
      <c r="AP842" s="139"/>
      <c r="AQ842" s="145"/>
      <c r="AR842" s="145"/>
    </row>
    <row r="843" spans="1:44" s="156" customFormat="1" ht="47.25" x14ac:dyDescent="0.25">
      <c r="A843" s="143" t="s">
        <v>88</v>
      </c>
      <c r="B843" s="144">
        <v>830</v>
      </c>
      <c r="C843" s="143" t="s">
        <v>89</v>
      </c>
      <c r="D843" s="143" t="s">
        <v>3873</v>
      </c>
      <c r="E843" s="145"/>
      <c r="F843" s="145"/>
      <c r="G843" s="143" t="s">
        <v>3874</v>
      </c>
      <c r="H843" s="143"/>
      <c r="I843" s="143"/>
      <c r="J843" s="143"/>
      <c r="K843" s="143"/>
      <c r="L843" s="143" t="s">
        <v>2885</v>
      </c>
      <c r="M843" s="143" t="s">
        <v>43</v>
      </c>
      <c r="N843" s="143" t="s">
        <v>3875</v>
      </c>
      <c r="O843" s="147">
        <v>2946358656</v>
      </c>
      <c r="P843" s="150"/>
      <c r="Q843" s="148">
        <v>15000000</v>
      </c>
      <c r="R843" s="150"/>
      <c r="S843" s="147">
        <f t="shared" si="1542"/>
        <v>2961358656</v>
      </c>
      <c r="T843" s="158">
        <v>2946358656</v>
      </c>
      <c r="U843" s="143"/>
      <c r="V843" s="147">
        <v>15000000</v>
      </c>
      <c r="W843" s="143"/>
      <c r="X843" s="143"/>
      <c r="Y843" s="152">
        <f t="shared" ref="Y843:AB843" si="1675">AD843-T843</f>
        <v>0</v>
      </c>
      <c r="Z843" s="151">
        <f t="shared" si="1675"/>
        <v>0</v>
      </c>
      <c r="AA843" s="151">
        <f t="shared" si="1675"/>
        <v>0</v>
      </c>
      <c r="AB843" s="151">
        <f t="shared" si="1675"/>
        <v>0</v>
      </c>
      <c r="AC843" s="143"/>
      <c r="AD843" s="149">
        <v>2946358656</v>
      </c>
      <c r="AE843" s="150"/>
      <c r="AF843" s="148">
        <v>15000000</v>
      </c>
      <c r="AG843" s="150"/>
      <c r="AH843" s="143">
        <f t="shared" si="1544"/>
        <v>0</v>
      </c>
      <c r="AI843" s="151"/>
      <c r="AJ843" s="151">
        <f t="shared" ref="AJ843:AL843" si="1676">P843-AE843</f>
        <v>0</v>
      </c>
      <c r="AK843" s="151">
        <f t="shared" si="1676"/>
        <v>0</v>
      </c>
      <c r="AL843" s="151">
        <f t="shared" si="1676"/>
        <v>0</v>
      </c>
      <c r="AM843" s="145"/>
      <c r="AN843" s="139"/>
      <c r="AO843" s="139"/>
      <c r="AP843" s="139"/>
      <c r="AQ843" s="145"/>
      <c r="AR843" s="145"/>
    </row>
    <row r="844" spans="1:44" s="156" customFormat="1" ht="63" x14ac:dyDescent="0.25">
      <c r="A844" s="143" t="s">
        <v>275</v>
      </c>
      <c r="B844" s="175">
        <v>831</v>
      </c>
      <c r="C844" s="145" t="s">
        <v>89</v>
      </c>
      <c r="D844" s="143" t="s">
        <v>917</v>
      </c>
      <c r="E844" s="145" t="s">
        <v>918</v>
      </c>
      <c r="F844" s="145" t="s">
        <v>4034</v>
      </c>
      <c r="G844" s="145" t="s">
        <v>919</v>
      </c>
      <c r="H844" s="145"/>
      <c r="I844" s="145"/>
      <c r="J844" s="145"/>
      <c r="K844" s="146"/>
      <c r="L844" s="145" t="s">
        <v>921</v>
      </c>
      <c r="M844" s="145" t="s">
        <v>43</v>
      </c>
      <c r="N844" s="145" t="s">
        <v>922</v>
      </c>
      <c r="O844" s="147">
        <v>10000000</v>
      </c>
      <c r="P844" s="148">
        <v>549610320</v>
      </c>
      <c r="Q844" s="148">
        <v>15000000</v>
      </c>
      <c r="R844" s="148">
        <v>48000000</v>
      </c>
      <c r="S844" s="147">
        <f t="shared" si="1542"/>
        <v>622610320</v>
      </c>
      <c r="T844" s="158">
        <v>10000000</v>
      </c>
      <c r="U844" s="158">
        <v>549610320</v>
      </c>
      <c r="V844" s="147">
        <v>15000000</v>
      </c>
      <c r="W844" s="143"/>
      <c r="X844" s="143"/>
      <c r="Y844" s="152">
        <f t="shared" ref="Y844:AB844" si="1677">AD844-T844</f>
        <v>0</v>
      </c>
      <c r="Z844" s="151">
        <f t="shared" si="1677"/>
        <v>0</v>
      </c>
      <c r="AA844" s="151">
        <f t="shared" si="1677"/>
        <v>0</v>
      </c>
      <c r="AB844" s="151">
        <f t="shared" si="1677"/>
        <v>0</v>
      </c>
      <c r="AC844" s="165"/>
      <c r="AD844" s="149">
        <v>10000000</v>
      </c>
      <c r="AE844" s="148">
        <v>549610320</v>
      </c>
      <c r="AF844" s="148">
        <v>15000000</v>
      </c>
      <c r="AG844" s="150"/>
      <c r="AH844" s="166">
        <f t="shared" si="1544"/>
        <v>0</v>
      </c>
      <c r="AI844" s="151"/>
      <c r="AJ844" s="151">
        <f t="shared" ref="AJ844:AL844" si="1678">P844-AE844</f>
        <v>0</v>
      </c>
      <c r="AK844" s="151">
        <f t="shared" si="1678"/>
        <v>0</v>
      </c>
      <c r="AL844" s="150">
        <f t="shared" si="1678"/>
        <v>48000000</v>
      </c>
      <c r="AM844" s="145"/>
      <c r="AN844" s="139"/>
      <c r="AO844" s="139"/>
      <c r="AP844" s="139"/>
      <c r="AQ844" s="145" t="s">
        <v>2745</v>
      </c>
      <c r="AR844" s="145"/>
    </row>
    <row r="845" spans="1:44" s="156" customFormat="1" ht="47.25" x14ac:dyDescent="0.25">
      <c r="A845" s="143" t="s">
        <v>275</v>
      </c>
      <c r="B845" s="144">
        <v>832</v>
      </c>
      <c r="C845" s="143" t="s">
        <v>89</v>
      </c>
      <c r="D845" s="143" t="s">
        <v>3876</v>
      </c>
      <c r="E845" s="145" t="s">
        <v>906</v>
      </c>
      <c r="F845" s="145"/>
      <c r="G845" s="143" t="s">
        <v>3877</v>
      </c>
      <c r="H845" s="143"/>
      <c r="I845" s="143"/>
      <c r="J845" s="143"/>
      <c r="K845" s="143"/>
      <c r="L845" s="143" t="s">
        <v>3878</v>
      </c>
      <c r="M845" s="143" t="s">
        <v>43</v>
      </c>
      <c r="N845" s="143" t="s">
        <v>911</v>
      </c>
      <c r="O845" s="147">
        <v>10000000</v>
      </c>
      <c r="P845" s="148">
        <v>624471036</v>
      </c>
      <c r="Q845" s="148">
        <v>15000000</v>
      </c>
      <c r="R845" s="150"/>
      <c r="S845" s="147">
        <f t="shared" si="1542"/>
        <v>649471036</v>
      </c>
      <c r="T845" s="158">
        <v>10000000</v>
      </c>
      <c r="U845" s="158">
        <v>624471036</v>
      </c>
      <c r="V845" s="157">
        <v>15000000</v>
      </c>
      <c r="W845" s="143"/>
      <c r="X845" s="143"/>
      <c r="Y845" s="151">
        <f t="shared" ref="Y845:AB845" si="1679">AD845-T845</f>
        <v>0</v>
      </c>
      <c r="Z845" s="151">
        <f t="shared" si="1679"/>
        <v>0</v>
      </c>
      <c r="AA845" s="151">
        <f t="shared" si="1679"/>
        <v>0</v>
      </c>
      <c r="AB845" s="151">
        <f t="shared" si="1679"/>
        <v>0</v>
      </c>
      <c r="AC845" s="143"/>
      <c r="AD845" s="148">
        <v>10000000</v>
      </c>
      <c r="AE845" s="148">
        <v>624471036</v>
      </c>
      <c r="AF845" s="148">
        <v>15000000</v>
      </c>
      <c r="AG845" s="150"/>
      <c r="AH845" s="143">
        <f t="shared" si="1544"/>
        <v>0</v>
      </c>
      <c r="AI845" s="151"/>
      <c r="AJ845" s="151">
        <f t="shared" ref="AJ845:AL845" si="1680">P845-AE845</f>
        <v>0</v>
      </c>
      <c r="AK845" s="151">
        <f t="shared" si="1680"/>
        <v>0</v>
      </c>
      <c r="AL845" s="151">
        <f t="shared" si="1680"/>
        <v>0</v>
      </c>
      <c r="AM845" s="145"/>
      <c r="AN845" s="139"/>
      <c r="AO845" s="139"/>
      <c r="AP845" s="139"/>
      <c r="AQ845" s="145"/>
      <c r="AR845" s="145"/>
    </row>
    <row r="846" spans="1:44" s="156" customFormat="1" ht="63" x14ac:dyDescent="0.25">
      <c r="A846" s="143" t="s">
        <v>275</v>
      </c>
      <c r="B846" s="144">
        <v>833</v>
      </c>
      <c r="C846" s="143" t="s">
        <v>89</v>
      </c>
      <c r="D846" s="143" t="s">
        <v>3879</v>
      </c>
      <c r="E846" s="145" t="s">
        <v>3880</v>
      </c>
      <c r="F846" s="145"/>
      <c r="G846" s="143" t="s">
        <v>3881</v>
      </c>
      <c r="H846" s="143" t="s">
        <v>3882</v>
      </c>
      <c r="I846" s="143"/>
      <c r="J846" s="143"/>
      <c r="K846" s="143"/>
      <c r="L846" s="143" t="s">
        <v>3883</v>
      </c>
      <c r="M846" s="143" t="s">
        <v>43</v>
      </c>
      <c r="N846" s="143" t="s">
        <v>3865</v>
      </c>
      <c r="O846" s="147">
        <v>10000000</v>
      </c>
      <c r="P846" s="148">
        <v>325771956</v>
      </c>
      <c r="Q846" s="148">
        <v>15000000</v>
      </c>
      <c r="R846" s="150"/>
      <c r="S846" s="147">
        <f t="shared" si="1542"/>
        <v>350771956</v>
      </c>
      <c r="T846" s="143"/>
      <c r="U846" s="143"/>
      <c r="V846" s="157"/>
      <c r="W846" s="143"/>
      <c r="X846" s="143"/>
      <c r="Y846" s="152">
        <f t="shared" ref="Y846:AB846" si="1681">AD846-T846</f>
        <v>0</v>
      </c>
      <c r="Z846" s="151">
        <f t="shared" si="1681"/>
        <v>0</v>
      </c>
      <c r="AA846" s="151">
        <f t="shared" si="1681"/>
        <v>0</v>
      </c>
      <c r="AB846" s="151">
        <f t="shared" si="1681"/>
        <v>0</v>
      </c>
      <c r="AC846" s="143"/>
      <c r="AD846" s="155"/>
      <c r="AE846" s="150"/>
      <c r="AF846" s="150"/>
      <c r="AG846" s="150"/>
      <c r="AH846" s="143">
        <f t="shared" si="1544"/>
        <v>0</v>
      </c>
      <c r="AI846" s="151">
        <v>10000000</v>
      </c>
      <c r="AJ846" s="151">
        <f t="shared" ref="AJ846:AL846" si="1682">P846-AE846</f>
        <v>325771956</v>
      </c>
      <c r="AK846" s="151">
        <f t="shared" si="1682"/>
        <v>15000000</v>
      </c>
      <c r="AL846" s="151">
        <f t="shared" si="1682"/>
        <v>0</v>
      </c>
      <c r="AM846" s="148">
        <v>10000000</v>
      </c>
      <c r="AN846" s="195" t="s">
        <v>2160</v>
      </c>
      <c r="AO846" s="162" t="s">
        <v>4035</v>
      </c>
      <c r="AP846" s="168" t="s">
        <v>2160</v>
      </c>
      <c r="AQ846" s="219"/>
      <c r="AR846" s="218"/>
    </row>
    <row r="847" spans="1:44" s="156" customFormat="1" ht="31.5" x14ac:dyDescent="0.25">
      <c r="A847" s="143" t="s">
        <v>275</v>
      </c>
      <c r="B847" s="144">
        <v>834</v>
      </c>
      <c r="C847" s="143" t="s">
        <v>89</v>
      </c>
      <c r="D847" s="143" t="s">
        <v>3884</v>
      </c>
      <c r="E847" s="145"/>
      <c r="F847" s="145"/>
      <c r="G847" s="143" t="s">
        <v>3885</v>
      </c>
      <c r="H847" s="143"/>
      <c r="I847" s="143"/>
      <c r="J847" s="143"/>
      <c r="K847" s="143"/>
      <c r="L847" s="143" t="s">
        <v>3886</v>
      </c>
      <c r="M847" s="143" t="s">
        <v>43</v>
      </c>
      <c r="N847" s="143" t="s">
        <v>3887</v>
      </c>
      <c r="O847" s="147">
        <v>2547765012</v>
      </c>
      <c r="P847" s="150"/>
      <c r="Q847" s="148">
        <v>15000000</v>
      </c>
      <c r="R847" s="150"/>
      <c r="S847" s="147">
        <f t="shared" si="1542"/>
        <v>2562765012</v>
      </c>
      <c r="T847" s="158">
        <v>2547765012</v>
      </c>
      <c r="U847" s="143"/>
      <c r="V847" s="147">
        <v>15000000</v>
      </c>
      <c r="W847" s="143"/>
      <c r="X847" s="143"/>
      <c r="Y847" s="152">
        <f t="shared" ref="Y847:AB847" si="1683">AD847-T847</f>
        <v>0</v>
      </c>
      <c r="Z847" s="151">
        <f t="shared" si="1683"/>
        <v>0</v>
      </c>
      <c r="AA847" s="151">
        <f t="shared" si="1683"/>
        <v>0</v>
      </c>
      <c r="AB847" s="151">
        <f t="shared" si="1683"/>
        <v>0</v>
      </c>
      <c r="AC847" s="143"/>
      <c r="AD847" s="149">
        <v>2547765012</v>
      </c>
      <c r="AE847" s="150"/>
      <c r="AF847" s="148">
        <v>15000000</v>
      </c>
      <c r="AG847" s="150"/>
      <c r="AH847" s="143">
        <f t="shared" si="1544"/>
        <v>0</v>
      </c>
      <c r="AI847" s="151"/>
      <c r="AJ847" s="151">
        <f t="shared" ref="AJ847:AL847" si="1684">P847-AE847</f>
        <v>0</v>
      </c>
      <c r="AK847" s="151">
        <f t="shared" si="1684"/>
        <v>0</v>
      </c>
      <c r="AL847" s="151">
        <f t="shared" si="1684"/>
        <v>0</v>
      </c>
      <c r="AM847" s="145"/>
      <c r="AN847" s="139"/>
      <c r="AO847" s="139"/>
      <c r="AP847" s="139"/>
      <c r="AQ847" s="145"/>
      <c r="AR847" s="145"/>
    </row>
    <row r="848" spans="1:44" s="156" customFormat="1" ht="47.25" x14ac:dyDescent="0.25">
      <c r="A848" s="143" t="s">
        <v>275</v>
      </c>
      <c r="B848" s="144">
        <v>835</v>
      </c>
      <c r="C848" s="143" t="s">
        <v>89</v>
      </c>
      <c r="D848" s="143" t="s">
        <v>3888</v>
      </c>
      <c r="E848" s="145"/>
      <c r="F848" s="145"/>
      <c r="G848" s="143" t="s">
        <v>3889</v>
      </c>
      <c r="H848" s="143"/>
      <c r="I848" s="143"/>
      <c r="J848" s="143"/>
      <c r="K848" s="143"/>
      <c r="L848" s="143" t="s">
        <v>3890</v>
      </c>
      <c r="M848" s="143" t="s">
        <v>43</v>
      </c>
      <c r="N848" s="143" t="s">
        <v>212</v>
      </c>
      <c r="O848" s="147">
        <v>2743648019</v>
      </c>
      <c r="P848" s="150"/>
      <c r="Q848" s="148">
        <v>15000000</v>
      </c>
      <c r="R848" s="150"/>
      <c r="S848" s="147">
        <f t="shared" si="1542"/>
        <v>2758648019</v>
      </c>
      <c r="T848" s="158">
        <v>2743648019</v>
      </c>
      <c r="U848" s="143"/>
      <c r="V848" s="147">
        <v>15000000</v>
      </c>
      <c r="W848" s="143"/>
      <c r="X848" s="143"/>
      <c r="Y848" s="152">
        <f t="shared" ref="Y848:AB848" si="1685">AD848-T848</f>
        <v>0</v>
      </c>
      <c r="Z848" s="151">
        <f t="shared" si="1685"/>
        <v>0</v>
      </c>
      <c r="AA848" s="151">
        <f t="shared" si="1685"/>
        <v>0</v>
      </c>
      <c r="AB848" s="151">
        <f t="shared" si="1685"/>
        <v>0</v>
      </c>
      <c r="AC848" s="143"/>
      <c r="AD848" s="149">
        <v>2743648019</v>
      </c>
      <c r="AE848" s="150"/>
      <c r="AF848" s="148">
        <v>15000000</v>
      </c>
      <c r="AG848" s="150"/>
      <c r="AH848" s="143">
        <f t="shared" si="1544"/>
        <v>0</v>
      </c>
      <c r="AI848" s="151"/>
      <c r="AJ848" s="151">
        <f t="shared" ref="AJ848:AL848" si="1686">P848-AE848</f>
        <v>0</v>
      </c>
      <c r="AK848" s="151">
        <f t="shared" si="1686"/>
        <v>0</v>
      </c>
      <c r="AL848" s="151">
        <f t="shared" si="1686"/>
        <v>0</v>
      </c>
      <c r="AM848" s="145"/>
      <c r="AN848" s="139"/>
      <c r="AO848" s="139"/>
      <c r="AP848" s="139"/>
      <c r="AQ848" s="145"/>
      <c r="AR848" s="145"/>
    </row>
    <row r="849" spans="1:44" s="156" customFormat="1" ht="47.25" x14ac:dyDescent="0.25">
      <c r="A849" s="143" t="s">
        <v>275</v>
      </c>
      <c r="B849" s="144">
        <v>836</v>
      </c>
      <c r="C849" s="143" t="s">
        <v>89</v>
      </c>
      <c r="D849" s="143" t="s">
        <v>3891</v>
      </c>
      <c r="E849" s="145"/>
      <c r="F849" s="145"/>
      <c r="G849" s="143" t="s">
        <v>3892</v>
      </c>
      <c r="H849" s="143"/>
      <c r="I849" s="143"/>
      <c r="J849" s="143"/>
      <c r="K849" s="143"/>
      <c r="L849" s="143" t="s">
        <v>3893</v>
      </c>
      <c r="M849" s="143" t="s">
        <v>43</v>
      </c>
      <c r="N849" s="143" t="s">
        <v>3894</v>
      </c>
      <c r="O849" s="147">
        <v>1011264694</v>
      </c>
      <c r="P849" s="150"/>
      <c r="Q849" s="148">
        <v>7500000</v>
      </c>
      <c r="R849" s="150"/>
      <c r="S849" s="147">
        <f t="shared" si="1542"/>
        <v>1018764694</v>
      </c>
      <c r="T849" s="158">
        <v>1011264694</v>
      </c>
      <c r="U849" s="143"/>
      <c r="V849" s="147">
        <v>7500000</v>
      </c>
      <c r="W849" s="143"/>
      <c r="X849" s="143"/>
      <c r="Y849" s="152">
        <f t="shared" ref="Y849:AB849" si="1687">AD849-T849</f>
        <v>0</v>
      </c>
      <c r="Z849" s="151">
        <f t="shared" si="1687"/>
        <v>0</v>
      </c>
      <c r="AA849" s="151">
        <f t="shared" si="1687"/>
        <v>0</v>
      </c>
      <c r="AB849" s="151">
        <f t="shared" si="1687"/>
        <v>0</v>
      </c>
      <c r="AC849" s="143"/>
      <c r="AD849" s="149">
        <v>1011264694</v>
      </c>
      <c r="AE849" s="150"/>
      <c r="AF849" s="148">
        <v>7500000</v>
      </c>
      <c r="AG849" s="150"/>
      <c r="AH849" s="143">
        <f t="shared" si="1544"/>
        <v>0</v>
      </c>
      <c r="AI849" s="151"/>
      <c r="AJ849" s="151">
        <f t="shared" ref="AJ849:AL849" si="1688">P849-AE849</f>
        <v>0</v>
      </c>
      <c r="AK849" s="151">
        <f t="shared" si="1688"/>
        <v>0</v>
      </c>
      <c r="AL849" s="151">
        <f t="shared" si="1688"/>
        <v>0</v>
      </c>
      <c r="AM849" s="145"/>
      <c r="AN849" s="139"/>
      <c r="AO849" s="139"/>
      <c r="AP849" s="139"/>
      <c r="AQ849" s="145"/>
      <c r="AR849" s="145"/>
    </row>
    <row r="850" spans="1:44" s="156" customFormat="1" ht="47.25" x14ac:dyDescent="0.25">
      <c r="A850" s="143" t="s">
        <v>275</v>
      </c>
      <c r="B850" s="144">
        <v>837</v>
      </c>
      <c r="C850" s="143" t="s">
        <v>89</v>
      </c>
      <c r="D850" s="143" t="s">
        <v>3895</v>
      </c>
      <c r="E850" s="145" t="s">
        <v>3788</v>
      </c>
      <c r="F850" s="145"/>
      <c r="G850" s="143" t="s">
        <v>3896</v>
      </c>
      <c r="H850" s="143" t="s">
        <v>3897</v>
      </c>
      <c r="I850" s="143"/>
      <c r="J850" s="143"/>
      <c r="K850" s="143"/>
      <c r="L850" s="143" t="s">
        <v>3898</v>
      </c>
      <c r="M850" s="143" t="s">
        <v>43</v>
      </c>
      <c r="N850" s="143" t="s">
        <v>3899</v>
      </c>
      <c r="O850" s="147">
        <v>584627066</v>
      </c>
      <c r="P850" s="148">
        <v>143656766</v>
      </c>
      <c r="Q850" s="148">
        <v>15000000</v>
      </c>
      <c r="R850" s="150"/>
      <c r="S850" s="147">
        <f t="shared" si="1542"/>
        <v>743283832</v>
      </c>
      <c r="T850" s="158">
        <v>584627066</v>
      </c>
      <c r="U850" s="158">
        <v>143656766</v>
      </c>
      <c r="V850" s="147">
        <v>15000000</v>
      </c>
      <c r="W850" s="143"/>
      <c r="X850" s="143"/>
      <c r="Y850" s="152">
        <f t="shared" ref="Y850:AB850" si="1689">AD850-T850</f>
        <v>0</v>
      </c>
      <c r="Z850" s="151">
        <f t="shared" si="1689"/>
        <v>0</v>
      </c>
      <c r="AA850" s="151">
        <f t="shared" si="1689"/>
        <v>0</v>
      </c>
      <c r="AB850" s="151">
        <f t="shared" si="1689"/>
        <v>0</v>
      </c>
      <c r="AC850" s="143"/>
      <c r="AD850" s="149">
        <v>584627066</v>
      </c>
      <c r="AE850" s="148">
        <v>143656766</v>
      </c>
      <c r="AF850" s="148">
        <v>15000000</v>
      </c>
      <c r="AG850" s="150"/>
      <c r="AH850" s="143">
        <f t="shared" si="1544"/>
        <v>0</v>
      </c>
      <c r="AI850" s="151"/>
      <c r="AJ850" s="151">
        <f t="shared" ref="AJ850:AL850" si="1690">P850-AE850</f>
        <v>0</v>
      </c>
      <c r="AK850" s="151">
        <f t="shared" si="1690"/>
        <v>0</v>
      </c>
      <c r="AL850" s="151">
        <f t="shared" si="1690"/>
        <v>0</v>
      </c>
      <c r="AM850" s="145"/>
      <c r="AN850" s="139"/>
      <c r="AO850" s="139"/>
      <c r="AP850" s="139"/>
      <c r="AQ850" s="145"/>
      <c r="AR850" s="145"/>
    </row>
    <row r="851" spans="1:44" s="156" customFormat="1" ht="94.5" x14ac:dyDescent="0.25">
      <c r="A851" s="143" t="s">
        <v>275</v>
      </c>
      <c r="B851" s="175">
        <v>838</v>
      </c>
      <c r="C851" s="145" t="s">
        <v>89</v>
      </c>
      <c r="D851" s="143" t="s">
        <v>276</v>
      </c>
      <c r="E851" s="145" t="s">
        <v>278</v>
      </c>
      <c r="F851" s="145" t="s">
        <v>279</v>
      </c>
      <c r="G851" s="145" t="s">
        <v>280</v>
      </c>
      <c r="H851" s="145" t="s">
        <v>282</v>
      </c>
      <c r="I851" s="145"/>
      <c r="J851" s="145"/>
      <c r="K851" s="146"/>
      <c r="L851" s="145" t="s">
        <v>284</v>
      </c>
      <c r="M851" s="145" t="s">
        <v>43</v>
      </c>
      <c r="N851" s="145" t="s">
        <v>285</v>
      </c>
      <c r="O851" s="147">
        <v>10000000</v>
      </c>
      <c r="P851" s="148">
        <f>862761618+19332980</f>
        <v>882094598</v>
      </c>
      <c r="Q851" s="148">
        <v>15000000</v>
      </c>
      <c r="R851" s="148">
        <v>24000000</v>
      </c>
      <c r="S851" s="147">
        <f t="shared" si="1542"/>
        <v>931094598</v>
      </c>
      <c r="T851" s="143"/>
      <c r="U851" s="143"/>
      <c r="V851" s="157"/>
      <c r="W851" s="143"/>
      <c r="X851" s="143"/>
      <c r="Y851" s="152">
        <f t="shared" ref="Y851:AB851" si="1691">AD851-T851</f>
        <v>0</v>
      </c>
      <c r="Z851" s="151">
        <f t="shared" si="1691"/>
        <v>0</v>
      </c>
      <c r="AA851" s="151">
        <f t="shared" si="1691"/>
        <v>0</v>
      </c>
      <c r="AB851" s="151">
        <f t="shared" si="1691"/>
        <v>0</v>
      </c>
      <c r="AC851" s="165"/>
      <c r="AD851" s="155"/>
      <c r="AE851" s="150"/>
      <c r="AF851" s="150"/>
      <c r="AG851" s="150"/>
      <c r="AH851" s="166">
        <f t="shared" si="1544"/>
        <v>0</v>
      </c>
      <c r="AI851" s="151">
        <v>10000000</v>
      </c>
      <c r="AJ851" s="151">
        <f t="shared" ref="AJ851:AL851" si="1692">P851-AE851</f>
        <v>882094598</v>
      </c>
      <c r="AK851" s="151">
        <f t="shared" si="1692"/>
        <v>15000000</v>
      </c>
      <c r="AL851" s="150">
        <f t="shared" si="1692"/>
        <v>24000000</v>
      </c>
      <c r="AM851" s="148">
        <v>10000000</v>
      </c>
      <c r="AN851" s="159" t="s">
        <v>4036</v>
      </c>
      <c r="AO851" s="176" t="s">
        <v>3706</v>
      </c>
      <c r="AP851" s="168" t="s">
        <v>4036</v>
      </c>
      <c r="AQ851" s="218" t="s">
        <v>4037</v>
      </c>
      <c r="AR851" s="218"/>
    </row>
    <row r="852" spans="1:44" s="156" customFormat="1" ht="94.5" x14ac:dyDescent="0.25">
      <c r="A852" s="143" t="s">
        <v>275</v>
      </c>
      <c r="B852" s="144">
        <v>839</v>
      </c>
      <c r="C852" s="143" t="s">
        <v>89</v>
      </c>
      <c r="D852" s="143" t="s">
        <v>3900</v>
      </c>
      <c r="E852" s="145" t="s">
        <v>3445</v>
      </c>
      <c r="F852" s="145"/>
      <c r="G852" s="143"/>
      <c r="H852" s="143"/>
      <c r="I852" s="143" t="s">
        <v>3901</v>
      </c>
      <c r="J852" s="143"/>
      <c r="K852" s="143"/>
      <c r="L852" s="143" t="s">
        <v>3902</v>
      </c>
      <c r="M852" s="143" t="s">
        <v>43</v>
      </c>
      <c r="N852" s="143" t="s">
        <v>212</v>
      </c>
      <c r="O852" s="147">
        <v>10000000</v>
      </c>
      <c r="P852" s="150"/>
      <c r="Q852" s="148">
        <v>15000000</v>
      </c>
      <c r="R852" s="150"/>
      <c r="S852" s="147">
        <f t="shared" si="1542"/>
        <v>25000000</v>
      </c>
      <c r="T852" s="143"/>
      <c r="U852" s="143"/>
      <c r="V852" s="157"/>
      <c r="W852" s="143"/>
      <c r="X852" s="143"/>
      <c r="Y852" s="152">
        <f t="shared" ref="Y852:AB852" si="1693">AD852-T852</f>
        <v>0</v>
      </c>
      <c r="Z852" s="151">
        <f t="shared" si="1693"/>
        <v>0</v>
      </c>
      <c r="AA852" s="151">
        <f t="shared" si="1693"/>
        <v>0</v>
      </c>
      <c r="AB852" s="151">
        <f t="shared" si="1693"/>
        <v>0</v>
      </c>
      <c r="AC852" s="143"/>
      <c r="AD852" s="155"/>
      <c r="AE852" s="150"/>
      <c r="AF852" s="150"/>
      <c r="AG852" s="150"/>
      <c r="AH852" s="143">
        <f t="shared" si="1544"/>
        <v>0</v>
      </c>
      <c r="AI852" s="151">
        <v>10000000</v>
      </c>
      <c r="AJ852" s="151">
        <f t="shared" ref="AJ852:AL852" si="1694">P852-AE852</f>
        <v>0</v>
      </c>
      <c r="AK852" s="151">
        <f t="shared" si="1694"/>
        <v>15000000</v>
      </c>
      <c r="AL852" s="151">
        <f t="shared" si="1694"/>
        <v>0</v>
      </c>
      <c r="AM852" s="148">
        <v>10000000</v>
      </c>
      <c r="AN852" s="159" t="s">
        <v>4019</v>
      </c>
      <c r="AO852" s="160"/>
      <c r="AP852" s="168" t="s">
        <v>4019</v>
      </c>
      <c r="AQ852" s="219"/>
      <c r="AR852" s="218"/>
    </row>
    <row r="853" spans="1:44" s="156" customFormat="1" ht="31.5" x14ac:dyDescent="0.25">
      <c r="A853" s="143" t="s">
        <v>275</v>
      </c>
      <c r="B853" s="144">
        <v>840</v>
      </c>
      <c r="C853" s="143" t="s">
        <v>89</v>
      </c>
      <c r="D853" s="143" t="s">
        <v>3903</v>
      </c>
      <c r="E853" s="145"/>
      <c r="F853" s="145"/>
      <c r="G853" s="143" t="s">
        <v>3904</v>
      </c>
      <c r="H853" s="143"/>
      <c r="I853" s="143"/>
      <c r="J853" s="143"/>
      <c r="K853" s="143"/>
      <c r="L853" s="143" t="s">
        <v>3905</v>
      </c>
      <c r="M853" s="143" t="s">
        <v>43</v>
      </c>
      <c r="N853" s="143" t="s">
        <v>3906</v>
      </c>
      <c r="O853" s="147">
        <v>2056824640</v>
      </c>
      <c r="P853" s="150"/>
      <c r="Q853" s="148">
        <v>15000000</v>
      </c>
      <c r="R853" s="150"/>
      <c r="S853" s="147">
        <f t="shared" si="1542"/>
        <v>2071824640</v>
      </c>
      <c r="T853" s="158">
        <v>2056824640</v>
      </c>
      <c r="U853" s="143"/>
      <c r="V853" s="147">
        <v>15000000</v>
      </c>
      <c r="W853" s="143"/>
      <c r="X853" s="143"/>
      <c r="Y853" s="152">
        <f t="shared" ref="Y853:AB853" si="1695">AD853-T853</f>
        <v>0</v>
      </c>
      <c r="Z853" s="151">
        <f t="shared" si="1695"/>
        <v>0</v>
      </c>
      <c r="AA853" s="151">
        <f t="shared" si="1695"/>
        <v>0</v>
      </c>
      <c r="AB853" s="151">
        <f t="shared" si="1695"/>
        <v>0</v>
      </c>
      <c r="AC853" s="143"/>
      <c r="AD853" s="149">
        <v>2056824640</v>
      </c>
      <c r="AE853" s="150"/>
      <c r="AF853" s="148">
        <v>15000000</v>
      </c>
      <c r="AG853" s="150"/>
      <c r="AH853" s="143">
        <f t="shared" si="1544"/>
        <v>0</v>
      </c>
      <c r="AI853" s="151"/>
      <c r="AJ853" s="151">
        <f t="shared" ref="AJ853:AL853" si="1696">P853-AE853</f>
        <v>0</v>
      </c>
      <c r="AK853" s="151">
        <f t="shared" si="1696"/>
        <v>0</v>
      </c>
      <c r="AL853" s="151">
        <f t="shared" si="1696"/>
        <v>0</v>
      </c>
      <c r="AM853" s="145"/>
      <c r="AN853" s="139"/>
      <c r="AO853" s="139"/>
      <c r="AP853" s="139"/>
      <c r="AQ853" s="145"/>
      <c r="AR853" s="145"/>
    </row>
    <row r="854" spans="1:44" s="156" customFormat="1" ht="94.5" x14ac:dyDescent="0.25">
      <c r="A854" s="143" t="s">
        <v>275</v>
      </c>
      <c r="B854" s="144">
        <v>841</v>
      </c>
      <c r="C854" s="143" t="s">
        <v>89</v>
      </c>
      <c r="D854" s="143" t="s">
        <v>3907</v>
      </c>
      <c r="E854" s="145"/>
      <c r="F854" s="145"/>
      <c r="G854" s="143" t="s">
        <v>3908</v>
      </c>
      <c r="H854" s="143"/>
      <c r="I854" s="143"/>
      <c r="J854" s="143"/>
      <c r="K854" s="143"/>
      <c r="L854" s="143" t="s">
        <v>3909</v>
      </c>
      <c r="M854" s="143" t="s">
        <v>43</v>
      </c>
      <c r="N854" s="143" t="s">
        <v>745</v>
      </c>
      <c r="O854" s="147">
        <v>4969395064</v>
      </c>
      <c r="P854" s="150"/>
      <c r="Q854" s="148">
        <v>15000000</v>
      </c>
      <c r="R854" s="150"/>
      <c r="S854" s="147">
        <f t="shared" si="1542"/>
        <v>4984395064</v>
      </c>
      <c r="T854" s="143"/>
      <c r="U854" s="143"/>
      <c r="V854" s="157"/>
      <c r="W854" s="143"/>
      <c r="X854" s="143"/>
      <c r="Y854" s="152">
        <f t="shared" ref="Y854:AB854" si="1697">AD854-T854</f>
        <v>0</v>
      </c>
      <c r="Z854" s="151">
        <f t="shared" si="1697"/>
        <v>0</v>
      </c>
      <c r="AA854" s="151">
        <f t="shared" si="1697"/>
        <v>0</v>
      </c>
      <c r="AB854" s="151">
        <f t="shared" si="1697"/>
        <v>0</v>
      </c>
      <c r="AC854" s="143"/>
      <c r="AD854" s="155"/>
      <c r="AE854" s="150"/>
      <c r="AF854" s="150"/>
      <c r="AG854" s="150"/>
      <c r="AH854" s="143">
        <f t="shared" si="1544"/>
        <v>0</v>
      </c>
      <c r="AI854" s="151">
        <v>4969395064</v>
      </c>
      <c r="AJ854" s="151">
        <f t="shared" ref="AJ854:AL854" si="1698">P854-AE854</f>
        <v>0</v>
      </c>
      <c r="AK854" s="151">
        <f t="shared" si="1698"/>
        <v>15000000</v>
      </c>
      <c r="AL854" s="151">
        <f t="shared" si="1698"/>
        <v>0</v>
      </c>
      <c r="AM854" s="148">
        <v>4969395064</v>
      </c>
      <c r="AN854" s="159" t="s">
        <v>4038</v>
      </c>
      <c r="AO854" s="160"/>
      <c r="AP854" s="168" t="s">
        <v>4038</v>
      </c>
      <c r="AQ854" s="219"/>
      <c r="AR854" s="218"/>
    </row>
    <row r="855" spans="1:44" s="156" customFormat="1" ht="47.25" x14ac:dyDescent="0.25">
      <c r="A855" s="143" t="s">
        <v>275</v>
      </c>
      <c r="B855" s="144">
        <v>842</v>
      </c>
      <c r="C855" s="143" t="s">
        <v>89</v>
      </c>
      <c r="D855" s="143" t="s">
        <v>3910</v>
      </c>
      <c r="E855" s="145"/>
      <c r="F855" s="145"/>
      <c r="G855" s="143" t="s">
        <v>3911</v>
      </c>
      <c r="H855" s="143"/>
      <c r="I855" s="143"/>
      <c r="J855" s="143"/>
      <c r="K855" s="143"/>
      <c r="L855" s="143" t="s">
        <v>3912</v>
      </c>
      <c r="M855" s="143" t="s">
        <v>43</v>
      </c>
      <c r="N855" s="143" t="s">
        <v>3913</v>
      </c>
      <c r="O855" s="147">
        <v>899231594</v>
      </c>
      <c r="P855" s="150"/>
      <c r="Q855" s="148">
        <v>15000000</v>
      </c>
      <c r="R855" s="150"/>
      <c r="S855" s="147">
        <f t="shared" si="1542"/>
        <v>914231594</v>
      </c>
      <c r="T855" s="158">
        <v>899231594</v>
      </c>
      <c r="U855" s="143"/>
      <c r="V855" s="147">
        <v>15000000</v>
      </c>
      <c r="W855" s="143"/>
      <c r="X855" s="143"/>
      <c r="Y855" s="152">
        <f t="shared" ref="Y855:AB855" si="1699">AD855-T855</f>
        <v>0</v>
      </c>
      <c r="Z855" s="151">
        <f t="shared" si="1699"/>
        <v>0</v>
      </c>
      <c r="AA855" s="151">
        <f t="shared" si="1699"/>
        <v>0</v>
      </c>
      <c r="AB855" s="151">
        <f t="shared" si="1699"/>
        <v>0</v>
      </c>
      <c r="AC855" s="143"/>
      <c r="AD855" s="149">
        <v>899231594</v>
      </c>
      <c r="AE855" s="150"/>
      <c r="AF855" s="148">
        <v>15000000</v>
      </c>
      <c r="AG855" s="150"/>
      <c r="AH855" s="143">
        <f t="shared" si="1544"/>
        <v>0</v>
      </c>
      <c r="AI855" s="151"/>
      <c r="AJ855" s="151">
        <f t="shared" ref="AJ855:AL855" si="1700">P855-AE855</f>
        <v>0</v>
      </c>
      <c r="AK855" s="151">
        <f t="shared" si="1700"/>
        <v>0</v>
      </c>
      <c r="AL855" s="151">
        <f t="shared" si="1700"/>
        <v>0</v>
      </c>
      <c r="AM855" s="145"/>
      <c r="AN855" s="139"/>
      <c r="AO855" s="139"/>
      <c r="AP855" s="139"/>
      <c r="AQ855" s="145"/>
      <c r="AR855" s="145"/>
    </row>
    <row r="856" spans="1:44" s="156" customFormat="1" ht="63" x14ac:dyDescent="0.25">
      <c r="A856" s="143" t="s">
        <v>275</v>
      </c>
      <c r="B856" s="144">
        <v>843</v>
      </c>
      <c r="C856" s="143" t="s">
        <v>89</v>
      </c>
      <c r="D856" s="143" t="s">
        <v>943</v>
      </c>
      <c r="E856" s="145"/>
      <c r="F856" s="145" t="s">
        <v>3661</v>
      </c>
      <c r="G856" s="143" t="s">
        <v>944</v>
      </c>
      <c r="H856" s="143"/>
      <c r="I856" s="143"/>
      <c r="J856" s="143"/>
      <c r="K856" s="164"/>
      <c r="L856" s="143" t="s">
        <v>945</v>
      </c>
      <c r="M856" s="143" t="s">
        <v>43</v>
      </c>
      <c r="N856" s="143" t="s">
        <v>946</v>
      </c>
      <c r="O856" s="147">
        <v>2090430751</v>
      </c>
      <c r="P856" s="150"/>
      <c r="Q856" s="148">
        <v>15000000</v>
      </c>
      <c r="R856" s="148">
        <v>132000000</v>
      </c>
      <c r="S856" s="147">
        <f t="shared" si="1542"/>
        <v>2237430751</v>
      </c>
      <c r="T856" s="158">
        <v>2090430751</v>
      </c>
      <c r="U856" s="143"/>
      <c r="V856" s="147">
        <v>15000000</v>
      </c>
      <c r="W856" s="143"/>
      <c r="X856" s="143"/>
      <c r="Y856" s="152">
        <f t="shared" ref="Y856:AB856" si="1701">AD856-T856</f>
        <v>0</v>
      </c>
      <c r="Z856" s="151">
        <f t="shared" si="1701"/>
        <v>0</v>
      </c>
      <c r="AA856" s="151">
        <f t="shared" si="1701"/>
        <v>0</v>
      </c>
      <c r="AB856" s="151">
        <f t="shared" si="1701"/>
        <v>132000000</v>
      </c>
      <c r="AC856" s="165"/>
      <c r="AD856" s="149">
        <v>2090430751</v>
      </c>
      <c r="AE856" s="150"/>
      <c r="AF856" s="148">
        <v>15000000</v>
      </c>
      <c r="AG856" s="148">
        <v>132000000</v>
      </c>
      <c r="AH856" s="166">
        <f t="shared" si="1544"/>
        <v>0</v>
      </c>
      <c r="AI856" s="151"/>
      <c r="AJ856" s="151">
        <f t="shared" ref="AJ856:AL856" si="1702">P856-AE856</f>
        <v>0</v>
      </c>
      <c r="AK856" s="151">
        <f t="shared" si="1702"/>
        <v>0</v>
      </c>
      <c r="AL856" s="151">
        <f t="shared" si="1702"/>
        <v>0</v>
      </c>
      <c r="AM856" s="145"/>
      <c r="AN856" s="139"/>
      <c r="AO856" s="139"/>
      <c r="AP856" s="139"/>
      <c r="AQ856" s="145" t="s">
        <v>2745</v>
      </c>
      <c r="AR856" s="145"/>
    </row>
    <row r="857" spans="1:44" s="156" customFormat="1" ht="110.25" x14ac:dyDescent="0.25">
      <c r="A857" s="143" t="s">
        <v>275</v>
      </c>
      <c r="B857" s="144">
        <v>844</v>
      </c>
      <c r="C857" s="143" t="s">
        <v>89</v>
      </c>
      <c r="D857" s="143" t="s">
        <v>3914</v>
      </c>
      <c r="E857" s="145" t="s">
        <v>3496</v>
      </c>
      <c r="F857" s="145"/>
      <c r="G857" s="143"/>
      <c r="H857" s="143"/>
      <c r="I857" s="143" t="s">
        <v>3915</v>
      </c>
      <c r="J857" s="143"/>
      <c r="K857" s="143"/>
      <c r="L857" s="143" t="s">
        <v>3916</v>
      </c>
      <c r="M857" s="143" t="s">
        <v>43</v>
      </c>
      <c r="N857" s="143" t="s">
        <v>212</v>
      </c>
      <c r="O857" s="147">
        <v>10000000</v>
      </c>
      <c r="P857" s="150"/>
      <c r="Q857" s="148">
        <v>15000000</v>
      </c>
      <c r="R857" s="150"/>
      <c r="S857" s="147">
        <f t="shared" si="1542"/>
        <v>25000000</v>
      </c>
      <c r="T857" s="143"/>
      <c r="U857" s="143"/>
      <c r="V857" s="157"/>
      <c r="W857" s="143"/>
      <c r="X857" s="143"/>
      <c r="Y857" s="152">
        <f t="shared" ref="Y857:AB857" si="1703">AD857-T857</f>
        <v>0</v>
      </c>
      <c r="Z857" s="151">
        <f t="shared" si="1703"/>
        <v>0</v>
      </c>
      <c r="AA857" s="151">
        <f t="shared" si="1703"/>
        <v>0</v>
      </c>
      <c r="AB857" s="151">
        <f t="shared" si="1703"/>
        <v>0</v>
      </c>
      <c r="AC857" s="143"/>
      <c r="AD857" s="155"/>
      <c r="AE857" s="150"/>
      <c r="AF857" s="150"/>
      <c r="AG857" s="150"/>
      <c r="AH857" s="143">
        <f t="shared" si="1544"/>
        <v>0</v>
      </c>
      <c r="AI857" s="151">
        <v>10000000</v>
      </c>
      <c r="AJ857" s="151">
        <f t="shared" ref="AJ857:AL857" si="1704">P857-AE857</f>
        <v>0</v>
      </c>
      <c r="AK857" s="151">
        <f t="shared" si="1704"/>
        <v>15000000</v>
      </c>
      <c r="AL857" s="151">
        <f t="shared" si="1704"/>
        <v>0</v>
      </c>
      <c r="AM857" s="148">
        <v>10000000</v>
      </c>
      <c r="AN857" s="159" t="s">
        <v>4019</v>
      </c>
      <c r="AO857" s="210"/>
      <c r="AP857" s="168" t="s">
        <v>4019</v>
      </c>
      <c r="AQ857" s="219"/>
      <c r="AR857" s="218"/>
    </row>
    <row r="858" spans="1:44" s="156" customFormat="1" ht="47.25" x14ac:dyDescent="0.25">
      <c r="A858" s="143" t="s">
        <v>275</v>
      </c>
      <c r="B858" s="144">
        <v>845</v>
      </c>
      <c r="C858" s="143" t="s">
        <v>89</v>
      </c>
      <c r="D858" s="143" t="s">
        <v>3917</v>
      </c>
      <c r="E858" s="145" t="s">
        <v>1453</v>
      </c>
      <c r="F858" s="145"/>
      <c r="G858" s="143" t="s">
        <v>3918</v>
      </c>
      <c r="H858" s="143" t="s">
        <v>3919</v>
      </c>
      <c r="I858" s="143"/>
      <c r="J858" s="143"/>
      <c r="K858" s="143"/>
      <c r="L858" s="143" t="s">
        <v>3920</v>
      </c>
      <c r="M858" s="143" t="s">
        <v>43</v>
      </c>
      <c r="N858" s="143" t="s">
        <v>3921</v>
      </c>
      <c r="O858" s="147">
        <v>1282649070</v>
      </c>
      <c r="P858" s="148">
        <v>622528830</v>
      </c>
      <c r="Q858" s="148">
        <v>15000000</v>
      </c>
      <c r="R858" s="150"/>
      <c r="S858" s="147">
        <f t="shared" si="1542"/>
        <v>1920177900</v>
      </c>
      <c r="T858" s="158">
        <v>1282649070</v>
      </c>
      <c r="U858" s="158">
        <v>622528830</v>
      </c>
      <c r="V858" s="147">
        <v>15000000</v>
      </c>
      <c r="W858" s="143"/>
      <c r="X858" s="143"/>
      <c r="Y858" s="151">
        <f t="shared" ref="Y858:AB858" si="1705">AD858-T858</f>
        <v>0</v>
      </c>
      <c r="Z858" s="151">
        <f t="shared" si="1705"/>
        <v>0</v>
      </c>
      <c r="AA858" s="151">
        <f t="shared" si="1705"/>
        <v>0</v>
      </c>
      <c r="AB858" s="151">
        <f t="shared" si="1705"/>
        <v>0</v>
      </c>
      <c r="AC858" s="143"/>
      <c r="AD858" s="148">
        <v>1282649070</v>
      </c>
      <c r="AE858" s="148">
        <v>622528830</v>
      </c>
      <c r="AF858" s="148">
        <v>15000000</v>
      </c>
      <c r="AG858" s="150"/>
      <c r="AH858" s="143">
        <f t="shared" si="1544"/>
        <v>0</v>
      </c>
      <c r="AI858" s="151"/>
      <c r="AJ858" s="151">
        <f t="shared" ref="AJ858:AL858" si="1706">P858-AE858</f>
        <v>0</v>
      </c>
      <c r="AK858" s="151">
        <f t="shared" si="1706"/>
        <v>0</v>
      </c>
      <c r="AL858" s="151">
        <f t="shared" si="1706"/>
        <v>0</v>
      </c>
      <c r="AM858" s="145"/>
      <c r="AN858" s="139"/>
      <c r="AO858" s="139"/>
      <c r="AP858" s="139"/>
      <c r="AQ858" s="145"/>
      <c r="AR858" s="145"/>
    </row>
    <row r="859" spans="1:44" s="156" customFormat="1" ht="94.5" x14ac:dyDescent="0.25">
      <c r="A859" s="143" t="s">
        <v>275</v>
      </c>
      <c r="B859" s="175">
        <v>846</v>
      </c>
      <c r="C859" s="145" t="s">
        <v>89</v>
      </c>
      <c r="D859" s="143" t="s">
        <v>1753</v>
      </c>
      <c r="E859" s="145" t="s">
        <v>883</v>
      </c>
      <c r="F859" s="145" t="s">
        <v>1736</v>
      </c>
      <c r="G859" s="145" t="s">
        <v>1754</v>
      </c>
      <c r="H859" s="145" t="s">
        <v>1755</v>
      </c>
      <c r="I859" s="145"/>
      <c r="J859" s="145"/>
      <c r="K859" s="146"/>
      <c r="L859" s="145" t="s">
        <v>1756</v>
      </c>
      <c r="M859" s="145" t="s">
        <v>43</v>
      </c>
      <c r="N859" s="145" t="s">
        <v>1757</v>
      </c>
      <c r="O859" s="147">
        <v>4605269577</v>
      </c>
      <c r="P859" s="148">
        <v>842764824</v>
      </c>
      <c r="Q859" s="148">
        <v>15000000</v>
      </c>
      <c r="R859" s="148">
        <v>10000000</v>
      </c>
      <c r="S859" s="147">
        <f t="shared" si="1542"/>
        <v>5473034401</v>
      </c>
      <c r="T859" s="158">
        <v>4605269577</v>
      </c>
      <c r="U859" s="158">
        <v>842764824</v>
      </c>
      <c r="V859" s="157">
        <v>15000000</v>
      </c>
      <c r="W859" s="143"/>
      <c r="X859" s="143"/>
      <c r="Y859" s="152">
        <f t="shared" ref="Y859:AB859" si="1707">AD859-T859</f>
        <v>0</v>
      </c>
      <c r="Z859" s="151">
        <f t="shared" si="1707"/>
        <v>0</v>
      </c>
      <c r="AA859" s="151">
        <f t="shared" si="1707"/>
        <v>0</v>
      </c>
      <c r="AB859" s="151">
        <f t="shared" si="1707"/>
        <v>0</v>
      </c>
      <c r="AC859" s="165"/>
      <c r="AD859" s="149">
        <v>4605269577</v>
      </c>
      <c r="AE859" s="148">
        <v>842764824</v>
      </c>
      <c r="AF859" s="148">
        <v>15000000</v>
      </c>
      <c r="AG859" s="150"/>
      <c r="AH859" s="166">
        <f t="shared" si="1544"/>
        <v>0</v>
      </c>
      <c r="AI859" s="151"/>
      <c r="AJ859" s="151">
        <f t="shared" ref="AJ859:AL859" si="1708">P859-AE859</f>
        <v>0</v>
      </c>
      <c r="AK859" s="151">
        <f t="shared" si="1708"/>
        <v>0</v>
      </c>
      <c r="AL859" s="150">
        <f t="shared" si="1708"/>
        <v>10000000</v>
      </c>
      <c r="AM859" s="145"/>
      <c r="AN859" s="139"/>
      <c r="AO859" s="139"/>
      <c r="AP859" s="139"/>
      <c r="AQ859" s="145" t="s">
        <v>4039</v>
      </c>
      <c r="AR859" s="145"/>
    </row>
    <row r="860" spans="1:44" s="156" customFormat="1" ht="94.5" x14ac:dyDescent="0.25">
      <c r="A860" s="143" t="s">
        <v>88</v>
      </c>
      <c r="B860" s="175">
        <v>847</v>
      </c>
      <c r="C860" s="145" t="s">
        <v>89</v>
      </c>
      <c r="D860" s="143" t="s">
        <v>1872</v>
      </c>
      <c r="E860" s="145" t="s">
        <v>784</v>
      </c>
      <c r="F860" s="145" t="s">
        <v>2865</v>
      </c>
      <c r="G860" s="145" t="s">
        <v>1873</v>
      </c>
      <c r="H860" s="145"/>
      <c r="I860" s="145"/>
      <c r="J860" s="145"/>
      <c r="K860" s="146"/>
      <c r="L860" s="145" t="s">
        <v>1874</v>
      </c>
      <c r="M860" s="145" t="s">
        <v>43</v>
      </c>
      <c r="N860" s="145" t="s">
        <v>1875</v>
      </c>
      <c r="O860" s="147">
        <v>2033222254</v>
      </c>
      <c r="P860" s="148">
        <v>396693696</v>
      </c>
      <c r="Q860" s="148">
        <v>15000000</v>
      </c>
      <c r="R860" s="148">
        <f>42000000+84000000</f>
        <v>126000000</v>
      </c>
      <c r="S860" s="147">
        <f t="shared" si="1542"/>
        <v>2570915950</v>
      </c>
      <c r="T860" s="158">
        <v>2033222254</v>
      </c>
      <c r="U860" s="158">
        <v>396693696</v>
      </c>
      <c r="V860" s="157"/>
      <c r="W860" s="158">
        <v>42000000</v>
      </c>
      <c r="X860" s="143"/>
      <c r="Y860" s="151">
        <f t="shared" ref="Y860:AB860" si="1709">AD860-T860</f>
        <v>0</v>
      </c>
      <c r="Z860" s="151">
        <f t="shared" si="1709"/>
        <v>0</v>
      </c>
      <c r="AA860" s="151">
        <f t="shared" si="1709"/>
        <v>0</v>
      </c>
      <c r="AB860" s="151">
        <f t="shared" si="1709"/>
        <v>0</v>
      </c>
      <c r="AC860" s="165"/>
      <c r="AD860" s="148">
        <v>2033222254</v>
      </c>
      <c r="AE860" s="148">
        <v>396693696</v>
      </c>
      <c r="AF860" s="150"/>
      <c r="AG860" s="148">
        <v>42000000</v>
      </c>
      <c r="AH860" s="166">
        <f t="shared" si="1544"/>
        <v>0</v>
      </c>
      <c r="AI860" s="151"/>
      <c r="AJ860" s="151">
        <f t="shared" ref="AJ860:AL860" si="1710">P860-AE860</f>
        <v>0</v>
      </c>
      <c r="AK860" s="151">
        <f t="shared" si="1710"/>
        <v>15000000</v>
      </c>
      <c r="AL860" s="150">
        <f t="shared" si="1710"/>
        <v>84000000</v>
      </c>
      <c r="AM860" s="145"/>
      <c r="AN860" s="139"/>
      <c r="AO860" s="139"/>
      <c r="AP860" s="162" t="s">
        <v>394</v>
      </c>
      <c r="AQ860" s="145" t="s">
        <v>2808</v>
      </c>
      <c r="AR860" s="145"/>
    </row>
    <row r="861" spans="1:44" s="156" customFormat="1" ht="47.25" x14ac:dyDescent="0.25">
      <c r="A861" s="143" t="s">
        <v>35</v>
      </c>
      <c r="B861" s="144">
        <v>848</v>
      </c>
      <c r="C861" s="143" t="s">
        <v>89</v>
      </c>
      <c r="D861" s="143" t="s">
        <v>1452</v>
      </c>
      <c r="E861" s="145" t="s">
        <v>1453</v>
      </c>
      <c r="F861" s="145" t="s">
        <v>1443</v>
      </c>
      <c r="G861" s="143" t="s">
        <v>1454</v>
      </c>
      <c r="H861" s="143" t="s">
        <v>1455</v>
      </c>
      <c r="I861" s="143"/>
      <c r="J861" s="143"/>
      <c r="K861" s="164"/>
      <c r="L861" s="143" t="s">
        <v>1456</v>
      </c>
      <c r="M861" s="143" t="s">
        <v>43</v>
      </c>
      <c r="N861" s="143" t="s">
        <v>1447</v>
      </c>
      <c r="O861" s="147">
        <v>2057610960</v>
      </c>
      <c r="P861" s="148">
        <v>313086065</v>
      </c>
      <c r="Q861" s="148">
        <v>15000000</v>
      </c>
      <c r="R861" s="148">
        <v>8000000</v>
      </c>
      <c r="S861" s="147">
        <f t="shared" si="1542"/>
        <v>2393697025</v>
      </c>
      <c r="T861" s="158">
        <v>2057610960</v>
      </c>
      <c r="U861" s="158">
        <v>313086065</v>
      </c>
      <c r="V861" s="147">
        <v>15000000</v>
      </c>
      <c r="W861" s="158">
        <v>8000000</v>
      </c>
      <c r="X861" s="143"/>
      <c r="Y861" s="152">
        <f t="shared" ref="Y861:AB861" si="1711">AD861-T861</f>
        <v>0</v>
      </c>
      <c r="Z861" s="151">
        <f t="shared" si="1711"/>
        <v>0</v>
      </c>
      <c r="AA861" s="151">
        <f t="shared" si="1711"/>
        <v>0</v>
      </c>
      <c r="AB861" s="151">
        <f t="shared" si="1711"/>
        <v>0</v>
      </c>
      <c r="AC861" s="143"/>
      <c r="AD861" s="149">
        <v>2057610960</v>
      </c>
      <c r="AE861" s="148">
        <v>313086065</v>
      </c>
      <c r="AF861" s="148">
        <v>15000000</v>
      </c>
      <c r="AG861" s="148">
        <v>8000000</v>
      </c>
      <c r="AH861" s="143">
        <f t="shared" si="1544"/>
        <v>0</v>
      </c>
      <c r="AI861" s="151"/>
      <c r="AJ861" s="151">
        <f t="shared" ref="AJ861:AL861" si="1712">P861-AE861</f>
        <v>0</v>
      </c>
      <c r="AK861" s="151">
        <f t="shared" si="1712"/>
        <v>0</v>
      </c>
      <c r="AL861" s="151">
        <f t="shared" si="1712"/>
        <v>0</v>
      </c>
      <c r="AM861" s="145"/>
      <c r="AN861" s="139"/>
      <c r="AO861" s="139"/>
      <c r="AP861" s="139"/>
      <c r="AQ861" s="145"/>
      <c r="AR861" s="145"/>
    </row>
    <row r="862" spans="1:44" s="156" customFormat="1" ht="78.75" x14ac:dyDescent="0.25">
      <c r="A862" s="143" t="s">
        <v>35</v>
      </c>
      <c r="B862" s="144">
        <v>849</v>
      </c>
      <c r="C862" s="143" t="s">
        <v>89</v>
      </c>
      <c r="D862" s="143" t="s">
        <v>1725</v>
      </c>
      <c r="E862" s="145" t="s">
        <v>91</v>
      </c>
      <c r="F862" s="145" t="s">
        <v>1716</v>
      </c>
      <c r="G862" s="143" t="s">
        <v>1726</v>
      </c>
      <c r="H862" s="143" t="s">
        <v>1727</v>
      </c>
      <c r="I862" s="143"/>
      <c r="J862" s="143"/>
      <c r="K862" s="164"/>
      <c r="L862" s="143" t="s">
        <v>1728</v>
      </c>
      <c r="M862" s="143" t="s">
        <v>43</v>
      </c>
      <c r="N862" s="143" t="s">
        <v>1729</v>
      </c>
      <c r="O862" s="147">
        <v>881213560</v>
      </c>
      <c r="P862" s="148">
        <v>58467420</v>
      </c>
      <c r="Q862" s="148">
        <v>15000000</v>
      </c>
      <c r="R862" s="148">
        <f>72000000+72000000</f>
        <v>144000000</v>
      </c>
      <c r="S862" s="147">
        <f t="shared" si="1542"/>
        <v>1098680980</v>
      </c>
      <c r="T862" s="158">
        <v>881213560</v>
      </c>
      <c r="U862" s="158">
        <v>58467420</v>
      </c>
      <c r="V862" s="147">
        <v>15000000</v>
      </c>
      <c r="W862" s="158">
        <v>72000000</v>
      </c>
      <c r="X862" s="143"/>
      <c r="Y862" s="152">
        <f t="shared" ref="Y862:AB862" si="1713">AD862-T862</f>
        <v>0</v>
      </c>
      <c r="Z862" s="151">
        <f t="shared" si="1713"/>
        <v>0</v>
      </c>
      <c r="AA862" s="151">
        <f t="shared" si="1713"/>
        <v>0</v>
      </c>
      <c r="AB862" s="151">
        <f t="shared" si="1713"/>
        <v>72000000</v>
      </c>
      <c r="AC862" s="165"/>
      <c r="AD862" s="149">
        <v>881213560</v>
      </c>
      <c r="AE862" s="148">
        <v>58467420</v>
      </c>
      <c r="AF862" s="148">
        <v>15000000</v>
      </c>
      <c r="AG862" s="148">
        <f>72000000+72000000</f>
        <v>144000000</v>
      </c>
      <c r="AH862" s="166">
        <f t="shared" si="1544"/>
        <v>0</v>
      </c>
      <c r="AI862" s="151"/>
      <c r="AJ862" s="151">
        <f t="shared" ref="AJ862:AL862" si="1714">P862-AE862</f>
        <v>0</v>
      </c>
      <c r="AK862" s="151">
        <f t="shared" si="1714"/>
        <v>0</v>
      </c>
      <c r="AL862" s="151">
        <f t="shared" si="1714"/>
        <v>0</v>
      </c>
      <c r="AM862" s="145"/>
      <c r="AN862" s="139"/>
      <c r="AO862" s="139"/>
      <c r="AP862" s="139"/>
      <c r="AQ862" s="145" t="s">
        <v>2745</v>
      </c>
      <c r="AR862" s="145"/>
    </row>
    <row r="863" spans="1:44" s="156" customFormat="1" ht="47.25" x14ac:dyDescent="0.25">
      <c r="A863" s="143" t="s">
        <v>35</v>
      </c>
      <c r="B863" s="144">
        <v>850</v>
      </c>
      <c r="C863" s="143" t="s">
        <v>89</v>
      </c>
      <c r="D863" s="143" t="s">
        <v>793</v>
      </c>
      <c r="E863" s="145" t="s">
        <v>794</v>
      </c>
      <c r="F863" s="145" t="s">
        <v>757</v>
      </c>
      <c r="G863" s="143" t="s">
        <v>795</v>
      </c>
      <c r="H863" s="143" t="s">
        <v>796</v>
      </c>
      <c r="I863" s="143"/>
      <c r="J863" s="143"/>
      <c r="K863" s="164"/>
      <c r="L863" s="143" t="s">
        <v>797</v>
      </c>
      <c r="M863" s="143" t="s">
        <v>43</v>
      </c>
      <c r="N863" s="143" t="s">
        <v>798</v>
      </c>
      <c r="O863" s="147">
        <v>412442880</v>
      </c>
      <c r="P863" s="148">
        <v>623213760</v>
      </c>
      <c r="Q863" s="148">
        <v>15000000</v>
      </c>
      <c r="R863" s="148">
        <v>48000000</v>
      </c>
      <c r="S863" s="147">
        <f t="shared" si="1542"/>
        <v>1098656640</v>
      </c>
      <c r="T863" s="158">
        <v>412442880</v>
      </c>
      <c r="U863" s="158">
        <v>623213760</v>
      </c>
      <c r="V863" s="147">
        <v>15000000</v>
      </c>
      <c r="W863" s="151">
        <v>48000000</v>
      </c>
      <c r="X863" s="143"/>
      <c r="Y863" s="152">
        <f t="shared" ref="Y863:AB863" si="1715">AD863-T863</f>
        <v>0</v>
      </c>
      <c r="Z863" s="151">
        <f t="shared" si="1715"/>
        <v>0</v>
      </c>
      <c r="AA863" s="151">
        <f t="shared" si="1715"/>
        <v>0</v>
      </c>
      <c r="AB863" s="151">
        <f t="shared" si="1715"/>
        <v>0</v>
      </c>
      <c r="AC863" s="143"/>
      <c r="AD863" s="149">
        <v>412442880</v>
      </c>
      <c r="AE863" s="148">
        <v>623213760</v>
      </c>
      <c r="AF863" s="148">
        <v>15000000</v>
      </c>
      <c r="AG863" s="148">
        <v>48000000</v>
      </c>
      <c r="AH863" s="143">
        <f t="shared" si="1544"/>
        <v>0</v>
      </c>
      <c r="AI863" s="151"/>
      <c r="AJ863" s="151">
        <f t="shared" ref="AJ863:AL863" si="1716">P863-AE863</f>
        <v>0</v>
      </c>
      <c r="AK863" s="151">
        <f t="shared" si="1716"/>
        <v>0</v>
      </c>
      <c r="AL863" s="151">
        <f t="shared" si="1716"/>
        <v>0</v>
      </c>
      <c r="AM863" s="145"/>
      <c r="AN863" s="139"/>
      <c r="AO863" s="139"/>
      <c r="AP863" s="139"/>
      <c r="AQ863" s="145"/>
      <c r="AR863" s="145"/>
    </row>
    <row r="864" spans="1:44" s="156" customFormat="1" ht="47.25" x14ac:dyDescent="0.25">
      <c r="A864" s="143" t="s">
        <v>88</v>
      </c>
      <c r="B864" s="144">
        <v>851</v>
      </c>
      <c r="C864" s="143" t="s">
        <v>89</v>
      </c>
      <c r="D864" s="143" t="s">
        <v>3922</v>
      </c>
      <c r="E864" s="145"/>
      <c r="F864" s="145"/>
      <c r="G864" s="143" t="s">
        <v>3923</v>
      </c>
      <c r="H864" s="143"/>
      <c r="I864" s="143"/>
      <c r="J864" s="143"/>
      <c r="K864" s="143"/>
      <c r="L864" s="143" t="s">
        <v>3924</v>
      </c>
      <c r="M864" s="143" t="s">
        <v>43</v>
      </c>
      <c r="N864" s="143" t="s">
        <v>3925</v>
      </c>
      <c r="O864" s="147">
        <v>10000000</v>
      </c>
      <c r="P864" s="150"/>
      <c r="Q864" s="148">
        <v>15000000</v>
      </c>
      <c r="R864" s="150"/>
      <c r="S864" s="147">
        <f t="shared" si="1542"/>
        <v>25000000</v>
      </c>
      <c r="T864" s="143"/>
      <c r="U864" s="143"/>
      <c r="V864" s="157"/>
      <c r="W864" s="143"/>
      <c r="X864" s="143"/>
      <c r="Y864" s="152">
        <f t="shared" ref="Y864:AB864" si="1717">AD864-T864</f>
        <v>0</v>
      </c>
      <c r="Z864" s="151">
        <f t="shared" si="1717"/>
        <v>0</v>
      </c>
      <c r="AA864" s="151">
        <f t="shared" si="1717"/>
        <v>0</v>
      </c>
      <c r="AB864" s="151">
        <f t="shared" si="1717"/>
        <v>0</v>
      </c>
      <c r="AC864" s="143"/>
      <c r="AD864" s="155"/>
      <c r="AE864" s="150"/>
      <c r="AF864" s="150"/>
      <c r="AG864" s="150"/>
      <c r="AH864" s="143">
        <f t="shared" si="1544"/>
        <v>0</v>
      </c>
      <c r="AI864" s="151">
        <v>10000000</v>
      </c>
      <c r="AJ864" s="151">
        <f t="shared" ref="AJ864:AL864" si="1718">P864-AE864</f>
        <v>0</v>
      </c>
      <c r="AK864" s="151">
        <f t="shared" si="1718"/>
        <v>15000000</v>
      </c>
      <c r="AL864" s="151">
        <f t="shared" si="1718"/>
        <v>0</v>
      </c>
      <c r="AM864" s="148">
        <v>10000000</v>
      </c>
      <c r="AN864" s="159" t="s">
        <v>2160</v>
      </c>
      <c r="AO864" s="160"/>
      <c r="AP864" s="162" t="s">
        <v>1970</v>
      </c>
      <c r="AQ864" s="219"/>
      <c r="AR864" s="218"/>
    </row>
    <row r="865" spans="1:44" s="156" customFormat="1" ht="94.5" x14ac:dyDescent="0.25">
      <c r="A865" s="143" t="s">
        <v>35</v>
      </c>
      <c r="B865" s="144">
        <v>852</v>
      </c>
      <c r="C865" s="143" t="s">
        <v>89</v>
      </c>
      <c r="D865" s="143" t="s">
        <v>3926</v>
      </c>
      <c r="E865" s="145" t="s">
        <v>3445</v>
      </c>
      <c r="F865" s="145"/>
      <c r="G865" s="143"/>
      <c r="H865" s="143"/>
      <c r="I865" s="143" t="s">
        <v>3927</v>
      </c>
      <c r="J865" s="143"/>
      <c r="K865" s="143"/>
      <c r="L865" s="143" t="s">
        <v>3928</v>
      </c>
      <c r="M865" s="143" t="s">
        <v>43</v>
      </c>
      <c r="N865" s="143" t="s">
        <v>212</v>
      </c>
      <c r="O865" s="147">
        <v>10000000</v>
      </c>
      <c r="P865" s="150"/>
      <c r="Q865" s="148">
        <v>15000000</v>
      </c>
      <c r="R865" s="150"/>
      <c r="S865" s="147">
        <f t="shared" si="1542"/>
        <v>25000000</v>
      </c>
      <c r="T865" s="143"/>
      <c r="U865" s="143"/>
      <c r="V865" s="157"/>
      <c r="W865" s="143"/>
      <c r="X865" s="143"/>
      <c r="Y865" s="152">
        <f t="shared" ref="Y865:AB865" si="1719">AD865-T865</f>
        <v>0</v>
      </c>
      <c r="Z865" s="151">
        <f t="shared" si="1719"/>
        <v>0</v>
      </c>
      <c r="AA865" s="151">
        <f t="shared" si="1719"/>
        <v>0</v>
      </c>
      <c r="AB865" s="151">
        <f t="shared" si="1719"/>
        <v>0</v>
      </c>
      <c r="AC865" s="143"/>
      <c r="AD865" s="155"/>
      <c r="AE865" s="150"/>
      <c r="AF865" s="150"/>
      <c r="AG865" s="150"/>
      <c r="AH865" s="143">
        <f t="shared" si="1544"/>
        <v>0</v>
      </c>
      <c r="AI865" s="151">
        <v>10000000</v>
      </c>
      <c r="AJ865" s="151">
        <f t="shared" ref="AJ865:AL865" si="1720">P865-AE865</f>
        <v>0</v>
      </c>
      <c r="AK865" s="151">
        <f t="shared" si="1720"/>
        <v>15000000</v>
      </c>
      <c r="AL865" s="151">
        <f t="shared" si="1720"/>
        <v>0</v>
      </c>
      <c r="AM865" s="148">
        <v>10000000</v>
      </c>
      <c r="AN865" s="159" t="s">
        <v>4019</v>
      </c>
      <c r="AO865" s="160"/>
      <c r="AP865" s="168" t="s">
        <v>4019</v>
      </c>
      <c r="AQ865" s="219"/>
      <c r="AR865" s="218"/>
    </row>
    <row r="866" spans="1:44" s="156" customFormat="1" ht="78.75" x14ac:dyDescent="0.25">
      <c r="A866" s="143" t="s">
        <v>60</v>
      </c>
      <c r="B866" s="144">
        <v>853</v>
      </c>
      <c r="C866" s="143" t="s">
        <v>89</v>
      </c>
      <c r="D866" s="143" t="s">
        <v>1937</v>
      </c>
      <c r="E866" s="145" t="s">
        <v>1939</v>
      </c>
      <c r="F866" s="145" t="s">
        <v>1900</v>
      </c>
      <c r="G866" s="143" t="s">
        <v>1941</v>
      </c>
      <c r="H866" s="143" t="s">
        <v>1942</v>
      </c>
      <c r="I866" s="143"/>
      <c r="J866" s="143"/>
      <c r="K866" s="164"/>
      <c r="L866" s="143" t="s">
        <v>1943</v>
      </c>
      <c r="M866" s="143" t="s">
        <v>43</v>
      </c>
      <c r="N866" s="143" t="s">
        <v>1944</v>
      </c>
      <c r="O866" s="147">
        <v>862843600</v>
      </c>
      <c r="P866" s="148">
        <v>224872200</v>
      </c>
      <c r="Q866" s="148">
        <v>15000000</v>
      </c>
      <c r="R866" s="148">
        <f>24000000+48000000</f>
        <v>72000000</v>
      </c>
      <c r="S866" s="147">
        <f t="shared" si="1542"/>
        <v>1174715800</v>
      </c>
      <c r="T866" s="158">
        <v>862843600</v>
      </c>
      <c r="U866" s="158">
        <v>224872200</v>
      </c>
      <c r="V866" s="147">
        <v>15000000</v>
      </c>
      <c r="W866" s="158">
        <v>72000000</v>
      </c>
      <c r="X866" s="143"/>
      <c r="Y866" s="152">
        <f t="shared" ref="Y866:AB866" si="1721">AD866-T866</f>
        <v>0</v>
      </c>
      <c r="Z866" s="151">
        <f t="shared" si="1721"/>
        <v>0</v>
      </c>
      <c r="AA866" s="151">
        <f t="shared" si="1721"/>
        <v>0</v>
      </c>
      <c r="AB866" s="151">
        <f t="shared" si="1721"/>
        <v>0</v>
      </c>
      <c r="AC866" s="143"/>
      <c r="AD866" s="149">
        <v>862843600</v>
      </c>
      <c r="AE866" s="148">
        <v>224872200</v>
      </c>
      <c r="AF866" s="148">
        <v>15000000</v>
      </c>
      <c r="AG866" s="148">
        <f>24000000+48000000</f>
        <v>72000000</v>
      </c>
      <c r="AH866" s="143">
        <f t="shared" si="1544"/>
        <v>0</v>
      </c>
      <c r="AI866" s="151"/>
      <c r="AJ866" s="151">
        <f t="shared" ref="AJ866:AL866" si="1722">P866-AE866</f>
        <v>0</v>
      </c>
      <c r="AK866" s="151">
        <f t="shared" si="1722"/>
        <v>0</v>
      </c>
      <c r="AL866" s="151">
        <f t="shared" si="1722"/>
        <v>0</v>
      </c>
      <c r="AM866" s="145"/>
      <c r="AN866" s="139"/>
      <c r="AO866" s="139"/>
      <c r="AP866" s="139"/>
      <c r="AQ866" s="145"/>
      <c r="AR866" s="145"/>
    </row>
    <row r="867" spans="1:44" s="156" customFormat="1" ht="141.75" x14ac:dyDescent="0.25">
      <c r="A867" s="143" t="s">
        <v>35</v>
      </c>
      <c r="B867" s="175">
        <v>854</v>
      </c>
      <c r="C867" s="145" t="s">
        <v>89</v>
      </c>
      <c r="D867" s="143" t="s">
        <v>1158</v>
      </c>
      <c r="E867" s="145"/>
      <c r="F867" s="145" t="s">
        <v>4040</v>
      </c>
      <c r="G867" s="145" t="s">
        <v>1160</v>
      </c>
      <c r="H867" s="145"/>
      <c r="I867" s="145"/>
      <c r="J867" s="145"/>
      <c r="K867" s="146"/>
      <c r="L867" s="145" t="s">
        <v>1161</v>
      </c>
      <c r="M867" s="145" t="s">
        <v>43</v>
      </c>
      <c r="N867" s="145" t="s">
        <v>1162</v>
      </c>
      <c r="O867" s="147">
        <v>2066275000</v>
      </c>
      <c r="P867" s="150"/>
      <c r="Q867" s="148">
        <v>15000000</v>
      </c>
      <c r="R867" s="148">
        <f>24000000+24000000+48000000</f>
        <v>96000000</v>
      </c>
      <c r="S867" s="147">
        <f t="shared" si="1542"/>
        <v>2177275000</v>
      </c>
      <c r="T867" s="158">
        <v>2066275000</v>
      </c>
      <c r="U867" s="143"/>
      <c r="V867" s="147">
        <v>15000000</v>
      </c>
      <c r="W867" s="158">
        <v>48000000</v>
      </c>
      <c r="X867" s="143"/>
      <c r="Y867" s="152">
        <f t="shared" ref="Y867:AB867" si="1723">AD867-T867</f>
        <v>0</v>
      </c>
      <c r="Z867" s="151">
        <f t="shared" si="1723"/>
        <v>0</v>
      </c>
      <c r="AA867" s="151">
        <f t="shared" si="1723"/>
        <v>0</v>
      </c>
      <c r="AB867" s="151">
        <f t="shared" si="1723"/>
        <v>0</v>
      </c>
      <c r="AC867" s="165"/>
      <c r="AD867" s="149">
        <v>2066275000</v>
      </c>
      <c r="AE867" s="150"/>
      <c r="AF867" s="148">
        <v>15000000</v>
      </c>
      <c r="AG867" s="148">
        <f>24000000+24000000</f>
        <v>48000000</v>
      </c>
      <c r="AH867" s="166">
        <f t="shared" si="1544"/>
        <v>0</v>
      </c>
      <c r="AI867" s="151"/>
      <c r="AJ867" s="151">
        <f t="shared" ref="AJ867:AL867" si="1724">P867-AE867</f>
        <v>0</v>
      </c>
      <c r="AK867" s="151">
        <f t="shared" si="1724"/>
        <v>0</v>
      </c>
      <c r="AL867" s="150">
        <f t="shared" si="1724"/>
        <v>48000000</v>
      </c>
      <c r="AM867" s="145"/>
      <c r="AN867" s="139"/>
      <c r="AO867" s="139"/>
      <c r="AP867" s="139"/>
      <c r="AQ867" s="145" t="s">
        <v>2808</v>
      </c>
      <c r="AR867" s="145"/>
    </row>
    <row r="868" spans="1:44" s="156" customFormat="1" ht="47.25" x14ac:dyDescent="0.25">
      <c r="A868" s="143" t="s">
        <v>35</v>
      </c>
      <c r="B868" s="144">
        <v>855</v>
      </c>
      <c r="C868" s="143" t="s">
        <v>89</v>
      </c>
      <c r="D868" s="143" t="s">
        <v>3931</v>
      </c>
      <c r="E868" s="145"/>
      <c r="F868" s="145"/>
      <c r="G868" s="143" t="s">
        <v>3932</v>
      </c>
      <c r="H868" s="143"/>
      <c r="I868" s="143"/>
      <c r="J868" s="143"/>
      <c r="K868" s="143"/>
      <c r="L868" s="143" t="s">
        <v>3933</v>
      </c>
      <c r="M868" s="143" t="s">
        <v>43</v>
      </c>
      <c r="N868" s="143" t="s">
        <v>3934</v>
      </c>
      <c r="O868" s="147">
        <v>7009180374</v>
      </c>
      <c r="P868" s="150"/>
      <c r="Q868" s="148">
        <v>7500000</v>
      </c>
      <c r="R868" s="150"/>
      <c r="S868" s="147">
        <f t="shared" si="1542"/>
        <v>7016680374</v>
      </c>
      <c r="T868" s="158">
        <v>7009180374</v>
      </c>
      <c r="U868" s="143"/>
      <c r="V868" s="147">
        <v>7500000</v>
      </c>
      <c r="W868" s="143"/>
      <c r="X868" s="143"/>
      <c r="Y868" s="152">
        <f t="shared" ref="Y868:AB868" si="1725">AD868-T868</f>
        <v>0</v>
      </c>
      <c r="Z868" s="151">
        <f t="shared" si="1725"/>
        <v>0</v>
      </c>
      <c r="AA868" s="151">
        <f t="shared" si="1725"/>
        <v>0</v>
      </c>
      <c r="AB868" s="151">
        <f t="shared" si="1725"/>
        <v>0</v>
      </c>
      <c r="AC868" s="143"/>
      <c r="AD868" s="149">
        <v>7009180374</v>
      </c>
      <c r="AE868" s="150"/>
      <c r="AF868" s="148">
        <v>7500000</v>
      </c>
      <c r="AG868" s="150"/>
      <c r="AH868" s="143">
        <f t="shared" si="1544"/>
        <v>0</v>
      </c>
      <c r="AI868" s="151"/>
      <c r="AJ868" s="151">
        <f t="shared" ref="AJ868:AL868" si="1726">P868-AE868</f>
        <v>0</v>
      </c>
      <c r="AK868" s="151">
        <f t="shared" si="1726"/>
        <v>0</v>
      </c>
      <c r="AL868" s="151">
        <f t="shared" si="1726"/>
        <v>0</v>
      </c>
      <c r="AM868" s="145"/>
      <c r="AN868" s="139"/>
      <c r="AO868" s="139"/>
      <c r="AP868" s="139"/>
      <c r="AQ868" s="145"/>
      <c r="AR868" s="145"/>
    </row>
    <row r="869" spans="1:44" s="156" customFormat="1" ht="31.5" x14ac:dyDescent="0.25">
      <c r="A869" s="143" t="s">
        <v>35</v>
      </c>
      <c r="B869" s="144">
        <v>856</v>
      </c>
      <c r="C869" s="143" t="s">
        <v>89</v>
      </c>
      <c r="D869" s="143" t="s">
        <v>3935</v>
      </c>
      <c r="E869" s="145"/>
      <c r="F869" s="145"/>
      <c r="G869" s="143" t="s">
        <v>3936</v>
      </c>
      <c r="H869" s="143"/>
      <c r="I869" s="143"/>
      <c r="J869" s="143"/>
      <c r="K869" s="143"/>
      <c r="L869" s="143" t="s">
        <v>3937</v>
      </c>
      <c r="M869" s="143" t="s">
        <v>43</v>
      </c>
      <c r="N869" s="143" t="s">
        <v>3938</v>
      </c>
      <c r="O869" s="147">
        <v>59125532717</v>
      </c>
      <c r="P869" s="150"/>
      <c r="Q869" s="148">
        <v>7500000</v>
      </c>
      <c r="R869" s="148">
        <v>0</v>
      </c>
      <c r="S869" s="147">
        <f t="shared" si="1542"/>
        <v>59133032717</v>
      </c>
      <c r="T869" s="158">
        <v>59125532717</v>
      </c>
      <c r="U869" s="143"/>
      <c r="V869" s="147">
        <v>7500000</v>
      </c>
      <c r="W869" s="143"/>
      <c r="X869" s="143"/>
      <c r="Y869" s="152">
        <f t="shared" ref="Y869:AB869" si="1727">AD869-T869</f>
        <v>0</v>
      </c>
      <c r="Z869" s="151">
        <f t="shared" si="1727"/>
        <v>0</v>
      </c>
      <c r="AA869" s="151">
        <f t="shared" si="1727"/>
        <v>0</v>
      </c>
      <c r="AB869" s="151">
        <f t="shared" si="1727"/>
        <v>0</v>
      </c>
      <c r="AC869" s="143"/>
      <c r="AD869" s="149">
        <v>59125532717</v>
      </c>
      <c r="AE869" s="150"/>
      <c r="AF869" s="148">
        <v>7500000</v>
      </c>
      <c r="AG869" s="150"/>
      <c r="AH869" s="143">
        <f t="shared" si="1544"/>
        <v>0</v>
      </c>
      <c r="AI869" s="151"/>
      <c r="AJ869" s="151">
        <f t="shared" ref="AJ869:AL869" si="1728">P869-AE869</f>
        <v>0</v>
      </c>
      <c r="AK869" s="151">
        <f t="shared" si="1728"/>
        <v>0</v>
      </c>
      <c r="AL869" s="151">
        <f t="shared" si="1728"/>
        <v>0</v>
      </c>
      <c r="AM869" s="145"/>
      <c r="AN869" s="139"/>
      <c r="AO869" s="139"/>
      <c r="AP869" s="139"/>
      <c r="AQ869" s="145"/>
      <c r="AR869" s="145"/>
    </row>
    <row r="870" spans="1:44" s="156" customFormat="1" ht="78.75" x14ac:dyDescent="0.25">
      <c r="A870" s="143" t="s">
        <v>35</v>
      </c>
      <c r="B870" s="144">
        <v>857</v>
      </c>
      <c r="C870" s="143" t="s">
        <v>89</v>
      </c>
      <c r="D870" s="143" t="s">
        <v>1340</v>
      </c>
      <c r="E870" s="145" t="s">
        <v>91</v>
      </c>
      <c r="F870" s="145" t="s">
        <v>1341</v>
      </c>
      <c r="G870" s="143" t="s">
        <v>1342</v>
      </c>
      <c r="H870" s="143"/>
      <c r="I870" s="143"/>
      <c r="J870" s="143"/>
      <c r="K870" s="164"/>
      <c r="L870" s="143" t="s">
        <v>1343</v>
      </c>
      <c r="M870" s="143" t="s">
        <v>43</v>
      </c>
      <c r="N870" s="143" t="s">
        <v>1344</v>
      </c>
      <c r="O870" s="147">
        <v>3420319048</v>
      </c>
      <c r="P870" s="148">
        <f>642406970</f>
        <v>642406970</v>
      </c>
      <c r="Q870" s="148">
        <v>15000000</v>
      </c>
      <c r="R870" s="148">
        <f>72000000+144000000</f>
        <v>216000000</v>
      </c>
      <c r="S870" s="147">
        <f t="shared" si="1542"/>
        <v>4293726018</v>
      </c>
      <c r="T870" s="158">
        <v>3420319048</v>
      </c>
      <c r="U870" s="158">
        <v>642406970</v>
      </c>
      <c r="V870" s="147">
        <v>15000000</v>
      </c>
      <c r="W870" s="158">
        <v>216000000</v>
      </c>
      <c r="X870" s="143"/>
      <c r="Y870" s="152">
        <f t="shared" ref="Y870:AB870" si="1729">AD870-T870</f>
        <v>0</v>
      </c>
      <c r="Z870" s="151">
        <f t="shared" si="1729"/>
        <v>0</v>
      </c>
      <c r="AA870" s="151">
        <f t="shared" si="1729"/>
        <v>0</v>
      </c>
      <c r="AB870" s="151">
        <f t="shared" si="1729"/>
        <v>0</v>
      </c>
      <c r="AC870" s="143"/>
      <c r="AD870" s="149">
        <v>3420319048</v>
      </c>
      <c r="AE870" s="148">
        <v>642406970</v>
      </c>
      <c r="AF870" s="148">
        <v>15000000</v>
      </c>
      <c r="AG870" s="148">
        <f>72000000+144000000</f>
        <v>216000000</v>
      </c>
      <c r="AH870" s="143">
        <f t="shared" si="1544"/>
        <v>0</v>
      </c>
      <c r="AI870" s="151"/>
      <c r="AJ870" s="151">
        <f t="shared" ref="AJ870:AL870" si="1730">P870-AE870</f>
        <v>0</v>
      </c>
      <c r="AK870" s="151">
        <f t="shared" si="1730"/>
        <v>0</v>
      </c>
      <c r="AL870" s="151">
        <f t="shared" si="1730"/>
        <v>0</v>
      </c>
      <c r="AM870" s="145"/>
      <c r="AN870" s="139"/>
      <c r="AO870" s="139"/>
      <c r="AP870" s="139"/>
      <c r="AQ870" s="145"/>
      <c r="AR870" s="145"/>
    </row>
    <row r="871" spans="1:44" s="156" customFormat="1" ht="47.25" x14ac:dyDescent="0.25">
      <c r="A871" s="143" t="s">
        <v>35</v>
      </c>
      <c r="B871" s="144">
        <v>858</v>
      </c>
      <c r="C871" s="143" t="s">
        <v>89</v>
      </c>
      <c r="D871" s="143" t="s">
        <v>3940</v>
      </c>
      <c r="E871" s="145" t="s">
        <v>3941</v>
      </c>
      <c r="F871" s="145"/>
      <c r="G871" s="143" t="s">
        <v>3942</v>
      </c>
      <c r="H871" s="143"/>
      <c r="I871" s="143"/>
      <c r="J871" s="143"/>
      <c r="K871" s="143"/>
      <c r="L871" s="143" t="s">
        <v>3943</v>
      </c>
      <c r="M871" s="143" t="s">
        <v>43</v>
      </c>
      <c r="N871" s="143" t="s">
        <v>3899</v>
      </c>
      <c r="O871" s="147">
        <v>10000000</v>
      </c>
      <c r="P871" s="148">
        <v>361037124</v>
      </c>
      <c r="Q871" s="148">
        <v>15000000</v>
      </c>
      <c r="R871" s="150"/>
      <c r="S871" s="147">
        <f t="shared" si="1542"/>
        <v>386037124</v>
      </c>
      <c r="T871" s="158">
        <v>10000000</v>
      </c>
      <c r="U871" s="158">
        <v>361037124</v>
      </c>
      <c r="V871" s="147">
        <v>15000000</v>
      </c>
      <c r="W871" s="143"/>
      <c r="X871" s="143"/>
      <c r="Y871" s="151">
        <f t="shared" ref="Y871:AB871" si="1731">AD871-T871</f>
        <v>0</v>
      </c>
      <c r="Z871" s="151">
        <f t="shared" si="1731"/>
        <v>0</v>
      </c>
      <c r="AA871" s="151">
        <f t="shared" si="1731"/>
        <v>0</v>
      </c>
      <c r="AB871" s="151">
        <f t="shared" si="1731"/>
        <v>0</v>
      </c>
      <c r="AC871" s="143"/>
      <c r="AD871" s="148">
        <v>10000000</v>
      </c>
      <c r="AE871" s="148">
        <v>361037124</v>
      </c>
      <c r="AF871" s="148">
        <v>15000000</v>
      </c>
      <c r="AG871" s="150"/>
      <c r="AH871" s="143">
        <f t="shared" si="1544"/>
        <v>0</v>
      </c>
      <c r="AI871" s="151"/>
      <c r="AJ871" s="151">
        <f t="shared" ref="AJ871:AL871" si="1732">P871-AE871</f>
        <v>0</v>
      </c>
      <c r="AK871" s="151">
        <f t="shared" si="1732"/>
        <v>0</v>
      </c>
      <c r="AL871" s="151">
        <f t="shared" si="1732"/>
        <v>0</v>
      </c>
      <c r="AM871" s="145"/>
      <c r="AN871" s="139"/>
      <c r="AO871" s="139"/>
      <c r="AP871" s="139"/>
      <c r="AQ871" s="145"/>
      <c r="AR871" s="145"/>
    </row>
    <row r="872" spans="1:44" s="156" customFormat="1" ht="94.5" x14ac:dyDescent="0.25">
      <c r="A872" s="143" t="s">
        <v>35</v>
      </c>
      <c r="B872" s="144">
        <v>859</v>
      </c>
      <c r="C872" s="143" t="s">
        <v>89</v>
      </c>
      <c r="D872" s="143" t="s">
        <v>1706</v>
      </c>
      <c r="E872" s="145" t="s">
        <v>91</v>
      </c>
      <c r="F872" s="145" t="s">
        <v>4041</v>
      </c>
      <c r="G872" s="143" t="s">
        <v>1708</v>
      </c>
      <c r="H872" s="143" t="s">
        <v>1709</v>
      </c>
      <c r="I872" s="143"/>
      <c r="J872" s="143"/>
      <c r="K872" s="164"/>
      <c r="L872" s="143" t="s">
        <v>1710</v>
      </c>
      <c r="M872" s="143" t="s">
        <v>43</v>
      </c>
      <c r="N872" s="143" t="s">
        <v>1711</v>
      </c>
      <c r="O872" s="147">
        <v>758458178</v>
      </c>
      <c r="P872" s="148">
        <v>44608716</v>
      </c>
      <c r="Q872" s="148">
        <v>15000000</v>
      </c>
      <c r="R872" s="148">
        <f>144000000+120000000</f>
        <v>264000000</v>
      </c>
      <c r="S872" s="147">
        <f t="shared" si="1542"/>
        <v>1082066894</v>
      </c>
      <c r="T872" s="158">
        <v>758458178</v>
      </c>
      <c r="U872" s="158">
        <v>44608716</v>
      </c>
      <c r="V872" s="147">
        <v>15000000</v>
      </c>
      <c r="W872" s="158">
        <v>264000000</v>
      </c>
      <c r="X872" s="143"/>
      <c r="Y872" s="152">
        <f t="shared" ref="Y872:AB872" si="1733">AD872-T872</f>
        <v>0</v>
      </c>
      <c r="Z872" s="151">
        <f t="shared" si="1733"/>
        <v>0</v>
      </c>
      <c r="AA872" s="151">
        <f t="shared" si="1733"/>
        <v>0</v>
      </c>
      <c r="AB872" s="151">
        <f t="shared" si="1733"/>
        <v>0</v>
      </c>
      <c r="AC872" s="143"/>
      <c r="AD872" s="149">
        <v>758458178</v>
      </c>
      <c r="AE872" s="148">
        <v>44608716</v>
      </c>
      <c r="AF872" s="148">
        <v>15000000</v>
      </c>
      <c r="AG872" s="148">
        <f>144000000+120000000</f>
        <v>264000000</v>
      </c>
      <c r="AH872" s="143">
        <f t="shared" si="1544"/>
        <v>0</v>
      </c>
      <c r="AI872" s="151"/>
      <c r="AJ872" s="151">
        <f t="shared" ref="AJ872:AL872" si="1734">P872-AE872</f>
        <v>0</v>
      </c>
      <c r="AK872" s="151">
        <f t="shared" si="1734"/>
        <v>0</v>
      </c>
      <c r="AL872" s="151">
        <f t="shared" si="1734"/>
        <v>0</v>
      </c>
      <c r="AM872" s="145"/>
      <c r="AN872" s="139"/>
      <c r="AO872" s="139"/>
      <c r="AP872" s="139"/>
      <c r="AQ872" s="145"/>
      <c r="AR872" s="145"/>
    </row>
    <row r="873" spans="1:44" s="156" customFormat="1" ht="47.25" x14ac:dyDescent="0.25">
      <c r="A873" s="143" t="s">
        <v>35</v>
      </c>
      <c r="B873" s="144">
        <v>860</v>
      </c>
      <c r="C873" s="143" t="s">
        <v>89</v>
      </c>
      <c r="D873" s="143" t="s">
        <v>3944</v>
      </c>
      <c r="E873" s="145"/>
      <c r="F873" s="145"/>
      <c r="G873" s="143" t="s">
        <v>3945</v>
      </c>
      <c r="H873" s="143"/>
      <c r="I873" s="143"/>
      <c r="J873" s="143"/>
      <c r="K873" s="143"/>
      <c r="L873" s="143" t="s">
        <v>3946</v>
      </c>
      <c r="M873" s="143" t="s">
        <v>43</v>
      </c>
      <c r="N873" s="143" t="s">
        <v>1859</v>
      </c>
      <c r="O873" s="147">
        <v>5951052520</v>
      </c>
      <c r="P873" s="150"/>
      <c r="Q873" s="148">
        <v>7500000</v>
      </c>
      <c r="R873" s="150"/>
      <c r="S873" s="147">
        <f t="shared" si="1542"/>
        <v>5958552520</v>
      </c>
      <c r="T873" s="158">
        <v>5951052520</v>
      </c>
      <c r="U873" s="143"/>
      <c r="V873" s="147">
        <v>7500000</v>
      </c>
      <c r="W873" s="143"/>
      <c r="X873" s="143"/>
      <c r="Y873" s="152">
        <f t="shared" ref="Y873:AB873" si="1735">AD873-T873</f>
        <v>0</v>
      </c>
      <c r="Z873" s="151">
        <f t="shared" si="1735"/>
        <v>0</v>
      </c>
      <c r="AA873" s="151">
        <f t="shared" si="1735"/>
        <v>0</v>
      </c>
      <c r="AB873" s="151">
        <f t="shared" si="1735"/>
        <v>0</v>
      </c>
      <c r="AC873" s="143"/>
      <c r="AD873" s="149">
        <v>5951052520</v>
      </c>
      <c r="AE873" s="150"/>
      <c r="AF873" s="148">
        <v>7500000</v>
      </c>
      <c r="AG873" s="150"/>
      <c r="AH873" s="143">
        <f t="shared" si="1544"/>
        <v>0</v>
      </c>
      <c r="AI873" s="151"/>
      <c r="AJ873" s="151">
        <f t="shared" ref="AJ873:AL873" si="1736">P873-AE873</f>
        <v>0</v>
      </c>
      <c r="AK873" s="151">
        <f t="shared" si="1736"/>
        <v>0</v>
      </c>
      <c r="AL873" s="151">
        <f t="shared" si="1736"/>
        <v>0</v>
      </c>
      <c r="AM873" s="145"/>
      <c r="AN873" s="139"/>
      <c r="AO873" s="139"/>
      <c r="AP873" s="139"/>
      <c r="AQ873" s="145"/>
      <c r="AR873" s="145"/>
    </row>
    <row r="874" spans="1:44" s="156" customFormat="1" ht="47.25" x14ac:dyDescent="0.25">
      <c r="A874" s="143" t="s">
        <v>35</v>
      </c>
      <c r="B874" s="144">
        <v>861</v>
      </c>
      <c r="C874" s="143" t="s">
        <v>89</v>
      </c>
      <c r="D874" s="143" t="s">
        <v>3947</v>
      </c>
      <c r="E874" s="145"/>
      <c r="F874" s="145"/>
      <c r="G874" s="143" t="s">
        <v>3949</v>
      </c>
      <c r="H874" s="143"/>
      <c r="I874" s="143"/>
      <c r="J874" s="143"/>
      <c r="K874" s="143"/>
      <c r="L874" s="143" t="s">
        <v>3950</v>
      </c>
      <c r="M874" s="143" t="s">
        <v>43</v>
      </c>
      <c r="N874" s="143" t="s">
        <v>3951</v>
      </c>
      <c r="O874" s="147">
        <v>1656027040</v>
      </c>
      <c r="P874" s="150"/>
      <c r="Q874" s="148">
        <v>15000000</v>
      </c>
      <c r="R874" s="150"/>
      <c r="S874" s="147">
        <f t="shared" si="1542"/>
        <v>1671027040</v>
      </c>
      <c r="T874" s="158">
        <v>1656027040</v>
      </c>
      <c r="U874" s="143"/>
      <c r="V874" s="157">
        <v>15000000</v>
      </c>
      <c r="W874" s="143"/>
      <c r="X874" s="143"/>
      <c r="Y874" s="152">
        <f t="shared" ref="Y874:AB874" si="1737">AD874-T874</f>
        <v>0</v>
      </c>
      <c r="Z874" s="151">
        <f t="shared" si="1737"/>
        <v>0</v>
      </c>
      <c r="AA874" s="151">
        <f t="shared" si="1737"/>
        <v>0</v>
      </c>
      <c r="AB874" s="151">
        <f t="shared" si="1737"/>
        <v>0</v>
      </c>
      <c r="AC874" s="143"/>
      <c r="AD874" s="149">
        <v>1656027040</v>
      </c>
      <c r="AE874" s="150"/>
      <c r="AF874" s="148">
        <v>15000000</v>
      </c>
      <c r="AG874" s="150"/>
      <c r="AH874" s="143">
        <f t="shared" si="1544"/>
        <v>0</v>
      </c>
      <c r="AI874" s="151"/>
      <c r="AJ874" s="151">
        <f t="shared" ref="AJ874:AL874" si="1738">P874-AE874</f>
        <v>0</v>
      </c>
      <c r="AK874" s="151">
        <f t="shared" si="1738"/>
        <v>0</v>
      </c>
      <c r="AL874" s="151">
        <f t="shared" si="1738"/>
        <v>0</v>
      </c>
      <c r="AM874" s="145"/>
      <c r="AN874" s="139"/>
      <c r="AO874" s="139"/>
      <c r="AP874" s="139"/>
      <c r="AQ874" s="145"/>
      <c r="AR874" s="145"/>
    </row>
    <row r="875" spans="1:44" s="156" customFormat="1" ht="63" x14ac:dyDescent="0.25">
      <c r="A875" s="143" t="s">
        <v>35</v>
      </c>
      <c r="B875" s="144">
        <v>862</v>
      </c>
      <c r="C875" s="143" t="s">
        <v>89</v>
      </c>
      <c r="D875" s="143" t="s">
        <v>679</v>
      </c>
      <c r="E875" s="145"/>
      <c r="F875" s="145" t="s">
        <v>657</v>
      </c>
      <c r="G875" s="143" t="s">
        <v>680</v>
      </c>
      <c r="H875" s="143"/>
      <c r="I875" s="143"/>
      <c r="J875" s="143"/>
      <c r="K875" s="164"/>
      <c r="L875" s="143" t="s">
        <v>681</v>
      </c>
      <c r="M875" s="143" t="s">
        <v>43</v>
      </c>
      <c r="N875" s="143" t="s">
        <v>682</v>
      </c>
      <c r="O875" s="147">
        <v>2882807920</v>
      </c>
      <c r="P875" s="150"/>
      <c r="Q875" s="148">
        <v>15000000</v>
      </c>
      <c r="R875" s="148">
        <v>16000000</v>
      </c>
      <c r="S875" s="147">
        <f t="shared" si="1542"/>
        <v>2913807920</v>
      </c>
      <c r="T875" s="158">
        <v>2882807920</v>
      </c>
      <c r="U875" s="143"/>
      <c r="V875" s="147">
        <v>15000000</v>
      </c>
      <c r="W875" s="158">
        <v>16000000</v>
      </c>
      <c r="X875" s="143"/>
      <c r="Y875" s="152">
        <f t="shared" ref="Y875:AB875" si="1739">AD875-T875</f>
        <v>0</v>
      </c>
      <c r="Z875" s="151">
        <f t="shared" si="1739"/>
        <v>0</v>
      </c>
      <c r="AA875" s="151">
        <f t="shared" si="1739"/>
        <v>0</v>
      </c>
      <c r="AB875" s="151">
        <f t="shared" si="1739"/>
        <v>0</v>
      </c>
      <c r="AC875" s="143"/>
      <c r="AD875" s="149">
        <v>2882807920</v>
      </c>
      <c r="AE875" s="150"/>
      <c r="AF875" s="148">
        <v>15000000</v>
      </c>
      <c r="AG875" s="148">
        <v>16000000</v>
      </c>
      <c r="AH875" s="143">
        <f t="shared" si="1544"/>
        <v>0</v>
      </c>
      <c r="AI875" s="151"/>
      <c r="AJ875" s="151">
        <f t="shared" ref="AJ875:AL875" si="1740">P875-AE875</f>
        <v>0</v>
      </c>
      <c r="AK875" s="151">
        <f t="shared" si="1740"/>
        <v>0</v>
      </c>
      <c r="AL875" s="151">
        <f t="shared" si="1740"/>
        <v>0</v>
      </c>
      <c r="AM875" s="145"/>
      <c r="AN875" s="139"/>
      <c r="AO875" s="139"/>
      <c r="AP875" s="139"/>
      <c r="AQ875" s="145"/>
      <c r="AR875" s="145"/>
    </row>
    <row r="876" spans="1:44" s="156" customFormat="1" ht="47.25" x14ac:dyDescent="0.25">
      <c r="A876" s="143" t="s">
        <v>35</v>
      </c>
      <c r="B876" s="144">
        <v>863</v>
      </c>
      <c r="C876" s="143" t="s">
        <v>89</v>
      </c>
      <c r="D876" s="143" t="s">
        <v>3952</v>
      </c>
      <c r="E876" s="145"/>
      <c r="F876" s="145"/>
      <c r="G876" s="143" t="s">
        <v>3953</v>
      </c>
      <c r="H876" s="143"/>
      <c r="I876" s="143"/>
      <c r="J876" s="143"/>
      <c r="K876" s="143"/>
      <c r="L876" s="143" t="s">
        <v>3222</v>
      </c>
      <c r="M876" s="143" t="s">
        <v>43</v>
      </c>
      <c r="N876" s="143" t="s">
        <v>3954</v>
      </c>
      <c r="O876" s="147">
        <v>3398093390</v>
      </c>
      <c r="P876" s="150"/>
      <c r="Q876" s="148">
        <v>7500000</v>
      </c>
      <c r="R876" s="150"/>
      <c r="S876" s="147">
        <f t="shared" si="1542"/>
        <v>3405593390</v>
      </c>
      <c r="T876" s="143"/>
      <c r="U876" s="143"/>
      <c r="V876" s="157"/>
      <c r="W876" s="143"/>
      <c r="X876" s="143"/>
      <c r="Y876" s="152">
        <f t="shared" ref="Y876:AB876" si="1741">AD876-T876</f>
        <v>0</v>
      </c>
      <c r="Z876" s="151">
        <f t="shared" si="1741"/>
        <v>0</v>
      </c>
      <c r="AA876" s="151">
        <f t="shared" si="1741"/>
        <v>0</v>
      </c>
      <c r="AB876" s="151">
        <f t="shared" si="1741"/>
        <v>0</v>
      </c>
      <c r="AC876" s="143"/>
      <c r="AD876" s="155"/>
      <c r="AE876" s="150"/>
      <c r="AF876" s="150"/>
      <c r="AG876" s="150"/>
      <c r="AH876" s="143">
        <f t="shared" si="1544"/>
        <v>0</v>
      </c>
      <c r="AI876" s="151">
        <v>3398093390</v>
      </c>
      <c r="AJ876" s="151">
        <f t="shared" ref="AJ876:AL876" si="1742">P876-AE876</f>
        <v>0</v>
      </c>
      <c r="AK876" s="151">
        <f t="shared" si="1742"/>
        <v>7500000</v>
      </c>
      <c r="AL876" s="151">
        <f t="shared" si="1742"/>
        <v>0</v>
      </c>
      <c r="AM876" s="148">
        <v>3398093390</v>
      </c>
      <c r="AN876" s="159" t="s">
        <v>3526</v>
      </c>
      <c r="AO876" s="160"/>
      <c r="AP876" s="168" t="s">
        <v>3526</v>
      </c>
      <c r="AQ876" s="219"/>
      <c r="AR876" s="218"/>
    </row>
    <row r="877" spans="1:44" s="156" customFormat="1" ht="63" x14ac:dyDescent="0.25">
      <c r="A877" s="143" t="s">
        <v>88</v>
      </c>
      <c r="B877" s="144">
        <v>864</v>
      </c>
      <c r="C877" s="143" t="s">
        <v>297</v>
      </c>
      <c r="D877" s="143" t="s">
        <v>706</v>
      </c>
      <c r="E877" s="145" t="s">
        <v>707</v>
      </c>
      <c r="F877" s="145" t="s">
        <v>708</v>
      </c>
      <c r="G877" s="143" t="s">
        <v>709</v>
      </c>
      <c r="H877" s="143" t="s">
        <v>711</v>
      </c>
      <c r="I877" s="143"/>
      <c r="J877" s="143"/>
      <c r="K877" s="164"/>
      <c r="L877" s="143" t="s">
        <v>712</v>
      </c>
      <c r="M877" s="143" t="s">
        <v>43</v>
      </c>
      <c r="N877" s="143" t="s">
        <v>713</v>
      </c>
      <c r="O877" s="147">
        <v>163511848</v>
      </c>
      <c r="P877" s="177">
        <v>1198719060</v>
      </c>
      <c r="Q877" s="177">
        <v>15000000</v>
      </c>
      <c r="R877" s="148">
        <v>24000000</v>
      </c>
      <c r="S877" s="147">
        <f t="shared" si="1542"/>
        <v>1401230908</v>
      </c>
      <c r="T877" s="158">
        <v>163511848</v>
      </c>
      <c r="U877" s="158">
        <v>1198719060</v>
      </c>
      <c r="V877" s="147">
        <v>15000000</v>
      </c>
      <c r="W877" s="158">
        <v>24000000</v>
      </c>
      <c r="X877" s="143"/>
      <c r="Y877" s="151">
        <f t="shared" ref="Y877:AB877" si="1743">AD877-T877</f>
        <v>0</v>
      </c>
      <c r="Z877" s="151">
        <f t="shared" si="1743"/>
        <v>0</v>
      </c>
      <c r="AA877" s="151">
        <f t="shared" si="1743"/>
        <v>0</v>
      </c>
      <c r="AB877" s="151">
        <f t="shared" si="1743"/>
        <v>0</v>
      </c>
      <c r="AC877" s="143"/>
      <c r="AD877" s="169">
        <v>163511848</v>
      </c>
      <c r="AE877" s="177">
        <v>1198719060</v>
      </c>
      <c r="AF877" s="148">
        <v>15000000</v>
      </c>
      <c r="AG877" s="177">
        <v>24000000</v>
      </c>
      <c r="AH877" s="143">
        <f t="shared" si="1544"/>
        <v>0</v>
      </c>
      <c r="AI877" s="151"/>
      <c r="AJ877" s="151">
        <f t="shared" ref="AJ877:AL877" si="1744">P877-AE877</f>
        <v>0</v>
      </c>
      <c r="AK877" s="151">
        <f t="shared" si="1744"/>
        <v>0</v>
      </c>
      <c r="AL877" s="151">
        <f t="shared" si="1744"/>
        <v>0</v>
      </c>
      <c r="AM877" s="145"/>
      <c r="AN877" s="139"/>
      <c r="AO877" s="139"/>
      <c r="AP877" s="139"/>
      <c r="AQ877" s="145"/>
      <c r="AR877" s="145"/>
    </row>
    <row r="878" spans="1:44" s="156" customFormat="1" ht="47.25" x14ac:dyDescent="0.25">
      <c r="A878" s="143" t="s">
        <v>60</v>
      </c>
      <c r="B878" s="144">
        <v>865</v>
      </c>
      <c r="C878" s="143" t="s">
        <v>297</v>
      </c>
      <c r="D878" s="143" t="s">
        <v>1540</v>
      </c>
      <c r="E878" s="145" t="s">
        <v>1542</v>
      </c>
      <c r="F878" s="145" t="s">
        <v>1543</v>
      </c>
      <c r="G878" s="143" t="s">
        <v>1545</v>
      </c>
      <c r="H878" s="143" t="s">
        <v>1546</v>
      </c>
      <c r="I878" s="143"/>
      <c r="J878" s="143"/>
      <c r="K878" s="164"/>
      <c r="L878" s="143" t="s">
        <v>1547</v>
      </c>
      <c r="M878" s="143" t="s">
        <v>43</v>
      </c>
      <c r="N878" s="143" t="s">
        <v>1548</v>
      </c>
      <c r="O878" s="147">
        <v>7139329719</v>
      </c>
      <c r="P878" s="169">
        <v>1963433700</v>
      </c>
      <c r="Q878" s="169">
        <v>15000000</v>
      </c>
      <c r="R878" s="148">
        <v>8000000</v>
      </c>
      <c r="S878" s="147">
        <f t="shared" si="1542"/>
        <v>9125763419</v>
      </c>
      <c r="T878" s="151">
        <v>7139329719</v>
      </c>
      <c r="U878" s="158">
        <v>1963433700</v>
      </c>
      <c r="V878" s="147">
        <v>15000000</v>
      </c>
      <c r="W878" s="158">
        <v>8000000</v>
      </c>
      <c r="X878" s="143"/>
      <c r="Y878" s="152">
        <f t="shared" ref="Y878:AB878" si="1745">AD878-T878</f>
        <v>0</v>
      </c>
      <c r="Z878" s="151">
        <f t="shared" si="1745"/>
        <v>0</v>
      </c>
      <c r="AA878" s="151">
        <f t="shared" si="1745"/>
        <v>0</v>
      </c>
      <c r="AB878" s="152">
        <f t="shared" si="1745"/>
        <v>0</v>
      </c>
      <c r="AC878" s="143"/>
      <c r="AD878" s="155">
        <v>7139329719</v>
      </c>
      <c r="AE878" s="148">
        <v>1963433700</v>
      </c>
      <c r="AF878" s="148">
        <v>15000000</v>
      </c>
      <c r="AG878" s="149">
        <v>8000000</v>
      </c>
      <c r="AH878" s="143">
        <f t="shared" si="1544"/>
        <v>0</v>
      </c>
      <c r="AI878" s="151"/>
      <c r="AJ878" s="151">
        <f t="shared" ref="AJ878:AL878" si="1746">P878-AE878</f>
        <v>0</v>
      </c>
      <c r="AK878" s="151">
        <f t="shared" si="1746"/>
        <v>0</v>
      </c>
      <c r="AL878" s="151">
        <f t="shared" si="1746"/>
        <v>0</v>
      </c>
      <c r="AM878" s="145"/>
      <c r="AN878" s="139"/>
      <c r="AO878" s="139"/>
      <c r="AP878" s="139"/>
      <c r="AQ878" s="145"/>
      <c r="AR878" s="145"/>
    </row>
    <row r="879" spans="1:44" s="156" customFormat="1" ht="63" x14ac:dyDescent="0.25">
      <c r="A879" s="143" t="s">
        <v>60</v>
      </c>
      <c r="B879" s="144">
        <v>866</v>
      </c>
      <c r="C879" s="143" t="s">
        <v>297</v>
      </c>
      <c r="D879" s="143" t="s">
        <v>3956</v>
      </c>
      <c r="E879" s="145" t="s">
        <v>1028</v>
      </c>
      <c r="F879" s="145"/>
      <c r="G879" s="143" t="s">
        <v>3957</v>
      </c>
      <c r="H879" s="143" t="s">
        <v>3958</v>
      </c>
      <c r="I879" s="143"/>
      <c r="J879" s="143"/>
      <c r="K879" s="143"/>
      <c r="L879" s="143" t="s">
        <v>3959</v>
      </c>
      <c r="M879" s="143" t="s">
        <v>43</v>
      </c>
      <c r="N879" s="143" t="s">
        <v>3960</v>
      </c>
      <c r="O879" s="147">
        <v>9156375016</v>
      </c>
      <c r="P879" s="148">
        <v>362103231</v>
      </c>
      <c r="Q879" s="169">
        <v>15000000</v>
      </c>
      <c r="R879" s="150"/>
      <c r="S879" s="147">
        <f t="shared" si="1542"/>
        <v>9533478247</v>
      </c>
      <c r="T879" s="158">
        <v>9156375016</v>
      </c>
      <c r="U879" s="158">
        <v>362103231</v>
      </c>
      <c r="V879" s="147">
        <v>15000000</v>
      </c>
      <c r="W879" s="143"/>
      <c r="X879" s="143"/>
      <c r="Y879" s="152">
        <f t="shared" ref="Y879:AB879" si="1747">AD879-T879</f>
        <v>0</v>
      </c>
      <c r="Z879" s="151">
        <f t="shared" si="1747"/>
        <v>0</v>
      </c>
      <c r="AA879" s="151">
        <f t="shared" si="1747"/>
        <v>0</v>
      </c>
      <c r="AB879" s="151">
        <f t="shared" si="1747"/>
        <v>0</v>
      </c>
      <c r="AC879" s="143"/>
      <c r="AD879" s="194">
        <v>9156375016</v>
      </c>
      <c r="AE879" s="169">
        <v>362103231</v>
      </c>
      <c r="AF879" s="148">
        <v>15000000</v>
      </c>
      <c r="AG879" s="170"/>
      <c r="AH879" s="143">
        <f t="shared" si="1544"/>
        <v>0</v>
      </c>
      <c r="AI879" s="151"/>
      <c r="AJ879" s="151">
        <f t="shared" ref="AJ879:AL879" si="1748">P879-AE879</f>
        <v>0</v>
      </c>
      <c r="AK879" s="151">
        <f t="shared" si="1748"/>
        <v>0</v>
      </c>
      <c r="AL879" s="151">
        <f t="shared" si="1748"/>
        <v>0</v>
      </c>
      <c r="AM879" s="145"/>
      <c r="AN879" s="139"/>
      <c r="AO879" s="139"/>
      <c r="AP879" s="139"/>
      <c r="AQ879" s="145"/>
      <c r="AR879" s="145"/>
    </row>
    <row r="880" spans="1:44" s="156" customFormat="1" ht="31.5" x14ac:dyDescent="0.25">
      <c r="A880" s="143" t="s">
        <v>60</v>
      </c>
      <c r="B880" s="144">
        <v>867</v>
      </c>
      <c r="C880" s="143" t="s">
        <v>297</v>
      </c>
      <c r="D880" s="143" t="s">
        <v>3961</v>
      </c>
      <c r="E880" s="145"/>
      <c r="F880" s="145"/>
      <c r="G880" s="143" t="s">
        <v>3962</v>
      </c>
      <c r="H880" s="143" t="s">
        <v>3963</v>
      </c>
      <c r="I880" s="143"/>
      <c r="J880" s="143"/>
      <c r="K880" s="143"/>
      <c r="L880" s="143" t="s">
        <v>3964</v>
      </c>
      <c r="M880" s="143" t="s">
        <v>43</v>
      </c>
      <c r="N880" s="143" t="s">
        <v>1162</v>
      </c>
      <c r="O880" s="147">
        <v>5200666300</v>
      </c>
      <c r="P880" s="150"/>
      <c r="Q880" s="169">
        <v>15000000</v>
      </c>
      <c r="R880" s="150"/>
      <c r="S880" s="147">
        <f t="shared" si="1542"/>
        <v>5215666300</v>
      </c>
      <c r="T880" s="151">
        <v>5200666300</v>
      </c>
      <c r="U880" s="143"/>
      <c r="V880" s="147">
        <v>15000000</v>
      </c>
      <c r="W880" s="143"/>
      <c r="X880" s="143"/>
      <c r="Y880" s="152">
        <f t="shared" ref="Y880:AB880" si="1749">AD880-T880</f>
        <v>0</v>
      </c>
      <c r="Z880" s="151">
        <f t="shared" si="1749"/>
        <v>0</v>
      </c>
      <c r="AA880" s="151">
        <f t="shared" si="1749"/>
        <v>0</v>
      </c>
      <c r="AB880" s="152">
        <f t="shared" si="1749"/>
        <v>0</v>
      </c>
      <c r="AC880" s="143"/>
      <c r="AD880" s="155">
        <v>5200666300</v>
      </c>
      <c r="AE880" s="150"/>
      <c r="AF880" s="148">
        <v>15000000</v>
      </c>
      <c r="AG880" s="155"/>
      <c r="AH880" s="143">
        <f t="shared" si="1544"/>
        <v>0</v>
      </c>
      <c r="AI880" s="151"/>
      <c r="AJ880" s="151">
        <f t="shared" ref="AJ880:AL880" si="1750">P880-AE880</f>
        <v>0</v>
      </c>
      <c r="AK880" s="151">
        <f t="shared" si="1750"/>
        <v>0</v>
      </c>
      <c r="AL880" s="151">
        <f t="shared" si="1750"/>
        <v>0</v>
      </c>
      <c r="AM880" s="145"/>
      <c r="AN880" s="139"/>
      <c r="AO880" s="139"/>
      <c r="AP880" s="139"/>
      <c r="AQ880" s="145"/>
      <c r="AR880" s="145"/>
    </row>
    <row r="881" spans="1:44" s="156" customFormat="1" ht="47.25" x14ac:dyDescent="0.25">
      <c r="A881" s="143" t="s">
        <v>60</v>
      </c>
      <c r="B881" s="175">
        <v>868</v>
      </c>
      <c r="C881" s="145" t="s">
        <v>297</v>
      </c>
      <c r="D881" s="143" t="s">
        <v>1115</v>
      </c>
      <c r="E881" s="145" t="s">
        <v>1116</v>
      </c>
      <c r="F881" s="145" t="s">
        <v>1012</v>
      </c>
      <c r="G881" s="145" t="s">
        <v>1117</v>
      </c>
      <c r="H881" s="145" t="s">
        <v>1118</v>
      </c>
      <c r="I881" s="145"/>
      <c r="J881" s="145"/>
      <c r="K881" s="146"/>
      <c r="L881" s="145" t="s">
        <v>1119</v>
      </c>
      <c r="M881" s="145" t="s">
        <v>43</v>
      </c>
      <c r="N881" s="145" t="s">
        <v>1111</v>
      </c>
      <c r="O881" s="147">
        <v>8361271432</v>
      </c>
      <c r="P881" s="169">
        <v>1995580618</v>
      </c>
      <c r="Q881" s="169">
        <v>15000000</v>
      </c>
      <c r="R881" s="148">
        <v>24000000</v>
      </c>
      <c r="S881" s="147">
        <f t="shared" si="1542"/>
        <v>10395852050</v>
      </c>
      <c r="T881" s="158">
        <v>8361271432</v>
      </c>
      <c r="U881" s="158">
        <v>1995580618</v>
      </c>
      <c r="V881" s="157"/>
      <c r="W881" s="143"/>
      <c r="X881" s="143"/>
      <c r="Y881" s="152">
        <f t="shared" ref="Y881:AB881" si="1751">AD881-T881</f>
        <v>0</v>
      </c>
      <c r="Z881" s="151">
        <f t="shared" si="1751"/>
        <v>0</v>
      </c>
      <c r="AA881" s="151">
        <f t="shared" si="1751"/>
        <v>0</v>
      </c>
      <c r="AB881" s="151">
        <f t="shared" si="1751"/>
        <v>0</v>
      </c>
      <c r="AC881" s="165"/>
      <c r="AD881" s="194">
        <v>8361271432</v>
      </c>
      <c r="AE881" s="169">
        <v>1995580618</v>
      </c>
      <c r="AF881" s="150"/>
      <c r="AG881" s="170"/>
      <c r="AH881" s="166">
        <f t="shared" si="1544"/>
        <v>0</v>
      </c>
      <c r="AI881" s="151"/>
      <c r="AJ881" s="151">
        <f t="shared" ref="AJ881:AL881" si="1752">P881-AE881</f>
        <v>0</v>
      </c>
      <c r="AK881" s="151">
        <f t="shared" si="1752"/>
        <v>15000000</v>
      </c>
      <c r="AL881" s="150">
        <f t="shared" si="1752"/>
        <v>24000000</v>
      </c>
      <c r="AM881" s="145"/>
      <c r="AN881" s="139"/>
      <c r="AO881" s="139"/>
      <c r="AP881" s="162" t="s">
        <v>4042</v>
      </c>
      <c r="AQ881" s="145" t="s">
        <v>4043</v>
      </c>
      <c r="AR881" s="145"/>
    </row>
    <row r="882" spans="1:44" s="156" customFormat="1" ht="63" x14ac:dyDescent="0.25">
      <c r="A882" s="143" t="s">
        <v>88</v>
      </c>
      <c r="B882" s="144">
        <v>869</v>
      </c>
      <c r="C882" s="143" t="s">
        <v>297</v>
      </c>
      <c r="D882" s="143" t="s">
        <v>3965</v>
      </c>
      <c r="E882" s="145"/>
      <c r="F882" s="145"/>
      <c r="G882" s="143" t="s">
        <v>3966</v>
      </c>
      <c r="H882" s="143" t="s">
        <v>3967</v>
      </c>
      <c r="I882" s="143"/>
      <c r="J882" s="143"/>
      <c r="K882" s="143"/>
      <c r="L882" s="143" t="s">
        <v>3968</v>
      </c>
      <c r="M882" s="143" t="s">
        <v>43</v>
      </c>
      <c r="N882" s="143" t="s">
        <v>3969</v>
      </c>
      <c r="O882" s="147">
        <v>2814083592</v>
      </c>
      <c r="P882" s="150"/>
      <c r="Q882" s="169">
        <v>15000000</v>
      </c>
      <c r="R882" s="150"/>
      <c r="S882" s="147">
        <f t="shared" si="1542"/>
        <v>2829083592</v>
      </c>
      <c r="T882" s="158">
        <v>2814083592</v>
      </c>
      <c r="U882" s="143"/>
      <c r="V882" s="147">
        <v>15000000</v>
      </c>
      <c r="W882" s="143"/>
      <c r="X882" s="143"/>
      <c r="Y882" s="152">
        <f t="shared" ref="Y882:AB882" si="1753">AD882-T882</f>
        <v>0</v>
      </c>
      <c r="Z882" s="151">
        <f t="shared" si="1753"/>
        <v>0</v>
      </c>
      <c r="AA882" s="151">
        <f t="shared" si="1753"/>
        <v>0</v>
      </c>
      <c r="AB882" s="151">
        <f t="shared" si="1753"/>
        <v>0</v>
      </c>
      <c r="AC882" s="143"/>
      <c r="AD882" s="191">
        <v>2814083592</v>
      </c>
      <c r="AE882" s="170"/>
      <c r="AF882" s="148">
        <v>15000000</v>
      </c>
      <c r="AG882" s="170"/>
      <c r="AH882" s="143">
        <f t="shared" si="1544"/>
        <v>0</v>
      </c>
      <c r="AI882" s="151"/>
      <c r="AJ882" s="151">
        <f t="shared" ref="AJ882:AL882" si="1754">P882-AE882</f>
        <v>0</v>
      </c>
      <c r="AK882" s="151">
        <f t="shared" si="1754"/>
        <v>0</v>
      </c>
      <c r="AL882" s="151">
        <f t="shared" si="1754"/>
        <v>0</v>
      </c>
      <c r="AM882" s="145"/>
      <c r="AN882" s="139"/>
      <c r="AO882" s="139"/>
      <c r="AP882" s="139"/>
      <c r="AQ882" s="145"/>
      <c r="AR882" s="145"/>
    </row>
    <row r="883" spans="1:44" s="156" customFormat="1" ht="94.5" x14ac:dyDescent="0.25">
      <c r="A883" s="143" t="s">
        <v>88</v>
      </c>
      <c r="B883" s="175">
        <v>870</v>
      </c>
      <c r="C883" s="145" t="s">
        <v>297</v>
      </c>
      <c r="D883" s="143" t="s">
        <v>1879</v>
      </c>
      <c r="E883" s="145" t="s">
        <v>1880</v>
      </c>
      <c r="F883" s="145" t="s">
        <v>2865</v>
      </c>
      <c r="G883" s="145" t="s">
        <v>1881</v>
      </c>
      <c r="H883" s="145" t="s">
        <v>1882</v>
      </c>
      <c r="I883" s="145"/>
      <c r="J883" s="145"/>
      <c r="K883" s="146"/>
      <c r="L883" s="145" t="s">
        <v>1883</v>
      </c>
      <c r="M883" s="145" t="s">
        <v>43</v>
      </c>
      <c r="N883" s="145" t="s">
        <v>1884</v>
      </c>
      <c r="O883" s="147">
        <v>1141870600</v>
      </c>
      <c r="P883" s="148">
        <v>10000000</v>
      </c>
      <c r="Q883" s="169">
        <v>15000000</v>
      </c>
      <c r="R883" s="148">
        <f>24000000+48000000</f>
        <v>72000000</v>
      </c>
      <c r="S883" s="147">
        <f t="shared" si="1542"/>
        <v>1238870600</v>
      </c>
      <c r="T883" s="158">
        <v>1141870600</v>
      </c>
      <c r="U883" s="151">
        <v>10000000</v>
      </c>
      <c r="V883" s="147">
        <v>15000000</v>
      </c>
      <c r="W883" s="158">
        <v>24000000</v>
      </c>
      <c r="X883" s="143"/>
      <c r="Y883" s="152">
        <f t="shared" ref="Y883:AB883" si="1755">AD883-T883</f>
        <v>0</v>
      </c>
      <c r="Z883" s="151">
        <f t="shared" si="1755"/>
        <v>0</v>
      </c>
      <c r="AA883" s="151">
        <f t="shared" si="1755"/>
        <v>0</v>
      </c>
      <c r="AB883" s="151">
        <f t="shared" si="1755"/>
        <v>0</v>
      </c>
      <c r="AC883" s="165"/>
      <c r="AD883" s="191">
        <v>1141870600</v>
      </c>
      <c r="AE883" s="169">
        <v>10000000</v>
      </c>
      <c r="AF883" s="148">
        <v>15000000</v>
      </c>
      <c r="AG883" s="169">
        <v>24000000</v>
      </c>
      <c r="AH883" s="166">
        <f t="shared" si="1544"/>
        <v>0</v>
      </c>
      <c r="AI883" s="151"/>
      <c r="AJ883" s="151">
        <f t="shared" ref="AJ883:AL883" si="1756">P883-AE883</f>
        <v>0</v>
      </c>
      <c r="AK883" s="151">
        <f t="shared" si="1756"/>
        <v>0</v>
      </c>
      <c r="AL883" s="150">
        <f t="shared" si="1756"/>
        <v>48000000</v>
      </c>
      <c r="AM883" s="145"/>
      <c r="AN883" s="139"/>
      <c r="AO883" s="139"/>
      <c r="AP883" s="139"/>
      <c r="AQ883" s="145" t="s">
        <v>2808</v>
      </c>
      <c r="AR883" s="145"/>
    </row>
    <row r="884" spans="1:44" s="156" customFormat="1" ht="126" x14ac:dyDescent="0.25">
      <c r="A884" s="143" t="s">
        <v>88</v>
      </c>
      <c r="B884" s="144">
        <v>871</v>
      </c>
      <c r="C884" s="143" t="s">
        <v>297</v>
      </c>
      <c r="D884" s="143" t="s">
        <v>3971</v>
      </c>
      <c r="E884" s="145" t="s">
        <v>3972</v>
      </c>
      <c r="F884" s="145"/>
      <c r="G884" s="143"/>
      <c r="H884" s="143" t="s">
        <v>3973</v>
      </c>
      <c r="I884" s="143" t="s">
        <v>3974</v>
      </c>
      <c r="J884" s="143"/>
      <c r="K884" s="143"/>
      <c r="L884" s="143" t="s">
        <v>484</v>
      </c>
      <c r="M884" s="143" t="s">
        <v>43</v>
      </c>
      <c r="N884" s="143" t="s">
        <v>485</v>
      </c>
      <c r="O884" s="147">
        <v>8297551400</v>
      </c>
      <c r="P884" s="150"/>
      <c r="Q884" s="169">
        <v>15000000</v>
      </c>
      <c r="R884" s="150"/>
      <c r="S884" s="147">
        <f t="shared" si="1542"/>
        <v>8312551400</v>
      </c>
      <c r="T884" s="158">
        <v>8297551400</v>
      </c>
      <c r="U884" s="143"/>
      <c r="V884" s="157"/>
      <c r="W884" s="143"/>
      <c r="X884" s="148">
        <v>-8297551400</v>
      </c>
      <c r="Y884" s="151">
        <f t="shared" ref="Y884:AB884" si="1757">AD884-T884</f>
        <v>0</v>
      </c>
      <c r="Z884" s="151">
        <f t="shared" si="1757"/>
        <v>0</v>
      </c>
      <c r="AA884" s="151">
        <f t="shared" si="1757"/>
        <v>0</v>
      </c>
      <c r="AB884" s="151">
        <f t="shared" si="1757"/>
        <v>0</v>
      </c>
      <c r="AC884" s="148"/>
      <c r="AD884" s="177">
        <v>8297551400</v>
      </c>
      <c r="AE884" s="170"/>
      <c r="AF884" s="150"/>
      <c r="AG884" s="170"/>
      <c r="AH884" s="151">
        <f t="shared" si="1544"/>
        <v>-8297551400</v>
      </c>
      <c r="AI884" s="151"/>
      <c r="AJ884" s="151">
        <f t="shared" ref="AJ884:AL884" si="1758">P884-AE884</f>
        <v>0</v>
      </c>
      <c r="AK884" s="151">
        <f t="shared" si="1758"/>
        <v>15000000</v>
      </c>
      <c r="AL884" s="151">
        <f t="shared" si="1758"/>
        <v>0</v>
      </c>
      <c r="AM884" s="145"/>
      <c r="AN884" s="195" t="s">
        <v>4044</v>
      </c>
      <c r="AO884" s="139"/>
      <c r="AP884" s="168" t="s">
        <v>4019</v>
      </c>
      <c r="AQ884" s="145"/>
      <c r="AR884" s="145"/>
    </row>
    <row r="885" spans="1:44" s="156" customFormat="1" ht="94.5" x14ac:dyDescent="0.25">
      <c r="A885" s="143" t="s">
        <v>60</v>
      </c>
      <c r="B885" s="144">
        <v>872</v>
      </c>
      <c r="C885" s="143" t="s">
        <v>297</v>
      </c>
      <c r="D885" s="143" t="s">
        <v>298</v>
      </c>
      <c r="E885" s="145"/>
      <c r="F885" s="145" t="s">
        <v>300</v>
      </c>
      <c r="G885" s="143" t="s">
        <v>301</v>
      </c>
      <c r="H885" s="143"/>
      <c r="I885" s="143"/>
      <c r="J885" s="143"/>
      <c r="K885" s="164"/>
      <c r="L885" s="143" t="s">
        <v>304</v>
      </c>
      <c r="M885" s="143" t="s">
        <v>43</v>
      </c>
      <c r="N885" s="143" t="s">
        <v>305</v>
      </c>
      <c r="O885" s="147">
        <v>11775251750</v>
      </c>
      <c r="P885" s="150"/>
      <c r="Q885" s="169">
        <v>15000000</v>
      </c>
      <c r="R885" s="148">
        <f>84000000+42000000</f>
        <v>126000000</v>
      </c>
      <c r="S885" s="147">
        <f t="shared" si="1542"/>
        <v>11916251750</v>
      </c>
      <c r="T885" s="158">
        <v>11775251750</v>
      </c>
      <c r="U885" s="143"/>
      <c r="V885" s="147">
        <v>15000000</v>
      </c>
      <c r="W885" s="158">
        <v>126000000</v>
      </c>
      <c r="X885" s="143"/>
      <c r="Y885" s="152">
        <f t="shared" ref="Y885:AB885" si="1759">AD885-T885</f>
        <v>0</v>
      </c>
      <c r="Z885" s="151">
        <f t="shared" si="1759"/>
        <v>0</v>
      </c>
      <c r="AA885" s="151">
        <f t="shared" si="1759"/>
        <v>0</v>
      </c>
      <c r="AB885" s="152">
        <f t="shared" si="1759"/>
        <v>0</v>
      </c>
      <c r="AC885" s="143"/>
      <c r="AD885" s="194">
        <v>11775251750</v>
      </c>
      <c r="AE885" s="150"/>
      <c r="AF885" s="148">
        <v>15000000</v>
      </c>
      <c r="AG885" s="149">
        <f>84000000+42000000</f>
        <v>126000000</v>
      </c>
      <c r="AH885" s="143">
        <f t="shared" si="1544"/>
        <v>0</v>
      </c>
      <c r="AI885" s="151"/>
      <c r="AJ885" s="151">
        <f t="shared" ref="AJ885:AL885" si="1760">P885-AE885</f>
        <v>0</v>
      </c>
      <c r="AK885" s="151">
        <f t="shared" si="1760"/>
        <v>0</v>
      </c>
      <c r="AL885" s="151">
        <f t="shared" si="1760"/>
        <v>0</v>
      </c>
      <c r="AM885" s="145"/>
      <c r="AN885" s="139"/>
      <c r="AO885" s="139"/>
      <c r="AP885" s="139"/>
      <c r="AQ885" s="145"/>
      <c r="AR885" s="145"/>
    </row>
    <row r="886" spans="1:44" s="156" customFormat="1" ht="94.5" x14ac:dyDescent="0.25">
      <c r="A886" s="143" t="s">
        <v>88</v>
      </c>
      <c r="B886" s="175">
        <v>873</v>
      </c>
      <c r="C886" s="145" t="s">
        <v>480</v>
      </c>
      <c r="D886" s="143"/>
      <c r="E886" s="145" t="s">
        <v>481</v>
      </c>
      <c r="F886" s="145" t="s">
        <v>4045</v>
      </c>
      <c r="G886" s="145" t="s">
        <v>483</v>
      </c>
      <c r="H886" s="145"/>
      <c r="I886" s="145" t="s">
        <v>113</v>
      </c>
      <c r="J886" s="145"/>
      <c r="K886" s="146"/>
      <c r="L886" s="145" t="s">
        <v>484</v>
      </c>
      <c r="M886" s="145" t="s">
        <v>43</v>
      </c>
      <c r="N886" s="145" t="s">
        <v>485</v>
      </c>
      <c r="O886" s="147">
        <v>10717985200</v>
      </c>
      <c r="P886" s="150"/>
      <c r="Q886" s="169">
        <v>15000000</v>
      </c>
      <c r="R886" s="148">
        <f>24000000+48000000</f>
        <v>72000000</v>
      </c>
      <c r="S886" s="147">
        <f t="shared" si="1542"/>
        <v>10804985200</v>
      </c>
      <c r="T886" s="158">
        <v>10717985200</v>
      </c>
      <c r="U886" s="143"/>
      <c r="V886" s="157">
        <v>15000000</v>
      </c>
      <c r="W886" s="158">
        <v>24000000</v>
      </c>
      <c r="X886" s="143"/>
      <c r="Y886" s="152">
        <f t="shared" ref="Y886:AB886" si="1761">AD886-T886</f>
        <v>0</v>
      </c>
      <c r="Z886" s="151">
        <f t="shared" si="1761"/>
        <v>0</v>
      </c>
      <c r="AA886" s="151">
        <f t="shared" si="1761"/>
        <v>0</v>
      </c>
      <c r="AB886" s="151">
        <f t="shared" si="1761"/>
        <v>0</v>
      </c>
      <c r="AC886" s="165"/>
      <c r="AD886" s="149">
        <v>10717985200</v>
      </c>
      <c r="AE886" s="170"/>
      <c r="AF886" s="148">
        <v>15000000</v>
      </c>
      <c r="AG886" s="169">
        <v>24000000</v>
      </c>
      <c r="AH886" s="166">
        <f t="shared" si="1544"/>
        <v>0</v>
      </c>
      <c r="AI886" s="151"/>
      <c r="AJ886" s="151">
        <f t="shared" ref="AJ886:AL886" si="1762">P886-AE886</f>
        <v>0</v>
      </c>
      <c r="AK886" s="151">
        <f t="shared" si="1762"/>
        <v>0</v>
      </c>
      <c r="AL886" s="150">
        <f t="shared" si="1762"/>
        <v>48000000</v>
      </c>
      <c r="AM886" s="145"/>
      <c r="AN886" s="139"/>
      <c r="AO886" s="139"/>
      <c r="AP886" s="139"/>
      <c r="AQ886" s="145" t="s">
        <v>2808</v>
      </c>
      <c r="AR886" s="145"/>
    </row>
    <row r="887" spans="1:44" s="156" customFormat="1" ht="47.25" x14ac:dyDescent="0.25">
      <c r="A887" s="143" t="s">
        <v>88</v>
      </c>
      <c r="B887" s="144">
        <v>874</v>
      </c>
      <c r="C887" s="143" t="s">
        <v>480</v>
      </c>
      <c r="D887" s="143" t="s">
        <v>3976</v>
      </c>
      <c r="E887" s="145" t="s">
        <v>481</v>
      </c>
      <c r="F887" s="145"/>
      <c r="G887" s="143" t="s">
        <v>3977</v>
      </c>
      <c r="H887" s="143"/>
      <c r="I887" s="143" t="s">
        <v>113</v>
      </c>
      <c r="J887" s="143"/>
      <c r="K887" s="143"/>
      <c r="L887" s="143" t="s">
        <v>3978</v>
      </c>
      <c r="M887" s="143" t="s">
        <v>43</v>
      </c>
      <c r="N887" s="143" t="s">
        <v>485</v>
      </c>
      <c r="O887" s="147">
        <v>2704930000</v>
      </c>
      <c r="P887" s="150"/>
      <c r="Q887" s="169">
        <v>15000000</v>
      </c>
      <c r="R887" s="150"/>
      <c r="S887" s="147">
        <f t="shared" si="1542"/>
        <v>2719930000</v>
      </c>
      <c r="T887" s="158">
        <v>2704930000</v>
      </c>
      <c r="U887" s="143"/>
      <c r="V887" s="157">
        <v>15000000</v>
      </c>
      <c r="W887" s="143"/>
      <c r="X887" s="143"/>
      <c r="Y887" s="151">
        <f t="shared" ref="Y887:AB887" si="1763">AD887-T887</f>
        <v>0</v>
      </c>
      <c r="Z887" s="151">
        <f t="shared" si="1763"/>
        <v>0</v>
      </c>
      <c r="AA887" s="151">
        <f t="shared" si="1763"/>
        <v>0</v>
      </c>
      <c r="AB887" s="151">
        <f t="shared" si="1763"/>
        <v>0</v>
      </c>
      <c r="AC887" s="143"/>
      <c r="AD887" s="148">
        <v>2704930000</v>
      </c>
      <c r="AE887" s="170"/>
      <c r="AF887" s="148">
        <v>15000000</v>
      </c>
      <c r="AG887" s="170"/>
      <c r="AH887" s="143">
        <f t="shared" si="1544"/>
        <v>0</v>
      </c>
      <c r="AI887" s="151"/>
      <c r="AJ887" s="151">
        <f t="shared" ref="AJ887:AL887" si="1764">P887-AE887</f>
        <v>0</v>
      </c>
      <c r="AK887" s="151">
        <f t="shared" si="1764"/>
        <v>0</v>
      </c>
      <c r="AL887" s="151">
        <f t="shared" si="1764"/>
        <v>0</v>
      </c>
      <c r="AM887" s="145"/>
      <c r="AN887" s="139"/>
      <c r="AO887" s="139"/>
      <c r="AP887" s="139"/>
      <c r="AQ887" s="145"/>
      <c r="AR887" s="145"/>
    </row>
    <row r="888" spans="1:44" s="156" customFormat="1" ht="110.25" x14ac:dyDescent="0.25">
      <c r="A888" s="143" t="s">
        <v>88</v>
      </c>
      <c r="B888" s="175">
        <v>875</v>
      </c>
      <c r="C888" s="145" t="s">
        <v>480</v>
      </c>
      <c r="D888" s="143" t="s">
        <v>491</v>
      </c>
      <c r="E888" s="145" t="s">
        <v>481</v>
      </c>
      <c r="F888" s="145" t="s">
        <v>4046</v>
      </c>
      <c r="G888" s="145" t="s">
        <v>269</v>
      </c>
      <c r="H888" s="145"/>
      <c r="I888" s="145" t="s">
        <v>113</v>
      </c>
      <c r="J888" s="145"/>
      <c r="K888" s="146"/>
      <c r="L888" s="145" t="s">
        <v>494</v>
      </c>
      <c r="M888" s="145" t="s">
        <v>43</v>
      </c>
      <c r="N888" s="145" t="s">
        <v>485</v>
      </c>
      <c r="O888" s="147">
        <v>2852252840</v>
      </c>
      <c r="P888" s="150"/>
      <c r="Q888" s="169">
        <v>15000000</v>
      </c>
      <c r="R888" s="148">
        <f>24000000+48000000</f>
        <v>72000000</v>
      </c>
      <c r="S888" s="147">
        <f t="shared" si="1542"/>
        <v>2939252840</v>
      </c>
      <c r="T888" s="158">
        <v>2852252840</v>
      </c>
      <c r="U888" s="143"/>
      <c r="V888" s="157">
        <v>15000000</v>
      </c>
      <c r="W888" s="158">
        <v>24000000</v>
      </c>
      <c r="X888" s="143"/>
      <c r="Y888" s="151">
        <f t="shared" ref="Y888:AB888" si="1765">AD888-T888</f>
        <v>0</v>
      </c>
      <c r="Z888" s="151">
        <f t="shared" si="1765"/>
        <v>0</v>
      </c>
      <c r="AA888" s="151">
        <f t="shared" si="1765"/>
        <v>0</v>
      </c>
      <c r="AB888" s="151">
        <f t="shared" si="1765"/>
        <v>0</v>
      </c>
      <c r="AC888" s="165"/>
      <c r="AD888" s="148">
        <v>2852252840</v>
      </c>
      <c r="AE888" s="170"/>
      <c r="AF888" s="148">
        <v>15000000</v>
      </c>
      <c r="AG888" s="169">
        <v>24000000</v>
      </c>
      <c r="AH888" s="166">
        <f t="shared" si="1544"/>
        <v>0</v>
      </c>
      <c r="AI888" s="151"/>
      <c r="AJ888" s="151">
        <f t="shared" ref="AJ888:AL888" si="1766">P888-AE888</f>
        <v>0</v>
      </c>
      <c r="AK888" s="151">
        <f t="shared" si="1766"/>
        <v>0</v>
      </c>
      <c r="AL888" s="150">
        <f t="shared" si="1766"/>
        <v>48000000</v>
      </c>
      <c r="AM888" s="145"/>
      <c r="AN888" s="139"/>
      <c r="AO888" s="139"/>
      <c r="AP888" s="139"/>
      <c r="AQ888" s="145" t="s">
        <v>2808</v>
      </c>
      <c r="AR888" s="145"/>
    </row>
    <row r="889" spans="1:44" s="156" customFormat="1" ht="78.75" x14ac:dyDescent="0.25">
      <c r="A889" s="143" t="s">
        <v>60</v>
      </c>
      <c r="B889" s="144">
        <v>876</v>
      </c>
      <c r="C889" s="143" t="s">
        <v>3979</v>
      </c>
      <c r="D889" s="143" t="s">
        <v>3980</v>
      </c>
      <c r="E889" s="145"/>
      <c r="F889" s="145"/>
      <c r="G889" s="143" t="s">
        <v>3981</v>
      </c>
      <c r="H889" s="143"/>
      <c r="I889" s="143"/>
      <c r="J889" s="143"/>
      <c r="K889" s="143"/>
      <c r="L889" s="143" t="s">
        <v>3982</v>
      </c>
      <c r="M889" s="143" t="s">
        <v>43</v>
      </c>
      <c r="N889" s="143" t="s">
        <v>3499</v>
      </c>
      <c r="O889" s="147">
        <v>668410816</v>
      </c>
      <c r="P889" s="203"/>
      <c r="Q889" s="181">
        <v>15000000</v>
      </c>
      <c r="R889" s="150"/>
      <c r="S889" s="147">
        <f t="shared" si="1542"/>
        <v>683410816</v>
      </c>
      <c r="T889" s="158">
        <v>668410816</v>
      </c>
      <c r="U889" s="143"/>
      <c r="V889" s="147">
        <v>15000000</v>
      </c>
      <c r="W889" s="143"/>
      <c r="X889" s="143"/>
      <c r="Y889" s="152">
        <f t="shared" ref="Y889:AB889" si="1767">AD889-T889</f>
        <v>0</v>
      </c>
      <c r="Z889" s="151">
        <f t="shared" si="1767"/>
        <v>0</v>
      </c>
      <c r="AA889" s="151">
        <f t="shared" si="1767"/>
        <v>0</v>
      </c>
      <c r="AB889" s="152">
        <f t="shared" si="1767"/>
        <v>0</v>
      </c>
      <c r="AC889" s="143"/>
      <c r="AD889" s="202">
        <v>668410816</v>
      </c>
      <c r="AE889" s="150"/>
      <c r="AF889" s="148">
        <v>15000000</v>
      </c>
      <c r="AG889" s="155"/>
      <c r="AH889" s="143">
        <f t="shared" si="1544"/>
        <v>0</v>
      </c>
      <c r="AI889" s="151"/>
      <c r="AJ889" s="151">
        <f t="shared" ref="AJ889:AL889" si="1768">P889-AE889</f>
        <v>0</v>
      </c>
      <c r="AK889" s="151">
        <f t="shared" si="1768"/>
        <v>0</v>
      </c>
      <c r="AL889" s="151">
        <f t="shared" si="1768"/>
        <v>0</v>
      </c>
      <c r="AM889" s="145"/>
      <c r="AN889" s="139"/>
      <c r="AO889" s="139"/>
      <c r="AP889" s="139"/>
      <c r="AQ889" s="145"/>
      <c r="AR889" s="145"/>
    </row>
    <row r="890" spans="1:44" s="156" customFormat="1" ht="78.75" x14ac:dyDescent="0.25">
      <c r="A890" s="145" t="s">
        <v>60</v>
      </c>
      <c r="B890" s="144">
        <v>877</v>
      </c>
      <c r="C890" s="143" t="s">
        <v>3979</v>
      </c>
      <c r="D890" s="143" t="s">
        <v>3983</v>
      </c>
      <c r="E890" s="145"/>
      <c r="F890" s="146"/>
      <c r="G890" s="143" t="s">
        <v>3984</v>
      </c>
      <c r="H890" s="145"/>
      <c r="I890" s="145"/>
      <c r="J890" s="145"/>
      <c r="K890" s="145"/>
      <c r="L890" s="145" t="s">
        <v>3985</v>
      </c>
      <c r="M890" s="145" t="s">
        <v>43</v>
      </c>
      <c r="N890" s="145" t="s">
        <v>3499</v>
      </c>
      <c r="O890" s="183">
        <v>930126309</v>
      </c>
      <c r="P890" s="150"/>
      <c r="Q890" s="148">
        <v>7500000</v>
      </c>
      <c r="R890" s="150"/>
      <c r="S890" s="147">
        <f t="shared" si="1542"/>
        <v>937626309</v>
      </c>
      <c r="T890" s="158">
        <v>930126309</v>
      </c>
      <c r="U890" s="143"/>
      <c r="V890" s="157">
        <v>7500000</v>
      </c>
      <c r="W890" s="145"/>
      <c r="X890" s="145"/>
      <c r="Y890" s="151">
        <f t="shared" ref="Y890:AB890" si="1769">AD890-T890</f>
        <v>0</v>
      </c>
      <c r="Z890" s="151">
        <f t="shared" si="1769"/>
        <v>0</v>
      </c>
      <c r="AA890" s="151">
        <f t="shared" si="1769"/>
        <v>0</v>
      </c>
      <c r="AB890" s="152">
        <f t="shared" si="1769"/>
        <v>0</v>
      </c>
      <c r="AC890" s="145"/>
      <c r="AD890" s="174">
        <v>930126309</v>
      </c>
      <c r="AE890" s="150"/>
      <c r="AF890" s="148">
        <v>7500000</v>
      </c>
      <c r="AG890" s="155"/>
      <c r="AH890" s="143">
        <f t="shared" si="1544"/>
        <v>0</v>
      </c>
      <c r="AI890" s="151"/>
      <c r="AJ890" s="151">
        <f t="shared" ref="AJ890:AL890" si="1770">P890-AE890</f>
        <v>0</v>
      </c>
      <c r="AK890" s="151">
        <f t="shared" si="1770"/>
        <v>0</v>
      </c>
      <c r="AL890" s="151">
        <f t="shared" si="1770"/>
        <v>0</v>
      </c>
      <c r="AM890" s="145"/>
      <c r="AN890" s="139"/>
      <c r="AO890" s="139"/>
      <c r="AP890" s="139"/>
      <c r="AQ890" s="145"/>
      <c r="AR890" s="145"/>
    </row>
    <row r="891" spans="1:44" s="156" customFormat="1" ht="63" x14ac:dyDescent="0.25">
      <c r="A891" s="143" t="s">
        <v>60</v>
      </c>
      <c r="B891" s="144">
        <v>878</v>
      </c>
      <c r="C891" s="143" t="s">
        <v>3979</v>
      </c>
      <c r="D891" s="143" t="s">
        <v>3986</v>
      </c>
      <c r="E891" s="145"/>
      <c r="F891" s="146"/>
      <c r="G891" s="143" t="s">
        <v>3987</v>
      </c>
      <c r="H891" s="143"/>
      <c r="I891" s="143"/>
      <c r="J891" s="143"/>
      <c r="K891" s="143"/>
      <c r="L891" s="145" t="s">
        <v>3988</v>
      </c>
      <c r="M891" s="143" t="s">
        <v>43</v>
      </c>
      <c r="N891" s="143" t="s">
        <v>735</v>
      </c>
      <c r="O891" s="147">
        <v>250126298</v>
      </c>
      <c r="P891" s="170"/>
      <c r="Q891" s="169">
        <v>15000000</v>
      </c>
      <c r="R891" s="150"/>
      <c r="S891" s="147">
        <f t="shared" si="1542"/>
        <v>265126298</v>
      </c>
      <c r="T891" s="158">
        <v>250126298</v>
      </c>
      <c r="U891" s="143"/>
      <c r="V891" s="157"/>
      <c r="W891" s="143"/>
      <c r="X891" s="143"/>
      <c r="Y891" s="152">
        <f t="shared" ref="Y891:AB891" si="1771">AD891-T891</f>
        <v>0</v>
      </c>
      <c r="Z891" s="151">
        <f t="shared" si="1771"/>
        <v>0</v>
      </c>
      <c r="AA891" s="151">
        <f t="shared" si="1771"/>
        <v>0</v>
      </c>
      <c r="AB891" s="151">
        <f t="shared" si="1771"/>
        <v>0</v>
      </c>
      <c r="AC891" s="143"/>
      <c r="AD891" s="194">
        <v>250126298</v>
      </c>
      <c r="AE891" s="170"/>
      <c r="AF891" s="150"/>
      <c r="AG891" s="170"/>
      <c r="AH891" s="143">
        <f t="shared" si="1544"/>
        <v>0</v>
      </c>
      <c r="AI891" s="151"/>
      <c r="AJ891" s="151">
        <f t="shared" ref="AJ891:AL891" si="1772">P891-AE891</f>
        <v>0</v>
      </c>
      <c r="AK891" s="151">
        <f t="shared" si="1772"/>
        <v>15000000</v>
      </c>
      <c r="AL891" s="151">
        <f t="shared" si="1772"/>
        <v>0</v>
      </c>
      <c r="AM891" s="145"/>
      <c r="AN891" s="139"/>
      <c r="AO891" s="139"/>
      <c r="AP891" s="162" t="s">
        <v>2013</v>
      </c>
      <c r="AQ891" s="145"/>
      <c r="AR891" s="145"/>
    </row>
    <row r="892" spans="1:44" s="156" customFormat="1" ht="78.75" x14ac:dyDescent="0.25">
      <c r="A892" s="143" t="s">
        <v>275</v>
      </c>
      <c r="B892" s="144">
        <v>879</v>
      </c>
      <c r="C892" s="143" t="s">
        <v>906</v>
      </c>
      <c r="D892" s="143" t="s">
        <v>3914</v>
      </c>
      <c r="E892" s="145"/>
      <c r="F892" s="145"/>
      <c r="G892" s="143" t="s">
        <v>3991</v>
      </c>
      <c r="H892" s="143"/>
      <c r="I892" s="143" t="s">
        <v>113</v>
      </c>
      <c r="J892" s="143"/>
      <c r="K892" s="143"/>
      <c r="L892" s="143" t="s">
        <v>3992</v>
      </c>
      <c r="M892" s="143" t="s">
        <v>43</v>
      </c>
      <c r="N892" s="143" t="s">
        <v>212</v>
      </c>
      <c r="O892" s="147">
        <v>493278040</v>
      </c>
      <c r="P892" s="150"/>
      <c r="Q892" s="150"/>
      <c r="R892" s="150"/>
      <c r="S892" s="147">
        <f t="shared" si="1542"/>
        <v>493278040</v>
      </c>
      <c r="T892" s="151">
        <v>493278040</v>
      </c>
      <c r="U892" s="143"/>
      <c r="V892" s="157"/>
      <c r="W892" s="143"/>
      <c r="X892" s="143"/>
      <c r="Y892" s="152">
        <f t="shared" ref="Y892:AB892" si="1773">AD892-T892</f>
        <v>0</v>
      </c>
      <c r="Z892" s="151">
        <f t="shared" si="1773"/>
        <v>0</v>
      </c>
      <c r="AA892" s="151">
        <f t="shared" si="1773"/>
        <v>0</v>
      </c>
      <c r="AB892" s="151">
        <f t="shared" si="1773"/>
        <v>0</v>
      </c>
      <c r="AC892" s="143"/>
      <c r="AD892" s="149">
        <v>493278040</v>
      </c>
      <c r="AE892" s="150"/>
      <c r="AF892" s="150"/>
      <c r="AG892" s="150"/>
      <c r="AH892" s="143">
        <f t="shared" si="1544"/>
        <v>0</v>
      </c>
      <c r="AI892" s="151"/>
      <c r="AJ892" s="151">
        <f t="shared" ref="AJ892:AL892" si="1774">P892-AE892</f>
        <v>0</v>
      </c>
      <c r="AK892" s="151">
        <f t="shared" si="1774"/>
        <v>0</v>
      </c>
      <c r="AL892" s="151">
        <f t="shared" si="1774"/>
        <v>0</v>
      </c>
      <c r="AM892" s="145"/>
      <c r="AN892" s="315"/>
      <c r="AO892" s="315"/>
      <c r="AP892" s="315" t="s">
        <v>4047</v>
      </c>
      <c r="AQ892" s="145"/>
      <c r="AR892" s="145"/>
    </row>
    <row r="893" spans="1:44" s="156" customFormat="1" ht="78.75" x14ac:dyDescent="0.25">
      <c r="A893" s="143" t="s">
        <v>60</v>
      </c>
      <c r="B893" s="144">
        <v>880</v>
      </c>
      <c r="C893" s="143" t="s">
        <v>3993</v>
      </c>
      <c r="D893" s="143"/>
      <c r="E893" s="145"/>
      <c r="F893" s="145"/>
      <c r="G893" s="143" t="s">
        <v>3994</v>
      </c>
      <c r="H893" s="143"/>
      <c r="I893" s="143"/>
      <c r="J893" s="143"/>
      <c r="K893" s="143"/>
      <c r="L893" s="143" t="s">
        <v>3995</v>
      </c>
      <c r="M893" s="143" t="s">
        <v>43</v>
      </c>
      <c r="N893" s="143" t="s">
        <v>212</v>
      </c>
      <c r="O893" s="147">
        <v>564348340</v>
      </c>
      <c r="P893" s="150"/>
      <c r="Q893" s="169">
        <v>15000000</v>
      </c>
      <c r="R893" s="150"/>
      <c r="S893" s="147">
        <f t="shared" si="1542"/>
        <v>579348340</v>
      </c>
      <c r="T893" s="158">
        <v>564348340</v>
      </c>
      <c r="U893" s="143"/>
      <c r="V893" s="157">
        <v>15000000</v>
      </c>
      <c r="W893" s="143"/>
      <c r="X893" s="143"/>
      <c r="Y893" s="152">
        <f t="shared" ref="Y893:AB893" si="1775">AD893-T893</f>
        <v>0</v>
      </c>
      <c r="Z893" s="151">
        <f t="shared" si="1775"/>
        <v>0</v>
      </c>
      <c r="AA893" s="151">
        <f t="shared" si="1775"/>
        <v>0</v>
      </c>
      <c r="AB893" s="151">
        <f t="shared" si="1775"/>
        <v>0</v>
      </c>
      <c r="AC893" s="143"/>
      <c r="AD893" s="149">
        <v>564348340</v>
      </c>
      <c r="AE893" s="170"/>
      <c r="AF893" s="148">
        <v>15000000</v>
      </c>
      <c r="AG893" s="170"/>
      <c r="AH893" s="143">
        <f t="shared" si="1544"/>
        <v>0</v>
      </c>
      <c r="AI893" s="151"/>
      <c r="AJ893" s="151">
        <f t="shared" ref="AJ893:AL893" si="1776">P893-AE893</f>
        <v>0</v>
      </c>
      <c r="AK893" s="151">
        <f t="shared" si="1776"/>
        <v>0</v>
      </c>
      <c r="AL893" s="151">
        <f t="shared" si="1776"/>
        <v>0</v>
      </c>
      <c r="AM893" s="313"/>
      <c r="AN893" s="266"/>
      <c r="AO893" s="266"/>
      <c r="AP893" s="266"/>
      <c r="AQ893" s="267"/>
      <c r="AR893" s="145"/>
    </row>
    <row r="894" spans="1:44" s="156" customFormat="1" ht="78.75" x14ac:dyDescent="0.25">
      <c r="A894" s="143" t="s">
        <v>35</v>
      </c>
      <c r="B894" s="144">
        <v>881</v>
      </c>
      <c r="C894" s="143" t="s">
        <v>3993</v>
      </c>
      <c r="D894" s="143"/>
      <c r="E894" s="145"/>
      <c r="F894" s="145"/>
      <c r="G894" s="143" t="s">
        <v>3996</v>
      </c>
      <c r="H894" s="143"/>
      <c r="I894" s="143"/>
      <c r="J894" s="143"/>
      <c r="K894" s="143"/>
      <c r="L894" s="143" t="s">
        <v>3997</v>
      </c>
      <c r="M894" s="143" t="s">
        <v>43</v>
      </c>
      <c r="N894" s="143" t="s">
        <v>212</v>
      </c>
      <c r="O894" s="147">
        <v>589933648</v>
      </c>
      <c r="P894" s="150"/>
      <c r="Q894" s="148">
        <v>15000000</v>
      </c>
      <c r="R894" s="150"/>
      <c r="S894" s="147">
        <f t="shared" si="1542"/>
        <v>604933648</v>
      </c>
      <c r="T894" s="158">
        <v>589933648</v>
      </c>
      <c r="U894" s="143"/>
      <c r="V894" s="157">
        <v>15000000</v>
      </c>
      <c r="W894" s="143"/>
      <c r="X894" s="143"/>
      <c r="Y894" s="152">
        <f t="shared" ref="Y894:AB894" si="1777">AD894-T894</f>
        <v>0</v>
      </c>
      <c r="Z894" s="151">
        <f t="shared" si="1777"/>
        <v>0</v>
      </c>
      <c r="AA894" s="151">
        <f t="shared" si="1777"/>
        <v>0</v>
      </c>
      <c r="AB894" s="151">
        <f t="shared" si="1777"/>
        <v>0</v>
      </c>
      <c r="AC894" s="143"/>
      <c r="AD894" s="149">
        <v>589933648</v>
      </c>
      <c r="AE894" s="150"/>
      <c r="AF894" s="148">
        <v>15000000</v>
      </c>
      <c r="AG894" s="150"/>
      <c r="AH894" s="143">
        <f t="shared" si="1544"/>
        <v>0</v>
      </c>
      <c r="AI894" s="151"/>
      <c r="AJ894" s="151">
        <f t="shared" ref="AJ894:AL894" si="1778">P894-AE894</f>
        <v>0</v>
      </c>
      <c r="AK894" s="151">
        <f t="shared" si="1778"/>
        <v>0</v>
      </c>
      <c r="AL894" s="151">
        <f t="shared" si="1778"/>
        <v>0</v>
      </c>
      <c r="AM894" s="313"/>
      <c r="AN894" s="266"/>
      <c r="AO894" s="266"/>
      <c r="AP894" s="266"/>
      <c r="AQ894" s="267"/>
      <c r="AR894" s="145"/>
    </row>
    <row r="895" spans="1:44" s="156" customFormat="1" ht="78.75" x14ac:dyDescent="0.25">
      <c r="A895" s="143" t="s">
        <v>35</v>
      </c>
      <c r="B895" s="144">
        <v>882</v>
      </c>
      <c r="C895" s="143" t="s">
        <v>3993</v>
      </c>
      <c r="D895" s="143"/>
      <c r="E895" s="145"/>
      <c r="F895" s="145"/>
      <c r="G895" s="143" t="s">
        <v>3998</v>
      </c>
      <c r="H895" s="143"/>
      <c r="I895" s="143"/>
      <c r="J895" s="143"/>
      <c r="K895" s="143"/>
      <c r="L895" s="143" t="s">
        <v>3999</v>
      </c>
      <c r="M895" s="143" t="s">
        <v>43</v>
      </c>
      <c r="N895" s="143" t="s">
        <v>212</v>
      </c>
      <c r="O895" s="147">
        <v>396622432</v>
      </c>
      <c r="P895" s="150"/>
      <c r="Q895" s="148">
        <v>15000000</v>
      </c>
      <c r="R895" s="150"/>
      <c r="S895" s="147">
        <f t="shared" si="1542"/>
        <v>411622432</v>
      </c>
      <c r="T895" s="158">
        <v>396622432</v>
      </c>
      <c r="U895" s="143"/>
      <c r="V895" s="147">
        <v>15000000</v>
      </c>
      <c r="W895" s="143"/>
      <c r="X895" s="143"/>
      <c r="Y895" s="152">
        <f t="shared" ref="Y895:AB895" si="1779">AD895-T895</f>
        <v>0</v>
      </c>
      <c r="Z895" s="151">
        <f t="shared" si="1779"/>
        <v>0</v>
      </c>
      <c r="AA895" s="151">
        <f t="shared" si="1779"/>
        <v>0</v>
      </c>
      <c r="AB895" s="151">
        <f t="shared" si="1779"/>
        <v>0</v>
      </c>
      <c r="AC895" s="143"/>
      <c r="AD895" s="149">
        <v>396622432</v>
      </c>
      <c r="AE895" s="150"/>
      <c r="AF895" s="148">
        <v>15000000</v>
      </c>
      <c r="AG895" s="150"/>
      <c r="AH895" s="143">
        <f t="shared" si="1544"/>
        <v>0</v>
      </c>
      <c r="AI895" s="151"/>
      <c r="AJ895" s="151">
        <f t="shared" ref="AJ895:AL895" si="1780">P895-AE895</f>
        <v>0</v>
      </c>
      <c r="AK895" s="151">
        <f t="shared" si="1780"/>
        <v>0</v>
      </c>
      <c r="AL895" s="151">
        <f t="shared" si="1780"/>
        <v>0</v>
      </c>
      <c r="AM895" s="313"/>
      <c r="AN895" s="266"/>
      <c r="AO895" s="266"/>
      <c r="AP895" s="266"/>
      <c r="AQ895" s="267"/>
      <c r="AR895" s="145"/>
    </row>
    <row r="896" spans="1:44" s="156" customFormat="1" ht="47.25" x14ac:dyDescent="0.25">
      <c r="A896" s="143" t="s">
        <v>35</v>
      </c>
      <c r="B896" s="144">
        <v>883</v>
      </c>
      <c r="C896" s="143" t="s">
        <v>4000</v>
      </c>
      <c r="D896" s="143"/>
      <c r="E896" s="145"/>
      <c r="F896" s="145"/>
      <c r="G896" s="143" t="s">
        <v>4001</v>
      </c>
      <c r="H896" s="143"/>
      <c r="I896" s="143"/>
      <c r="J896" s="143"/>
      <c r="K896" s="143"/>
      <c r="L896" s="143" t="s">
        <v>4002</v>
      </c>
      <c r="M896" s="143" t="s">
        <v>43</v>
      </c>
      <c r="N896" s="143" t="s">
        <v>4003</v>
      </c>
      <c r="O896" s="147">
        <v>149778000</v>
      </c>
      <c r="P896" s="150"/>
      <c r="Q896" s="150"/>
      <c r="R896" s="150"/>
      <c r="S896" s="147">
        <f t="shared" si="1542"/>
        <v>149778000</v>
      </c>
      <c r="T896" s="143"/>
      <c r="U896" s="143"/>
      <c r="V896" s="157"/>
      <c r="W896" s="143"/>
      <c r="X896" s="143"/>
      <c r="Y896" s="152">
        <f t="shared" ref="Y896:AB896" si="1781">AD896-T896</f>
        <v>0</v>
      </c>
      <c r="Z896" s="151">
        <f t="shared" si="1781"/>
        <v>0</v>
      </c>
      <c r="AA896" s="151">
        <f t="shared" si="1781"/>
        <v>0</v>
      </c>
      <c r="AB896" s="151">
        <f t="shared" si="1781"/>
        <v>0</v>
      </c>
      <c r="AC896" s="143"/>
      <c r="AD896" s="155"/>
      <c r="AE896" s="150"/>
      <c r="AF896" s="150"/>
      <c r="AG896" s="150"/>
      <c r="AH896" s="143">
        <f t="shared" si="1544"/>
        <v>0</v>
      </c>
      <c r="AI896" s="151">
        <v>149778000</v>
      </c>
      <c r="AJ896" s="151">
        <f t="shared" ref="AJ896:AL896" si="1782">P896-AE896</f>
        <v>0</v>
      </c>
      <c r="AK896" s="151">
        <f t="shared" si="1782"/>
        <v>0</v>
      </c>
      <c r="AL896" s="151">
        <f t="shared" si="1782"/>
        <v>0</v>
      </c>
      <c r="AM896" s="313"/>
      <c r="AN896" s="252"/>
      <c r="AO896" s="266"/>
      <c r="AP896" s="266"/>
      <c r="AQ896" s="314"/>
      <c r="AR896" s="218"/>
    </row>
    <row r="897" spans="1:44" s="156" customFormat="1" ht="47.25" x14ac:dyDescent="0.25">
      <c r="A897" s="143" t="s">
        <v>35</v>
      </c>
      <c r="B897" s="144">
        <v>884</v>
      </c>
      <c r="C897" s="143" t="s">
        <v>4000</v>
      </c>
      <c r="D897" s="143"/>
      <c r="E897" s="145"/>
      <c r="F897" s="145"/>
      <c r="G897" s="143" t="s">
        <v>1363</v>
      </c>
      <c r="H897" s="143"/>
      <c r="I897" s="143"/>
      <c r="J897" s="143"/>
      <c r="K897" s="143"/>
      <c r="L897" s="143" t="s">
        <v>4002</v>
      </c>
      <c r="M897" s="143" t="s">
        <v>43</v>
      </c>
      <c r="N897" s="143" t="s">
        <v>4004</v>
      </c>
      <c r="O897" s="147">
        <v>95035000</v>
      </c>
      <c r="P897" s="150"/>
      <c r="Q897" s="150"/>
      <c r="R897" s="150"/>
      <c r="S897" s="147">
        <f t="shared" si="1542"/>
        <v>95035000</v>
      </c>
      <c r="T897" s="143"/>
      <c r="U897" s="143"/>
      <c r="V897" s="157"/>
      <c r="W897" s="143"/>
      <c r="X897" s="143"/>
      <c r="Y897" s="152">
        <f t="shared" ref="Y897:AB897" si="1783">AD897-T897</f>
        <v>0</v>
      </c>
      <c r="Z897" s="151">
        <f t="shared" si="1783"/>
        <v>0</v>
      </c>
      <c r="AA897" s="151">
        <f t="shared" si="1783"/>
        <v>0</v>
      </c>
      <c r="AB897" s="151">
        <f t="shared" si="1783"/>
        <v>0</v>
      </c>
      <c r="AC897" s="143"/>
      <c r="AD897" s="155"/>
      <c r="AE897" s="150"/>
      <c r="AF897" s="150"/>
      <c r="AG897" s="150"/>
      <c r="AH897" s="143">
        <f t="shared" si="1544"/>
        <v>0</v>
      </c>
      <c r="AI897" s="151">
        <v>95035000</v>
      </c>
      <c r="AJ897" s="151">
        <f t="shared" ref="AJ897:AL897" si="1784">P897-AE897</f>
        <v>0</v>
      </c>
      <c r="AK897" s="151">
        <f t="shared" si="1784"/>
        <v>0</v>
      </c>
      <c r="AL897" s="151">
        <f t="shared" si="1784"/>
        <v>0</v>
      </c>
      <c r="AM897" s="313"/>
      <c r="AN897" s="252"/>
      <c r="AO897" s="266"/>
      <c r="AP897" s="266"/>
      <c r="AQ897" s="314"/>
      <c r="AR897" s="218"/>
    </row>
    <row r="898" spans="1:44" s="122" customFormat="1" ht="15" customHeight="1" x14ac:dyDescent="0.25">
      <c r="AQ898" s="142"/>
      <c r="AR898" s="142"/>
    </row>
  </sheetData>
  <autoFilter ref="A13:BJ897" xr:uid="{00000000-0009-0000-0000-000000000000}"/>
  <mergeCells count="28">
    <mergeCell ref="AM10:AM11"/>
    <mergeCell ref="AN10:AQ10"/>
    <mergeCell ref="I5:I8"/>
    <mergeCell ref="B6:E6"/>
    <mergeCell ref="B7:E7"/>
    <mergeCell ref="B8:E8"/>
    <mergeCell ref="B4:E4"/>
    <mergeCell ref="B5:E5"/>
    <mergeCell ref="B1:K1"/>
    <mergeCell ref="AR10:AR11"/>
    <mergeCell ref="G10:G11"/>
    <mergeCell ref="H10:H11"/>
    <mergeCell ref="J10:J11"/>
    <mergeCell ref="K10:K11"/>
    <mergeCell ref="L10:L11"/>
    <mergeCell ref="M10:M11"/>
    <mergeCell ref="N10:N11"/>
    <mergeCell ref="O10:S10"/>
    <mergeCell ref="T10:X10"/>
    <mergeCell ref="Y10:AC10"/>
    <mergeCell ref="AD10:AH10"/>
    <mergeCell ref="AI10:AL10"/>
    <mergeCell ref="A10:A11"/>
    <mergeCell ref="I10:I11"/>
    <mergeCell ref="B10:B11"/>
    <mergeCell ref="C10:C11"/>
    <mergeCell ref="E10:E11"/>
    <mergeCell ref="F10:F11"/>
  </mergeCells>
  <pageMargins left="0.17" right="0.17" top="0.17" bottom="0.17" header="0" footer="0"/>
  <pageSetup paperSize="9" scale="55"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5D522-1DA3-477F-A551-B53C48923995}">
  <dimension ref="A2:P48"/>
  <sheetViews>
    <sheetView zoomScale="70" zoomScaleNormal="70" workbookViewId="0">
      <selection activeCell="M6" sqref="M6"/>
    </sheetView>
  </sheetViews>
  <sheetFormatPr defaultRowHeight="15" x14ac:dyDescent="0.25"/>
  <cols>
    <col min="2" max="2" width="15.7109375" customWidth="1"/>
    <col min="3" max="3" width="14.7109375" hidden="1" customWidth="1"/>
    <col min="4" max="4" width="18.7109375" hidden="1" customWidth="1"/>
    <col min="5" max="5" width="16.5703125" customWidth="1"/>
    <col min="6" max="6" width="14.140625" hidden="1" customWidth="1"/>
    <col min="7" max="7" width="21.140625" style="220" bestFit="1" customWidth="1"/>
    <col min="8" max="8" width="8.42578125" hidden="1" customWidth="1"/>
    <col min="9" max="9" width="6.42578125" hidden="1" customWidth="1"/>
    <col min="10" max="10" width="31.5703125" style="220" customWidth="1"/>
    <col min="12" max="12" width="31.28515625" style="220" customWidth="1"/>
    <col min="13" max="13" width="16.85546875" customWidth="1"/>
    <col min="14" max="14" width="16.7109375" customWidth="1"/>
    <col min="15" max="15" width="26.7109375" style="220" customWidth="1"/>
  </cols>
  <sheetData>
    <row r="2" spans="1:16" s="254" customFormat="1" ht="50.45" customHeight="1" x14ac:dyDescent="0.25">
      <c r="A2" s="223" t="s">
        <v>3</v>
      </c>
      <c r="B2" s="224" t="s">
        <v>5</v>
      </c>
      <c r="C2" s="224" t="s">
        <v>6</v>
      </c>
      <c r="D2" s="224" t="s">
        <v>7</v>
      </c>
      <c r="E2" s="224" t="s">
        <v>8</v>
      </c>
      <c r="F2" s="224" t="s">
        <v>9</v>
      </c>
      <c r="G2" s="224" t="s">
        <v>10</v>
      </c>
      <c r="H2" s="224" t="s">
        <v>32</v>
      </c>
      <c r="I2" s="224" t="s">
        <v>33</v>
      </c>
      <c r="J2" s="224" t="s">
        <v>34</v>
      </c>
      <c r="K2" s="223" t="s">
        <v>12</v>
      </c>
      <c r="L2" s="223" t="s">
        <v>14</v>
      </c>
      <c r="M2" s="228" t="s">
        <v>4048</v>
      </c>
      <c r="N2" s="223" t="s">
        <v>4054</v>
      </c>
      <c r="O2" s="223" t="s">
        <v>4050</v>
      </c>
      <c r="P2" s="223" t="s">
        <v>4051</v>
      </c>
    </row>
    <row r="3" spans="1:16" s="254" customFormat="1" ht="15.75" x14ac:dyDescent="0.25">
      <c r="A3" s="223"/>
      <c r="B3" s="224"/>
      <c r="C3" s="224"/>
      <c r="D3" s="224"/>
      <c r="E3" s="224"/>
      <c r="F3" s="224"/>
      <c r="G3" s="224"/>
      <c r="H3" s="224"/>
      <c r="I3" s="224"/>
      <c r="J3" s="224"/>
      <c r="K3" s="223"/>
      <c r="L3" s="223"/>
      <c r="M3" s="228"/>
      <c r="N3" s="228">
        <f>COUNT(N4:N48)</f>
        <v>45</v>
      </c>
      <c r="O3" s="223"/>
      <c r="P3" s="223"/>
    </row>
    <row r="4" spans="1:16" ht="47.25" x14ac:dyDescent="0.25">
      <c r="A4" s="144">
        <v>1</v>
      </c>
      <c r="B4" s="143" t="s">
        <v>141</v>
      </c>
      <c r="C4" s="143"/>
      <c r="D4" s="164"/>
      <c r="E4" s="143" t="s">
        <v>160</v>
      </c>
      <c r="F4" s="143"/>
      <c r="G4" s="143"/>
      <c r="H4" s="143"/>
      <c r="I4" s="143"/>
      <c r="J4" s="143" t="s">
        <v>161</v>
      </c>
      <c r="K4" s="143" t="s">
        <v>43</v>
      </c>
      <c r="L4" s="143" t="s">
        <v>162</v>
      </c>
      <c r="M4" s="147">
        <v>2559814110</v>
      </c>
      <c r="N4" s="151">
        <v>2559814110</v>
      </c>
      <c r="O4" s="176" t="s">
        <v>336</v>
      </c>
      <c r="P4" s="143"/>
    </row>
    <row r="5" spans="1:16" ht="47.25" x14ac:dyDescent="0.25">
      <c r="A5" s="144">
        <v>2</v>
      </c>
      <c r="B5" s="143" t="s">
        <v>777</v>
      </c>
      <c r="C5" s="143"/>
      <c r="D5" s="164"/>
      <c r="E5" s="143" t="s">
        <v>799</v>
      </c>
      <c r="F5" s="143"/>
      <c r="G5" s="143"/>
      <c r="H5" s="143"/>
      <c r="I5" s="143"/>
      <c r="J5" s="143" t="s">
        <v>800</v>
      </c>
      <c r="K5" s="143" t="s">
        <v>43</v>
      </c>
      <c r="L5" s="143" t="s">
        <v>801</v>
      </c>
      <c r="M5" s="147">
        <v>36040032</v>
      </c>
      <c r="N5" s="151">
        <v>36040032</v>
      </c>
      <c r="O5" s="176" t="s">
        <v>336</v>
      </c>
      <c r="P5" s="143"/>
    </row>
    <row r="6" spans="1:16" ht="94.5" x14ac:dyDescent="0.25">
      <c r="A6" s="144">
        <v>3</v>
      </c>
      <c r="B6" s="143" t="s">
        <v>386</v>
      </c>
      <c r="C6" s="143" t="s">
        <v>1479</v>
      </c>
      <c r="D6" s="164"/>
      <c r="E6" s="143" t="s">
        <v>1480</v>
      </c>
      <c r="F6" s="143" t="s">
        <v>1481</v>
      </c>
      <c r="G6" s="143"/>
      <c r="H6" s="143"/>
      <c r="I6" s="143"/>
      <c r="J6" s="143" t="s">
        <v>1482</v>
      </c>
      <c r="K6" s="143" t="s">
        <v>43</v>
      </c>
      <c r="L6" s="143" t="s">
        <v>1483</v>
      </c>
      <c r="M6" s="147">
        <v>2265222670</v>
      </c>
      <c r="N6" s="151">
        <v>2265222670</v>
      </c>
      <c r="O6" s="176" t="s">
        <v>2160</v>
      </c>
      <c r="P6" s="143"/>
    </row>
    <row r="7" spans="1:16" ht="78.75" x14ac:dyDescent="0.25">
      <c r="A7" s="144">
        <v>4</v>
      </c>
      <c r="B7" s="143" t="s">
        <v>1018</v>
      </c>
      <c r="C7" s="143"/>
      <c r="D7" s="164"/>
      <c r="E7" s="143" t="s">
        <v>1722</v>
      </c>
      <c r="F7" s="143"/>
      <c r="G7" s="143"/>
      <c r="H7" s="143"/>
      <c r="I7" s="143"/>
      <c r="J7" s="143" t="s">
        <v>1723</v>
      </c>
      <c r="K7" s="143" t="s">
        <v>43</v>
      </c>
      <c r="L7" s="143" t="s">
        <v>1724</v>
      </c>
      <c r="M7" s="147">
        <v>4789848</v>
      </c>
      <c r="N7" s="151">
        <v>4789848</v>
      </c>
      <c r="O7" s="176" t="s">
        <v>336</v>
      </c>
      <c r="P7" s="143"/>
    </row>
    <row r="8" spans="1:16" ht="47.25" x14ac:dyDescent="0.25">
      <c r="A8" s="144">
        <v>5</v>
      </c>
      <c r="B8" s="143" t="s">
        <v>1136</v>
      </c>
      <c r="C8" s="143"/>
      <c r="D8" s="164"/>
      <c r="E8" s="143" t="s">
        <v>1896</v>
      </c>
      <c r="F8" s="143"/>
      <c r="G8" s="143"/>
      <c r="H8" s="143"/>
      <c r="I8" s="143"/>
      <c r="J8" s="143" t="s">
        <v>1897</v>
      </c>
      <c r="K8" s="143" t="s">
        <v>43</v>
      </c>
      <c r="L8" s="143" t="s">
        <v>1898</v>
      </c>
      <c r="M8" s="147">
        <v>3467851106</v>
      </c>
      <c r="N8" s="151">
        <v>3467851106</v>
      </c>
      <c r="O8" s="176" t="s">
        <v>2160</v>
      </c>
      <c r="P8" s="143"/>
    </row>
    <row r="9" spans="1:16" ht="47.25" x14ac:dyDescent="0.25">
      <c r="A9" s="144">
        <v>6</v>
      </c>
      <c r="B9" s="143" t="s">
        <v>1136</v>
      </c>
      <c r="C9" s="143"/>
      <c r="D9" s="164"/>
      <c r="E9" s="143" t="s">
        <v>1936</v>
      </c>
      <c r="F9" s="143"/>
      <c r="G9" s="143"/>
      <c r="H9" s="143"/>
      <c r="I9" s="143"/>
      <c r="J9" s="143" t="s">
        <v>1938</v>
      </c>
      <c r="K9" s="143" t="s">
        <v>43</v>
      </c>
      <c r="L9" s="143" t="s">
        <v>1940</v>
      </c>
      <c r="M9" s="147">
        <v>8181354</v>
      </c>
      <c r="N9" s="151">
        <v>8181354</v>
      </c>
      <c r="O9" s="176" t="s">
        <v>2160</v>
      </c>
      <c r="P9" s="143"/>
    </row>
    <row r="10" spans="1:16" ht="47.25" x14ac:dyDescent="0.25">
      <c r="A10" s="144">
        <v>7</v>
      </c>
      <c r="B10" s="143" t="s">
        <v>1136</v>
      </c>
      <c r="C10" s="143"/>
      <c r="D10" s="164"/>
      <c r="E10" s="143" t="s">
        <v>1958</v>
      </c>
      <c r="F10" s="143"/>
      <c r="G10" s="143"/>
      <c r="H10" s="143"/>
      <c r="I10" s="143"/>
      <c r="J10" s="143" t="s">
        <v>1959</v>
      </c>
      <c r="K10" s="143" t="s">
        <v>43</v>
      </c>
      <c r="L10" s="143" t="s">
        <v>1960</v>
      </c>
      <c r="M10" s="147">
        <v>2575548192</v>
      </c>
      <c r="N10" s="151">
        <v>2575548192</v>
      </c>
      <c r="O10" s="176" t="s">
        <v>336</v>
      </c>
      <c r="P10" s="143"/>
    </row>
    <row r="11" spans="1:16" ht="47.25" x14ac:dyDescent="0.25">
      <c r="A11" s="144">
        <v>8</v>
      </c>
      <c r="B11" s="143" t="s">
        <v>37</v>
      </c>
      <c r="C11" s="143"/>
      <c r="D11" s="164"/>
      <c r="E11" s="143" t="s">
        <v>2110</v>
      </c>
      <c r="F11" s="143"/>
      <c r="G11" s="143"/>
      <c r="H11" s="143"/>
      <c r="I11" s="143"/>
      <c r="J11" s="143" t="s">
        <v>2</v>
      </c>
      <c r="K11" s="143" t="s">
        <v>43</v>
      </c>
      <c r="L11" s="143" t="s">
        <v>2111</v>
      </c>
      <c r="M11" s="147">
        <v>7304980</v>
      </c>
      <c r="N11" s="151">
        <v>7304980</v>
      </c>
      <c r="O11" s="176" t="s">
        <v>2750</v>
      </c>
      <c r="P11" s="143"/>
    </row>
    <row r="12" spans="1:16" ht="110.25" x14ac:dyDescent="0.25">
      <c r="A12" s="144">
        <v>9</v>
      </c>
      <c r="B12" s="143" t="s">
        <v>37</v>
      </c>
      <c r="C12" s="143"/>
      <c r="D12" s="164"/>
      <c r="E12" s="143" t="s">
        <v>2211</v>
      </c>
      <c r="F12" s="143" t="s">
        <v>2212</v>
      </c>
      <c r="G12" s="143"/>
      <c r="H12" s="143"/>
      <c r="I12" s="143"/>
      <c r="J12" s="143" t="s">
        <v>2213</v>
      </c>
      <c r="K12" s="143" t="s">
        <v>43</v>
      </c>
      <c r="L12" s="143" t="s">
        <v>2214</v>
      </c>
      <c r="M12" s="147">
        <v>7228048500</v>
      </c>
      <c r="N12" s="151">
        <v>7228048500</v>
      </c>
      <c r="O12" s="176" t="s">
        <v>2965</v>
      </c>
      <c r="P12" s="143"/>
    </row>
    <row r="13" spans="1:16" ht="47.25" x14ac:dyDescent="0.25">
      <c r="A13" s="144">
        <v>10</v>
      </c>
      <c r="B13" s="143" t="s">
        <v>37</v>
      </c>
      <c r="C13" s="143"/>
      <c r="D13" s="164"/>
      <c r="E13" s="143" t="s">
        <v>2325</v>
      </c>
      <c r="F13" s="143"/>
      <c r="G13" s="143"/>
      <c r="H13" s="143"/>
      <c r="I13" s="143"/>
      <c r="J13" s="143" t="s">
        <v>2326</v>
      </c>
      <c r="K13" s="143" t="s">
        <v>43</v>
      </c>
      <c r="L13" s="143" t="s">
        <v>137</v>
      </c>
      <c r="M13" s="147">
        <v>10000000</v>
      </c>
      <c r="N13" s="151">
        <v>10000000</v>
      </c>
      <c r="O13" s="176" t="s">
        <v>2160</v>
      </c>
      <c r="P13" s="143"/>
    </row>
    <row r="14" spans="1:16" ht="47.25" x14ac:dyDescent="0.25">
      <c r="A14" s="144">
        <v>11</v>
      </c>
      <c r="B14" s="143" t="s">
        <v>163</v>
      </c>
      <c r="C14" s="143"/>
      <c r="D14" s="164"/>
      <c r="E14" s="143" t="s">
        <v>2482</v>
      </c>
      <c r="F14" s="143"/>
      <c r="G14" s="143"/>
      <c r="H14" s="143"/>
      <c r="I14" s="143"/>
      <c r="J14" s="143" t="s">
        <v>2483</v>
      </c>
      <c r="K14" s="143" t="s">
        <v>43</v>
      </c>
      <c r="L14" s="143" t="s">
        <v>2484</v>
      </c>
      <c r="M14" s="147">
        <v>10000000</v>
      </c>
      <c r="N14" s="151">
        <v>10000000</v>
      </c>
      <c r="O14" s="176" t="s">
        <v>2160</v>
      </c>
      <c r="P14" s="143"/>
    </row>
    <row r="15" spans="1:16" ht="47.25" x14ac:dyDescent="0.25">
      <c r="A15" s="144">
        <v>12</v>
      </c>
      <c r="B15" s="143" t="s">
        <v>163</v>
      </c>
      <c r="C15" s="143"/>
      <c r="D15" s="164"/>
      <c r="E15" s="143" t="s">
        <v>2498</v>
      </c>
      <c r="F15" s="143"/>
      <c r="G15" s="143"/>
      <c r="H15" s="143"/>
      <c r="I15" s="143"/>
      <c r="J15" s="143" t="s">
        <v>2499</v>
      </c>
      <c r="K15" s="143" t="s">
        <v>43</v>
      </c>
      <c r="L15" s="143" t="s">
        <v>2500</v>
      </c>
      <c r="M15" s="147">
        <v>6416500</v>
      </c>
      <c r="N15" s="151">
        <v>6416500</v>
      </c>
      <c r="O15" s="176" t="s">
        <v>2160</v>
      </c>
      <c r="P15" s="143"/>
    </row>
    <row r="16" spans="1:16" ht="47.25" x14ac:dyDescent="0.25">
      <c r="A16" s="144">
        <v>13</v>
      </c>
      <c r="B16" s="143" t="s">
        <v>163</v>
      </c>
      <c r="C16" s="143"/>
      <c r="D16" s="164"/>
      <c r="E16" s="143" t="s">
        <v>2545</v>
      </c>
      <c r="F16" s="143"/>
      <c r="G16" s="143"/>
      <c r="H16" s="143"/>
      <c r="I16" s="143"/>
      <c r="J16" s="143" t="s">
        <v>2546</v>
      </c>
      <c r="K16" s="143" t="s">
        <v>43</v>
      </c>
      <c r="L16" s="143" t="s">
        <v>2547</v>
      </c>
      <c r="M16" s="147">
        <v>10000000</v>
      </c>
      <c r="N16" s="151">
        <v>10000000</v>
      </c>
      <c r="O16" s="176" t="s">
        <v>3471</v>
      </c>
      <c r="P16" s="143"/>
    </row>
    <row r="17" spans="1:16" ht="47.25" x14ac:dyDescent="0.25">
      <c r="A17" s="144">
        <v>14</v>
      </c>
      <c r="B17" s="143" t="s">
        <v>163</v>
      </c>
      <c r="C17" s="143"/>
      <c r="D17" s="164"/>
      <c r="E17" s="143" t="s">
        <v>2549</v>
      </c>
      <c r="F17" s="143"/>
      <c r="G17" s="143"/>
      <c r="H17" s="143"/>
      <c r="I17" s="143"/>
      <c r="J17" s="143" t="s">
        <v>2550</v>
      </c>
      <c r="K17" s="143" t="s">
        <v>43</v>
      </c>
      <c r="L17" s="143" t="s">
        <v>2551</v>
      </c>
      <c r="M17" s="147">
        <v>6525000</v>
      </c>
      <c r="N17" s="151">
        <v>6525000</v>
      </c>
      <c r="O17" s="176" t="s">
        <v>2160</v>
      </c>
      <c r="P17" s="143"/>
    </row>
    <row r="18" spans="1:16" ht="47.25" x14ac:dyDescent="0.25">
      <c r="A18" s="144">
        <v>15</v>
      </c>
      <c r="B18" s="143" t="s">
        <v>163</v>
      </c>
      <c r="C18" s="143"/>
      <c r="D18" s="164"/>
      <c r="E18" s="143" t="s">
        <v>2590</v>
      </c>
      <c r="F18" s="143"/>
      <c r="G18" s="143"/>
      <c r="H18" s="143"/>
      <c r="I18" s="143"/>
      <c r="J18" s="143" t="s">
        <v>2591</v>
      </c>
      <c r="K18" s="143" t="s">
        <v>43</v>
      </c>
      <c r="L18" s="143" t="s">
        <v>2592</v>
      </c>
      <c r="M18" s="147">
        <v>3075917326</v>
      </c>
      <c r="N18" s="151">
        <v>3075917326</v>
      </c>
      <c r="O18" s="176" t="s">
        <v>2160</v>
      </c>
      <c r="P18" s="143"/>
    </row>
    <row r="19" spans="1:16" ht="47.25" x14ac:dyDescent="0.25">
      <c r="A19" s="144">
        <v>16</v>
      </c>
      <c r="B19" s="143" t="s">
        <v>47</v>
      </c>
      <c r="C19" s="143" t="s">
        <v>2647</v>
      </c>
      <c r="D19" s="164"/>
      <c r="E19" s="143" t="s">
        <v>2648</v>
      </c>
      <c r="F19" s="143" t="s">
        <v>2649</v>
      </c>
      <c r="G19" s="143"/>
      <c r="H19" s="143"/>
      <c r="I19" s="143"/>
      <c r="J19" s="143" t="s">
        <v>2650</v>
      </c>
      <c r="K19" s="143" t="s">
        <v>43</v>
      </c>
      <c r="L19" s="143" t="s">
        <v>2651</v>
      </c>
      <c r="M19" s="147">
        <v>15629867106</v>
      </c>
      <c r="N19" s="151">
        <v>15629867106</v>
      </c>
      <c r="O19" s="176" t="s">
        <v>3526</v>
      </c>
      <c r="P19" s="143"/>
    </row>
    <row r="20" spans="1:16" ht="47.25" x14ac:dyDescent="0.25">
      <c r="A20" s="144">
        <v>17</v>
      </c>
      <c r="B20" s="143" t="s">
        <v>47</v>
      </c>
      <c r="C20" s="143"/>
      <c r="D20" s="164"/>
      <c r="E20" s="143" t="s">
        <v>2710</v>
      </c>
      <c r="F20" s="143"/>
      <c r="G20" s="143" t="s">
        <v>85</v>
      </c>
      <c r="H20" s="143"/>
      <c r="I20" s="143"/>
      <c r="J20" s="143" t="s">
        <v>2711</v>
      </c>
      <c r="K20" s="143" t="s">
        <v>43</v>
      </c>
      <c r="L20" s="143" t="s">
        <v>2712</v>
      </c>
      <c r="M20" s="147">
        <v>634835870</v>
      </c>
      <c r="N20" s="151">
        <v>634835870</v>
      </c>
      <c r="O20" s="176" t="s">
        <v>3616</v>
      </c>
      <c r="P20" s="143"/>
    </row>
    <row r="21" spans="1:16" ht="47.25" x14ac:dyDescent="0.25">
      <c r="A21" s="144">
        <v>18</v>
      </c>
      <c r="B21" s="143" t="s">
        <v>47</v>
      </c>
      <c r="C21" s="143"/>
      <c r="D21" s="164"/>
      <c r="E21" s="143" t="s">
        <v>2813</v>
      </c>
      <c r="F21" s="143"/>
      <c r="G21" s="143"/>
      <c r="H21" s="143"/>
      <c r="I21" s="143"/>
      <c r="J21" s="143" t="s">
        <v>2814</v>
      </c>
      <c r="K21" s="143" t="s">
        <v>43</v>
      </c>
      <c r="L21" s="143" t="s">
        <v>2815</v>
      </c>
      <c r="M21" s="147">
        <v>68947648</v>
      </c>
      <c r="N21" s="151">
        <v>68947648</v>
      </c>
      <c r="O21" s="176" t="s">
        <v>3471</v>
      </c>
      <c r="P21" s="143"/>
    </row>
    <row r="22" spans="1:16" ht="78.75" x14ac:dyDescent="0.25">
      <c r="A22" s="144">
        <v>19</v>
      </c>
      <c r="B22" s="143" t="s">
        <v>124</v>
      </c>
      <c r="C22" s="143"/>
      <c r="D22" s="143" t="s">
        <v>3754</v>
      </c>
      <c r="E22" s="143" t="s">
        <v>1052</v>
      </c>
      <c r="F22" s="143"/>
      <c r="G22" s="143"/>
      <c r="H22" s="143"/>
      <c r="I22" s="164"/>
      <c r="J22" s="143" t="s">
        <v>1053</v>
      </c>
      <c r="K22" s="143" t="s">
        <v>43</v>
      </c>
      <c r="L22" s="143" t="s">
        <v>1054</v>
      </c>
      <c r="M22" s="147">
        <v>3570553528</v>
      </c>
      <c r="N22" s="151">
        <v>3570553528</v>
      </c>
      <c r="O22" s="176" t="s">
        <v>2160</v>
      </c>
      <c r="P22" s="143"/>
    </row>
    <row r="23" spans="1:16" ht="47.25" x14ac:dyDescent="0.25">
      <c r="A23" s="144">
        <v>20</v>
      </c>
      <c r="B23" s="143" t="s">
        <v>124</v>
      </c>
      <c r="C23" s="143" t="s">
        <v>772</v>
      </c>
      <c r="D23" s="143" t="s">
        <v>757</v>
      </c>
      <c r="E23" s="143" t="s">
        <v>773</v>
      </c>
      <c r="F23" s="143" t="s">
        <v>774</v>
      </c>
      <c r="G23" s="143"/>
      <c r="H23" s="143"/>
      <c r="I23" s="164"/>
      <c r="J23" s="143" t="s">
        <v>775</v>
      </c>
      <c r="K23" s="143" t="s">
        <v>43</v>
      </c>
      <c r="L23" s="143" t="s">
        <v>776</v>
      </c>
      <c r="M23" s="147">
        <v>6096414328</v>
      </c>
      <c r="N23" s="151">
        <v>6096414328</v>
      </c>
      <c r="O23" s="162" t="s">
        <v>3808</v>
      </c>
      <c r="P23" s="143"/>
    </row>
    <row r="24" spans="1:16" ht="47.25" x14ac:dyDescent="0.25">
      <c r="A24" s="144">
        <v>21</v>
      </c>
      <c r="B24" s="143" t="s">
        <v>124</v>
      </c>
      <c r="C24" s="143"/>
      <c r="D24" s="164"/>
      <c r="E24" s="143" t="s">
        <v>2923</v>
      </c>
      <c r="F24" s="143"/>
      <c r="G24" s="143"/>
      <c r="H24" s="143"/>
      <c r="I24" s="143"/>
      <c r="J24" s="143" t="s">
        <v>2924</v>
      </c>
      <c r="K24" s="143" t="s">
        <v>43</v>
      </c>
      <c r="L24" s="143" t="s">
        <v>2925</v>
      </c>
      <c r="M24" s="147">
        <v>8035637053</v>
      </c>
      <c r="N24" s="151">
        <v>8035637053</v>
      </c>
      <c r="O24" s="176" t="s">
        <v>2160</v>
      </c>
      <c r="P24" s="143"/>
    </row>
    <row r="25" spans="1:16" ht="47.25" x14ac:dyDescent="0.25">
      <c r="A25" s="144">
        <v>22</v>
      </c>
      <c r="B25" s="143" t="s">
        <v>124</v>
      </c>
      <c r="C25" s="143"/>
      <c r="D25" s="143"/>
      <c r="E25" s="143" t="s">
        <v>2967</v>
      </c>
      <c r="F25" s="143"/>
      <c r="G25" s="143"/>
      <c r="H25" s="143"/>
      <c r="I25" s="143"/>
      <c r="J25" s="143" t="s">
        <v>2968</v>
      </c>
      <c r="K25" s="143" t="s">
        <v>43</v>
      </c>
      <c r="L25" s="143" t="s">
        <v>2969</v>
      </c>
      <c r="M25" s="147">
        <v>10000000</v>
      </c>
      <c r="N25" s="151">
        <v>10000000</v>
      </c>
      <c r="O25" s="176" t="s">
        <v>2160</v>
      </c>
      <c r="P25" s="143"/>
    </row>
    <row r="26" spans="1:16" ht="47.25" x14ac:dyDescent="0.25">
      <c r="A26" s="144">
        <v>23</v>
      </c>
      <c r="B26" s="143" t="s">
        <v>966</v>
      </c>
      <c r="C26" s="143"/>
      <c r="D26" s="143"/>
      <c r="E26" s="143" t="s">
        <v>3002</v>
      </c>
      <c r="F26" s="143"/>
      <c r="G26" s="143" t="s">
        <v>969</v>
      </c>
      <c r="H26" s="143"/>
      <c r="I26" s="143"/>
      <c r="J26" s="143" t="s">
        <v>3003</v>
      </c>
      <c r="K26" s="143" t="s">
        <v>43</v>
      </c>
      <c r="L26" s="143" t="s">
        <v>2969</v>
      </c>
      <c r="M26" s="147">
        <v>10000000</v>
      </c>
      <c r="N26" s="151">
        <v>10000000</v>
      </c>
      <c r="O26" s="176" t="s">
        <v>2160</v>
      </c>
      <c r="P26" s="143"/>
    </row>
    <row r="27" spans="1:16" ht="47.25" x14ac:dyDescent="0.25">
      <c r="A27" s="144">
        <v>24</v>
      </c>
      <c r="B27" s="143" t="s">
        <v>498</v>
      </c>
      <c r="C27" s="143" t="s">
        <v>3137</v>
      </c>
      <c r="D27" s="164"/>
      <c r="E27" s="143" t="s">
        <v>3138</v>
      </c>
      <c r="F27" s="143"/>
      <c r="G27" s="143"/>
      <c r="H27" s="143"/>
      <c r="I27" s="143"/>
      <c r="J27" s="143" t="s">
        <v>3139</v>
      </c>
      <c r="K27" s="143" t="s">
        <v>43</v>
      </c>
      <c r="L27" s="143" t="s">
        <v>3140</v>
      </c>
      <c r="M27" s="147">
        <v>4657154105</v>
      </c>
      <c r="N27" s="151">
        <v>4657154105</v>
      </c>
      <c r="O27" s="176" t="s">
        <v>4005</v>
      </c>
      <c r="P27" s="143"/>
    </row>
    <row r="28" spans="1:16" ht="47.25" x14ac:dyDescent="0.25">
      <c r="A28" s="144">
        <v>25</v>
      </c>
      <c r="B28" s="143" t="s">
        <v>498</v>
      </c>
      <c r="C28" s="143"/>
      <c r="D28" s="164"/>
      <c r="E28" s="143" t="s">
        <v>3217</v>
      </c>
      <c r="F28" s="143"/>
      <c r="G28" s="143"/>
      <c r="H28" s="143"/>
      <c r="I28" s="143"/>
      <c r="J28" s="143" t="s">
        <v>3218</v>
      </c>
      <c r="K28" s="143" t="s">
        <v>43</v>
      </c>
      <c r="L28" s="143" t="s">
        <v>3219</v>
      </c>
      <c r="M28" s="147">
        <v>3859546610</v>
      </c>
      <c r="N28" s="151">
        <v>3859546610</v>
      </c>
      <c r="O28" s="176" t="s">
        <v>3527</v>
      </c>
      <c r="P28" s="143"/>
    </row>
    <row r="29" spans="1:16" ht="47.25" x14ac:dyDescent="0.25">
      <c r="A29" s="144">
        <v>26</v>
      </c>
      <c r="B29" s="143" t="s">
        <v>53</v>
      </c>
      <c r="C29" s="143"/>
      <c r="D29" s="143"/>
      <c r="E29" s="143" t="s">
        <v>3342</v>
      </c>
      <c r="F29" s="143"/>
      <c r="G29" s="143"/>
      <c r="H29" s="143"/>
      <c r="I29" s="143"/>
      <c r="J29" s="143" t="s">
        <v>3343</v>
      </c>
      <c r="K29" s="143" t="s">
        <v>43</v>
      </c>
      <c r="L29" s="143" t="s">
        <v>3344</v>
      </c>
      <c r="M29" s="147">
        <v>4288374500</v>
      </c>
      <c r="N29" s="151">
        <v>4288374500</v>
      </c>
      <c r="O29" s="176" t="s">
        <v>3471</v>
      </c>
      <c r="P29" s="143"/>
    </row>
    <row r="30" spans="1:16" ht="47.25" x14ac:dyDescent="0.25">
      <c r="A30" s="144">
        <v>27</v>
      </c>
      <c r="B30" s="143" t="s">
        <v>53</v>
      </c>
      <c r="C30" s="143" t="s">
        <v>3664</v>
      </c>
      <c r="D30" s="143"/>
      <c r="E30" s="143" t="s">
        <v>3356</v>
      </c>
      <c r="F30" s="143" t="s">
        <v>3665</v>
      </c>
      <c r="G30" s="143" t="s">
        <v>321</v>
      </c>
      <c r="H30" s="143"/>
      <c r="I30" s="143"/>
      <c r="J30" s="143" t="s">
        <v>3357</v>
      </c>
      <c r="K30" s="143" t="s">
        <v>43</v>
      </c>
      <c r="L30" s="143" t="s">
        <v>3358</v>
      </c>
      <c r="M30" s="147">
        <v>1387021608</v>
      </c>
      <c r="N30" s="151">
        <v>1387021608</v>
      </c>
      <c r="O30" s="176" t="s">
        <v>4014</v>
      </c>
      <c r="P30" s="143"/>
    </row>
    <row r="31" spans="1:16" ht="70.900000000000006" customHeight="1" x14ac:dyDescent="0.25">
      <c r="A31" s="144">
        <v>28</v>
      </c>
      <c r="B31" s="143" t="s">
        <v>327</v>
      </c>
      <c r="C31" s="143" t="s">
        <v>3445</v>
      </c>
      <c r="D31" s="143"/>
      <c r="E31" s="143"/>
      <c r="F31" s="143"/>
      <c r="G31" s="143" t="s">
        <v>3446</v>
      </c>
      <c r="H31" s="143"/>
      <c r="I31" s="143"/>
      <c r="J31" s="143" t="s">
        <v>3447</v>
      </c>
      <c r="K31" s="143" t="s">
        <v>43</v>
      </c>
      <c r="L31" s="143" t="s">
        <v>3448</v>
      </c>
      <c r="M31" s="147">
        <v>10000000</v>
      </c>
      <c r="N31" s="151">
        <v>10000000</v>
      </c>
      <c r="O31" s="176" t="s">
        <v>4019</v>
      </c>
      <c r="P31" s="143"/>
    </row>
    <row r="32" spans="1:16" ht="63" x14ac:dyDescent="0.25">
      <c r="A32" s="144">
        <v>29</v>
      </c>
      <c r="B32" s="143" t="s">
        <v>67</v>
      </c>
      <c r="C32" s="143"/>
      <c r="D32" s="143"/>
      <c r="E32" s="143" t="s">
        <v>3478</v>
      </c>
      <c r="F32" s="143"/>
      <c r="G32" s="143"/>
      <c r="H32" s="143"/>
      <c r="I32" s="143"/>
      <c r="J32" s="143" t="s">
        <v>3479</v>
      </c>
      <c r="K32" s="143" t="s">
        <v>43</v>
      </c>
      <c r="L32" s="143" t="s">
        <v>3480</v>
      </c>
      <c r="M32" s="147">
        <v>2778910722</v>
      </c>
      <c r="N32" s="151">
        <v>2778910722</v>
      </c>
      <c r="O32" s="176" t="s">
        <v>3527</v>
      </c>
      <c r="P32" s="143"/>
    </row>
    <row r="33" spans="1:16" ht="83.45" customHeight="1" x14ac:dyDescent="0.25">
      <c r="A33" s="144">
        <v>30</v>
      </c>
      <c r="B33" s="143" t="s">
        <v>67</v>
      </c>
      <c r="C33" s="143" t="s">
        <v>3496</v>
      </c>
      <c r="D33" s="143"/>
      <c r="E33" s="143"/>
      <c r="F33" s="143"/>
      <c r="G33" s="143" t="s">
        <v>3501</v>
      </c>
      <c r="H33" s="143"/>
      <c r="I33" s="143"/>
      <c r="J33" s="143" t="s">
        <v>803</v>
      </c>
      <c r="K33" s="143" t="s">
        <v>43</v>
      </c>
      <c r="L33" s="143" t="s">
        <v>3499</v>
      </c>
      <c r="M33" s="147">
        <v>10000000</v>
      </c>
      <c r="N33" s="151">
        <v>10000000</v>
      </c>
      <c r="O33" s="176" t="s">
        <v>4019</v>
      </c>
      <c r="P33" s="143"/>
    </row>
    <row r="34" spans="1:16" ht="63" x14ac:dyDescent="0.25">
      <c r="A34" s="144">
        <v>31</v>
      </c>
      <c r="B34" s="143" t="s">
        <v>67</v>
      </c>
      <c r="C34" s="143"/>
      <c r="D34" s="143"/>
      <c r="E34" s="143" t="s">
        <v>3588</v>
      </c>
      <c r="F34" s="143"/>
      <c r="G34" s="143"/>
      <c r="H34" s="143"/>
      <c r="I34" s="143"/>
      <c r="J34" s="143" t="s">
        <v>3589</v>
      </c>
      <c r="K34" s="143" t="s">
        <v>43</v>
      </c>
      <c r="L34" s="143" t="s">
        <v>3590</v>
      </c>
      <c r="M34" s="147">
        <v>1242447888</v>
      </c>
      <c r="N34" s="151">
        <v>1242447888</v>
      </c>
      <c r="O34" s="176" t="s">
        <v>2160</v>
      </c>
      <c r="P34" s="143"/>
    </row>
    <row r="35" spans="1:16" ht="63" x14ac:dyDescent="0.25">
      <c r="A35" s="144">
        <v>32</v>
      </c>
      <c r="B35" s="143" t="s">
        <v>67</v>
      </c>
      <c r="C35" s="143" t="s">
        <v>3496</v>
      </c>
      <c r="D35" s="164"/>
      <c r="E35" s="143"/>
      <c r="F35" s="143"/>
      <c r="G35" s="143" t="s">
        <v>3610</v>
      </c>
      <c r="H35" s="143"/>
      <c r="I35" s="143"/>
      <c r="J35" s="143" t="s">
        <v>3611</v>
      </c>
      <c r="K35" s="143" t="s">
        <v>43</v>
      </c>
      <c r="L35" s="143" t="s">
        <v>735</v>
      </c>
      <c r="M35" s="147">
        <v>10000000</v>
      </c>
      <c r="N35" s="151">
        <v>10000000</v>
      </c>
      <c r="O35" s="176" t="s">
        <v>4019</v>
      </c>
      <c r="P35" s="143"/>
    </row>
    <row r="36" spans="1:16" ht="63" x14ac:dyDescent="0.25">
      <c r="A36" s="144">
        <v>33</v>
      </c>
      <c r="B36" s="143" t="s">
        <v>67</v>
      </c>
      <c r="C36" s="143"/>
      <c r="D36" s="143" t="s">
        <v>584</v>
      </c>
      <c r="E36" s="143" t="s">
        <v>597</v>
      </c>
      <c r="F36" s="143"/>
      <c r="G36" s="143"/>
      <c r="H36" s="143"/>
      <c r="I36" s="164"/>
      <c r="J36" s="143" t="s">
        <v>598</v>
      </c>
      <c r="K36" s="143" t="s">
        <v>43</v>
      </c>
      <c r="L36" s="143" t="s">
        <v>600</v>
      </c>
      <c r="M36" s="147">
        <v>5514125770</v>
      </c>
      <c r="N36" s="151">
        <v>5514125770</v>
      </c>
      <c r="O36" s="176" t="s">
        <v>2160</v>
      </c>
      <c r="P36" s="143"/>
    </row>
    <row r="37" spans="1:16" ht="63" x14ac:dyDescent="0.25">
      <c r="A37" s="144">
        <v>34</v>
      </c>
      <c r="B37" s="143" t="s">
        <v>67</v>
      </c>
      <c r="C37" s="143"/>
      <c r="D37" s="143"/>
      <c r="E37" s="143" t="s">
        <v>3713</v>
      </c>
      <c r="F37" s="143"/>
      <c r="G37" s="143"/>
      <c r="H37" s="143"/>
      <c r="I37" s="143"/>
      <c r="J37" s="143" t="s">
        <v>3714</v>
      </c>
      <c r="K37" s="143" t="s">
        <v>43</v>
      </c>
      <c r="L37" s="143" t="s">
        <v>3715</v>
      </c>
      <c r="M37" s="147">
        <v>14658797865</v>
      </c>
      <c r="N37" s="151">
        <v>14658797865</v>
      </c>
      <c r="O37" s="176" t="s">
        <v>2160</v>
      </c>
      <c r="P37" s="143"/>
    </row>
    <row r="38" spans="1:16" ht="47.25" x14ac:dyDescent="0.25">
      <c r="A38" s="144">
        <v>35</v>
      </c>
      <c r="B38" s="143" t="s">
        <v>89</v>
      </c>
      <c r="C38" s="143" t="s">
        <v>91</v>
      </c>
      <c r="D38" s="143" t="s">
        <v>92</v>
      </c>
      <c r="E38" s="143" t="s">
        <v>93</v>
      </c>
      <c r="F38" s="143" t="s">
        <v>94</v>
      </c>
      <c r="G38" s="143"/>
      <c r="H38" s="143"/>
      <c r="I38" s="164"/>
      <c r="J38" s="143" t="s">
        <v>95</v>
      </c>
      <c r="K38" s="143" t="s">
        <v>43</v>
      </c>
      <c r="L38" s="143" t="s">
        <v>96</v>
      </c>
      <c r="M38" s="147">
        <v>2652068258</v>
      </c>
      <c r="N38" s="151">
        <v>2652068258</v>
      </c>
      <c r="O38" s="162" t="s">
        <v>2160</v>
      </c>
      <c r="P38" s="143"/>
    </row>
    <row r="39" spans="1:16" ht="47.25" x14ac:dyDescent="0.25">
      <c r="A39" s="144">
        <v>36</v>
      </c>
      <c r="B39" s="143" t="s">
        <v>89</v>
      </c>
      <c r="C39" s="143" t="s">
        <v>3880</v>
      </c>
      <c r="D39" s="143"/>
      <c r="E39" s="143" t="s">
        <v>3881</v>
      </c>
      <c r="F39" s="143" t="s">
        <v>3882</v>
      </c>
      <c r="G39" s="143"/>
      <c r="H39" s="143"/>
      <c r="I39" s="143"/>
      <c r="J39" s="143" t="s">
        <v>3883</v>
      </c>
      <c r="K39" s="143" t="s">
        <v>43</v>
      </c>
      <c r="L39" s="143" t="s">
        <v>3865</v>
      </c>
      <c r="M39" s="147">
        <v>10000000</v>
      </c>
      <c r="N39" s="151">
        <v>10000000</v>
      </c>
      <c r="O39" s="162" t="s">
        <v>2160</v>
      </c>
      <c r="P39" s="143"/>
    </row>
    <row r="40" spans="1:16" ht="94.5" x14ac:dyDescent="0.25">
      <c r="A40" s="144">
        <v>37</v>
      </c>
      <c r="B40" s="143" t="s">
        <v>89</v>
      </c>
      <c r="C40" s="143" t="s">
        <v>278</v>
      </c>
      <c r="D40" s="143" t="s">
        <v>279</v>
      </c>
      <c r="E40" s="143" t="s">
        <v>280</v>
      </c>
      <c r="F40" s="143" t="s">
        <v>282</v>
      </c>
      <c r="G40" s="143"/>
      <c r="H40" s="143"/>
      <c r="I40" s="164"/>
      <c r="J40" s="143" t="s">
        <v>284</v>
      </c>
      <c r="K40" s="143" t="s">
        <v>43</v>
      </c>
      <c r="L40" s="143" t="s">
        <v>285</v>
      </c>
      <c r="M40" s="147">
        <v>10000000</v>
      </c>
      <c r="N40" s="151">
        <v>10000000</v>
      </c>
      <c r="O40" s="176" t="s">
        <v>4036</v>
      </c>
      <c r="P40" s="143"/>
    </row>
    <row r="41" spans="1:16" ht="47.25" x14ac:dyDescent="0.25">
      <c r="A41" s="144">
        <v>38</v>
      </c>
      <c r="B41" s="143" t="s">
        <v>89</v>
      </c>
      <c r="C41" s="143" t="s">
        <v>3445</v>
      </c>
      <c r="D41" s="143"/>
      <c r="E41" s="143"/>
      <c r="F41" s="143"/>
      <c r="G41" s="143" t="s">
        <v>3901</v>
      </c>
      <c r="H41" s="143"/>
      <c r="I41" s="143"/>
      <c r="J41" s="143" t="s">
        <v>3902</v>
      </c>
      <c r="K41" s="143" t="s">
        <v>43</v>
      </c>
      <c r="L41" s="143" t="s">
        <v>212</v>
      </c>
      <c r="M41" s="147">
        <v>10000000</v>
      </c>
      <c r="N41" s="151">
        <v>10000000</v>
      </c>
      <c r="O41" s="176" t="s">
        <v>4019</v>
      </c>
      <c r="P41" s="143"/>
    </row>
    <row r="42" spans="1:16" ht="47.25" x14ac:dyDescent="0.25">
      <c r="A42" s="144">
        <v>39</v>
      </c>
      <c r="B42" s="143" t="s">
        <v>89</v>
      </c>
      <c r="C42" s="143"/>
      <c r="D42" s="143"/>
      <c r="E42" s="143" t="s">
        <v>3908</v>
      </c>
      <c r="F42" s="143"/>
      <c r="G42" s="143"/>
      <c r="H42" s="143"/>
      <c r="I42" s="143"/>
      <c r="J42" s="143" t="s">
        <v>3909</v>
      </c>
      <c r="K42" s="143" t="s">
        <v>43</v>
      </c>
      <c r="L42" s="143" t="s">
        <v>745</v>
      </c>
      <c r="M42" s="147">
        <v>4969395064</v>
      </c>
      <c r="N42" s="151">
        <v>4969395064</v>
      </c>
      <c r="O42" s="176" t="s">
        <v>4038</v>
      </c>
      <c r="P42" s="143"/>
    </row>
    <row r="43" spans="1:16" ht="63" x14ac:dyDescent="0.25">
      <c r="A43" s="144">
        <v>40</v>
      </c>
      <c r="B43" s="143" t="s">
        <v>89</v>
      </c>
      <c r="C43" s="143" t="s">
        <v>3496</v>
      </c>
      <c r="D43" s="143"/>
      <c r="E43" s="143"/>
      <c r="F43" s="143"/>
      <c r="G43" s="143" t="s">
        <v>3915</v>
      </c>
      <c r="H43" s="143"/>
      <c r="I43" s="143"/>
      <c r="J43" s="143" t="s">
        <v>3916</v>
      </c>
      <c r="K43" s="143" t="s">
        <v>43</v>
      </c>
      <c r="L43" s="143" t="s">
        <v>212</v>
      </c>
      <c r="M43" s="147">
        <v>10000000</v>
      </c>
      <c r="N43" s="151">
        <v>10000000</v>
      </c>
      <c r="O43" s="176" t="s">
        <v>4019</v>
      </c>
      <c r="P43" s="143"/>
    </row>
    <row r="44" spans="1:16" ht="47.25" x14ac:dyDescent="0.25">
      <c r="A44" s="144">
        <v>41</v>
      </c>
      <c r="B44" s="143" t="s">
        <v>89</v>
      </c>
      <c r="C44" s="143"/>
      <c r="D44" s="143"/>
      <c r="E44" s="143" t="s">
        <v>3923</v>
      </c>
      <c r="F44" s="143"/>
      <c r="G44" s="143"/>
      <c r="H44" s="143"/>
      <c r="I44" s="143"/>
      <c r="J44" s="143" t="s">
        <v>3924</v>
      </c>
      <c r="K44" s="143" t="s">
        <v>43</v>
      </c>
      <c r="L44" s="143" t="s">
        <v>3925</v>
      </c>
      <c r="M44" s="147">
        <v>10000000</v>
      </c>
      <c r="N44" s="151">
        <v>10000000</v>
      </c>
      <c r="O44" s="176" t="s">
        <v>2160</v>
      </c>
      <c r="P44" s="143"/>
    </row>
    <row r="45" spans="1:16" ht="47.25" x14ac:dyDescent="0.25">
      <c r="A45" s="144">
        <v>42</v>
      </c>
      <c r="B45" s="143" t="s">
        <v>89</v>
      </c>
      <c r="C45" s="143" t="s">
        <v>3445</v>
      </c>
      <c r="D45" s="143"/>
      <c r="E45" s="143"/>
      <c r="F45" s="143"/>
      <c r="G45" s="143" t="s">
        <v>3927</v>
      </c>
      <c r="H45" s="143"/>
      <c r="I45" s="143"/>
      <c r="J45" s="143" t="s">
        <v>3928</v>
      </c>
      <c r="K45" s="143" t="s">
        <v>43</v>
      </c>
      <c r="L45" s="143" t="s">
        <v>212</v>
      </c>
      <c r="M45" s="147">
        <v>10000000</v>
      </c>
      <c r="N45" s="151">
        <v>10000000</v>
      </c>
      <c r="O45" s="176" t="s">
        <v>4019</v>
      </c>
      <c r="P45" s="143"/>
    </row>
    <row r="46" spans="1:16" ht="47.25" x14ac:dyDescent="0.25">
      <c r="A46" s="144">
        <v>43</v>
      </c>
      <c r="B46" s="143" t="s">
        <v>89</v>
      </c>
      <c r="C46" s="143"/>
      <c r="D46" s="143"/>
      <c r="E46" s="143" t="s">
        <v>3953</v>
      </c>
      <c r="F46" s="143"/>
      <c r="G46" s="143"/>
      <c r="H46" s="143"/>
      <c r="I46" s="143"/>
      <c r="J46" s="143" t="s">
        <v>3222</v>
      </c>
      <c r="K46" s="143" t="s">
        <v>43</v>
      </c>
      <c r="L46" s="143" t="s">
        <v>3954</v>
      </c>
      <c r="M46" s="147">
        <v>3398093390</v>
      </c>
      <c r="N46" s="151">
        <v>3398093390</v>
      </c>
      <c r="O46" s="176" t="s">
        <v>3526</v>
      </c>
      <c r="P46" s="143"/>
    </row>
    <row r="47" spans="1:16" ht="47.25" x14ac:dyDescent="0.25">
      <c r="A47" s="144">
        <v>44</v>
      </c>
      <c r="B47" s="143" t="s">
        <v>4000</v>
      </c>
      <c r="C47" s="143"/>
      <c r="D47" s="143"/>
      <c r="E47" s="143" t="s">
        <v>4001</v>
      </c>
      <c r="F47" s="143"/>
      <c r="G47" s="143"/>
      <c r="H47" s="143"/>
      <c r="I47" s="143"/>
      <c r="J47" s="143" t="s">
        <v>4002</v>
      </c>
      <c r="K47" s="143" t="s">
        <v>43</v>
      </c>
      <c r="L47" s="143" t="s">
        <v>4003</v>
      </c>
      <c r="M47" s="147">
        <v>149778000</v>
      </c>
      <c r="N47" s="151">
        <v>149778000</v>
      </c>
      <c r="O47" s="151"/>
      <c r="P47" s="143"/>
    </row>
    <row r="48" spans="1:16" ht="47.25" x14ac:dyDescent="0.25">
      <c r="A48" s="144">
        <v>45</v>
      </c>
      <c r="B48" s="143" t="s">
        <v>4000</v>
      </c>
      <c r="C48" s="143"/>
      <c r="D48" s="143"/>
      <c r="E48" s="143" t="s">
        <v>1363</v>
      </c>
      <c r="F48" s="143"/>
      <c r="G48" s="143"/>
      <c r="H48" s="143"/>
      <c r="I48" s="143"/>
      <c r="J48" s="143" t="s">
        <v>4002</v>
      </c>
      <c r="K48" s="143" t="s">
        <v>43</v>
      </c>
      <c r="L48" s="143" t="s">
        <v>4004</v>
      </c>
      <c r="M48" s="147">
        <v>95035000</v>
      </c>
      <c r="N48" s="151">
        <v>95035000</v>
      </c>
      <c r="O48" s="151"/>
      <c r="P48" s="14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32BCD-5099-4FD9-99FC-CE92B2854943}">
  <dimension ref="A2:Q24"/>
  <sheetViews>
    <sheetView zoomScale="70" zoomScaleNormal="70" workbookViewId="0">
      <selection activeCell="O3" sqref="O3"/>
    </sheetView>
  </sheetViews>
  <sheetFormatPr defaultRowHeight="15" x14ac:dyDescent="0.25"/>
  <cols>
    <col min="1" max="1" width="5.42578125" customWidth="1"/>
    <col min="2" max="2" width="17.42578125" customWidth="1"/>
    <col min="3" max="3" width="17.42578125" style="220" customWidth="1"/>
    <col min="4" max="4" width="17.42578125" hidden="1" customWidth="1"/>
    <col min="5" max="5" width="14" customWidth="1"/>
    <col min="6" max="6" width="15.42578125" customWidth="1"/>
    <col min="7" max="7" width="19.5703125" customWidth="1"/>
    <col min="8" max="9" width="0" hidden="1" customWidth="1"/>
    <col min="10" max="10" width="22.42578125" customWidth="1"/>
    <col min="12" max="12" width="29" customWidth="1"/>
    <col min="13" max="15" width="15.28515625" customWidth="1"/>
    <col min="16" max="16" width="24.5703125" style="222" customWidth="1"/>
    <col min="17" max="17" width="32.28515625" style="220" customWidth="1"/>
  </cols>
  <sheetData>
    <row r="2" spans="1:17" s="240" customFormat="1" ht="53.45" customHeight="1" x14ac:dyDescent="0.25">
      <c r="A2" s="223" t="s">
        <v>3</v>
      </c>
      <c r="B2" s="224" t="s">
        <v>5</v>
      </c>
      <c r="C2" s="224" t="s">
        <v>6</v>
      </c>
      <c r="D2" s="224" t="s">
        <v>7</v>
      </c>
      <c r="E2" s="224" t="s">
        <v>8</v>
      </c>
      <c r="F2" s="224" t="s">
        <v>9</v>
      </c>
      <c r="G2" s="224" t="s">
        <v>10</v>
      </c>
      <c r="H2" s="224" t="s">
        <v>32</v>
      </c>
      <c r="I2" s="224" t="s">
        <v>33</v>
      </c>
      <c r="J2" s="224" t="s">
        <v>34</v>
      </c>
      <c r="K2" s="223" t="s">
        <v>12</v>
      </c>
      <c r="L2" s="223" t="s">
        <v>14</v>
      </c>
      <c r="M2" s="227" t="s">
        <v>4048</v>
      </c>
      <c r="N2" s="228" t="s">
        <v>4049</v>
      </c>
      <c r="O2" s="223" t="s">
        <v>4053</v>
      </c>
      <c r="P2" s="223" t="s">
        <v>4050</v>
      </c>
      <c r="Q2" s="223" t="s">
        <v>4051</v>
      </c>
    </row>
    <row r="3" spans="1:17" ht="15.75" x14ac:dyDescent="0.25">
      <c r="A3" s="249"/>
      <c r="B3" s="143"/>
      <c r="C3" s="143"/>
      <c r="D3" s="164"/>
      <c r="E3" s="143"/>
      <c r="F3" s="143"/>
      <c r="G3" s="143"/>
      <c r="H3" s="143"/>
      <c r="I3" s="143"/>
      <c r="J3" s="143"/>
      <c r="K3" s="143"/>
      <c r="L3" s="143"/>
      <c r="M3" s="158"/>
      <c r="N3" s="151"/>
      <c r="O3" s="253">
        <f>COUNT(O4:O24)</f>
        <v>21</v>
      </c>
      <c r="P3" s="162"/>
      <c r="Q3" s="143"/>
    </row>
    <row r="4" spans="1:17" ht="47.25" x14ac:dyDescent="0.25">
      <c r="A4" s="249">
        <v>1</v>
      </c>
      <c r="B4" s="143" t="s">
        <v>363</v>
      </c>
      <c r="C4" s="143" t="s">
        <v>409</v>
      </c>
      <c r="D4" s="164"/>
      <c r="E4" s="143" t="s">
        <v>410</v>
      </c>
      <c r="F4" s="143" t="s">
        <v>411</v>
      </c>
      <c r="G4" s="143"/>
      <c r="H4" s="143"/>
      <c r="I4" s="143"/>
      <c r="J4" s="143" t="s">
        <v>412</v>
      </c>
      <c r="K4" s="143" t="s">
        <v>43</v>
      </c>
      <c r="L4" s="143" t="s">
        <v>413</v>
      </c>
      <c r="M4" s="158">
        <v>25360128</v>
      </c>
      <c r="N4" s="151"/>
      <c r="O4" s="151">
        <v>25360128</v>
      </c>
      <c r="P4" s="162" t="s">
        <v>763</v>
      </c>
      <c r="Q4" s="143"/>
    </row>
    <row r="5" spans="1:17" ht="31.5" x14ac:dyDescent="0.25">
      <c r="A5" s="249">
        <v>2</v>
      </c>
      <c r="B5" s="143" t="s">
        <v>363</v>
      </c>
      <c r="C5" s="143" t="s">
        <v>889</v>
      </c>
      <c r="D5" s="164"/>
      <c r="E5" s="143" t="s">
        <v>490</v>
      </c>
      <c r="F5" s="143" t="s">
        <v>890</v>
      </c>
      <c r="G5" s="143"/>
      <c r="H5" s="143"/>
      <c r="I5" s="143"/>
      <c r="J5" s="143" t="s">
        <v>492</v>
      </c>
      <c r="K5" s="143" t="s">
        <v>43</v>
      </c>
      <c r="L5" s="143" t="s">
        <v>493</v>
      </c>
      <c r="M5" s="158">
        <v>80851500</v>
      </c>
      <c r="N5" s="151"/>
      <c r="O5" s="151">
        <v>80851500</v>
      </c>
      <c r="P5" s="162" t="s">
        <v>900</v>
      </c>
      <c r="Q5" s="143"/>
    </row>
    <row r="6" spans="1:17" ht="31.5" x14ac:dyDescent="0.25">
      <c r="A6" s="249">
        <v>3</v>
      </c>
      <c r="B6" s="143" t="s">
        <v>581</v>
      </c>
      <c r="C6" s="143" t="s">
        <v>409</v>
      </c>
      <c r="D6" s="164"/>
      <c r="E6" s="143" t="s">
        <v>1211</v>
      </c>
      <c r="F6" s="143" t="s">
        <v>1212</v>
      </c>
      <c r="G6" s="143"/>
      <c r="H6" s="143"/>
      <c r="I6" s="143"/>
      <c r="J6" s="143" t="s">
        <v>1213</v>
      </c>
      <c r="K6" s="143" t="s">
        <v>43</v>
      </c>
      <c r="L6" s="143" t="s">
        <v>1214</v>
      </c>
      <c r="M6" s="158">
        <v>161187840</v>
      </c>
      <c r="N6" s="151"/>
      <c r="O6" s="151">
        <v>161187840</v>
      </c>
      <c r="P6" s="162" t="s">
        <v>2000</v>
      </c>
      <c r="Q6" s="143"/>
    </row>
    <row r="7" spans="1:17" ht="63" x14ac:dyDescent="0.25">
      <c r="A7" s="249">
        <v>4</v>
      </c>
      <c r="B7" s="143" t="s">
        <v>581</v>
      </c>
      <c r="C7" s="143" t="s">
        <v>583</v>
      </c>
      <c r="D7" s="143" t="s">
        <v>584</v>
      </c>
      <c r="E7" s="143" t="s">
        <v>585</v>
      </c>
      <c r="F7" s="143" t="s">
        <v>586</v>
      </c>
      <c r="G7" s="143"/>
      <c r="H7" s="143"/>
      <c r="I7" s="164"/>
      <c r="J7" s="143" t="s">
        <v>587</v>
      </c>
      <c r="K7" s="143" t="s">
        <v>43</v>
      </c>
      <c r="L7" s="143" t="s">
        <v>588</v>
      </c>
      <c r="M7" s="158">
        <v>194860554</v>
      </c>
      <c r="N7" s="151"/>
      <c r="O7" s="151">
        <v>194860554</v>
      </c>
      <c r="P7" s="162" t="s">
        <v>2013</v>
      </c>
      <c r="Q7" s="143"/>
    </row>
    <row r="8" spans="1:17" ht="63" x14ac:dyDescent="0.25">
      <c r="A8" s="249">
        <v>5</v>
      </c>
      <c r="B8" s="143" t="s">
        <v>386</v>
      </c>
      <c r="C8" s="143" t="s">
        <v>1479</v>
      </c>
      <c r="D8" s="164"/>
      <c r="E8" s="143" t="s">
        <v>1480</v>
      </c>
      <c r="F8" s="143" t="s">
        <v>1481</v>
      </c>
      <c r="G8" s="143"/>
      <c r="H8" s="143"/>
      <c r="I8" s="143"/>
      <c r="J8" s="143" t="s">
        <v>1482</v>
      </c>
      <c r="K8" s="143" t="s">
        <v>43</v>
      </c>
      <c r="L8" s="143" t="s">
        <v>1483</v>
      </c>
      <c r="M8" s="158">
        <v>552867384</v>
      </c>
      <c r="N8" s="151"/>
      <c r="O8" s="151">
        <v>552867384</v>
      </c>
      <c r="P8" s="176" t="s">
        <v>2162</v>
      </c>
      <c r="Q8" s="143"/>
    </row>
    <row r="9" spans="1:17" ht="78.75" x14ac:dyDescent="0.25">
      <c r="A9" s="249">
        <v>6</v>
      </c>
      <c r="B9" s="143" t="s">
        <v>1018</v>
      </c>
      <c r="C9" s="143" t="s">
        <v>1701</v>
      </c>
      <c r="D9" s="164"/>
      <c r="E9" s="143" t="s">
        <v>1702</v>
      </c>
      <c r="F9" s="143" t="s">
        <v>1703</v>
      </c>
      <c r="G9" s="143"/>
      <c r="H9" s="143"/>
      <c r="I9" s="143"/>
      <c r="J9" s="143" t="s">
        <v>1704</v>
      </c>
      <c r="K9" s="143" t="s">
        <v>43</v>
      </c>
      <c r="L9" s="143" t="s">
        <v>1705</v>
      </c>
      <c r="M9" s="158">
        <v>152432640</v>
      </c>
      <c r="N9" s="151"/>
      <c r="O9" s="151">
        <v>152432640</v>
      </c>
      <c r="P9" s="162" t="s">
        <v>2323</v>
      </c>
      <c r="Q9" s="143"/>
    </row>
    <row r="10" spans="1:17" ht="63" x14ac:dyDescent="0.25">
      <c r="A10" s="249">
        <v>7</v>
      </c>
      <c r="B10" s="143" t="s">
        <v>37</v>
      </c>
      <c r="C10" s="143" t="s">
        <v>2926</v>
      </c>
      <c r="D10" s="164"/>
      <c r="E10" s="143" t="s">
        <v>2196</v>
      </c>
      <c r="F10" s="143" t="s">
        <v>2197</v>
      </c>
      <c r="G10" s="143"/>
      <c r="H10" s="143"/>
      <c r="I10" s="143"/>
      <c r="J10" s="143" t="s">
        <v>2198</v>
      </c>
      <c r="K10" s="143" t="s">
        <v>43</v>
      </c>
      <c r="L10" s="143" t="s">
        <v>2199</v>
      </c>
      <c r="M10" s="158">
        <v>549931853</v>
      </c>
      <c r="N10" s="158">
        <v>304242048</v>
      </c>
      <c r="O10" s="151">
        <v>245689805</v>
      </c>
      <c r="P10" s="162" t="s">
        <v>2129</v>
      </c>
      <c r="Q10" s="143"/>
    </row>
    <row r="11" spans="1:17" ht="63" x14ac:dyDescent="0.25">
      <c r="A11" s="249">
        <v>8</v>
      </c>
      <c r="B11" s="143" t="s">
        <v>37</v>
      </c>
      <c r="C11" s="241" t="s">
        <v>409</v>
      </c>
      <c r="D11" s="143" t="s">
        <v>1227</v>
      </c>
      <c r="E11" s="143" t="s">
        <v>1243</v>
      </c>
      <c r="F11" s="143" t="s">
        <v>1244</v>
      </c>
      <c r="G11" s="143"/>
      <c r="H11" s="143"/>
      <c r="I11" s="164"/>
      <c r="J11" s="143" t="s">
        <v>1245</v>
      </c>
      <c r="K11" s="143" t="s">
        <v>43</v>
      </c>
      <c r="L11" s="143" t="s">
        <v>1246</v>
      </c>
      <c r="M11" s="158">
        <v>247965696</v>
      </c>
      <c r="N11" s="151"/>
      <c r="O11" s="151">
        <v>247965696</v>
      </c>
      <c r="P11" s="162" t="s">
        <v>3009</v>
      </c>
      <c r="Q11" s="143"/>
    </row>
    <row r="12" spans="1:17" ht="47.25" x14ac:dyDescent="0.25">
      <c r="A12" s="249">
        <v>9</v>
      </c>
      <c r="B12" s="143" t="s">
        <v>47</v>
      </c>
      <c r="C12" s="143" t="s">
        <v>2647</v>
      </c>
      <c r="D12" s="164"/>
      <c r="E12" s="143" t="s">
        <v>2648</v>
      </c>
      <c r="F12" s="143" t="s">
        <v>2649</v>
      </c>
      <c r="G12" s="143"/>
      <c r="H12" s="143"/>
      <c r="I12" s="143"/>
      <c r="J12" s="143" t="s">
        <v>2650</v>
      </c>
      <c r="K12" s="143" t="s">
        <v>43</v>
      </c>
      <c r="L12" s="143" t="s">
        <v>2651</v>
      </c>
      <c r="M12" s="158">
        <v>1473748861</v>
      </c>
      <c r="N12" s="151"/>
      <c r="O12" s="151">
        <v>1473748861</v>
      </c>
      <c r="P12" s="176" t="s">
        <v>3527</v>
      </c>
      <c r="Q12" s="143"/>
    </row>
    <row r="13" spans="1:17" ht="63" x14ac:dyDescent="0.25">
      <c r="A13" s="249">
        <v>10</v>
      </c>
      <c r="B13" s="143" t="s">
        <v>124</v>
      </c>
      <c r="C13" s="242" t="s">
        <v>2834</v>
      </c>
      <c r="D13" s="164"/>
      <c r="E13" s="143" t="s">
        <v>2835</v>
      </c>
      <c r="F13" s="143" t="s">
        <v>2836</v>
      </c>
      <c r="G13" s="189" t="s">
        <v>2837</v>
      </c>
      <c r="H13" s="189"/>
      <c r="I13" s="189"/>
      <c r="J13" s="143" t="s">
        <v>2840</v>
      </c>
      <c r="K13" s="143" t="s">
        <v>43</v>
      </c>
      <c r="L13" s="143" t="s">
        <v>2841</v>
      </c>
      <c r="M13" s="243">
        <v>8678312412</v>
      </c>
      <c r="N13" s="151"/>
      <c r="O13" s="151">
        <v>8678312412</v>
      </c>
      <c r="P13" s="162" t="s">
        <v>3706</v>
      </c>
      <c r="Q13" s="143"/>
    </row>
    <row r="14" spans="1:17" ht="63" x14ac:dyDescent="0.25">
      <c r="A14" s="249">
        <v>11</v>
      </c>
      <c r="B14" s="143" t="s">
        <v>124</v>
      </c>
      <c r="C14" s="143" t="s">
        <v>772</v>
      </c>
      <c r="D14" s="143" t="s">
        <v>757</v>
      </c>
      <c r="E14" s="143" t="s">
        <v>773</v>
      </c>
      <c r="F14" s="143" t="s">
        <v>774</v>
      </c>
      <c r="G14" s="143"/>
      <c r="H14" s="143"/>
      <c r="I14" s="164"/>
      <c r="J14" s="143" t="s">
        <v>775</v>
      </c>
      <c r="K14" s="143" t="s">
        <v>43</v>
      </c>
      <c r="L14" s="143" t="s">
        <v>776</v>
      </c>
      <c r="M14" s="158">
        <v>570602880</v>
      </c>
      <c r="N14" s="151"/>
      <c r="O14" s="151">
        <v>570602880</v>
      </c>
      <c r="P14" s="162" t="s">
        <v>3809</v>
      </c>
      <c r="Q14" s="143"/>
    </row>
    <row r="15" spans="1:17" ht="47.25" x14ac:dyDescent="0.25">
      <c r="A15" s="249">
        <v>12</v>
      </c>
      <c r="B15" s="143" t="s">
        <v>966</v>
      </c>
      <c r="C15" s="143" t="s">
        <v>3011</v>
      </c>
      <c r="D15" s="143"/>
      <c r="E15" s="143" t="s">
        <v>3012</v>
      </c>
      <c r="F15" s="143" t="s">
        <v>3013</v>
      </c>
      <c r="G15" s="143" t="s">
        <v>969</v>
      </c>
      <c r="H15" s="143"/>
      <c r="I15" s="143"/>
      <c r="J15" s="143" t="s">
        <v>3014</v>
      </c>
      <c r="K15" s="143" t="s">
        <v>43</v>
      </c>
      <c r="L15" s="143" t="s">
        <v>3015</v>
      </c>
      <c r="M15" s="158">
        <v>745875</v>
      </c>
      <c r="N15" s="151"/>
      <c r="O15" s="151">
        <v>745875</v>
      </c>
      <c r="P15" s="162" t="s">
        <v>3948</v>
      </c>
      <c r="Q15" s="143"/>
    </row>
    <row r="16" spans="1:17" ht="47.25" x14ac:dyDescent="0.25">
      <c r="A16" s="249">
        <v>13</v>
      </c>
      <c r="B16" s="143" t="s">
        <v>498</v>
      </c>
      <c r="C16" s="143" t="s">
        <v>4010</v>
      </c>
      <c r="D16" s="164"/>
      <c r="E16" s="143" t="s">
        <v>3169</v>
      </c>
      <c r="F16" s="143"/>
      <c r="G16" s="143"/>
      <c r="H16" s="143"/>
      <c r="I16" s="143"/>
      <c r="J16" s="143" t="s">
        <v>3170</v>
      </c>
      <c r="K16" s="143" t="s">
        <v>43</v>
      </c>
      <c r="L16" s="143" t="s">
        <v>3171</v>
      </c>
      <c r="M16" s="158">
        <v>253201560</v>
      </c>
      <c r="N16" s="244"/>
      <c r="O16" s="151">
        <v>253201560</v>
      </c>
      <c r="P16" s="162" t="s">
        <v>2129</v>
      </c>
      <c r="Q16" s="143"/>
    </row>
    <row r="17" spans="1:17" ht="78.75" x14ac:dyDescent="0.25">
      <c r="A17" s="249">
        <v>14</v>
      </c>
      <c r="B17" s="143" t="s">
        <v>53</v>
      </c>
      <c r="C17" s="143" t="s">
        <v>3267</v>
      </c>
      <c r="D17" s="164"/>
      <c r="E17" s="143" t="s">
        <v>3268</v>
      </c>
      <c r="F17" s="143" t="s">
        <v>3269</v>
      </c>
      <c r="G17" s="143"/>
      <c r="H17" s="143"/>
      <c r="I17" s="143"/>
      <c r="J17" s="143" t="s">
        <v>3270</v>
      </c>
      <c r="K17" s="143" t="s">
        <v>43</v>
      </c>
      <c r="L17" s="143" t="s">
        <v>449</v>
      </c>
      <c r="M17" s="245">
        <v>605553600</v>
      </c>
      <c r="N17" s="246"/>
      <c r="O17" s="151">
        <v>605553600</v>
      </c>
      <c r="P17" s="162" t="s">
        <v>4012</v>
      </c>
      <c r="Q17" s="143" t="s">
        <v>4013</v>
      </c>
    </row>
    <row r="18" spans="1:17" ht="47.25" x14ac:dyDescent="0.25">
      <c r="A18" s="249">
        <v>15</v>
      </c>
      <c r="B18" s="143" t="s">
        <v>53</v>
      </c>
      <c r="C18" s="143" t="s">
        <v>3664</v>
      </c>
      <c r="D18" s="143"/>
      <c r="E18" s="143" t="s">
        <v>3356</v>
      </c>
      <c r="F18" s="143" t="s">
        <v>3665</v>
      </c>
      <c r="G18" s="143"/>
      <c r="H18" s="143"/>
      <c r="I18" s="143"/>
      <c r="J18" s="143" t="s">
        <v>3357</v>
      </c>
      <c r="K18" s="143" t="s">
        <v>43</v>
      </c>
      <c r="L18" s="143" t="s">
        <v>3358</v>
      </c>
      <c r="M18" s="158">
        <v>346755402</v>
      </c>
      <c r="N18" s="244"/>
      <c r="O18" s="151">
        <v>346755402</v>
      </c>
      <c r="P18" s="176" t="s">
        <v>4015</v>
      </c>
      <c r="Q18" s="143"/>
    </row>
    <row r="19" spans="1:17" ht="78.75" x14ac:dyDescent="0.25">
      <c r="A19" s="249">
        <v>16</v>
      </c>
      <c r="B19" s="143" t="s">
        <v>327</v>
      </c>
      <c r="C19" s="143" t="s">
        <v>3440</v>
      </c>
      <c r="D19" s="143"/>
      <c r="E19" s="143" t="s">
        <v>3692</v>
      </c>
      <c r="F19" s="143" t="s">
        <v>3442</v>
      </c>
      <c r="G19" s="143"/>
      <c r="H19" s="143"/>
      <c r="I19" s="143"/>
      <c r="J19" s="143" t="s">
        <v>3438</v>
      </c>
      <c r="K19" s="143" t="s">
        <v>43</v>
      </c>
      <c r="L19" s="143" t="s">
        <v>3439</v>
      </c>
      <c r="M19" s="243">
        <v>965448012</v>
      </c>
      <c r="N19" s="247">
        <v>955448012</v>
      </c>
      <c r="O19" s="151">
        <v>10000000</v>
      </c>
      <c r="P19" s="143" t="s">
        <v>3699</v>
      </c>
      <c r="Q19" s="143"/>
    </row>
    <row r="20" spans="1:17" ht="47.25" x14ac:dyDescent="0.25">
      <c r="A20" s="249">
        <v>17</v>
      </c>
      <c r="B20" s="143" t="s">
        <v>67</v>
      </c>
      <c r="C20" s="143" t="s">
        <v>3454</v>
      </c>
      <c r="D20" s="143"/>
      <c r="E20" s="143" t="s">
        <v>3455</v>
      </c>
      <c r="F20" s="143" t="s">
        <v>3456</v>
      </c>
      <c r="G20" s="143"/>
      <c r="H20" s="143"/>
      <c r="I20" s="143"/>
      <c r="J20" s="143" t="s">
        <v>3457</v>
      </c>
      <c r="K20" s="143" t="s">
        <v>43</v>
      </c>
      <c r="L20" s="143" t="s">
        <v>3458</v>
      </c>
      <c r="M20" s="250">
        <v>250496432</v>
      </c>
      <c r="N20" s="252"/>
      <c r="O20" s="251">
        <v>250496432</v>
      </c>
      <c r="P20" s="162" t="s">
        <v>2013</v>
      </c>
      <c r="Q20" s="143"/>
    </row>
    <row r="21" spans="1:17" ht="47.25" x14ac:dyDescent="0.25">
      <c r="A21" s="249">
        <v>18</v>
      </c>
      <c r="B21" s="143" t="s">
        <v>67</v>
      </c>
      <c r="C21" s="143" t="s">
        <v>3569</v>
      </c>
      <c r="D21" s="143"/>
      <c r="E21" s="143" t="s">
        <v>3570</v>
      </c>
      <c r="F21" s="143" t="s">
        <v>3571</v>
      </c>
      <c r="G21" s="143"/>
      <c r="H21" s="143"/>
      <c r="I21" s="143"/>
      <c r="J21" s="143" t="s">
        <v>3572</v>
      </c>
      <c r="K21" s="143" t="s">
        <v>43</v>
      </c>
      <c r="L21" s="143" t="s">
        <v>3573</v>
      </c>
      <c r="M21" s="245">
        <v>60646656</v>
      </c>
      <c r="N21" s="248"/>
      <c r="O21" s="151">
        <v>60646656</v>
      </c>
      <c r="P21" s="162" t="s">
        <v>4024</v>
      </c>
      <c r="Q21" s="143"/>
    </row>
    <row r="22" spans="1:17" ht="63" x14ac:dyDescent="0.25">
      <c r="A22" s="249">
        <v>19</v>
      </c>
      <c r="B22" s="143" t="s">
        <v>89</v>
      </c>
      <c r="C22" s="143" t="s">
        <v>91</v>
      </c>
      <c r="D22" s="143" t="s">
        <v>92</v>
      </c>
      <c r="E22" s="143" t="s">
        <v>93</v>
      </c>
      <c r="F22" s="143" t="s">
        <v>94</v>
      </c>
      <c r="G22" s="143"/>
      <c r="H22" s="143"/>
      <c r="I22" s="164"/>
      <c r="J22" s="143" t="s">
        <v>95</v>
      </c>
      <c r="K22" s="143" t="s">
        <v>43</v>
      </c>
      <c r="L22" s="143" t="s">
        <v>96</v>
      </c>
      <c r="M22" s="158">
        <v>680801625</v>
      </c>
      <c r="N22" s="151"/>
      <c r="O22" s="151">
        <v>680801625</v>
      </c>
      <c r="P22" s="162" t="s">
        <v>4032</v>
      </c>
      <c r="Q22" s="143"/>
    </row>
    <row r="23" spans="1:17" ht="47.25" x14ac:dyDescent="0.25">
      <c r="A23" s="249">
        <v>20</v>
      </c>
      <c r="B23" s="143" t="s">
        <v>89</v>
      </c>
      <c r="C23" s="143" t="s">
        <v>3880</v>
      </c>
      <c r="D23" s="143"/>
      <c r="E23" s="143" t="s">
        <v>3881</v>
      </c>
      <c r="F23" s="143" t="s">
        <v>3882</v>
      </c>
      <c r="G23" s="143"/>
      <c r="H23" s="143"/>
      <c r="I23" s="143"/>
      <c r="J23" s="143" t="s">
        <v>3883</v>
      </c>
      <c r="K23" s="143" t="s">
        <v>43</v>
      </c>
      <c r="L23" s="143" t="s">
        <v>3865</v>
      </c>
      <c r="M23" s="158">
        <v>325771956</v>
      </c>
      <c r="N23" s="151"/>
      <c r="O23" s="151">
        <v>325771956</v>
      </c>
      <c r="P23" s="162" t="s">
        <v>4035</v>
      </c>
      <c r="Q23" s="143"/>
    </row>
    <row r="24" spans="1:17" ht="63" x14ac:dyDescent="0.25">
      <c r="A24" s="249">
        <v>21</v>
      </c>
      <c r="B24" s="143" t="s">
        <v>89</v>
      </c>
      <c r="C24" s="143" t="s">
        <v>278</v>
      </c>
      <c r="D24" s="143" t="s">
        <v>279</v>
      </c>
      <c r="E24" s="143" t="s">
        <v>280</v>
      </c>
      <c r="F24" s="143" t="s">
        <v>282</v>
      </c>
      <c r="G24" s="143"/>
      <c r="H24" s="143"/>
      <c r="I24" s="164"/>
      <c r="J24" s="143" t="s">
        <v>284</v>
      </c>
      <c r="K24" s="143" t="s">
        <v>43</v>
      </c>
      <c r="L24" s="143" t="s">
        <v>285</v>
      </c>
      <c r="M24" s="158">
        <v>882094598</v>
      </c>
      <c r="N24" s="151"/>
      <c r="O24" s="151">
        <v>882094598</v>
      </c>
      <c r="P24" s="176" t="s">
        <v>3706</v>
      </c>
      <c r="Q24" s="143"/>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5EFDC-1682-4B6C-947F-B25EB732CA61}">
  <dimension ref="A2:Q125"/>
  <sheetViews>
    <sheetView topLeftCell="A2" zoomScale="70" zoomScaleNormal="70" workbookViewId="0">
      <selection activeCell="O2" sqref="O2"/>
    </sheetView>
  </sheetViews>
  <sheetFormatPr defaultRowHeight="15" x14ac:dyDescent="0.25"/>
  <cols>
    <col min="1" max="1" width="8.85546875" style="240"/>
    <col min="2" max="2" width="16.140625" style="240" customWidth="1"/>
    <col min="3" max="3" width="22.5703125" style="259" customWidth="1"/>
    <col min="4" max="4" width="16.7109375" style="240" hidden="1" customWidth="1"/>
    <col min="5" max="5" width="14.7109375" style="240" customWidth="1"/>
    <col min="6" max="6" width="0" style="240" hidden="1" customWidth="1"/>
    <col min="7" max="7" width="15.28515625" style="240" customWidth="1"/>
    <col min="8" max="8" width="0" style="240" hidden="1" customWidth="1"/>
    <col min="9" max="9" width="13.7109375" style="240" hidden="1" customWidth="1"/>
    <col min="10" max="10" width="30.28515625" style="259" customWidth="1"/>
    <col min="11" max="11" width="8.85546875" style="240"/>
    <col min="12" max="12" width="29.7109375" style="240" customWidth="1"/>
    <col min="13" max="13" width="13.28515625" style="240" customWidth="1"/>
    <col min="14" max="14" width="13.28515625" style="240" hidden="1" customWidth="1"/>
    <col min="15" max="15" width="14" style="240" customWidth="1"/>
    <col min="16" max="16" width="28.85546875" style="240" customWidth="1"/>
    <col min="17" max="17" width="37.28515625" style="240" customWidth="1"/>
  </cols>
  <sheetData>
    <row r="2" spans="1:17" ht="63" x14ac:dyDescent="0.25">
      <c r="A2" s="223" t="s">
        <v>3</v>
      </c>
      <c r="B2" s="224" t="s">
        <v>5</v>
      </c>
      <c r="C2" s="224" t="s">
        <v>6</v>
      </c>
      <c r="D2" s="224" t="s">
        <v>7</v>
      </c>
      <c r="E2" s="224" t="s">
        <v>8</v>
      </c>
      <c r="F2" s="224" t="s">
        <v>9</v>
      </c>
      <c r="G2" s="224" t="s">
        <v>10</v>
      </c>
      <c r="H2" s="224" t="s">
        <v>32</v>
      </c>
      <c r="I2" s="224" t="s">
        <v>33</v>
      </c>
      <c r="J2" s="224" t="s">
        <v>34</v>
      </c>
      <c r="K2" s="223" t="s">
        <v>12</v>
      </c>
      <c r="L2" s="223" t="s">
        <v>14</v>
      </c>
      <c r="M2" s="227" t="s">
        <v>4048</v>
      </c>
      <c r="N2" s="228" t="s">
        <v>4049</v>
      </c>
      <c r="O2" s="223" t="s">
        <v>4052</v>
      </c>
      <c r="P2" s="223" t="s">
        <v>4050</v>
      </c>
      <c r="Q2" s="223" t="s">
        <v>4051</v>
      </c>
    </row>
    <row r="3" spans="1:17" ht="15.75" x14ac:dyDescent="0.25">
      <c r="A3" s="223"/>
      <c r="B3" s="224"/>
      <c r="C3" s="224"/>
      <c r="D3" s="224"/>
      <c r="E3" s="224"/>
      <c r="F3" s="224"/>
      <c r="G3" s="224"/>
      <c r="H3" s="224"/>
      <c r="I3" s="224"/>
      <c r="J3" s="224"/>
      <c r="K3" s="223"/>
      <c r="L3" s="223"/>
      <c r="M3" s="227"/>
      <c r="N3" s="228"/>
      <c r="O3" s="228">
        <f>COUNT(O4:O125)</f>
        <v>122</v>
      </c>
      <c r="P3" s="223"/>
      <c r="Q3" s="223"/>
    </row>
    <row r="4" spans="1:17" ht="47.25" x14ac:dyDescent="0.25">
      <c r="A4" s="260">
        <v>1</v>
      </c>
      <c r="B4" s="258" t="s">
        <v>141</v>
      </c>
      <c r="C4" s="258"/>
      <c r="D4" s="261"/>
      <c r="E4" s="258" t="s">
        <v>160</v>
      </c>
      <c r="F4" s="258"/>
      <c r="G4" s="258"/>
      <c r="H4" s="258"/>
      <c r="I4" s="258"/>
      <c r="J4" s="258" t="s">
        <v>161</v>
      </c>
      <c r="K4" s="258" t="s">
        <v>43</v>
      </c>
      <c r="L4" s="258" t="s">
        <v>162</v>
      </c>
      <c r="M4" s="262">
        <v>7500000</v>
      </c>
      <c r="N4" s="252"/>
      <c r="O4" s="252">
        <v>7500000</v>
      </c>
      <c r="P4" s="252" t="s">
        <v>336</v>
      </c>
      <c r="Q4" s="263"/>
    </row>
    <row r="5" spans="1:17" ht="47.25" x14ac:dyDescent="0.25">
      <c r="A5" s="260">
        <v>2</v>
      </c>
      <c r="B5" s="258" t="s">
        <v>176</v>
      </c>
      <c r="C5" s="258"/>
      <c r="D5" s="261"/>
      <c r="E5" s="258" t="s">
        <v>180</v>
      </c>
      <c r="F5" s="258"/>
      <c r="G5" s="258"/>
      <c r="H5" s="258"/>
      <c r="I5" s="258"/>
      <c r="J5" s="258" t="s">
        <v>183</v>
      </c>
      <c r="K5" s="258" t="s">
        <v>43</v>
      </c>
      <c r="L5" s="258" t="s">
        <v>185</v>
      </c>
      <c r="M5" s="264">
        <v>7500000</v>
      </c>
      <c r="N5" s="252"/>
      <c r="O5" s="252">
        <v>7500000</v>
      </c>
      <c r="P5" s="258" t="s">
        <v>394</v>
      </c>
      <c r="Q5" s="258"/>
    </row>
    <row r="6" spans="1:17" ht="47.25" x14ac:dyDescent="0.25">
      <c r="A6" s="260">
        <v>3</v>
      </c>
      <c r="B6" s="258" t="s">
        <v>196</v>
      </c>
      <c r="C6" s="258"/>
      <c r="D6" s="261"/>
      <c r="E6" s="258" t="s">
        <v>204</v>
      </c>
      <c r="F6" s="258"/>
      <c r="G6" s="258"/>
      <c r="H6" s="258"/>
      <c r="I6" s="258"/>
      <c r="J6" s="258" t="s">
        <v>206</v>
      </c>
      <c r="K6" s="258" t="s">
        <v>43</v>
      </c>
      <c r="L6" s="258" t="s">
        <v>207</v>
      </c>
      <c r="M6" s="264">
        <v>7500000</v>
      </c>
      <c r="N6" s="252"/>
      <c r="O6" s="252">
        <v>7500000</v>
      </c>
      <c r="P6" s="258" t="s">
        <v>429</v>
      </c>
      <c r="Q6" s="258"/>
    </row>
    <row r="7" spans="1:17" ht="47.25" x14ac:dyDescent="0.25">
      <c r="A7" s="260">
        <v>4</v>
      </c>
      <c r="B7" s="258" t="s">
        <v>286</v>
      </c>
      <c r="C7" s="258"/>
      <c r="D7" s="261"/>
      <c r="E7" s="258" t="s">
        <v>324</v>
      </c>
      <c r="F7" s="258"/>
      <c r="G7" s="258"/>
      <c r="H7" s="258"/>
      <c r="I7" s="258"/>
      <c r="J7" s="258" t="s">
        <v>325</v>
      </c>
      <c r="K7" s="258" t="s">
        <v>43</v>
      </c>
      <c r="L7" s="258" t="s">
        <v>326</v>
      </c>
      <c r="M7" s="262">
        <v>7500000</v>
      </c>
      <c r="N7" s="252"/>
      <c r="O7" s="252">
        <v>7500000</v>
      </c>
      <c r="P7" s="258" t="s">
        <v>623</v>
      </c>
      <c r="Q7" s="258"/>
    </row>
    <row r="8" spans="1:17" ht="63" x14ac:dyDescent="0.25">
      <c r="A8" s="260">
        <v>5</v>
      </c>
      <c r="B8" s="258" t="s">
        <v>363</v>
      </c>
      <c r="C8" s="258" t="s">
        <v>409</v>
      </c>
      <c r="D8" s="261"/>
      <c r="E8" s="258" t="s">
        <v>410</v>
      </c>
      <c r="F8" s="258" t="s">
        <v>411</v>
      </c>
      <c r="G8" s="258"/>
      <c r="H8" s="258"/>
      <c r="I8" s="258"/>
      <c r="J8" s="258" t="s">
        <v>412</v>
      </c>
      <c r="K8" s="258" t="s">
        <v>43</v>
      </c>
      <c r="L8" s="258" t="s">
        <v>413</v>
      </c>
      <c r="M8" s="262">
        <v>7500000</v>
      </c>
      <c r="N8" s="252"/>
      <c r="O8" s="252">
        <v>7500000</v>
      </c>
      <c r="P8" s="258" t="s">
        <v>764</v>
      </c>
      <c r="Q8" s="258"/>
    </row>
    <row r="9" spans="1:17" ht="47.25" x14ac:dyDescent="0.25">
      <c r="A9" s="260">
        <v>6</v>
      </c>
      <c r="B9" s="258" t="s">
        <v>142</v>
      </c>
      <c r="C9" s="258"/>
      <c r="D9" s="261"/>
      <c r="E9" s="258" t="s">
        <v>520</v>
      </c>
      <c r="F9" s="258"/>
      <c r="G9" s="258"/>
      <c r="H9" s="258"/>
      <c r="I9" s="258"/>
      <c r="J9" s="258" t="s">
        <v>521</v>
      </c>
      <c r="K9" s="258" t="s">
        <v>43</v>
      </c>
      <c r="L9" s="258" t="s">
        <v>522</v>
      </c>
      <c r="M9" s="262">
        <v>7500000</v>
      </c>
      <c r="N9" s="252"/>
      <c r="O9" s="252">
        <v>7500000</v>
      </c>
      <c r="P9" s="258" t="s">
        <v>947</v>
      </c>
      <c r="Q9" s="258"/>
    </row>
    <row r="10" spans="1:17" ht="47.25" x14ac:dyDescent="0.25">
      <c r="A10" s="260">
        <v>7</v>
      </c>
      <c r="B10" s="258" t="s">
        <v>142</v>
      </c>
      <c r="C10" s="258"/>
      <c r="D10" s="261"/>
      <c r="E10" s="258" t="s">
        <v>572</v>
      </c>
      <c r="F10" s="258"/>
      <c r="G10" s="258"/>
      <c r="H10" s="258"/>
      <c r="I10" s="258"/>
      <c r="J10" s="258" t="s">
        <v>573</v>
      </c>
      <c r="K10" s="258" t="s">
        <v>43</v>
      </c>
      <c r="L10" s="258" t="s">
        <v>574</v>
      </c>
      <c r="M10" s="262">
        <v>7500000</v>
      </c>
      <c r="N10" s="252"/>
      <c r="O10" s="252">
        <v>7500000</v>
      </c>
      <c r="P10" s="258" t="s">
        <v>1026</v>
      </c>
      <c r="Q10" s="258"/>
    </row>
    <row r="11" spans="1:17" ht="47.25" x14ac:dyDescent="0.25">
      <c r="A11" s="260">
        <v>8</v>
      </c>
      <c r="B11" s="258" t="s">
        <v>655</v>
      </c>
      <c r="C11" s="258"/>
      <c r="D11" s="261"/>
      <c r="E11" s="258" t="s">
        <v>727</v>
      </c>
      <c r="F11" s="258"/>
      <c r="G11" s="258"/>
      <c r="H11" s="258"/>
      <c r="I11" s="258"/>
      <c r="J11" s="258" t="s">
        <v>728</v>
      </c>
      <c r="K11" s="258" t="s">
        <v>43</v>
      </c>
      <c r="L11" s="258" t="s">
        <v>729</v>
      </c>
      <c r="M11" s="262">
        <v>15000000</v>
      </c>
      <c r="N11" s="252"/>
      <c r="O11" s="252">
        <v>15000000</v>
      </c>
      <c r="P11" s="258" t="s">
        <v>1269</v>
      </c>
      <c r="Q11" s="258" t="s">
        <v>1270</v>
      </c>
    </row>
    <row r="12" spans="1:17" ht="47.25" x14ac:dyDescent="0.25">
      <c r="A12" s="260">
        <v>9</v>
      </c>
      <c r="B12" s="258" t="s">
        <v>777</v>
      </c>
      <c r="C12" s="258"/>
      <c r="D12" s="261"/>
      <c r="E12" s="258" t="s">
        <v>799</v>
      </c>
      <c r="F12" s="258"/>
      <c r="G12" s="258"/>
      <c r="H12" s="258"/>
      <c r="I12" s="258"/>
      <c r="J12" s="258" t="s">
        <v>800</v>
      </c>
      <c r="K12" s="258" t="s">
        <v>43</v>
      </c>
      <c r="L12" s="258" t="s">
        <v>801</v>
      </c>
      <c r="M12" s="262">
        <v>7500000</v>
      </c>
      <c r="N12" s="252"/>
      <c r="O12" s="252">
        <v>7500000</v>
      </c>
      <c r="P12" s="258" t="s">
        <v>336</v>
      </c>
      <c r="Q12" s="263"/>
    </row>
    <row r="13" spans="1:17" ht="47.25" x14ac:dyDescent="0.25">
      <c r="A13" s="260">
        <v>10</v>
      </c>
      <c r="B13" s="258" t="s">
        <v>916</v>
      </c>
      <c r="C13" s="258"/>
      <c r="D13" s="261"/>
      <c r="E13" s="258" t="s">
        <v>940</v>
      </c>
      <c r="F13" s="258"/>
      <c r="G13" s="258"/>
      <c r="H13" s="258"/>
      <c r="I13" s="258"/>
      <c r="J13" s="258" t="s">
        <v>941</v>
      </c>
      <c r="K13" s="258" t="s">
        <v>43</v>
      </c>
      <c r="L13" s="258" t="s">
        <v>942</v>
      </c>
      <c r="M13" s="262">
        <v>7500000</v>
      </c>
      <c r="N13" s="252"/>
      <c r="O13" s="252">
        <v>7500000</v>
      </c>
      <c r="P13" s="258" t="s">
        <v>1579</v>
      </c>
      <c r="Q13" s="258"/>
    </row>
    <row r="14" spans="1:17" ht="47.25" x14ac:dyDescent="0.25">
      <c r="A14" s="260">
        <v>11</v>
      </c>
      <c r="B14" s="258" t="s">
        <v>916</v>
      </c>
      <c r="C14" s="258"/>
      <c r="D14" s="261"/>
      <c r="E14" s="258" t="s">
        <v>1094</v>
      </c>
      <c r="F14" s="258"/>
      <c r="G14" s="258"/>
      <c r="H14" s="258"/>
      <c r="I14" s="258"/>
      <c r="J14" s="258" t="s">
        <v>1095</v>
      </c>
      <c r="K14" s="258" t="s">
        <v>43</v>
      </c>
      <c r="L14" s="258" t="s">
        <v>1096</v>
      </c>
      <c r="M14" s="262">
        <v>7500000</v>
      </c>
      <c r="N14" s="252"/>
      <c r="O14" s="252">
        <v>7500000</v>
      </c>
      <c r="P14" s="258" t="s">
        <v>1878</v>
      </c>
      <c r="Q14" s="258"/>
    </row>
    <row r="15" spans="1:17" ht="47.25" x14ac:dyDescent="0.25">
      <c r="A15" s="260">
        <v>12</v>
      </c>
      <c r="B15" s="258" t="s">
        <v>1097</v>
      </c>
      <c r="C15" s="258"/>
      <c r="D15" s="261"/>
      <c r="E15" s="258" t="s">
        <v>1101</v>
      </c>
      <c r="F15" s="258"/>
      <c r="G15" s="258"/>
      <c r="H15" s="258"/>
      <c r="I15" s="258"/>
      <c r="J15" s="258" t="s">
        <v>1102</v>
      </c>
      <c r="K15" s="258" t="s">
        <v>43</v>
      </c>
      <c r="L15" s="258" t="s">
        <v>1103</v>
      </c>
      <c r="M15" s="262">
        <v>7500000</v>
      </c>
      <c r="N15" s="252"/>
      <c r="O15" s="252">
        <v>7500000</v>
      </c>
      <c r="P15" s="258" t="s">
        <v>1909</v>
      </c>
      <c r="Q15" s="258"/>
    </row>
    <row r="16" spans="1:17" ht="47.25" x14ac:dyDescent="0.25">
      <c r="A16" s="260">
        <v>13</v>
      </c>
      <c r="B16" s="258" t="s">
        <v>581</v>
      </c>
      <c r="C16" s="258" t="s">
        <v>156</v>
      </c>
      <c r="D16" s="261"/>
      <c r="E16" s="258" t="s">
        <v>1164</v>
      </c>
      <c r="F16" s="258" t="s">
        <v>1165</v>
      </c>
      <c r="G16" s="258"/>
      <c r="H16" s="258"/>
      <c r="I16" s="258"/>
      <c r="J16" s="258" t="s">
        <v>1166</v>
      </c>
      <c r="K16" s="258" t="s">
        <v>43</v>
      </c>
      <c r="L16" s="258" t="s">
        <v>1168</v>
      </c>
      <c r="M16" s="262">
        <v>15000000</v>
      </c>
      <c r="N16" s="252"/>
      <c r="O16" s="252">
        <v>15000000</v>
      </c>
      <c r="P16" s="258" t="s">
        <v>1970</v>
      </c>
      <c r="Q16" s="258"/>
    </row>
    <row r="17" spans="1:17" ht="47.25" x14ac:dyDescent="0.25">
      <c r="A17" s="260">
        <v>14</v>
      </c>
      <c r="B17" s="258" t="s">
        <v>1359</v>
      </c>
      <c r="C17" s="258"/>
      <c r="D17" s="261"/>
      <c r="E17" s="258" t="s">
        <v>1386</v>
      </c>
      <c r="F17" s="258"/>
      <c r="G17" s="258"/>
      <c r="H17" s="258"/>
      <c r="I17" s="258"/>
      <c r="J17" s="258" t="s">
        <v>1387</v>
      </c>
      <c r="K17" s="258" t="s">
        <v>43</v>
      </c>
      <c r="L17" s="258" t="s">
        <v>1388</v>
      </c>
      <c r="M17" s="262">
        <v>7500000</v>
      </c>
      <c r="N17" s="252"/>
      <c r="O17" s="252">
        <v>7500000</v>
      </c>
      <c r="P17" s="258" t="s">
        <v>2013</v>
      </c>
      <c r="Q17" s="258"/>
    </row>
    <row r="18" spans="1:17" ht="47.25" x14ac:dyDescent="0.25">
      <c r="A18" s="260">
        <v>15</v>
      </c>
      <c r="B18" s="258" t="s">
        <v>386</v>
      </c>
      <c r="C18" s="258"/>
      <c r="D18" s="261"/>
      <c r="E18" s="258" t="s">
        <v>1424</v>
      </c>
      <c r="F18" s="258"/>
      <c r="G18" s="258"/>
      <c r="H18" s="258"/>
      <c r="I18" s="258"/>
      <c r="J18" s="258" t="s">
        <v>1425</v>
      </c>
      <c r="K18" s="258" t="s">
        <v>43</v>
      </c>
      <c r="L18" s="258" t="s">
        <v>1426</v>
      </c>
      <c r="M18" s="262">
        <v>7500000</v>
      </c>
      <c r="N18" s="252"/>
      <c r="O18" s="252">
        <v>7500000</v>
      </c>
      <c r="P18" s="258" t="s">
        <v>2129</v>
      </c>
      <c r="Q18" s="258"/>
    </row>
    <row r="19" spans="1:17" ht="47.25" x14ac:dyDescent="0.25">
      <c r="A19" s="260">
        <v>16</v>
      </c>
      <c r="B19" s="258" t="s">
        <v>386</v>
      </c>
      <c r="C19" s="258"/>
      <c r="D19" s="261"/>
      <c r="E19" s="258" t="s">
        <v>1472</v>
      </c>
      <c r="F19" s="258"/>
      <c r="G19" s="258"/>
      <c r="H19" s="258"/>
      <c r="I19" s="258"/>
      <c r="J19" s="258" t="s">
        <v>1474</v>
      </c>
      <c r="K19" s="258" t="s">
        <v>43</v>
      </c>
      <c r="L19" s="258" t="s">
        <v>1476</v>
      </c>
      <c r="M19" s="262">
        <v>7500000</v>
      </c>
      <c r="N19" s="252"/>
      <c r="O19" s="252">
        <v>7500000</v>
      </c>
      <c r="P19" s="258" t="s">
        <v>2159</v>
      </c>
      <c r="Q19" s="258"/>
    </row>
    <row r="20" spans="1:17" ht="78.75" x14ac:dyDescent="0.25">
      <c r="A20" s="260">
        <v>17</v>
      </c>
      <c r="B20" s="258" t="s">
        <v>386</v>
      </c>
      <c r="C20" s="258" t="s">
        <v>1479</v>
      </c>
      <c r="D20" s="261"/>
      <c r="E20" s="258" t="s">
        <v>1480</v>
      </c>
      <c r="F20" s="258" t="s">
        <v>1481</v>
      </c>
      <c r="G20" s="258"/>
      <c r="H20" s="258"/>
      <c r="I20" s="258"/>
      <c r="J20" s="258" t="s">
        <v>1482</v>
      </c>
      <c r="K20" s="258" t="s">
        <v>43</v>
      </c>
      <c r="L20" s="258" t="s">
        <v>1483</v>
      </c>
      <c r="M20" s="262">
        <v>7500000</v>
      </c>
      <c r="N20" s="252"/>
      <c r="O20" s="252">
        <v>7500000</v>
      </c>
      <c r="P20" s="258" t="s">
        <v>2160</v>
      </c>
      <c r="Q20" s="263"/>
    </row>
    <row r="21" spans="1:17" ht="47.25" x14ac:dyDescent="0.25">
      <c r="A21" s="260">
        <v>18</v>
      </c>
      <c r="B21" s="258" t="s">
        <v>1018</v>
      </c>
      <c r="C21" s="258"/>
      <c r="D21" s="261"/>
      <c r="E21" s="258" t="s">
        <v>1550</v>
      </c>
      <c r="F21" s="258"/>
      <c r="G21" s="258"/>
      <c r="H21" s="258"/>
      <c r="I21" s="258"/>
      <c r="J21" s="258" t="s">
        <v>1551</v>
      </c>
      <c r="K21" s="258" t="s">
        <v>43</v>
      </c>
      <c r="L21" s="258" t="s">
        <v>1553</v>
      </c>
      <c r="M21" s="262">
        <v>7500000</v>
      </c>
      <c r="N21" s="252"/>
      <c r="O21" s="252">
        <v>7500000</v>
      </c>
      <c r="P21" s="258" t="s">
        <v>1579</v>
      </c>
      <c r="Q21" s="258"/>
    </row>
    <row r="22" spans="1:17" ht="78.75" x14ac:dyDescent="0.25">
      <c r="A22" s="260">
        <v>19</v>
      </c>
      <c r="B22" s="258" t="s">
        <v>1018</v>
      </c>
      <c r="C22" s="258"/>
      <c r="D22" s="261"/>
      <c r="E22" s="258" t="s">
        <v>1722</v>
      </c>
      <c r="F22" s="258"/>
      <c r="G22" s="258"/>
      <c r="H22" s="258"/>
      <c r="I22" s="258"/>
      <c r="J22" s="258" t="s">
        <v>1723</v>
      </c>
      <c r="K22" s="258" t="s">
        <v>43</v>
      </c>
      <c r="L22" s="258" t="s">
        <v>1724</v>
      </c>
      <c r="M22" s="262">
        <v>7500000</v>
      </c>
      <c r="N22" s="252"/>
      <c r="O22" s="252">
        <v>7500000</v>
      </c>
      <c r="P22" s="258" t="s">
        <v>336</v>
      </c>
      <c r="Q22" s="263"/>
    </row>
    <row r="23" spans="1:17" ht="47.25" x14ac:dyDescent="0.25">
      <c r="A23" s="260">
        <v>20</v>
      </c>
      <c r="B23" s="258" t="s">
        <v>1018</v>
      </c>
      <c r="C23" s="258" t="s">
        <v>1741</v>
      </c>
      <c r="D23" s="261"/>
      <c r="E23" s="258" t="s">
        <v>1742</v>
      </c>
      <c r="F23" s="258"/>
      <c r="G23" s="258"/>
      <c r="H23" s="258"/>
      <c r="I23" s="258"/>
      <c r="J23" s="258" t="s">
        <v>1743</v>
      </c>
      <c r="K23" s="258" t="s">
        <v>43</v>
      </c>
      <c r="L23" s="258" t="s">
        <v>1744</v>
      </c>
      <c r="M23" s="262">
        <v>15000000</v>
      </c>
      <c r="N23" s="252"/>
      <c r="O23" s="252">
        <v>15000000</v>
      </c>
      <c r="P23" s="258" t="s">
        <v>900</v>
      </c>
      <c r="Q23" s="258"/>
    </row>
    <row r="24" spans="1:17" ht="47.25" x14ac:dyDescent="0.25">
      <c r="A24" s="260">
        <v>21</v>
      </c>
      <c r="B24" s="258" t="s">
        <v>557</v>
      </c>
      <c r="C24" s="258"/>
      <c r="D24" s="261"/>
      <c r="E24" s="258" t="s">
        <v>1869</v>
      </c>
      <c r="F24" s="258"/>
      <c r="G24" s="258"/>
      <c r="H24" s="258"/>
      <c r="I24" s="258"/>
      <c r="J24" s="258" t="s">
        <v>1870</v>
      </c>
      <c r="K24" s="258" t="s">
        <v>43</v>
      </c>
      <c r="L24" s="258" t="s">
        <v>1871</v>
      </c>
      <c r="M24" s="262">
        <v>7500000</v>
      </c>
      <c r="N24" s="252"/>
      <c r="O24" s="252">
        <v>7500000</v>
      </c>
      <c r="P24" s="258" t="s">
        <v>2460</v>
      </c>
      <c r="Q24" s="258"/>
    </row>
    <row r="25" spans="1:17" ht="47.25" x14ac:dyDescent="0.25">
      <c r="A25" s="260">
        <v>22</v>
      </c>
      <c r="B25" s="258" t="s">
        <v>557</v>
      </c>
      <c r="C25" s="258"/>
      <c r="D25" s="261"/>
      <c r="E25" s="258" t="s">
        <v>1877</v>
      </c>
      <c r="F25" s="258"/>
      <c r="G25" s="258"/>
      <c r="H25" s="258"/>
      <c r="I25" s="258"/>
      <c r="J25" s="258" t="s">
        <v>1870</v>
      </c>
      <c r="K25" s="258" t="s">
        <v>43</v>
      </c>
      <c r="L25" s="258" t="s">
        <v>1871</v>
      </c>
      <c r="M25" s="262">
        <v>7500000</v>
      </c>
      <c r="N25" s="252"/>
      <c r="O25" s="252">
        <v>7500000</v>
      </c>
      <c r="P25" s="258" t="s">
        <v>2460</v>
      </c>
      <c r="Q25" s="258"/>
    </row>
    <row r="26" spans="1:17" ht="47.25" x14ac:dyDescent="0.25">
      <c r="A26" s="260">
        <v>23</v>
      </c>
      <c r="B26" s="258" t="s">
        <v>1136</v>
      </c>
      <c r="C26" s="258"/>
      <c r="D26" s="261"/>
      <c r="E26" s="258" t="s">
        <v>1896</v>
      </c>
      <c r="F26" s="258"/>
      <c r="G26" s="258"/>
      <c r="H26" s="258"/>
      <c r="I26" s="258"/>
      <c r="J26" s="258" t="s">
        <v>1897</v>
      </c>
      <c r="K26" s="258" t="s">
        <v>43</v>
      </c>
      <c r="L26" s="258" t="s">
        <v>1898</v>
      </c>
      <c r="M26" s="262">
        <v>7500000</v>
      </c>
      <c r="N26" s="252"/>
      <c r="O26" s="252">
        <v>7500000</v>
      </c>
      <c r="P26" s="258" t="s">
        <v>2160</v>
      </c>
      <c r="Q26" s="263"/>
    </row>
    <row r="27" spans="1:17" ht="47.25" x14ac:dyDescent="0.25">
      <c r="A27" s="260">
        <v>24</v>
      </c>
      <c r="B27" s="258" t="s">
        <v>1136</v>
      </c>
      <c r="C27" s="258"/>
      <c r="D27" s="261"/>
      <c r="E27" s="258" t="s">
        <v>1936</v>
      </c>
      <c r="F27" s="258"/>
      <c r="G27" s="258"/>
      <c r="H27" s="258"/>
      <c r="I27" s="258"/>
      <c r="J27" s="258" t="s">
        <v>1938</v>
      </c>
      <c r="K27" s="258" t="s">
        <v>43</v>
      </c>
      <c r="L27" s="258" t="s">
        <v>1940</v>
      </c>
      <c r="M27" s="262">
        <v>7500000</v>
      </c>
      <c r="N27" s="252"/>
      <c r="O27" s="252">
        <v>7500000</v>
      </c>
      <c r="P27" s="258" t="s">
        <v>2160</v>
      </c>
      <c r="Q27" s="263"/>
    </row>
    <row r="28" spans="1:17" ht="47.25" x14ac:dyDescent="0.25">
      <c r="A28" s="260">
        <v>25</v>
      </c>
      <c r="B28" s="258" t="s">
        <v>1136</v>
      </c>
      <c r="C28" s="258" t="s">
        <v>1285</v>
      </c>
      <c r="D28" s="258" t="s">
        <v>464</v>
      </c>
      <c r="E28" s="258" t="s">
        <v>1286</v>
      </c>
      <c r="F28" s="258" t="s">
        <v>1287</v>
      </c>
      <c r="G28" s="258"/>
      <c r="H28" s="258"/>
      <c r="I28" s="261"/>
      <c r="J28" s="258" t="s">
        <v>1288</v>
      </c>
      <c r="K28" s="258" t="s">
        <v>43</v>
      </c>
      <c r="L28" s="258" t="s">
        <v>1289</v>
      </c>
      <c r="M28" s="262">
        <v>15000000</v>
      </c>
      <c r="N28" s="252"/>
      <c r="O28" s="252">
        <v>15000000</v>
      </c>
      <c r="P28" s="258" t="s">
        <v>2519</v>
      </c>
      <c r="Q28" s="258"/>
    </row>
    <row r="29" spans="1:17" ht="47.25" x14ac:dyDescent="0.25">
      <c r="A29" s="260">
        <v>26</v>
      </c>
      <c r="B29" s="258" t="s">
        <v>1136</v>
      </c>
      <c r="C29" s="258"/>
      <c r="D29" s="261"/>
      <c r="E29" s="258" t="s">
        <v>1958</v>
      </c>
      <c r="F29" s="258"/>
      <c r="G29" s="258"/>
      <c r="H29" s="258"/>
      <c r="I29" s="258"/>
      <c r="J29" s="258" t="s">
        <v>1959</v>
      </c>
      <c r="K29" s="258" t="s">
        <v>43</v>
      </c>
      <c r="L29" s="258" t="s">
        <v>1960</v>
      </c>
      <c r="M29" s="262">
        <v>7500000</v>
      </c>
      <c r="N29" s="252"/>
      <c r="O29" s="252">
        <v>7500000</v>
      </c>
      <c r="P29" s="258" t="s">
        <v>336</v>
      </c>
      <c r="Q29" s="263"/>
    </row>
    <row r="30" spans="1:17" ht="47.25" x14ac:dyDescent="0.25">
      <c r="A30" s="260">
        <v>27</v>
      </c>
      <c r="B30" s="258" t="s">
        <v>1136</v>
      </c>
      <c r="C30" s="258" t="s">
        <v>1923</v>
      </c>
      <c r="D30" s="261"/>
      <c r="E30" s="258" t="s">
        <v>1980</v>
      </c>
      <c r="F30" s="258"/>
      <c r="G30" s="258"/>
      <c r="H30" s="258"/>
      <c r="I30" s="258"/>
      <c r="J30" s="258" t="s">
        <v>1981</v>
      </c>
      <c r="K30" s="258" t="s">
        <v>43</v>
      </c>
      <c r="L30" s="258" t="s">
        <v>1982</v>
      </c>
      <c r="M30" s="262">
        <v>7500000</v>
      </c>
      <c r="N30" s="252"/>
      <c r="O30" s="252">
        <v>7500000</v>
      </c>
      <c r="P30" s="258" t="s">
        <v>2560</v>
      </c>
      <c r="Q30" s="258"/>
    </row>
    <row r="31" spans="1:17" ht="47.25" x14ac:dyDescent="0.25">
      <c r="A31" s="260">
        <v>28</v>
      </c>
      <c r="B31" s="258" t="s">
        <v>1886</v>
      </c>
      <c r="C31" s="258" t="s">
        <v>2035</v>
      </c>
      <c r="D31" s="261"/>
      <c r="E31" s="258" t="s">
        <v>2036</v>
      </c>
      <c r="F31" s="258"/>
      <c r="G31" s="258"/>
      <c r="H31" s="258"/>
      <c r="I31" s="258"/>
      <c r="J31" s="258" t="s">
        <v>2037</v>
      </c>
      <c r="K31" s="258" t="s">
        <v>43</v>
      </c>
      <c r="L31" s="258" t="s">
        <v>274</v>
      </c>
      <c r="M31" s="262">
        <v>15000000</v>
      </c>
      <c r="N31" s="252"/>
      <c r="O31" s="252">
        <v>15000000</v>
      </c>
      <c r="P31" s="258" t="s">
        <v>2129</v>
      </c>
      <c r="Q31" s="258"/>
    </row>
    <row r="32" spans="1:17" ht="47.25" x14ac:dyDescent="0.25">
      <c r="A32" s="260">
        <v>29</v>
      </c>
      <c r="B32" s="258" t="s">
        <v>2042</v>
      </c>
      <c r="C32" s="258"/>
      <c r="D32" s="261"/>
      <c r="E32" s="258" t="s">
        <v>2044</v>
      </c>
      <c r="F32" s="258"/>
      <c r="G32" s="258"/>
      <c r="H32" s="258"/>
      <c r="I32" s="258"/>
      <c r="J32" s="258" t="s">
        <v>2045</v>
      </c>
      <c r="K32" s="258" t="s">
        <v>43</v>
      </c>
      <c r="L32" s="258" t="s">
        <v>2046</v>
      </c>
      <c r="M32" s="262">
        <v>7500000</v>
      </c>
      <c r="N32" s="252"/>
      <c r="O32" s="252">
        <v>7500000</v>
      </c>
      <c r="P32" s="258" t="s">
        <v>394</v>
      </c>
      <c r="Q32" s="258"/>
    </row>
    <row r="33" spans="1:17" ht="47.25" x14ac:dyDescent="0.25">
      <c r="A33" s="260">
        <v>30</v>
      </c>
      <c r="B33" s="258" t="s">
        <v>37</v>
      </c>
      <c r="C33" s="258"/>
      <c r="D33" s="261"/>
      <c r="E33" s="258" t="s">
        <v>2110</v>
      </c>
      <c r="F33" s="258"/>
      <c r="G33" s="258"/>
      <c r="H33" s="258"/>
      <c r="I33" s="258"/>
      <c r="J33" s="258" t="s">
        <v>2</v>
      </c>
      <c r="K33" s="258" t="s">
        <v>43</v>
      </c>
      <c r="L33" s="258" t="s">
        <v>2111</v>
      </c>
      <c r="M33" s="262">
        <v>7500000</v>
      </c>
      <c r="N33" s="252"/>
      <c r="O33" s="252">
        <v>7500000</v>
      </c>
      <c r="P33" s="258" t="s">
        <v>2751</v>
      </c>
      <c r="Q33" s="263"/>
    </row>
    <row r="34" spans="1:17" ht="47.25" x14ac:dyDescent="0.25">
      <c r="A34" s="260">
        <v>31</v>
      </c>
      <c r="B34" s="258" t="s">
        <v>37</v>
      </c>
      <c r="C34" s="258"/>
      <c r="D34" s="261"/>
      <c r="E34" s="258" t="s">
        <v>2135</v>
      </c>
      <c r="F34" s="258"/>
      <c r="G34" s="258"/>
      <c r="H34" s="258"/>
      <c r="I34" s="258"/>
      <c r="J34" s="258" t="s">
        <v>2136</v>
      </c>
      <c r="K34" s="258" t="s">
        <v>43</v>
      </c>
      <c r="L34" s="258" t="s">
        <v>2137</v>
      </c>
      <c r="M34" s="262">
        <v>7500000</v>
      </c>
      <c r="N34" s="252"/>
      <c r="O34" s="252">
        <v>7500000</v>
      </c>
      <c r="P34" s="258" t="s">
        <v>2832</v>
      </c>
      <c r="Q34" s="258"/>
    </row>
    <row r="35" spans="1:17" ht="47.25" x14ac:dyDescent="0.25">
      <c r="A35" s="260">
        <v>32</v>
      </c>
      <c r="B35" s="258" t="s">
        <v>37</v>
      </c>
      <c r="C35" s="258"/>
      <c r="D35" s="258" t="s">
        <v>1199</v>
      </c>
      <c r="E35" s="258" t="s">
        <v>1200</v>
      </c>
      <c r="F35" s="258"/>
      <c r="G35" s="258"/>
      <c r="H35" s="258"/>
      <c r="I35" s="261"/>
      <c r="J35" s="258" t="s">
        <v>1201</v>
      </c>
      <c r="K35" s="258" t="s">
        <v>43</v>
      </c>
      <c r="L35" s="258" t="s">
        <v>1202</v>
      </c>
      <c r="M35" s="262">
        <v>15000000</v>
      </c>
      <c r="N35" s="252"/>
      <c r="O35" s="252">
        <v>15000000</v>
      </c>
      <c r="P35" s="258" t="s">
        <v>2838</v>
      </c>
      <c r="Q35" s="258"/>
    </row>
    <row r="36" spans="1:17" ht="47.25" x14ac:dyDescent="0.25">
      <c r="A36" s="260">
        <v>33</v>
      </c>
      <c r="B36" s="258" t="s">
        <v>37</v>
      </c>
      <c r="C36" s="258"/>
      <c r="D36" s="261"/>
      <c r="E36" s="258" t="s">
        <v>2139</v>
      </c>
      <c r="F36" s="258"/>
      <c r="G36" s="258"/>
      <c r="H36" s="258"/>
      <c r="I36" s="258"/>
      <c r="J36" s="258" t="s">
        <v>2140</v>
      </c>
      <c r="K36" s="258" t="s">
        <v>43</v>
      </c>
      <c r="L36" s="258" t="s">
        <v>2141</v>
      </c>
      <c r="M36" s="262">
        <v>15000000</v>
      </c>
      <c r="N36" s="252"/>
      <c r="O36" s="252">
        <v>15000000</v>
      </c>
      <c r="P36" s="258" t="s">
        <v>2842</v>
      </c>
      <c r="Q36" s="258"/>
    </row>
    <row r="37" spans="1:17" ht="47.25" x14ac:dyDescent="0.25">
      <c r="A37" s="260">
        <v>34</v>
      </c>
      <c r="B37" s="258" t="s">
        <v>37</v>
      </c>
      <c r="C37" s="258"/>
      <c r="D37" s="261"/>
      <c r="E37" s="258" t="s">
        <v>2163</v>
      </c>
      <c r="F37" s="258"/>
      <c r="G37" s="258"/>
      <c r="H37" s="258"/>
      <c r="I37" s="258"/>
      <c r="J37" s="258" t="s">
        <v>2164</v>
      </c>
      <c r="K37" s="258" t="s">
        <v>43</v>
      </c>
      <c r="L37" s="258" t="s">
        <v>2165</v>
      </c>
      <c r="M37" s="262">
        <v>7500000</v>
      </c>
      <c r="N37" s="252"/>
      <c r="O37" s="252">
        <v>7500000</v>
      </c>
      <c r="P37" s="258" t="s">
        <v>394</v>
      </c>
      <c r="Q37" s="258"/>
    </row>
    <row r="38" spans="1:17" ht="110.25" x14ac:dyDescent="0.25">
      <c r="A38" s="260">
        <v>35</v>
      </c>
      <c r="B38" s="258" t="s">
        <v>37</v>
      </c>
      <c r="C38" s="258"/>
      <c r="D38" s="261"/>
      <c r="E38" s="258" t="s">
        <v>2211</v>
      </c>
      <c r="F38" s="258" t="s">
        <v>2212</v>
      </c>
      <c r="G38" s="258"/>
      <c r="H38" s="258"/>
      <c r="I38" s="258"/>
      <c r="J38" s="258" t="s">
        <v>2213</v>
      </c>
      <c r="K38" s="258" t="s">
        <v>43</v>
      </c>
      <c r="L38" s="258" t="s">
        <v>2214</v>
      </c>
      <c r="M38" s="262">
        <v>7500000</v>
      </c>
      <c r="N38" s="252"/>
      <c r="O38" s="252">
        <v>7500000</v>
      </c>
      <c r="P38" s="258" t="s">
        <v>2965</v>
      </c>
      <c r="Q38" s="263"/>
    </row>
    <row r="39" spans="1:17" ht="63" x14ac:dyDescent="0.25">
      <c r="A39" s="260">
        <v>36</v>
      </c>
      <c r="B39" s="258" t="s">
        <v>37</v>
      </c>
      <c r="C39" s="258"/>
      <c r="D39" s="261"/>
      <c r="E39" s="258" t="s">
        <v>2216</v>
      </c>
      <c r="F39" s="258"/>
      <c r="G39" s="258"/>
      <c r="H39" s="258"/>
      <c r="I39" s="258"/>
      <c r="J39" s="258" t="s">
        <v>2217</v>
      </c>
      <c r="K39" s="258" t="s">
        <v>43</v>
      </c>
      <c r="L39" s="258" t="s">
        <v>2218</v>
      </c>
      <c r="M39" s="262">
        <v>7500000</v>
      </c>
      <c r="N39" s="252"/>
      <c r="O39" s="252">
        <v>7500000</v>
      </c>
      <c r="P39" s="258" t="s">
        <v>2972</v>
      </c>
      <c r="Q39" s="258"/>
    </row>
    <row r="40" spans="1:17" ht="47.25" x14ac:dyDescent="0.25">
      <c r="A40" s="260">
        <v>37</v>
      </c>
      <c r="B40" s="258" t="s">
        <v>37</v>
      </c>
      <c r="C40" s="258" t="s">
        <v>604</v>
      </c>
      <c r="D40" s="261"/>
      <c r="E40" s="258" t="s">
        <v>2220</v>
      </c>
      <c r="F40" s="258" t="s">
        <v>1585</v>
      </c>
      <c r="G40" s="258"/>
      <c r="H40" s="258"/>
      <c r="I40" s="258"/>
      <c r="J40" s="258" t="s">
        <v>2221</v>
      </c>
      <c r="K40" s="258" t="s">
        <v>43</v>
      </c>
      <c r="L40" s="258" t="s">
        <v>2222</v>
      </c>
      <c r="M40" s="262">
        <v>7500000</v>
      </c>
      <c r="N40" s="252"/>
      <c r="O40" s="252">
        <v>7500000</v>
      </c>
      <c r="P40" s="258" t="s">
        <v>1579</v>
      </c>
      <c r="Q40" s="258"/>
    </row>
    <row r="41" spans="1:17" ht="47.25" x14ac:dyDescent="0.25">
      <c r="A41" s="260">
        <v>38</v>
      </c>
      <c r="B41" s="258" t="s">
        <v>37</v>
      </c>
      <c r="C41" s="258"/>
      <c r="D41" s="261"/>
      <c r="E41" s="258" t="s">
        <v>2244</v>
      </c>
      <c r="F41" s="258"/>
      <c r="G41" s="258"/>
      <c r="H41" s="258"/>
      <c r="I41" s="258"/>
      <c r="J41" s="258" t="s">
        <v>2245</v>
      </c>
      <c r="K41" s="258" t="s">
        <v>43</v>
      </c>
      <c r="L41" s="258" t="s">
        <v>2246</v>
      </c>
      <c r="M41" s="262">
        <v>7500000</v>
      </c>
      <c r="N41" s="252"/>
      <c r="O41" s="252">
        <v>7500000</v>
      </c>
      <c r="P41" s="258" t="s">
        <v>2972</v>
      </c>
      <c r="Q41" s="258"/>
    </row>
    <row r="42" spans="1:17" ht="47.25" x14ac:dyDescent="0.25">
      <c r="A42" s="260">
        <v>39</v>
      </c>
      <c r="B42" s="258" t="s">
        <v>37</v>
      </c>
      <c r="C42" s="258" t="s">
        <v>1132</v>
      </c>
      <c r="D42" s="261"/>
      <c r="E42" s="258" t="s">
        <v>2261</v>
      </c>
      <c r="F42" s="258"/>
      <c r="G42" s="258"/>
      <c r="H42" s="258"/>
      <c r="I42" s="258"/>
      <c r="J42" s="258" t="s">
        <v>2262</v>
      </c>
      <c r="K42" s="258" t="s">
        <v>43</v>
      </c>
      <c r="L42" s="258" t="s">
        <v>2263</v>
      </c>
      <c r="M42" s="262">
        <v>7500000</v>
      </c>
      <c r="N42" s="252"/>
      <c r="O42" s="252">
        <v>7500000</v>
      </c>
      <c r="P42" s="258" t="s">
        <v>1579</v>
      </c>
      <c r="Q42" s="258"/>
    </row>
    <row r="43" spans="1:17" ht="72" customHeight="1" x14ac:dyDescent="0.25">
      <c r="A43" s="260">
        <v>40</v>
      </c>
      <c r="B43" s="258" t="s">
        <v>37</v>
      </c>
      <c r="C43" s="258" t="s">
        <v>821</v>
      </c>
      <c r="D43" s="258" t="s">
        <v>3115</v>
      </c>
      <c r="E43" s="258" t="s">
        <v>824</v>
      </c>
      <c r="F43" s="258" t="s">
        <v>825</v>
      </c>
      <c r="G43" s="258"/>
      <c r="H43" s="258"/>
      <c r="I43" s="261"/>
      <c r="J43" s="258" t="s">
        <v>826</v>
      </c>
      <c r="K43" s="258" t="s">
        <v>43</v>
      </c>
      <c r="L43" s="258" t="s">
        <v>827</v>
      </c>
      <c r="M43" s="262">
        <v>15000000</v>
      </c>
      <c r="N43" s="252"/>
      <c r="O43" s="252">
        <v>15000000</v>
      </c>
      <c r="P43" s="258" t="s">
        <v>3123</v>
      </c>
      <c r="Q43" s="258"/>
    </row>
    <row r="44" spans="1:17" ht="47.25" x14ac:dyDescent="0.25">
      <c r="A44" s="260">
        <v>41</v>
      </c>
      <c r="B44" s="258" t="s">
        <v>37</v>
      </c>
      <c r="C44" s="258"/>
      <c r="D44" s="261"/>
      <c r="E44" s="258" t="s">
        <v>2312</v>
      </c>
      <c r="F44" s="258"/>
      <c r="G44" s="258"/>
      <c r="H44" s="258"/>
      <c r="I44" s="258"/>
      <c r="J44" s="258" t="s">
        <v>2313</v>
      </c>
      <c r="K44" s="258" t="s">
        <v>43</v>
      </c>
      <c r="L44" s="258" t="s">
        <v>2314</v>
      </c>
      <c r="M44" s="262">
        <v>7500000</v>
      </c>
      <c r="N44" s="252"/>
      <c r="O44" s="252">
        <v>7500000</v>
      </c>
      <c r="P44" s="258" t="s">
        <v>1026</v>
      </c>
      <c r="Q44" s="258"/>
    </row>
    <row r="45" spans="1:17" ht="47.25" x14ac:dyDescent="0.25">
      <c r="A45" s="260">
        <v>42</v>
      </c>
      <c r="B45" s="258" t="s">
        <v>37</v>
      </c>
      <c r="C45" s="258"/>
      <c r="D45" s="261"/>
      <c r="E45" s="258" t="s">
        <v>2325</v>
      </c>
      <c r="F45" s="258"/>
      <c r="G45" s="258"/>
      <c r="H45" s="258"/>
      <c r="I45" s="258"/>
      <c r="J45" s="258" t="s">
        <v>2326</v>
      </c>
      <c r="K45" s="258" t="s">
        <v>43</v>
      </c>
      <c r="L45" s="258" t="s">
        <v>137</v>
      </c>
      <c r="M45" s="262">
        <v>15000000</v>
      </c>
      <c r="N45" s="252"/>
      <c r="O45" s="252">
        <v>15000000</v>
      </c>
      <c r="P45" s="258" t="s">
        <v>2160</v>
      </c>
      <c r="Q45" s="263"/>
    </row>
    <row r="46" spans="1:17" ht="47.25" x14ac:dyDescent="0.25">
      <c r="A46" s="260">
        <v>43</v>
      </c>
      <c r="B46" s="258" t="s">
        <v>37</v>
      </c>
      <c r="C46" s="258"/>
      <c r="D46" s="261"/>
      <c r="E46" s="258" t="s">
        <v>2353</v>
      </c>
      <c r="F46" s="258"/>
      <c r="G46" s="258"/>
      <c r="H46" s="258"/>
      <c r="I46" s="258"/>
      <c r="J46" s="258" t="s">
        <v>2354</v>
      </c>
      <c r="K46" s="258" t="s">
        <v>43</v>
      </c>
      <c r="L46" s="258" t="s">
        <v>2355</v>
      </c>
      <c r="M46" s="262">
        <v>7500000</v>
      </c>
      <c r="N46" s="252"/>
      <c r="O46" s="252">
        <v>7500000</v>
      </c>
      <c r="P46" s="258" t="s">
        <v>3184</v>
      </c>
      <c r="Q46" s="258"/>
    </row>
    <row r="47" spans="1:17" ht="47.25" x14ac:dyDescent="0.25">
      <c r="A47" s="260">
        <v>44</v>
      </c>
      <c r="B47" s="258" t="s">
        <v>37</v>
      </c>
      <c r="C47" s="258"/>
      <c r="D47" s="261"/>
      <c r="E47" s="258" t="s">
        <v>2377</v>
      </c>
      <c r="F47" s="258"/>
      <c r="G47" s="258"/>
      <c r="H47" s="258"/>
      <c r="I47" s="258"/>
      <c r="J47" s="258" t="s">
        <v>2378</v>
      </c>
      <c r="K47" s="258" t="s">
        <v>43</v>
      </c>
      <c r="L47" s="258" t="s">
        <v>2379</v>
      </c>
      <c r="M47" s="262">
        <v>7500000</v>
      </c>
      <c r="N47" s="252"/>
      <c r="O47" s="252">
        <v>7500000</v>
      </c>
      <c r="P47" s="258" t="s">
        <v>394</v>
      </c>
      <c r="Q47" s="258"/>
    </row>
    <row r="48" spans="1:17" ht="47.25" x14ac:dyDescent="0.25">
      <c r="A48" s="260">
        <v>45</v>
      </c>
      <c r="B48" s="258" t="s">
        <v>37</v>
      </c>
      <c r="C48" s="258"/>
      <c r="D48" s="261"/>
      <c r="E48" s="258" t="s">
        <v>2452</v>
      </c>
      <c r="F48" s="258"/>
      <c r="G48" s="258"/>
      <c r="H48" s="258"/>
      <c r="I48" s="258"/>
      <c r="J48" s="258" t="s">
        <v>2453</v>
      </c>
      <c r="K48" s="258" t="s">
        <v>43</v>
      </c>
      <c r="L48" s="258" t="s">
        <v>2454</v>
      </c>
      <c r="M48" s="262">
        <v>7500000</v>
      </c>
      <c r="N48" s="252"/>
      <c r="O48" s="252">
        <v>7500000</v>
      </c>
      <c r="P48" s="258" t="s">
        <v>3308</v>
      </c>
      <c r="Q48" s="258"/>
    </row>
    <row r="49" spans="1:17" ht="94.5" x14ac:dyDescent="0.25">
      <c r="A49" s="260">
        <v>46</v>
      </c>
      <c r="B49" s="258" t="s">
        <v>163</v>
      </c>
      <c r="C49" s="258" t="s">
        <v>2477</v>
      </c>
      <c r="D49" s="261"/>
      <c r="E49" s="258" t="s">
        <v>2478</v>
      </c>
      <c r="F49" s="258"/>
      <c r="G49" s="258" t="s">
        <v>2479</v>
      </c>
      <c r="H49" s="258"/>
      <c r="I49" s="258"/>
      <c r="J49" s="258" t="s">
        <v>0</v>
      </c>
      <c r="K49" s="258" t="s">
        <v>43</v>
      </c>
      <c r="L49" s="258" t="s">
        <v>2480</v>
      </c>
      <c r="M49" s="262">
        <v>7500000</v>
      </c>
      <c r="N49" s="252"/>
      <c r="O49" s="252">
        <v>7500000</v>
      </c>
      <c r="P49" s="258" t="s">
        <v>3354</v>
      </c>
      <c r="Q49" s="258"/>
    </row>
    <row r="50" spans="1:17" ht="47.25" x14ac:dyDescent="0.25">
      <c r="A50" s="260">
        <v>47</v>
      </c>
      <c r="B50" s="258" t="s">
        <v>163</v>
      </c>
      <c r="C50" s="258"/>
      <c r="D50" s="261"/>
      <c r="E50" s="258" t="s">
        <v>2482</v>
      </c>
      <c r="F50" s="258"/>
      <c r="G50" s="258"/>
      <c r="H50" s="258"/>
      <c r="I50" s="258"/>
      <c r="J50" s="258" t="s">
        <v>2483</v>
      </c>
      <c r="K50" s="258" t="s">
        <v>43</v>
      </c>
      <c r="L50" s="258" t="s">
        <v>2484</v>
      </c>
      <c r="M50" s="262">
        <v>15000000</v>
      </c>
      <c r="N50" s="252"/>
      <c r="O50" s="252">
        <v>15000000</v>
      </c>
      <c r="P50" s="258" t="s">
        <v>1970</v>
      </c>
      <c r="Q50" s="263"/>
    </row>
    <row r="51" spans="1:17" ht="47.25" x14ac:dyDescent="0.25">
      <c r="A51" s="260">
        <v>48</v>
      </c>
      <c r="B51" s="258" t="s">
        <v>163</v>
      </c>
      <c r="C51" s="258"/>
      <c r="D51" s="261"/>
      <c r="E51" s="258" t="s">
        <v>2498</v>
      </c>
      <c r="F51" s="258"/>
      <c r="G51" s="258"/>
      <c r="H51" s="258"/>
      <c r="I51" s="258"/>
      <c r="J51" s="258" t="s">
        <v>2499</v>
      </c>
      <c r="K51" s="258" t="s">
        <v>43</v>
      </c>
      <c r="L51" s="258" t="s">
        <v>2500</v>
      </c>
      <c r="M51" s="262">
        <v>7500000</v>
      </c>
      <c r="N51" s="252"/>
      <c r="O51" s="252">
        <v>7500000</v>
      </c>
      <c r="P51" s="258" t="s">
        <v>2751</v>
      </c>
      <c r="Q51" s="263"/>
    </row>
    <row r="52" spans="1:17" ht="47.25" x14ac:dyDescent="0.25">
      <c r="A52" s="260">
        <v>49</v>
      </c>
      <c r="B52" s="258" t="s">
        <v>163</v>
      </c>
      <c r="C52" s="258"/>
      <c r="D52" s="261"/>
      <c r="E52" s="258" t="s">
        <v>2545</v>
      </c>
      <c r="F52" s="258"/>
      <c r="G52" s="258"/>
      <c r="H52" s="258"/>
      <c r="I52" s="258"/>
      <c r="J52" s="258" t="s">
        <v>2546</v>
      </c>
      <c r="K52" s="258" t="s">
        <v>43</v>
      </c>
      <c r="L52" s="258" t="s">
        <v>2547</v>
      </c>
      <c r="M52" s="262">
        <v>15000000</v>
      </c>
      <c r="N52" s="252"/>
      <c r="O52" s="252">
        <v>15000000</v>
      </c>
      <c r="P52" s="258" t="s">
        <v>3471</v>
      </c>
      <c r="Q52" s="263"/>
    </row>
    <row r="53" spans="1:17" ht="47.25" x14ac:dyDescent="0.25">
      <c r="A53" s="260">
        <v>50</v>
      </c>
      <c r="B53" s="258" t="s">
        <v>163</v>
      </c>
      <c r="C53" s="258"/>
      <c r="D53" s="261"/>
      <c r="E53" s="258" t="s">
        <v>2549</v>
      </c>
      <c r="F53" s="258"/>
      <c r="G53" s="258"/>
      <c r="H53" s="258"/>
      <c r="I53" s="258"/>
      <c r="J53" s="258" t="s">
        <v>2550</v>
      </c>
      <c r="K53" s="258" t="s">
        <v>43</v>
      </c>
      <c r="L53" s="258" t="s">
        <v>2551</v>
      </c>
      <c r="M53" s="262">
        <v>7500000</v>
      </c>
      <c r="N53" s="252"/>
      <c r="O53" s="252">
        <v>7500000</v>
      </c>
      <c r="P53" s="258" t="s">
        <v>2160</v>
      </c>
      <c r="Q53" s="263"/>
    </row>
    <row r="54" spans="1:17" ht="63" x14ac:dyDescent="0.25">
      <c r="A54" s="260">
        <v>51</v>
      </c>
      <c r="B54" s="258" t="s">
        <v>163</v>
      </c>
      <c r="C54" s="258"/>
      <c r="D54" s="261"/>
      <c r="E54" s="258" t="s">
        <v>2553</v>
      </c>
      <c r="F54" s="258"/>
      <c r="G54" s="258" t="s">
        <v>969</v>
      </c>
      <c r="H54" s="258"/>
      <c r="I54" s="258"/>
      <c r="J54" s="258" t="s">
        <v>2554</v>
      </c>
      <c r="K54" s="258" t="s">
        <v>43</v>
      </c>
      <c r="L54" s="258" t="s">
        <v>2555</v>
      </c>
      <c r="M54" s="262">
        <v>7500000</v>
      </c>
      <c r="N54" s="252"/>
      <c r="O54" s="252">
        <v>7500000</v>
      </c>
      <c r="P54" s="258" t="s">
        <v>3472</v>
      </c>
      <c r="Q54" s="258"/>
    </row>
    <row r="55" spans="1:17" ht="47.25" x14ac:dyDescent="0.25">
      <c r="A55" s="260">
        <v>52</v>
      </c>
      <c r="B55" s="258" t="s">
        <v>163</v>
      </c>
      <c r="C55" s="258"/>
      <c r="D55" s="261"/>
      <c r="E55" s="258" t="s">
        <v>2578</v>
      </c>
      <c r="F55" s="258"/>
      <c r="G55" s="258"/>
      <c r="H55" s="258"/>
      <c r="I55" s="258"/>
      <c r="J55" s="258" t="s">
        <v>2579</v>
      </c>
      <c r="K55" s="258" t="s">
        <v>43</v>
      </c>
      <c r="L55" s="258" t="s">
        <v>2580</v>
      </c>
      <c r="M55" s="262">
        <v>7500000</v>
      </c>
      <c r="N55" s="252"/>
      <c r="O55" s="252">
        <v>7500000</v>
      </c>
      <c r="P55" s="258" t="s">
        <v>3490</v>
      </c>
      <c r="Q55" s="258"/>
    </row>
    <row r="56" spans="1:17" ht="47.25" x14ac:dyDescent="0.25">
      <c r="A56" s="260">
        <v>53</v>
      </c>
      <c r="B56" s="258" t="s">
        <v>163</v>
      </c>
      <c r="C56" s="258"/>
      <c r="D56" s="261"/>
      <c r="E56" s="258" t="s">
        <v>2590</v>
      </c>
      <c r="F56" s="258"/>
      <c r="G56" s="258"/>
      <c r="H56" s="258"/>
      <c r="I56" s="258"/>
      <c r="J56" s="258" t="s">
        <v>2591</v>
      </c>
      <c r="K56" s="258" t="s">
        <v>43</v>
      </c>
      <c r="L56" s="258" t="s">
        <v>2592</v>
      </c>
      <c r="M56" s="262">
        <v>7500000</v>
      </c>
      <c r="N56" s="252"/>
      <c r="O56" s="252">
        <v>7500000</v>
      </c>
      <c r="P56" s="258" t="s">
        <v>2160</v>
      </c>
      <c r="Q56" s="263"/>
    </row>
    <row r="57" spans="1:17" ht="47.25" x14ac:dyDescent="0.25">
      <c r="A57" s="260">
        <v>54</v>
      </c>
      <c r="B57" s="258" t="s">
        <v>47</v>
      </c>
      <c r="C57" s="258" t="s">
        <v>2647</v>
      </c>
      <c r="D57" s="261"/>
      <c r="E57" s="258" t="s">
        <v>2648</v>
      </c>
      <c r="F57" s="258" t="s">
        <v>2649</v>
      </c>
      <c r="G57" s="258"/>
      <c r="H57" s="258"/>
      <c r="I57" s="258"/>
      <c r="J57" s="258" t="s">
        <v>2650</v>
      </c>
      <c r="K57" s="258" t="s">
        <v>43</v>
      </c>
      <c r="L57" s="258" t="s">
        <v>2651</v>
      </c>
      <c r="M57" s="262">
        <v>7500000</v>
      </c>
      <c r="N57" s="252"/>
      <c r="O57" s="252">
        <v>7500000</v>
      </c>
      <c r="P57" s="258" t="s">
        <v>3526</v>
      </c>
      <c r="Q57" s="263"/>
    </row>
    <row r="58" spans="1:17" ht="47.25" x14ac:dyDescent="0.25">
      <c r="A58" s="260">
        <v>55</v>
      </c>
      <c r="B58" s="258" t="s">
        <v>47</v>
      </c>
      <c r="C58" s="258"/>
      <c r="D58" s="258"/>
      <c r="E58" s="258" t="s">
        <v>2658</v>
      </c>
      <c r="F58" s="258"/>
      <c r="G58" s="258"/>
      <c r="H58" s="258"/>
      <c r="I58" s="258"/>
      <c r="J58" s="258" t="s">
        <v>2659</v>
      </c>
      <c r="K58" s="258" t="s">
        <v>43</v>
      </c>
      <c r="L58" s="258" t="s">
        <v>2660</v>
      </c>
      <c r="M58" s="262">
        <v>7500000</v>
      </c>
      <c r="N58" s="252"/>
      <c r="O58" s="252">
        <v>7500000</v>
      </c>
      <c r="P58" s="258" t="s">
        <v>3532</v>
      </c>
      <c r="Q58" s="258"/>
    </row>
    <row r="59" spans="1:17" ht="47.25" x14ac:dyDescent="0.25">
      <c r="A59" s="260">
        <v>56</v>
      </c>
      <c r="B59" s="258" t="s">
        <v>47</v>
      </c>
      <c r="C59" s="258"/>
      <c r="D59" s="258"/>
      <c r="E59" s="258" t="s">
        <v>2662</v>
      </c>
      <c r="F59" s="258"/>
      <c r="G59" s="258"/>
      <c r="H59" s="258"/>
      <c r="I59" s="258"/>
      <c r="J59" s="258" t="s">
        <v>2663</v>
      </c>
      <c r="K59" s="258" t="s">
        <v>43</v>
      </c>
      <c r="L59" s="258" t="s">
        <v>2664</v>
      </c>
      <c r="M59" s="262">
        <v>7500000</v>
      </c>
      <c r="N59" s="252"/>
      <c r="O59" s="252">
        <v>7500000</v>
      </c>
      <c r="P59" s="258" t="s">
        <v>3534</v>
      </c>
      <c r="Q59" s="258"/>
    </row>
    <row r="60" spans="1:17" ht="47.25" x14ac:dyDescent="0.25">
      <c r="A60" s="260">
        <v>57</v>
      </c>
      <c r="B60" s="258" t="s">
        <v>47</v>
      </c>
      <c r="C60" s="258"/>
      <c r="D60" s="261"/>
      <c r="E60" s="258" t="s">
        <v>2710</v>
      </c>
      <c r="F60" s="258"/>
      <c r="G60" s="258" t="s">
        <v>85</v>
      </c>
      <c r="H60" s="258"/>
      <c r="I60" s="258"/>
      <c r="J60" s="258" t="s">
        <v>2711</v>
      </c>
      <c r="K60" s="258" t="s">
        <v>43</v>
      </c>
      <c r="L60" s="258" t="s">
        <v>2712</v>
      </c>
      <c r="M60" s="262">
        <v>3750000</v>
      </c>
      <c r="N60" s="252"/>
      <c r="O60" s="252">
        <v>3750000</v>
      </c>
      <c r="P60" s="258" t="s">
        <v>3616</v>
      </c>
      <c r="Q60" s="263"/>
    </row>
    <row r="61" spans="1:17" ht="47.25" x14ac:dyDescent="0.25">
      <c r="A61" s="260">
        <v>58</v>
      </c>
      <c r="B61" s="258" t="s">
        <v>47</v>
      </c>
      <c r="C61" s="258"/>
      <c r="D61" s="261"/>
      <c r="E61" s="258" t="s">
        <v>2714</v>
      </c>
      <c r="F61" s="258"/>
      <c r="G61" s="258"/>
      <c r="H61" s="258"/>
      <c r="I61" s="258"/>
      <c r="J61" s="258" t="s">
        <v>2715</v>
      </c>
      <c r="K61" s="258" t="s">
        <v>43</v>
      </c>
      <c r="L61" s="258" t="s">
        <v>2716</v>
      </c>
      <c r="M61" s="262">
        <v>7500000</v>
      </c>
      <c r="N61" s="252"/>
      <c r="O61" s="252">
        <v>7500000</v>
      </c>
      <c r="P61" s="258" t="s">
        <v>3490</v>
      </c>
      <c r="Q61" s="258"/>
    </row>
    <row r="62" spans="1:17" ht="47.25" x14ac:dyDescent="0.25">
      <c r="A62" s="260">
        <v>59</v>
      </c>
      <c r="B62" s="258" t="s">
        <v>47</v>
      </c>
      <c r="C62" s="258"/>
      <c r="D62" s="258" t="s">
        <v>1199</v>
      </c>
      <c r="E62" s="258" t="s">
        <v>1207</v>
      </c>
      <c r="F62" s="258"/>
      <c r="G62" s="258"/>
      <c r="H62" s="258"/>
      <c r="I62" s="261"/>
      <c r="J62" s="258" t="s">
        <v>1208</v>
      </c>
      <c r="K62" s="258" t="s">
        <v>43</v>
      </c>
      <c r="L62" s="258" t="s">
        <v>1209</v>
      </c>
      <c r="M62" s="262">
        <v>15000000</v>
      </c>
      <c r="N62" s="252"/>
      <c r="O62" s="252">
        <v>15000000</v>
      </c>
      <c r="P62" s="258" t="s">
        <v>3623</v>
      </c>
      <c r="Q62" s="258"/>
    </row>
    <row r="63" spans="1:17" ht="47.25" x14ac:dyDescent="0.25">
      <c r="A63" s="260">
        <v>60</v>
      </c>
      <c r="B63" s="258" t="s">
        <v>47</v>
      </c>
      <c r="C63" s="258" t="s">
        <v>377</v>
      </c>
      <c r="D63" s="261"/>
      <c r="E63" s="258" t="s">
        <v>2729</v>
      </c>
      <c r="F63" s="258" t="s">
        <v>2730</v>
      </c>
      <c r="G63" s="258"/>
      <c r="H63" s="258"/>
      <c r="I63" s="258"/>
      <c r="J63" s="258" t="s">
        <v>2731</v>
      </c>
      <c r="K63" s="258" t="s">
        <v>43</v>
      </c>
      <c r="L63" s="258" t="s">
        <v>2732</v>
      </c>
      <c r="M63" s="262">
        <v>7500000</v>
      </c>
      <c r="N63" s="252"/>
      <c r="O63" s="252">
        <v>7500000</v>
      </c>
      <c r="P63" s="258" t="s">
        <v>3637</v>
      </c>
      <c r="Q63" s="258" t="s">
        <v>3638</v>
      </c>
    </row>
    <row r="64" spans="1:17" ht="47.25" x14ac:dyDescent="0.25">
      <c r="A64" s="260">
        <v>61</v>
      </c>
      <c r="B64" s="258" t="s">
        <v>47</v>
      </c>
      <c r="C64" s="258"/>
      <c r="D64" s="258" t="s">
        <v>464</v>
      </c>
      <c r="E64" s="258" t="s">
        <v>1312</v>
      </c>
      <c r="F64" s="258"/>
      <c r="G64" s="258"/>
      <c r="H64" s="258"/>
      <c r="I64" s="261"/>
      <c r="J64" s="258" t="s">
        <v>1313</v>
      </c>
      <c r="K64" s="258" t="s">
        <v>43</v>
      </c>
      <c r="L64" s="258" t="s">
        <v>1314</v>
      </c>
      <c r="M64" s="262">
        <v>15000000</v>
      </c>
      <c r="N64" s="252"/>
      <c r="O64" s="252">
        <v>15000000</v>
      </c>
      <c r="P64" s="258" t="s">
        <v>2013</v>
      </c>
      <c r="Q64" s="258"/>
    </row>
    <row r="65" spans="1:17" ht="47.25" x14ac:dyDescent="0.25">
      <c r="A65" s="260">
        <v>62</v>
      </c>
      <c r="B65" s="258" t="s">
        <v>47</v>
      </c>
      <c r="C65" s="258"/>
      <c r="D65" s="261"/>
      <c r="E65" s="258" t="s">
        <v>2813</v>
      </c>
      <c r="F65" s="258"/>
      <c r="G65" s="258"/>
      <c r="H65" s="258"/>
      <c r="I65" s="258"/>
      <c r="J65" s="258" t="s">
        <v>2814</v>
      </c>
      <c r="K65" s="258" t="s">
        <v>43</v>
      </c>
      <c r="L65" s="258" t="s">
        <v>2815</v>
      </c>
      <c r="M65" s="262">
        <v>7500000</v>
      </c>
      <c r="N65" s="252"/>
      <c r="O65" s="252">
        <v>7500000</v>
      </c>
      <c r="P65" s="258" t="s">
        <v>3471</v>
      </c>
      <c r="Q65" s="263"/>
    </row>
    <row r="66" spans="1:17" ht="63" x14ac:dyDescent="0.25">
      <c r="A66" s="260">
        <v>63</v>
      </c>
      <c r="B66" s="258" t="s">
        <v>124</v>
      </c>
      <c r="C66" s="258" t="s">
        <v>2834</v>
      </c>
      <c r="D66" s="261"/>
      <c r="E66" s="258" t="s">
        <v>2835</v>
      </c>
      <c r="F66" s="258" t="s">
        <v>2836</v>
      </c>
      <c r="G66" s="265" t="s">
        <v>2837</v>
      </c>
      <c r="H66" s="265"/>
      <c r="I66" s="265"/>
      <c r="J66" s="258" t="s">
        <v>2840</v>
      </c>
      <c r="K66" s="258" t="s">
        <v>43</v>
      </c>
      <c r="L66" s="258" t="s">
        <v>2841</v>
      </c>
      <c r="M66" s="262">
        <v>7500000</v>
      </c>
      <c r="N66" s="252"/>
      <c r="O66" s="252">
        <v>7500000</v>
      </c>
      <c r="P66" s="258" t="s">
        <v>3706</v>
      </c>
      <c r="Q66" s="258"/>
    </row>
    <row r="67" spans="1:17" ht="47.25" x14ac:dyDescent="0.25">
      <c r="A67" s="260">
        <v>64</v>
      </c>
      <c r="B67" s="258" t="s">
        <v>124</v>
      </c>
      <c r="C67" s="258" t="s">
        <v>2845</v>
      </c>
      <c r="D67" s="258"/>
      <c r="E67" s="258" t="s">
        <v>2846</v>
      </c>
      <c r="F67" s="258"/>
      <c r="G67" s="258"/>
      <c r="H67" s="258"/>
      <c r="I67" s="258"/>
      <c r="J67" s="258" t="s">
        <v>2847</v>
      </c>
      <c r="K67" s="258" t="s">
        <v>43</v>
      </c>
      <c r="L67" s="258" t="s">
        <v>2848</v>
      </c>
      <c r="M67" s="262">
        <v>7500000</v>
      </c>
      <c r="N67" s="252"/>
      <c r="O67" s="252">
        <v>7500000</v>
      </c>
      <c r="P67" s="258" t="s">
        <v>1579</v>
      </c>
      <c r="Q67" s="258"/>
    </row>
    <row r="68" spans="1:17" ht="62.45" customHeight="1" x14ac:dyDescent="0.25">
      <c r="A68" s="260">
        <v>65</v>
      </c>
      <c r="B68" s="258" t="s">
        <v>124</v>
      </c>
      <c r="C68" s="258"/>
      <c r="D68" s="258" t="s">
        <v>3754</v>
      </c>
      <c r="E68" s="258" t="s">
        <v>1052</v>
      </c>
      <c r="F68" s="258"/>
      <c r="G68" s="258"/>
      <c r="H68" s="258"/>
      <c r="I68" s="261"/>
      <c r="J68" s="258" t="s">
        <v>1053</v>
      </c>
      <c r="K68" s="258" t="s">
        <v>43</v>
      </c>
      <c r="L68" s="258" t="s">
        <v>1054</v>
      </c>
      <c r="M68" s="262">
        <v>15000000</v>
      </c>
      <c r="N68" s="252"/>
      <c r="O68" s="252">
        <v>15000000</v>
      </c>
      <c r="P68" s="258" t="s">
        <v>1970</v>
      </c>
      <c r="Q68" s="263"/>
    </row>
    <row r="69" spans="1:17" ht="63" x14ac:dyDescent="0.25">
      <c r="A69" s="260">
        <v>66</v>
      </c>
      <c r="B69" s="258" t="s">
        <v>124</v>
      </c>
      <c r="C69" s="258"/>
      <c r="D69" s="261"/>
      <c r="E69" s="258" t="s">
        <v>2869</v>
      </c>
      <c r="F69" s="258"/>
      <c r="G69" s="258"/>
      <c r="H69" s="258"/>
      <c r="I69" s="258"/>
      <c r="J69" s="258" t="s">
        <v>2018</v>
      </c>
      <c r="K69" s="258" t="s">
        <v>43</v>
      </c>
      <c r="L69" s="258" t="s">
        <v>2870</v>
      </c>
      <c r="M69" s="262">
        <v>7500000</v>
      </c>
      <c r="N69" s="252"/>
      <c r="O69" s="252">
        <v>7500000</v>
      </c>
      <c r="P69" s="258" t="s">
        <v>1579</v>
      </c>
      <c r="Q69" s="258"/>
    </row>
    <row r="70" spans="1:17" ht="47.25" x14ac:dyDescent="0.25">
      <c r="A70" s="260">
        <v>67</v>
      </c>
      <c r="B70" s="258" t="s">
        <v>124</v>
      </c>
      <c r="C70" s="258" t="s">
        <v>772</v>
      </c>
      <c r="D70" s="258" t="s">
        <v>757</v>
      </c>
      <c r="E70" s="258" t="s">
        <v>773</v>
      </c>
      <c r="F70" s="258" t="s">
        <v>774</v>
      </c>
      <c r="G70" s="258"/>
      <c r="H70" s="258"/>
      <c r="I70" s="261"/>
      <c r="J70" s="258" t="s">
        <v>775</v>
      </c>
      <c r="K70" s="258" t="s">
        <v>43</v>
      </c>
      <c r="L70" s="258" t="s">
        <v>776</v>
      </c>
      <c r="M70" s="262">
        <v>15000000</v>
      </c>
      <c r="N70" s="252"/>
      <c r="O70" s="252">
        <v>15000000</v>
      </c>
      <c r="P70" s="258" t="s">
        <v>394</v>
      </c>
      <c r="Q70" s="263"/>
    </row>
    <row r="71" spans="1:17" ht="47.25" x14ac:dyDescent="0.25">
      <c r="A71" s="260">
        <v>68</v>
      </c>
      <c r="B71" s="258" t="s">
        <v>124</v>
      </c>
      <c r="C71" s="258"/>
      <c r="D71" s="261"/>
      <c r="E71" s="258" t="s">
        <v>2897</v>
      </c>
      <c r="F71" s="258"/>
      <c r="G71" s="258"/>
      <c r="H71" s="258"/>
      <c r="I71" s="258"/>
      <c r="J71" s="258" t="s">
        <v>2898</v>
      </c>
      <c r="K71" s="258" t="s">
        <v>43</v>
      </c>
      <c r="L71" s="258" t="s">
        <v>2899</v>
      </c>
      <c r="M71" s="262">
        <v>15000000</v>
      </c>
      <c r="N71" s="252"/>
      <c r="O71" s="252">
        <v>15000000</v>
      </c>
      <c r="P71" s="258" t="s">
        <v>1579</v>
      </c>
      <c r="Q71" s="258"/>
    </row>
    <row r="72" spans="1:17" ht="47.25" x14ac:dyDescent="0.25">
      <c r="A72" s="260">
        <v>69</v>
      </c>
      <c r="B72" s="258" t="s">
        <v>124</v>
      </c>
      <c r="C72" s="258"/>
      <c r="D72" s="258" t="s">
        <v>464</v>
      </c>
      <c r="E72" s="258" t="s">
        <v>1320</v>
      </c>
      <c r="F72" s="258"/>
      <c r="G72" s="258"/>
      <c r="H72" s="258"/>
      <c r="I72" s="261"/>
      <c r="J72" s="258" t="s">
        <v>1321</v>
      </c>
      <c r="K72" s="258" t="s">
        <v>43</v>
      </c>
      <c r="L72" s="258" t="s">
        <v>1322</v>
      </c>
      <c r="M72" s="262">
        <v>15000000</v>
      </c>
      <c r="N72" s="252"/>
      <c r="O72" s="252">
        <v>15000000</v>
      </c>
      <c r="P72" s="258" t="s">
        <v>3845</v>
      </c>
      <c r="Q72" s="258"/>
    </row>
    <row r="73" spans="1:17" ht="47.25" x14ac:dyDescent="0.25">
      <c r="A73" s="260">
        <v>70</v>
      </c>
      <c r="B73" s="258" t="s">
        <v>124</v>
      </c>
      <c r="C73" s="258"/>
      <c r="D73" s="261"/>
      <c r="E73" s="258" t="s">
        <v>2923</v>
      </c>
      <c r="F73" s="258"/>
      <c r="G73" s="258"/>
      <c r="H73" s="258"/>
      <c r="I73" s="258"/>
      <c r="J73" s="258" t="s">
        <v>2924</v>
      </c>
      <c r="K73" s="258" t="s">
        <v>43</v>
      </c>
      <c r="L73" s="258" t="s">
        <v>2925</v>
      </c>
      <c r="M73" s="262">
        <v>15000000</v>
      </c>
      <c r="N73" s="252"/>
      <c r="O73" s="252">
        <v>15000000</v>
      </c>
      <c r="P73" s="258" t="s">
        <v>2160</v>
      </c>
      <c r="Q73" s="263"/>
    </row>
    <row r="74" spans="1:17" ht="47.25" x14ac:dyDescent="0.25">
      <c r="A74" s="260">
        <v>71</v>
      </c>
      <c r="B74" s="258" t="s">
        <v>124</v>
      </c>
      <c r="C74" s="258"/>
      <c r="D74" s="258"/>
      <c r="E74" s="258" t="s">
        <v>2967</v>
      </c>
      <c r="F74" s="258"/>
      <c r="G74" s="258"/>
      <c r="H74" s="258"/>
      <c r="I74" s="258"/>
      <c r="J74" s="258" t="s">
        <v>2968</v>
      </c>
      <c r="K74" s="258" t="s">
        <v>43</v>
      </c>
      <c r="L74" s="258" t="s">
        <v>2969</v>
      </c>
      <c r="M74" s="262">
        <v>15000000</v>
      </c>
      <c r="N74" s="252"/>
      <c r="O74" s="252">
        <v>15000000</v>
      </c>
      <c r="P74" s="258" t="s">
        <v>2160</v>
      </c>
      <c r="Q74" s="263"/>
    </row>
    <row r="75" spans="1:17" ht="47.25" x14ac:dyDescent="0.25">
      <c r="A75" s="260">
        <v>72</v>
      </c>
      <c r="B75" s="258" t="s">
        <v>966</v>
      </c>
      <c r="C75" s="258"/>
      <c r="D75" s="258"/>
      <c r="E75" s="258" t="s">
        <v>3002</v>
      </c>
      <c r="F75" s="258"/>
      <c r="G75" s="258" t="s">
        <v>969</v>
      </c>
      <c r="H75" s="258"/>
      <c r="I75" s="258"/>
      <c r="J75" s="258" t="s">
        <v>3003</v>
      </c>
      <c r="K75" s="258" t="s">
        <v>43</v>
      </c>
      <c r="L75" s="258" t="s">
        <v>2969</v>
      </c>
      <c r="M75" s="262">
        <v>7500000</v>
      </c>
      <c r="N75" s="252"/>
      <c r="O75" s="252">
        <v>7500000</v>
      </c>
      <c r="P75" s="258" t="s">
        <v>2160</v>
      </c>
      <c r="Q75" s="263"/>
    </row>
    <row r="76" spans="1:17" ht="47.25" x14ac:dyDescent="0.25">
      <c r="A76" s="260">
        <v>73</v>
      </c>
      <c r="B76" s="258" t="s">
        <v>966</v>
      </c>
      <c r="C76" s="258"/>
      <c r="D76" s="261"/>
      <c r="E76" s="258" t="s">
        <v>3021</v>
      </c>
      <c r="F76" s="258"/>
      <c r="G76" s="258"/>
      <c r="H76" s="258"/>
      <c r="I76" s="258"/>
      <c r="J76" s="258" t="s">
        <v>2554</v>
      </c>
      <c r="K76" s="258" t="s">
        <v>43</v>
      </c>
      <c r="L76" s="258" t="s">
        <v>3022</v>
      </c>
      <c r="M76" s="262">
        <v>7500000</v>
      </c>
      <c r="N76" s="252"/>
      <c r="O76" s="252">
        <v>7500000</v>
      </c>
      <c r="P76" s="258" t="s">
        <v>3955</v>
      </c>
      <c r="Q76" s="258"/>
    </row>
    <row r="77" spans="1:17" ht="47.25" x14ac:dyDescent="0.25">
      <c r="A77" s="260">
        <v>74</v>
      </c>
      <c r="B77" s="258" t="s">
        <v>966</v>
      </c>
      <c r="C77" s="258"/>
      <c r="D77" s="261"/>
      <c r="E77" s="258" t="s">
        <v>3039</v>
      </c>
      <c r="F77" s="258"/>
      <c r="G77" s="258"/>
      <c r="H77" s="258"/>
      <c r="I77" s="258"/>
      <c r="J77" s="258" t="s">
        <v>3040</v>
      </c>
      <c r="K77" s="258" t="s">
        <v>43</v>
      </c>
      <c r="L77" s="258" t="s">
        <v>3041</v>
      </c>
      <c r="M77" s="262">
        <v>15000000</v>
      </c>
      <c r="N77" s="252"/>
      <c r="O77" s="252">
        <v>15000000</v>
      </c>
      <c r="P77" s="258" t="s">
        <v>3970</v>
      </c>
      <c r="Q77" s="258"/>
    </row>
    <row r="78" spans="1:17" ht="47.25" x14ac:dyDescent="0.25">
      <c r="A78" s="260">
        <v>75</v>
      </c>
      <c r="B78" s="258" t="s">
        <v>966</v>
      </c>
      <c r="C78" s="258"/>
      <c r="D78" s="258" t="s">
        <v>872</v>
      </c>
      <c r="E78" s="258" t="s">
        <v>968</v>
      </c>
      <c r="F78" s="258"/>
      <c r="G78" s="258" t="s">
        <v>969</v>
      </c>
      <c r="H78" s="258"/>
      <c r="I78" s="261"/>
      <c r="J78" s="258" t="s">
        <v>970</v>
      </c>
      <c r="K78" s="258" t="s">
        <v>43</v>
      </c>
      <c r="L78" s="258" t="s">
        <v>971</v>
      </c>
      <c r="M78" s="262">
        <v>15000000</v>
      </c>
      <c r="N78" s="252"/>
      <c r="O78" s="252">
        <v>15000000</v>
      </c>
      <c r="P78" s="258" t="s">
        <v>3989</v>
      </c>
      <c r="Q78" s="258"/>
    </row>
    <row r="79" spans="1:17" ht="47.25" x14ac:dyDescent="0.25">
      <c r="A79" s="260">
        <v>76</v>
      </c>
      <c r="B79" s="258" t="s">
        <v>498</v>
      </c>
      <c r="C79" s="258"/>
      <c r="D79" s="258"/>
      <c r="E79" s="258" t="s">
        <v>3107</v>
      </c>
      <c r="F79" s="258"/>
      <c r="G79" s="258"/>
      <c r="H79" s="258"/>
      <c r="I79" s="258"/>
      <c r="J79" s="258" t="s">
        <v>3108</v>
      </c>
      <c r="K79" s="258" t="s">
        <v>43</v>
      </c>
      <c r="L79" s="258" t="s">
        <v>3109</v>
      </c>
      <c r="M79" s="262">
        <v>15000000</v>
      </c>
      <c r="N79" s="252"/>
      <c r="O79" s="252">
        <v>15000000</v>
      </c>
      <c r="P79" s="258" t="s">
        <v>3970</v>
      </c>
      <c r="Q79" s="258"/>
    </row>
    <row r="80" spans="1:17" ht="47.25" x14ac:dyDescent="0.25">
      <c r="A80" s="260">
        <v>77</v>
      </c>
      <c r="B80" s="258" t="s">
        <v>498</v>
      </c>
      <c r="C80" s="258" t="s">
        <v>3137</v>
      </c>
      <c r="D80" s="261"/>
      <c r="E80" s="258" t="s">
        <v>3138</v>
      </c>
      <c r="F80" s="258"/>
      <c r="G80" s="258"/>
      <c r="H80" s="258"/>
      <c r="I80" s="258"/>
      <c r="J80" s="258" t="s">
        <v>3139</v>
      </c>
      <c r="K80" s="258" t="s">
        <v>43</v>
      </c>
      <c r="L80" s="258" t="s">
        <v>3140</v>
      </c>
      <c r="M80" s="262">
        <v>15000000</v>
      </c>
      <c r="N80" s="252"/>
      <c r="O80" s="252">
        <v>15000000</v>
      </c>
      <c r="P80" s="258" t="s">
        <v>4006</v>
      </c>
      <c r="Q80" s="263"/>
    </row>
    <row r="81" spans="1:17" ht="94.15" customHeight="1" x14ac:dyDescent="0.25">
      <c r="A81" s="260">
        <v>78</v>
      </c>
      <c r="B81" s="258" t="s">
        <v>498</v>
      </c>
      <c r="C81" s="258"/>
      <c r="D81" s="261"/>
      <c r="E81" s="258" t="s">
        <v>3157</v>
      </c>
      <c r="F81" s="265" t="s">
        <v>3158</v>
      </c>
      <c r="G81" s="258"/>
      <c r="H81" s="258"/>
      <c r="I81" s="258"/>
      <c r="J81" s="258" t="s">
        <v>1704</v>
      </c>
      <c r="K81" s="258" t="s">
        <v>43</v>
      </c>
      <c r="L81" s="258" t="s">
        <v>3159</v>
      </c>
      <c r="M81" s="262">
        <v>7500000</v>
      </c>
      <c r="N81" s="252"/>
      <c r="O81" s="252">
        <v>7500000</v>
      </c>
      <c r="P81" s="258" t="s">
        <v>4007</v>
      </c>
      <c r="Q81" s="258"/>
    </row>
    <row r="82" spans="1:17" ht="47.25" x14ac:dyDescent="0.25">
      <c r="A82" s="260">
        <v>79</v>
      </c>
      <c r="B82" s="258" t="s">
        <v>498</v>
      </c>
      <c r="C82" s="258" t="s">
        <v>567</v>
      </c>
      <c r="D82" s="258" t="s">
        <v>568</v>
      </c>
      <c r="E82" s="258" t="s">
        <v>569</v>
      </c>
      <c r="F82" s="258"/>
      <c r="G82" s="258"/>
      <c r="H82" s="258"/>
      <c r="I82" s="261"/>
      <c r="J82" s="258" t="s">
        <v>570</v>
      </c>
      <c r="K82" s="258" t="s">
        <v>43</v>
      </c>
      <c r="L82" s="258" t="s">
        <v>571</v>
      </c>
      <c r="M82" s="262">
        <v>15000000</v>
      </c>
      <c r="N82" s="252"/>
      <c r="O82" s="252">
        <v>15000000</v>
      </c>
      <c r="P82" s="258" t="s">
        <v>4008</v>
      </c>
      <c r="Q82" s="258"/>
    </row>
    <row r="83" spans="1:17" ht="47.25" x14ac:dyDescent="0.25">
      <c r="A83" s="260">
        <v>80</v>
      </c>
      <c r="B83" s="258" t="s">
        <v>498</v>
      </c>
      <c r="C83" s="258"/>
      <c r="D83" s="258"/>
      <c r="E83" s="258" t="s">
        <v>3165</v>
      </c>
      <c r="F83" s="258"/>
      <c r="G83" s="258"/>
      <c r="H83" s="258"/>
      <c r="I83" s="258"/>
      <c r="J83" s="258" t="s">
        <v>3166</v>
      </c>
      <c r="K83" s="258" t="s">
        <v>43</v>
      </c>
      <c r="L83" s="258" t="s">
        <v>3167</v>
      </c>
      <c r="M83" s="262">
        <v>7500000</v>
      </c>
      <c r="N83" s="252"/>
      <c r="O83" s="252">
        <v>7500000</v>
      </c>
      <c r="P83" s="258" t="s">
        <v>4009</v>
      </c>
      <c r="Q83" s="258"/>
    </row>
    <row r="84" spans="1:17" ht="47.25" x14ac:dyDescent="0.25">
      <c r="A84" s="260">
        <v>81</v>
      </c>
      <c r="B84" s="258" t="s">
        <v>498</v>
      </c>
      <c r="C84" s="258"/>
      <c r="D84" s="261"/>
      <c r="E84" s="258" t="s">
        <v>3217</v>
      </c>
      <c r="F84" s="258"/>
      <c r="G84" s="258"/>
      <c r="H84" s="258"/>
      <c r="I84" s="258"/>
      <c r="J84" s="258" t="s">
        <v>3218</v>
      </c>
      <c r="K84" s="258" t="s">
        <v>43</v>
      </c>
      <c r="L84" s="258" t="s">
        <v>3219</v>
      </c>
      <c r="M84" s="262">
        <v>15000000</v>
      </c>
      <c r="N84" s="252"/>
      <c r="O84" s="252">
        <v>15000000</v>
      </c>
      <c r="P84" s="258" t="s">
        <v>3527</v>
      </c>
      <c r="Q84" s="263"/>
    </row>
    <row r="85" spans="1:17" ht="47.25" x14ac:dyDescent="0.25">
      <c r="A85" s="260">
        <v>82</v>
      </c>
      <c r="B85" s="258" t="s">
        <v>53</v>
      </c>
      <c r="C85" s="258" t="s">
        <v>3225</v>
      </c>
      <c r="D85" s="261"/>
      <c r="E85" s="258" t="s">
        <v>3226</v>
      </c>
      <c r="F85" s="258" t="s">
        <v>3227</v>
      </c>
      <c r="G85" s="258"/>
      <c r="H85" s="258"/>
      <c r="I85" s="258"/>
      <c r="J85" s="258" t="s">
        <v>3228</v>
      </c>
      <c r="K85" s="258" t="s">
        <v>43</v>
      </c>
      <c r="L85" s="258" t="s">
        <v>3229</v>
      </c>
      <c r="M85" s="262">
        <v>7500000</v>
      </c>
      <c r="N85" s="252"/>
      <c r="O85" s="252">
        <v>7500000</v>
      </c>
      <c r="P85" s="258" t="s">
        <v>4008</v>
      </c>
      <c r="Q85" s="258"/>
    </row>
    <row r="86" spans="1:17" ht="47.25" x14ac:dyDescent="0.25">
      <c r="A86" s="260">
        <v>83</v>
      </c>
      <c r="B86" s="258" t="s">
        <v>53</v>
      </c>
      <c r="C86" s="258" t="s">
        <v>3272</v>
      </c>
      <c r="D86" s="258"/>
      <c r="E86" s="258" t="s">
        <v>3273</v>
      </c>
      <c r="F86" s="258" t="s">
        <v>3274</v>
      </c>
      <c r="G86" s="258" t="s">
        <v>261</v>
      </c>
      <c r="H86" s="258"/>
      <c r="I86" s="258"/>
      <c r="J86" s="258" t="s">
        <v>3275</v>
      </c>
      <c r="K86" s="258" t="s">
        <v>43</v>
      </c>
      <c r="L86" s="258" t="s">
        <v>3276</v>
      </c>
      <c r="M86" s="262">
        <v>7500000</v>
      </c>
      <c r="N86" s="252"/>
      <c r="O86" s="252">
        <v>7500000</v>
      </c>
      <c r="P86" s="258" t="s">
        <v>394</v>
      </c>
      <c r="Q86" s="258"/>
    </row>
    <row r="87" spans="1:17" ht="47.25" x14ac:dyDescent="0.25">
      <c r="A87" s="260">
        <v>84</v>
      </c>
      <c r="B87" s="258" t="s">
        <v>53</v>
      </c>
      <c r="C87" s="258"/>
      <c r="D87" s="258"/>
      <c r="E87" s="258" t="s">
        <v>3342</v>
      </c>
      <c r="F87" s="258"/>
      <c r="G87" s="258"/>
      <c r="H87" s="258"/>
      <c r="I87" s="258"/>
      <c r="J87" s="258" t="s">
        <v>3343</v>
      </c>
      <c r="K87" s="258" t="s">
        <v>43</v>
      </c>
      <c r="L87" s="258" t="s">
        <v>3344</v>
      </c>
      <c r="M87" s="262">
        <v>7500000</v>
      </c>
      <c r="N87" s="252"/>
      <c r="O87" s="252">
        <v>7500000</v>
      </c>
      <c r="P87" s="258" t="s">
        <v>3471</v>
      </c>
      <c r="Q87" s="263"/>
    </row>
    <row r="88" spans="1:17" ht="63" x14ac:dyDescent="0.25">
      <c r="A88" s="260">
        <v>85</v>
      </c>
      <c r="B88" s="258" t="s">
        <v>53</v>
      </c>
      <c r="C88" s="258" t="s">
        <v>567</v>
      </c>
      <c r="D88" s="258" t="s">
        <v>1169</v>
      </c>
      <c r="E88" s="258" t="s">
        <v>1170</v>
      </c>
      <c r="F88" s="258"/>
      <c r="G88" s="258" t="s">
        <v>261</v>
      </c>
      <c r="H88" s="258"/>
      <c r="I88" s="261"/>
      <c r="J88" s="258" t="s">
        <v>1171</v>
      </c>
      <c r="K88" s="258" t="s">
        <v>43</v>
      </c>
      <c r="L88" s="258" t="s">
        <v>1172</v>
      </c>
      <c r="M88" s="262">
        <v>15000000</v>
      </c>
      <c r="N88" s="252"/>
      <c r="O88" s="252">
        <v>15000000</v>
      </c>
      <c r="P88" s="258" t="s">
        <v>4008</v>
      </c>
      <c r="Q88" s="258"/>
    </row>
    <row r="89" spans="1:17" ht="47.25" x14ac:dyDescent="0.25">
      <c r="A89" s="260">
        <v>86</v>
      </c>
      <c r="B89" s="258" t="s">
        <v>53</v>
      </c>
      <c r="C89" s="258" t="s">
        <v>3664</v>
      </c>
      <c r="D89" s="258"/>
      <c r="E89" s="258" t="s">
        <v>3356</v>
      </c>
      <c r="F89" s="258" t="s">
        <v>3665</v>
      </c>
      <c r="G89" s="258" t="s">
        <v>321</v>
      </c>
      <c r="H89" s="258"/>
      <c r="I89" s="258"/>
      <c r="J89" s="258" t="s">
        <v>3357</v>
      </c>
      <c r="K89" s="258" t="s">
        <v>43</v>
      </c>
      <c r="L89" s="258" t="s">
        <v>3358</v>
      </c>
      <c r="M89" s="262">
        <v>7500000</v>
      </c>
      <c r="N89" s="252"/>
      <c r="O89" s="252">
        <v>7500000</v>
      </c>
      <c r="P89" s="258" t="s">
        <v>4014</v>
      </c>
      <c r="Q89" s="263"/>
    </row>
    <row r="90" spans="1:17" ht="47.25" x14ac:dyDescent="0.25">
      <c r="A90" s="260">
        <v>87</v>
      </c>
      <c r="B90" s="258" t="s">
        <v>53</v>
      </c>
      <c r="C90" s="258"/>
      <c r="D90" s="258"/>
      <c r="E90" s="258" t="s">
        <v>3391</v>
      </c>
      <c r="F90" s="258"/>
      <c r="G90" s="258"/>
      <c r="H90" s="258"/>
      <c r="I90" s="258"/>
      <c r="J90" s="258" t="s">
        <v>3392</v>
      </c>
      <c r="K90" s="258" t="s">
        <v>43</v>
      </c>
      <c r="L90" s="258" t="s">
        <v>3393</v>
      </c>
      <c r="M90" s="262">
        <v>15000000</v>
      </c>
      <c r="N90" s="252"/>
      <c r="O90" s="252">
        <v>15000000</v>
      </c>
      <c r="P90" s="258" t="s">
        <v>2013</v>
      </c>
      <c r="Q90" s="258"/>
    </row>
    <row r="91" spans="1:17" ht="47.25" x14ac:dyDescent="0.25">
      <c r="A91" s="260">
        <v>88</v>
      </c>
      <c r="B91" s="258" t="s">
        <v>53</v>
      </c>
      <c r="C91" s="258"/>
      <c r="D91" s="261"/>
      <c r="E91" s="258" t="s">
        <v>3399</v>
      </c>
      <c r="F91" s="258"/>
      <c r="G91" s="258"/>
      <c r="H91" s="258"/>
      <c r="I91" s="258"/>
      <c r="J91" s="258" t="s">
        <v>3400</v>
      </c>
      <c r="K91" s="258" t="s">
        <v>43</v>
      </c>
      <c r="L91" s="258" t="s">
        <v>3401</v>
      </c>
      <c r="M91" s="262">
        <v>15000000</v>
      </c>
      <c r="N91" s="252"/>
      <c r="O91" s="252">
        <v>15000000</v>
      </c>
      <c r="P91" s="258" t="s">
        <v>4008</v>
      </c>
      <c r="Q91" s="258"/>
    </row>
    <row r="92" spans="1:17" ht="63" x14ac:dyDescent="0.25">
      <c r="A92" s="260">
        <v>89</v>
      </c>
      <c r="B92" s="258" t="s">
        <v>730</v>
      </c>
      <c r="C92" s="258" t="s">
        <v>2834</v>
      </c>
      <c r="D92" s="258"/>
      <c r="E92" s="258" t="s">
        <v>3408</v>
      </c>
      <c r="F92" s="258" t="s">
        <v>3409</v>
      </c>
      <c r="G92" s="258"/>
      <c r="H92" s="258"/>
      <c r="I92" s="258"/>
      <c r="J92" s="258" t="s">
        <v>3410</v>
      </c>
      <c r="K92" s="258" t="s">
        <v>43</v>
      </c>
      <c r="L92" s="258" t="s">
        <v>3411</v>
      </c>
      <c r="M92" s="262">
        <v>7500000</v>
      </c>
      <c r="N92" s="252"/>
      <c r="O92" s="252">
        <v>7500000</v>
      </c>
      <c r="P92" s="258" t="s">
        <v>394</v>
      </c>
      <c r="Q92" s="258"/>
    </row>
    <row r="93" spans="1:17" ht="63" x14ac:dyDescent="0.25">
      <c r="A93" s="260">
        <v>90</v>
      </c>
      <c r="B93" s="258" t="s">
        <v>327</v>
      </c>
      <c r="C93" s="258" t="s">
        <v>863</v>
      </c>
      <c r="D93" s="258" t="s">
        <v>4017</v>
      </c>
      <c r="E93" s="258" t="s">
        <v>865</v>
      </c>
      <c r="F93" s="258" t="s">
        <v>866</v>
      </c>
      <c r="G93" s="258"/>
      <c r="H93" s="258"/>
      <c r="I93" s="261"/>
      <c r="J93" s="258" t="s">
        <v>867</v>
      </c>
      <c r="K93" s="258" t="s">
        <v>43</v>
      </c>
      <c r="L93" s="258" t="s">
        <v>869</v>
      </c>
      <c r="M93" s="262">
        <v>15000000</v>
      </c>
      <c r="N93" s="252"/>
      <c r="O93" s="252">
        <v>15000000</v>
      </c>
      <c r="P93" s="258" t="s">
        <v>4008</v>
      </c>
      <c r="Q93" s="258"/>
    </row>
    <row r="94" spans="1:17" ht="75.599999999999994" customHeight="1" x14ac:dyDescent="0.25">
      <c r="A94" s="260">
        <v>91</v>
      </c>
      <c r="B94" s="258" t="s">
        <v>327</v>
      </c>
      <c r="C94" s="258" t="s">
        <v>3440</v>
      </c>
      <c r="D94" s="258"/>
      <c r="E94" s="258" t="s">
        <v>3692</v>
      </c>
      <c r="F94" s="258" t="s">
        <v>3442</v>
      </c>
      <c r="G94" s="258"/>
      <c r="H94" s="258"/>
      <c r="I94" s="258"/>
      <c r="J94" s="258" t="s">
        <v>3438</v>
      </c>
      <c r="K94" s="258" t="s">
        <v>43</v>
      </c>
      <c r="L94" s="258" t="s">
        <v>3439</v>
      </c>
      <c r="M94" s="262">
        <v>30000000</v>
      </c>
      <c r="N94" s="262">
        <v>15000000</v>
      </c>
      <c r="O94" s="252">
        <v>15000000</v>
      </c>
      <c r="P94" s="258" t="s">
        <v>3699</v>
      </c>
      <c r="Q94" s="258" t="s">
        <v>3699</v>
      </c>
    </row>
    <row r="95" spans="1:17" ht="110.25" x14ac:dyDescent="0.25">
      <c r="A95" s="260">
        <v>92</v>
      </c>
      <c r="B95" s="258" t="s">
        <v>327</v>
      </c>
      <c r="C95" s="258" t="s">
        <v>3445</v>
      </c>
      <c r="D95" s="258"/>
      <c r="E95" s="258"/>
      <c r="F95" s="258"/>
      <c r="G95" s="258" t="s">
        <v>3446</v>
      </c>
      <c r="H95" s="258"/>
      <c r="I95" s="258"/>
      <c r="J95" s="258" t="s">
        <v>3447</v>
      </c>
      <c r="K95" s="258" t="s">
        <v>43</v>
      </c>
      <c r="L95" s="258" t="s">
        <v>3448</v>
      </c>
      <c r="M95" s="262">
        <v>15000000</v>
      </c>
      <c r="N95" s="252"/>
      <c r="O95" s="252">
        <v>15000000</v>
      </c>
      <c r="P95" s="258" t="s">
        <v>4019</v>
      </c>
      <c r="Q95" s="263"/>
    </row>
    <row r="96" spans="1:17" ht="47.25" x14ac:dyDescent="0.25">
      <c r="A96" s="260">
        <v>93</v>
      </c>
      <c r="B96" s="258" t="s">
        <v>327</v>
      </c>
      <c r="C96" s="258"/>
      <c r="D96" s="258"/>
      <c r="E96" s="258" t="s">
        <v>3450</v>
      </c>
      <c r="F96" s="258"/>
      <c r="G96" s="258"/>
      <c r="H96" s="258"/>
      <c r="I96" s="258"/>
      <c r="J96" s="258" t="s">
        <v>3451</v>
      </c>
      <c r="K96" s="258" t="s">
        <v>43</v>
      </c>
      <c r="L96" s="258" t="s">
        <v>3452</v>
      </c>
      <c r="M96" s="262">
        <v>15000000</v>
      </c>
      <c r="N96" s="252"/>
      <c r="O96" s="252">
        <v>15000000</v>
      </c>
      <c r="P96" s="258" t="s">
        <v>4008</v>
      </c>
      <c r="Q96" s="258"/>
    </row>
    <row r="97" spans="1:17" ht="94.5" x14ac:dyDescent="0.25">
      <c r="A97" s="260">
        <v>94</v>
      </c>
      <c r="B97" s="258" t="s">
        <v>67</v>
      </c>
      <c r="C97" s="258"/>
      <c r="D97" s="258" t="s">
        <v>872</v>
      </c>
      <c r="E97" s="258" t="s">
        <v>994</v>
      </c>
      <c r="F97" s="258" t="s">
        <v>995</v>
      </c>
      <c r="G97" s="258"/>
      <c r="H97" s="258"/>
      <c r="I97" s="261"/>
      <c r="J97" s="258" t="s">
        <v>996</v>
      </c>
      <c r="K97" s="258" t="s">
        <v>43</v>
      </c>
      <c r="L97" s="258" t="s">
        <v>997</v>
      </c>
      <c r="M97" s="262">
        <v>15000000</v>
      </c>
      <c r="N97" s="252"/>
      <c r="O97" s="252">
        <v>15000000</v>
      </c>
      <c r="P97" s="258" t="s">
        <v>394</v>
      </c>
      <c r="Q97" s="258"/>
    </row>
    <row r="98" spans="1:17" ht="47.25" x14ac:dyDescent="0.25">
      <c r="A98" s="260">
        <v>95</v>
      </c>
      <c r="B98" s="258" t="s">
        <v>67</v>
      </c>
      <c r="C98" s="258" t="s">
        <v>1923</v>
      </c>
      <c r="D98" s="258"/>
      <c r="E98" s="258" t="s">
        <v>3464</v>
      </c>
      <c r="F98" s="258"/>
      <c r="G98" s="258"/>
      <c r="H98" s="258"/>
      <c r="I98" s="258"/>
      <c r="J98" s="258" t="s">
        <v>3465</v>
      </c>
      <c r="K98" s="258" t="s">
        <v>43</v>
      </c>
      <c r="L98" s="258" t="s">
        <v>3466</v>
      </c>
      <c r="M98" s="262">
        <v>7500000</v>
      </c>
      <c r="N98" s="252"/>
      <c r="O98" s="252">
        <v>7500000</v>
      </c>
      <c r="P98" s="258" t="s">
        <v>4008</v>
      </c>
      <c r="Q98" s="258"/>
    </row>
    <row r="99" spans="1:17" ht="47.25" x14ac:dyDescent="0.25">
      <c r="A99" s="260">
        <v>96</v>
      </c>
      <c r="B99" s="258" t="s">
        <v>67</v>
      </c>
      <c r="C99" s="258"/>
      <c r="D99" s="258" t="s">
        <v>1012</v>
      </c>
      <c r="E99" s="258" t="s">
        <v>1076</v>
      </c>
      <c r="F99" s="258"/>
      <c r="G99" s="258"/>
      <c r="H99" s="258"/>
      <c r="I99" s="261"/>
      <c r="J99" s="258" t="s">
        <v>1077</v>
      </c>
      <c r="K99" s="258" t="s">
        <v>43</v>
      </c>
      <c r="L99" s="258" t="s">
        <v>1078</v>
      </c>
      <c r="M99" s="262">
        <v>15000000</v>
      </c>
      <c r="N99" s="252"/>
      <c r="O99" s="252">
        <v>15000000</v>
      </c>
      <c r="P99" s="258" t="s">
        <v>4008</v>
      </c>
      <c r="Q99" s="258"/>
    </row>
    <row r="100" spans="1:17" ht="63" x14ac:dyDescent="0.25">
      <c r="A100" s="260">
        <v>97</v>
      </c>
      <c r="B100" s="258" t="s">
        <v>67</v>
      </c>
      <c r="C100" s="258"/>
      <c r="D100" s="258"/>
      <c r="E100" s="258" t="s">
        <v>3478</v>
      </c>
      <c r="F100" s="258"/>
      <c r="G100" s="258"/>
      <c r="H100" s="258"/>
      <c r="I100" s="258"/>
      <c r="J100" s="258" t="s">
        <v>3479</v>
      </c>
      <c r="K100" s="258" t="s">
        <v>43</v>
      </c>
      <c r="L100" s="258" t="s">
        <v>3480</v>
      </c>
      <c r="M100" s="262">
        <v>7500000</v>
      </c>
      <c r="N100" s="252"/>
      <c r="O100" s="252">
        <v>7500000</v>
      </c>
      <c r="P100" s="258" t="s">
        <v>394</v>
      </c>
      <c r="Q100" s="263"/>
    </row>
    <row r="101" spans="1:17" ht="110.25" x14ac:dyDescent="0.25">
      <c r="A101" s="260">
        <v>98</v>
      </c>
      <c r="B101" s="258" t="s">
        <v>67</v>
      </c>
      <c r="C101" s="258" t="s">
        <v>3496</v>
      </c>
      <c r="D101" s="261"/>
      <c r="E101" s="258"/>
      <c r="F101" s="258"/>
      <c r="G101" s="258" t="s">
        <v>3497</v>
      </c>
      <c r="H101" s="258"/>
      <c r="I101" s="258"/>
      <c r="J101" s="258" t="s">
        <v>3498</v>
      </c>
      <c r="K101" s="258" t="s">
        <v>43</v>
      </c>
      <c r="L101" s="258" t="s">
        <v>3499</v>
      </c>
      <c r="M101" s="262">
        <v>7500000</v>
      </c>
      <c r="N101" s="252"/>
      <c r="O101" s="252">
        <v>7500000</v>
      </c>
      <c r="P101" s="258" t="s">
        <v>4019</v>
      </c>
      <c r="Q101" s="258"/>
    </row>
    <row r="102" spans="1:17" ht="94.5" x14ac:dyDescent="0.25">
      <c r="A102" s="260">
        <v>99</v>
      </c>
      <c r="B102" s="258" t="s">
        <v>67</v>
      </c>
      <c r="C102" s="258" t="s">
        <v>3496</v>
      </c>
      <c r="D102" s="258"/>
      <c r="E102" s="258"/>
      <c r="F102" s="258"/>
      <c r="G102" s="258" t="s">
        <v>3501</v>
      </c>
      <c r="H102" s="258"/>
      <c r="I102" s="258"/>
      <c r="J102" s="258" t="s">
        <v>803</v>
      </c>
      <c r="K102" s="258" t="s">
        <v>43</v>
      </c>
      <c r="L102" s="258" t="s">
        <v>3499</v>
      </c>
      <c r="M102" s="262">
        <v>15000000</v>
      </c>
      <c r="N102" s="252"/>
      <c r="O102" s="252">
        <v>15000000</v>
      </c>
      <c r="P102" s="258" t="s">
        <v>4019</v>
      </c>
      <c r="Q102" s="263"/>
    </row>
    <row r="103" spans="1:17" ht="47.25" x14ac:dyDescent="0.25">
      <c r="A103" s="260">
        <v>100</v>
      </c>
      <c r="B103" s="258" t="s">
        <v>67</v>
      </c>
      <c r="C103" s="258"/>
      <c r="D103" s="258"/>
      <c r="E103" s="258" t="s">
        <v>3588</v>
      </c>
      <c r="F103" s="258"/>
      <c r="G103" s="258"/>
      <c r="H103" s="258"/>
      <c r="I103" s="258"/>
      <c r="J103" s="258" t="s">
        <v>3589</v>
      </c>
      <c r="K103" s="258" t="s">
        <v>43</v>
      </c>
      <c r="L103" s="258" t="s">
        <v>3590</v>
      </c>
      <c r="M103" s="262">
        <v>7500000</v>
      </c>
      <c r="N103" s="252"/>
      <c r="O103" s="252">
        <v>7500000</v>
      </c>
      <c r="P103" s="258" t="s">
        <v>2160</v>
      </c>
      <c r="Q103" s="263"/>
    </row>
    <row r="104" spans="1:17" ht="78.75" x14ac:dyDescent="0.25">
      <c r="A104" s="260">
        <v>101</v>
      </c>
      <c r="B104" s="258" t="s">
        <v>67</v>
      </c>
      <c r="C104" s="258" t="s">
        <v>3496</v>
      </c>
      <c r="D104" s="261"/>
      <c r="E104" s="258"/>
      <c r="F104" s="258"/>
      <c r="G104" s="258" t="s">
        <v>3610</v>
      </c>
      <c r="H104" s="258"/>
      <c r="I104" s="258"/>
      <c r="J104" s="258" t="s">
        <v>3611</v>
      </c>
      <c r="K104" s="258" t="s">
        <v>43</v>
      </c>
      <c r="L104" s="258" t="s">
        <v>735</v>
      </c>
      <c r="M104" s="262">
        <v>15000000</v>
      </c>
      <c r="N104" s="252"/>
      <c r="O104" s="252">
        <v>15000000</v>
      </c>
      <c r="P104" s="258" t="s">
        <v>4019</v>
      </c>
      <c r="Q104" s="263"/>
    </row>
    <row r="105" spans="1:17" ht="110.25" x14ac:dyDescent="0.25">
      <c r="A105" s="260">
        <v>102</v>
      </c>
      <c r="B105" s="258" t="s">
        <v>67</v>
      </c>
      <c r="C105" s="258"/>
      <c r="D105" s="258" t="s">
        <v>2865</v>
      </c>
      <c r="E105" s="258" t="s">
        <v>1848</v>
      </c>
      <c r="F105" s="258"/>
      <c r="G105" s="258"/>
      <c r="H105" s="258"/>
      <c r="I105" s="261"/>
      <c r="J105" s="258" t="s">
        <v>1849</v>
      </c>
      <c r="K105" s="258" t="s">
        <v>43</v>
      </c>
      <c r="L105" s="258" t="s">
        <v>1850</v>
      </c>
      <c r="M105" s="262">
        <v>15000000</v>
      </c>
      <c r="N105" s="252"/>
      <c r="O105" s="252">
        <v>15000000</v>
      </c>
      <c r="P105" s="258" t="s">
        <v>3955</v>
      </c>
      <c r="Q105" s="258"/>
    </row>
    <row r="106" spans="1:17" ht="47.25" x14ac:dyDescent="0.25">
      <c r="A106" s="260">
        <v>103</v>
      </c>
      <c r="B106" s="258" t="s">
        <v>67</v>
      </c>
      <c r="C106" s="258"/>
      <c r="D106" s="258" t="s">
        <v>584</v>
      </c>
      <c r="E106" s="258" t="s">
        <v>597</v>
      </c>
      <c r="F106" s="258"/>
      <c r="G106" s="258"/>
      <c r="H106" s="258"/>
      <c r="I106" s="261"/>
      <c r="J106" s="258" t="s">
        <v>598</v>
      </c>
      <c r="K106" s="258" t="s">
        <v>43</v>
      </c>
      <c r="L106" s="258" t="s">
        <v>600</v>
      </c>
      <c r="M106" s="262">
        <v>15000000</v>
      </c>
      <c r="N106" s="252"/>
      <c r="O106" s="252">
        <v>15000000</v>
      </c>
      <c r="P106" s="258" t="s">
        <v>2160</v>
      </c>
      <c r="Q106" s="263"/>
    </row>
    <row r="107" spans="1:17" ht="47.25" x14ac:dyDescent="0.25">
      <c r="A107" s="260">
        <v>104</v>
      </c>
      <c r="B107" s="258" t="s">
        <v>67</v>
      </c>
      <c r="C107" s="258"/>
      <c r="D107" s="258"/>
      <c r="E107" s="258" t="s">
        <v>3713</v>
      </c>
      <c r="F107" s="258"/>
      <c r="G107" s="258"/>
      <c r="H107" s="258"/>
      <c r="I107" s="258"/>
      <c r="J107" s="258" t="s">
        <v>3714</v>
      </c>
      <c r="K107" s="258" t="s">
        <v>43</v>
      </c>
      <c r="L107" s="258" t="s">
        <v>3715</v>
      </c>
      <c r="M107" s="262">
        <v>15000000</v>
      </c>
      <c r="N107" s="252"/>
      <c r="O107" s="252">
        <v>15000000</v>
      </c>
      <c r="P107" s="258" t="s">
        <v>2160</v>
      </c>
      <c r="Q107" s="263"/>
    </row>
    <row r="108" spans="1:17" ht="47.25" x14ac:dyDescent="0.25">
      <c r="A108" s="260">
        <v>105</v>
      </c>
      <c r="B108" s="258" t="s">
        <v>74</v>
      </c>
      <c r="C108" s="258" t="s">
        <v>514</v>
      </c>
      <c r="D108" s="258" t="s">
        <v>515</v>
      </c>
      <c r="E108" s="258" t="s">
        <v>516</v>
      </c>
      <c r="F108" s="258" t="s">
        <v>517</v>
      </c>
      <c r="G108" s="258"/>
      <c r="H108" s="258"/>
      <c r="I108" s="261"/>
      <c r="J108" s="258" t="s">
        <v>518</v>
      </c>
      <c r="K108" s="258" t="s">
        <v>43</v>
      </c>
      <c r="L108" s="258" t="s">
        <v>519</v>
      </c>
      <c r="M108" s="262">
        <v>15000000</v>
      </c>
      <c r="N108" s="252"/>
      <c r="O108" s="252">
        <v>15000000</v>
      </c>
      <c r="P108" s="258" t="s">
        <v>4008</v>
      </c>
      <c r="Q108" s="258"/>
    </row>
    <row r="109" spans="1:17" ht="63" x14ac:dyDescent="0.25">
      <c r="A109" s="260">
        <v>106</v>
      </c>
      <c r="B109" s="258" t="s">
        <v>74</v>
      </c>
      <c r="C109" s="258" t="s">
        <v>3805</v>
      </c>
      <c r="D109" s="258"/>
      <c r="E109" s="258" t="s">
        <v>3806</v>
      </c>
      <c r="F109" s="258"/>
      <c r="G109" s="258"/>
      <c r="H109" s="258"/>
      <c r="I109" s="258"/>
      <c r="J109" s="258" t="s">
        <v>3807</v>
      </c>
      <c r="K109" s="258" t="s">
        <v>43</v>
      </c>
      <c r="L109" s="258" t="s">
        <v>1447</v>
      </c>
      <c r="M109" s="262">
        <v>15000000</v>
      </c>
      <c r="N109" s="252"/>
      <c r="O109" s="252">
        <v>15000000</v>
      </c>
      <c r="P109" s="258" t="s">
        <v>1970</v>
      </c>
      <c r="Q109" s="258"/>
    </row>
    <row r="110" spans="1:17" ht="63" x14ac:dyDescent="0.25">
      <c r="A110" s="260">
        <v>107</v>
      </c>
      <c r="B110" s="258" t="s">
        <v>74</v>
      </c>
      <c r="C110" s="258"/>
      <c r="D110" s="258"/>
      <c r="E110" s="258" t="s">
        <v>3812</v>
      </c>
      <c r="F110" s="258" t="s">
        <v>3813</v>
      </c>
      <c r="G110" s="258"/>
      <c r="H110" s="258"/>
      <c r="I110" s="258"/>
      <c r="J110" s="258" t="s">
        <v>3814</v>
      </c>
      <c r="K110" s="258" t="s">
        <v>43</v>
      </c>
      <c r="L110" s="258" t="s">
        <v>3815</v>
      </c>
      <c r="M110" s="262">
        <v>15000000</v>
      </c>
      <c r="N110" s="252"/>
      <c r="O110" s="252">
        <v>15000000</v>
      </c>
      <c r="P110" s="258" t="s">
        <v>3955</v>
      </c>
      <c r="Q110" s="258"/>
    </row>
    <row r="111" spans="1:17" ht="47.25" x14ac:dyDescent="0.25">
      <c r="A111" s="260">
        <v>108</v>
      </c>
      <c r="B111" s="258" t="s">
        <v>89</v>
      </c>
      <c r="C111" s="258" t="s">
        <v>91</v>
      </c>
      <c r="D111" s="258" t="s">
        <v>92</v>
      </c>
      <c r="E111" s="258" t="s">
        <v>93</v>
      </c>
      <c r="F111" s="258" t="s">
        <v>94</v>
      </c>
      <c r="G111" s="258"/>
      <c r="H111" s="258"/>
      <c r="I111" s="261"/>
      <c r="J111" s="258" t="s">
        <v>95</v>
      </c>
      <c r="K111" s="258" t="s">
        <v>43</v>
      </c>
      <c r="L111" s="258" t="s">
        <v>96</v>
      </c>
      <c r="M111" s="262">
        <v>15000000</v>
      </c>
      <c r="N111" s="252"/>
      <c r="O111" s="252">
        <v>15000000</v>
      </c>
      <c r="P111" s="258" t="s">
        <v>1970</v>
      </c>
      <c r="Q111" s="263"/>
    </row>
    <row r="112" spans="1:17" ht="47.25" x14ac:dyDescent="0.25">
      <c r="A112" s="260">
        <v>109</v>
      </c>
      <c r="B112" s="258" t="s">
        <v>89</v>
      </c>
      <c r="C112" s="258"/>
      <c r="D112" s="258"/>
      <c r="E112" s="258" t="s">
        <v>3835</v>
      </c>
      <c r="F112" s="258"/>
      <c r="G112" s="258"/>
      <c r="H112" s="258"/>
      <c r="I112" s="258"/>
      <c r="J112" s="258" t="s">
        <v>3836</v>
      </c>
      <c r="K112" s="258" t="s">
        <v>43</v>
      </c>
      <c r="L112" s="258" t="s">
        <v>3837</v>
      </c>
      <c r="M112" s="262">
        <v>7500000</v>
      </c>
      <c r="N112" s="252"/>
      <c r="O112" s="252">
        <v>7500000</v>
      </c>
      <c r="P112" s="258" t="s">
        <v>394</v>
      </c>
      <c r="Q112" s="258"/>
    </row>
    <row r="113" spans="1:17" ht="63" x14ac:dyDescent="0.25">
      <c r="A113" s="260">
        <v>110</v>
      </c>
      <c r="B113" s="258" t="s">
        <v>89</v>
      </c>
      <c r="C113" s="258" t="s">
        <v>1108</v>
      </c>
      <c r="D113" s="258" t="s">
        <v>1012</v>
      </c>
      <c r="E113" s="258" t="s">
        <v>1109</v>
      </c>
      <c r="F113" s="258"/>
      <c r="G113" s="258"/>
      <c r="H113" s="258"/>
      <c r="I113" s="261"/>
      <c r="J113" s="258" t="s">
        <v>1110</v>
      </c>
      <c r="K113" s="258" t="s">
        <v>43</v>
      </c>
      <c r="L113" s="258" t="s">
        <v>1111</v>
      </c>
      <c r="M113" s="262">
        <v>15000000</v>
      </c>
      <c r="N113" s="252"/>
      <c r="O113" s="252">
        <v>15000000</v>
      </c>
      <c r="P113" s="258" t="s">
        <v>3955</v>
      </c>
      <c r="Q113" s="258"/>
    </row>
    <row r="114" spans="1:17" ht="47.25" x14ac:dyDescent="0.25">
      <c r="A114" s="260">
        <v>111</v>
      </c>
      <c r="B114" s="258" t="s">
        <v>89</v>
      </c>
      <c r="C114" s="258" t="s">
        <v>3880</v>
      </c>
      <c r="D114" s="258"/>
      <c r="E114" s="258" t="s">
        <v>3881</v>
      </c>
      <c r="F114" s="258" t="s">
        <v>3882</v>
      </c>
      <c r="G114" s="258"/>
      <c r="H114" s="258"/>
      <c r="I114" s="258"/>
      <c r="J114" s="258" t="s">
        <v>3883</v>
      </c>
      <c r="K114" s="258" t="s">
        <v>43</v>
      </c>
      <c r="L114" s="258" t="s">
        <v>3865</v>
      </c>
      <c r="M114" s="262">
        <v>15000000</v>
      </c>
      <c r="N114" s="252"/>
      <c r="O114" s="252">
        <v>15000000</v>
      </c>
      <c r="P114" s="258" t="s">
        <v>2160</v>
      </c>
      <c r="Q114" s="263"/>
    </row>
    <row r="115" spans="1:17" ht="63" x14ac:dyDescent="0.25">
      <c r="A115" s="260">
        <v>112</v>
      </c>
      <c r="B115" s="258" t="s">
        <v>89</v>
      </c>
      <c r="C115" s="258" t="s">
        <v>278</v>
      </c>
      <c r="D115" s="258" t="s">
        <v>279</v>
      </c>
      <c r="E115" s="258" t="s">
        <v>280</v>
      </c>
      <c r="F115" s="258" t="s">
        <v>282</v>
      </c>
      <c r="G115" s="258"/>
      <c r="H115" s="258"/>
      <c r="I115" s="261"/>
      <c r="J115" s="258" t="s">
        <v>284</v>
      </c>
      <c r="K115" s="258" t="s">
        <v>43</v>
      </c>
      <c r="L115" s="258" t="s">
        <v>285</v>
      </c>
      <c r="M115" s="262">
        <v>15000000</v>
      </c>
      <c r="N115" s="252"/>
      <c r="O115" s="252">
        <v>15000000</v>
      </c>
      <c r="P115" s="258" t="s">
        <v>4036</v>
      </c>
      <c r="Q115" s="263"/>
    </row>
    <row r="116" spans="1:17" ht="78.75" x14ac:dyDescent="0.25">
      <c r="A116" s="260">
        <v>113</v>
      </c>
      <c r="B116" s="258" t="s">
        <v>89</v>
      </c>
      <c r="C116" s="258" t="s">
        <v>3445</v>
      </c>
      <c r="D116" s="258"/>
      <c r="E116" s="258"/>
      <c r="F116" s="258"/>
      <c r="G116" s="258" t="s">
        <v>3901</v>
      </c>
      <c r="H116" s="258"/>
      <c r="I116" s="258"/>
      <c r="J116" s="258" t="s">
        <v>3902</v>
      </c>
      <c r="K116" s="258" t="s">
        <v>43</v>
      </c>
      <c r="L116" s="258" t="s">
        <v>212</v>
      </c>
      <c r="M116" s="262">
        <v>15000000</v>
      </c>
      <c r="N116" s="252"/>
      <c r="O116" s="252">
        <v>15000000</v>
      </c>
      <c r="P116" s="258" t="s">
        <v>4019</v>
      </c>
      <c r="Q116" s="263"/>
    </row>
    <row r="117" spans="1:17" ht="47.25" x14ac:dyDescent="0.25">
      <c r="A117" s="260">
        <v>114</v>
      </c>
      <c r="B117" s="258" t="s">
        <v>89</v>
      </c>
      <c r="C117" s="258"/>
      <c r="D117" s="258"/>
      <c r="E117" s="258" t="s">
        <v>3908</v>
      </c>
      <c r="F117" s="258"/>
      <c r="G117" s="258"/>
      <c r="H117" s="258"/>
      <c r="I117" s="258"/>
      <c r="J117" s="258" t="s">
        <v>3909</v>
      </c>
      <c r="K117" s="258" t="s">
        <v>43</v>
      </c>
      <c r="L117" s="258" t="s">
        <v>745</v>
      </c>
      <c r="M117" s="262">
        <v>15000000</v>
      </c>
      <c r="N117" s="252"/>
      <c r="O117" s="252">
        <v>15000000</v>
      </c>
      <c r="P117" s="258" t="s">
        <v>4038</v>
      </c>
      <c r="Q117" s="263"/>
    </row>
    <row r="118" spans="1:17" ht="94.5" x14ac:dyDescent="0.25">
      <c r="A118" s="260">
        <v>115</v>
      </c>
      <c r="B118" s="258" t="s">
        <v>89</v>
      </c>
      <c r="C118" s="258" t="s">
        <v>3496</v>
      </c>
      <c r="D118" s="258"/>
      <c r="E118" s="258"/>
      <c r="F118" s="258"/>
      <c r="G118" s="258" t="s">
        <v>3915</v>
      </c>
      <c r="H118" s="258"/>
      <c r="I118" s="258"/>
      <c r="J118" s="258" t="s">
        <v>3916</v>
      </c>
      <c r="K118" s="258" t="s">
        <v>43</v>
      </c>
      <c r="L118" s="258" t="s">
        <v>212</v>
      </c>
      <c r="M118" s="262">
        <v>15000000</v>
      </c>
      <c r="N118" s="252"/>
      <c r="O118" s="252">
        <v>15000000</v>
      </c>
      <c r="P118" s="258" t="s">
        <v>4019</v>
      </c>
      <c r="Q118" s="263"/>
    </row>
    <row r="119" spans="1:17" ht="110.25" x14ac:dyDescent="0.25">
      <c r="A119" s="260">
        <v>116</v>
      </c>
      <c r="B119" s="258" t="s">
        <v>89</v>
      </c>
      <c r="C119" s="258" t="s">
        <v>784</v>
      </c>
      <c r="D119" s="258" t="s">
        <v>2865</v>
      </c>
      <c r="E119" s="258" t="s">
        <v>1873</v>
      </c>
      <c r="F119" s="258"/>
      <c r="G119" s="258"/>
      <c r="H119" s="258"/>
      <c r="I119" s="261"/>
      <c r="J119" s="258" t="s">
        <v>1874</v>
      </c>
      <c r="K119" s="258" t="s">
        <v>43</v>
      </c>
      <c r="L119" s="258" t="s">
        <v>1875</v>
      </c>
      <c r="M119" s="262">
        <v>15000000</v>
      </c>
      <c r="N119" s="252"/>
      <c r="O119" s="252">
        <v>15000000</v>
      </c>
      <c r="P119" s="258" t="s">
        <v>394</v>
      </c>
      <c r="Q119" s="258"/>
    </row>
    <row r="120" spans="1:17" ht="63" x14ac:dyDescent="0.25">
      <c r="A120" s="260">
        <v>117</v>
      </c>
      <c r="B120" s="258" t="s">
        <v>89</v>
      </c>
      <c r="C120" s="258"/>
      <c r="D120" s="258"/>
      <c r="E120" s="258" t="s">
        <v>3923</v>
      </c>
      <c r="F120" s="258"/>
      <c r="G120" s="258"/>
      <c r="H120" s="258"/>
      <c r="I120" s="258"/>
      <c r="J120" s="258" t="s">
        <v>3924</v>
      </c>
      <c r="K120" s="258" t="s">
        <v>43</v>
      </c>
      <c r="L120" s="258" t="s">
        <v>3925</v>
      </c>
      <c r="M120" s="262">
        <v>15000000</v>
      </c>
      <c r="N120" s="252"/>
      <c r="O120" s="252">
        <v>15000000</v>
      </c>
      <c r="P120" s="258" t="s">
        <v>1970</v>
      </c>
      <c r="Q120" s="263"/>
    </row>
    <row r="121" spans="1:17" ht="78.75" x14ac:dyDescent="0.25">
      <c r="A121" s="260">
        <v>118</v>
      </c>
      <c r="B121" s="258" t="s">
        <v>89</v>
      </c>
      <c r="C121" s="258" t="s">
        <v>3445</v>
      </c>
      <c r="D121" s="258"/>
      <c r="E121" s="258"/>
      <c r="F121" s="258"/>
      <c r="G121" s="258" t="s">
        <v>3927</v>
      </c>
      <c r="H121" s="258"/>
      <c r="I121" s="258"/>
      <c r="J121" s="258" t="s">
        <v>3928</v>
      </c>
      <c r="K121" s="258" t="s">
        <v>43</v>
      </c>
      <c r="L121" s="258" t="s">
        <v>212</v>
      </c>
      <c r="M121" s="262">
        <v>15000000</v>
      </c>
      <c r="N121" s="252"/>
      <c r="O121" s="252">
        <v>15000000</v>
      </c>
      <c r="P121" s="258" t="s">
        <v>4019</v>
      </c>
      <c r="Q121" s="263"/>
    </row>
    <row r="122" spans="1:17" ht="63" x14ac:dyDescent="0.25">
      <c r="A122" s="260">
        <v>119</v>
      </c>
      <c r="B122" s="258" t="s">
        <v>89</v>
      </c>
      <c r="C122" s="258"/>
      <c r="D122" s="258"/>
      <c r="E122" s="258" t="s">
        <v>3953</v>
      </c>
      <c r="F122" s="258"/>
      <c r="G122" s="258"/>
      <c r="H122" s="258"/>
      <c r="I122" s="258"/>
      <c r="J122" s="258" t="s">
        <v>3222</v>
      </c>
      <c r="K122" s="258" t="s">
        <v>43</v>
      </c>
      <c r="L122" s="258" t="s">
        <v>3954</v>
      </c>
      <c r="M122" s="262">
        <v>7500000</v>
      </c>
      <c r="N122" s="252"/>
      <c r="O122" s="252">
        <v>7500000</v>
      </c>
      <c r="P122" s="258" t="s">
        <v>3526</v>
      </c>
      <c r="Q122" s="263"/>
    </row>
    <row r="123" spans="1:17" ht="63" x14ac:dyDescent="0.25">
      <c r="A123" s="260">
        <v>120</v>
      </c>
      <c r="B123" s="258" t="s">
        <v>297</v>
      </c>
      <c r="C123" s="258" t="s">
        <v>1116</v>
      </c>
      <c r="D123" s="258" t="s">
        <v>1012</v>
      </c>
      <c r="E123" s="258" t="s">
        <v>1117</v>
      </c>
      <c r="F123" s="258" t="s">
        <v>1118</v>
      </c>
      <c r="G123" s="258"/>
      <c r="H123" s="258"/>
      <c r="I123" s="261"/>
      <c r="J123" s="258" t="s">
        <v>1119</v>
      </c>
      <c r="K123" s="258" t="s">
        <v>43</v>
      </c>
      <c r="L123" s="258" t="s">
        <v>1111</v>
      </c>
      <c r="M123" s="262">
        <v>15000000</v>
      </c>
      <c r="N123" s="252"/>
      <c r="O123" s="252">
        <v>15000000</v>
      </c>
      <c r="P123" s="258" t="s">
        <v>4042</v>
      </c>
      <c r="Q123" s="258"/>
    </row>
    <row r="124" spans="1:17" ht="94.5" x14ac:dyDescent="0.25">
      <c r="A124" s="260">
        <v>121</v>
      </c>
      <c r="B124" s="258" t="s">
        <v>297</v>
      </c>
      <c r="C124" s="258" t="s">
        <v>3972</v>
      </c>
      <c r="D124" s="258"/>
      <c r="E124" s="258"/>
      <c r="F124" s="258" t="s">
        <v>3973</v>
      </c>
      <c r="G124" s="258" t="s">
        <v>3974</v>
      </c>
      <c r="H124" s="258"/>
      <c r="I124" s="258"/>
      <c r="J124" s="258" t="s">
        <v>484</v>
      </c>
      <c r="K124" s="258" t="s">
        <v>43</v>
      </c>
      <c r="L124" s="258" t="s">
        <v>485</v>
      </c>
      <c r="M124" s="262">
        <v>15000000</v>
      </c>
      <c r="N124" s="252"/>
      <c r="O124" s="252">
        <v>15000000</v>
      </c>
      <c r="P124" s="258" t="s">
        <v>4019</v>
      </c>
      <c r="Q124" s="258"/>
    </row>
    <row r="125" spans="1:17" ht="78.75" x14ac:dyDescent="0.25">
      <c r="A125" s="260">
        <v>122</v>
      </c>
      <c r="B125" s="258" t="s">
        <v>3979</v>
      </c>
      <c r="C125" s="258"/>
      <c r="D125" s="261"/>
      <c r="E125" s="258" t="s">
        <v>3987</v>
      </c>
      <c r="F125" s="258"/>
      <c r="G125" s="258"/>
      <c r="H125" s="258"/>
      <c r="I125" s="258"/>
      <c r="J125" s="258" t="s">
        <v>3988</v>
      </c>
      <c r="K125" s="258" t="s">
        <v>43</v>
      </c>
      <c r="L125" s="258" t="s">
        <v>735</v>
      </c>
      <c r="M125" s="262">
        <v>15000000</v>
      </c>
      <c r="N125" s="252"/>
      <c r="O125" s="252">
        <v>15000000</v>
      </c>
      <c r="P125" s="258" t="s">
        <v>2013</v>
      </c>
      <c r="Q125" s="25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Q59"/>
  <sheetViews>
    <sheetView tabSelected="1" zoomScale="70" zoomScaleNormal="70" workbookViewId="0">
      <selection activeCell="A5" sqref="A5"/>
    </sheetView>
  </sheetViews>
  <sheetFormatPr defaultColWidth="14.42578125" defaultRowHeight="15" customHeight="1" x14ac:dyDescent="0.25"/>
  <cols>
    <col min="1" max="1" width="5.140625" style="123" bestFit="1" customWidth="1"/>
    <col min="2" max="2" width="14.42578125" style="124"/>
    <col min="3" max="3" width="17.28515625" style="124" customWidth="1"/>
    <col min="4" max="4" width="18" style="124" customWidth="1"/>
    <col min="5" max="5" width="14.42578125" style="124"/>
    <col min="6" max="9" width="0" style="124" hidden="1" customWidth="1"/>
    <col min="10" max="10" width="30.42578125" style="124" customWidth="1"/>
    <col min="11" max="11" width="9.28515625" style="124" customWidth="1"/>
    <col min="12" max="12" width="21.5703125" style="124" customWidth="1"/>
    <col min="13" max="14" width="14.42578125" style="123"/>
    <col min="15" max="15" width="14" style="123" customWidth="1"/>
    <col min="16" max="16" width="25.7109375" style="124" customWidth="1"/>
    <col min="17" max="16384" width="14.42578125" style="15"/>
  </cols>
  <sheetData>
    <row r="1" spans="1:17" s="237" customFormat="1" ht="15" customHeight="1" x14ac:dyDescent="0.25">
      <c r="A1" s="236"/>
      <c r="B1" s="239"/>
      <c r="C1" s="239"/>
      <c r="D1" s="239"/>
      <c r="E1" s="239"/>
      <c r="F1" s="239"/>
      <c r="G1" s="239"/>
      <c r="H1" s="239"/>
      <c r="I1" s="239"/>
      <c r="J1" s="239"/>
      <c r="K1" s="239"/>
      <c r="L1" s="239"/>
      <c r="M1" s="236"/>
      <c r="N1" s="236"/>
      <c r="O1" s="236"/>
      <c r="P1" s="239"/>
    </row>
    <row r="2" spans="1:17" s="238" customFormat="1" ht="32.450000000000003" customHeight="1" x14ac:dyDescent="0.25">
      <c r="A2" s="223" t="s">
        <v>3</v>
      </c>
      <c r="B2" s="224" t="s">
        <v>5</v>
      </c>
      <c r="C2" s="224" t="s">
        <v>6</v>
      </c>
      <c r="D2" s="224" t="s">
        <v>7</v>
      </c>
      <c r="E2" s="224" t="s">
        <v>8</v>
      </c>
      <c r="F2" s="224" t="s">
        <v>9</v>
      </c>
      <c r="G2" s="224" t="s">
        <v>10</v>
      </c>
      <c r="H2" s="224" t="s">
        <v>32</v>
      </c>
      <c r="I2" s="224" t="s">
        <v>33</v>
      </c>
      <c r="J2" s="224" t="s">
        <v>34</v>
      </c>
      <c r="K2" s="223" t="s">
        <v>12</v>
      </c>
      <c r="L2" s="223" t="s">
        <v>14</v>
      </c>
      <c r="M2" s="227" t="s">
        <v>4048</v>
      </c>
      <c r="N2" s="228" t="s">
        <v>4049</v>
      </c>
      <c r="O2" s="223" t="s">
        <v>4055</v>
      </c>
      <c r="P2" s="223" t="s">
        <v>4050</v>
      </c>
      <c r="Q2" s="225" t="s">
        <v>4051</v>
      </c>
    </row>
    <row r="3" spans="1:17" s="238" customFormat="1" ht="15" customHeight="1" x14ac:dyDescent="0.25">
      <c r="A3" s="223"/>
      <c r="B3" s="224"/>
      <c r="C3" s="224"/>
      <c r="D3" s="224"/>
      <c r="E3" s="224"/>
      <c r="F3" s="224"/>
      <c r="G3" s="224"/>
      <c r="H3" s="224"/>
      <c r="I3" s="224"/>
      <c r="J3" s="224"/>
      <c r="K3" s="223"/>
      <c r="L3" s="223"/>
      <c r="M3" s="227"/>
      <c r="N3" s="228"/>
      <c r="O3" s="228">
        <f>COUNT(O4:O59)</f>
        <v>56</v>
      </c>
      <c r="P3" s="223"/>
      <c r="Q3" s="225"/>
    </row>
    <row r="4" spans="1:17" s="121" customFormat="1" ht="45" x14ac:dyDescent="0.25">
      <c r="A4" s="234">
        <v>1</v>
      </c>
      <c r="B4" s="229" t="s">
        <v>363</v>
      </c>
      <c r="C4" s="229"/>
      <c r="D4" s="229" t="s">
        <v>464</v>
      </c>
      <c r="E4" s="229" t="s">
        <v>460</v>
      </c>
      <c r="F4" s="229"/>
      <c r="G4" s="229" t="s">
        <v>461</v>
      </c>
      <c r="H4" s="229"/>
      <c r="I4" s="235"/>
      <c r="J4" s="229" t="s">
        <v>462</v>
      </c>
      <c r="K4" s="229" t="s">
        <v>43</v>
      </c>
      <c r="L4" s="229" t="s">
        <v>463</v>
      </c>
      <c r="M4" s="230">
        <v>84000000</v>
      </c>
      <c r="N4" s="231"/>
      <c r="O4" s="232">
        <v>84000000</v>
      </c>
      <c r="P4" s="229" t="s">
        <v>848</v>
      </c>
      <c r="Q4" s="226"/>
    </row>
    <row r="5" spans="1:17" s="121" customFormat="1" ht="90" x14ac:dyDescent="0.25">
      <c r="A5" s="234">
        <v>2</v>
      </c>
      <c r="B5" s="229" t="s">
        <v>581</v>
      </c>
      <c r="C5" s="229"/>
      <c r="D5" s="229" t="s">
        <v>1186</v>
      </c>
      <c r="E5" s="229" t="s">
        <v>1183</v>
      </c>
      <c r="F5" s="229" t="s">
        <v>913</v>
      </c>
      <c r="G5" s="229"/>
      <c r="H5" s="229"/>
      <c r="I5" s="235"/>
      <c r="J5" s="229" t="s">
        <v>1184</v>
      </c>
      <c r="K5" s="229" t="s">
        <v>43</v>
      </c>
      <c r="L5" s="229" t="s">
        <v>1185</v>
      </c>
      <c r="M5" s="230">
        <v>18000000</v>
      </c>
      <c r="N5" s="231"/>
      <c r="O5" s="232">
        <v>18000000</v>
      </c>
      <c r="P5" s="229" t="s">
        <v>1987</v>
      </c>
      <c r="Q5" s="226"/>
    </row>
    <row r="6" spans="1:17" s="121" customFormat="1" ht="45" x14ac:dyDescent="0.25">
      <c r="A6" s="234">
        <v>3</v>
      </c>
      <c r="B6" s="229" t="s">
        <v>1136</v>
      </c>
      <c r="C6" s="229" t="s">
        <v>1285</v>
      </c>
      <c r="D6" s="229" t="s">
        <v>464</v>
      </c>
      <c r="E6" s="229" t="s">
        <v>1286</v>
      </c>
      <c r="F6" s="229" t="s">
        <v>1287</v>
      </c>
      <c r="G6" s="229"/>
      <c r="H6" s="229"/>
      <c r="I6" s="235"/>
      <c r="J6" s="229" t="s">
        <v>1288</v>
      </c>
      <c r="K6" s="229" t="s">
        <v>43</v>
      </c>
      <c r="L6" s="229" t="s">
        <v>1289</v>
      </c>
      <c r="M6" s="230">
        <v>48000000</v>
      </c>
      <c r="N6" s="232"/>
      <c r="O6" s="232">
        <v>48000000</v>
      </c>
      <c r="P6" s="229" t="s">
        <v>2520</v>
      </c>
      <c r="Q6" s="226"/>
    </row>
    <row r="7" spans="1:17" s="121" customFormat="1" ht="45" x14ac:dyDescent="0.25">
      <c r="A7" s="234">
        <v>4</v>
      </c>
      <c r="B7" s="229" t="s">
        <v>1886</v>
      </c>
      <c r="C7" s="229"/>
      <c r="D7" s="229" t="s">
        <v>1685</v>
      </c>
      <c r="E7" s="229" t="s">
        <v>1890</v>
      </c>
      <c r="F7" s="229"/>
      <c r="G7" s="229" t="s">
        <v>1892</v>
      </c>
      <c r="H7" s="229"/>
      <c r="I7" s="235"/>
      <c r="J7" s="229" t="s">
        <v>1893</v>
      </c>
      <c r="K7" s="229" t="s">
        <v>43</v>
      </c>
      <c r="L7" s="229" t="s">
        <v>1894</v>
      </c>
      <c r="M7" s="230">
        <v>84000000</v>
      </c>
      <c r="N7" s="231"/>
      <c r="O7" s="232">
        <v>84000000</v>
      </c>
      <c r="P7" s="229" t="s">
        <v>2645</v>
      </c>
      <c r="Q7" s="226"/>
    </row>
    <row r="8" spans="1:17" s="121" customFormat="1" ht="90" x14ac:dyDescent="0.25">
      <c r="A8" s="234">
        <v>5</v>
      </c>
      <c r="B8" s="229" t="s">
        <v>2042</v>
      </c>
      <c r="C8" s="229"/>
      <c r="D8" s="229" t="s">
        <v>2669</v>
      </c>
      <c r="E8" s="229" t="s">
        <v>2048</v>
      </c>
      <c r="F8" s="229"/>
      <c r="G8" s="229"/>
      <c r="H8" s="229"/>
      <c r="I8" s="229"/>
      <c r="J8" s="229" t="s">
        <v>2049</v>
      </c>
      <c r="K8" s="229" t="s">
        <v>43</v>
      </c>
      <c r="L8" s="229" t="s">
        <v>2050</v>
      </c>
      <c r="M8" s="230">
        <v>96000000</v>
      </c>
      <c r="N8" s="232"/>
      <c r="O8" s="232">
        <v>96000000</v>
      </c>
      <c r="P8" s="229" t="s">
        <v>2674</v>
      </c>
      <c r="Q8" s="226"/>
    </row>
    <row r="9" spans="1:17" s="121" customFormat="1" ht="105" x14ac:dyDescent="0.25">
      <c r="A9" s="234">
        <v>6</v>
      </c>
      <c r="B9" s="229" t="s">
        <v>37</v>
      </c>
      <c r="C9" s="229"/>
      <c r="D9" s="229" t="s">
        <v>1178</v>
      </c>
      <c r="E9" s="229" t="s">
        <v>1179</v>
      </c>
      <c r="F9" s="229"/>
      <c r="G9" s="229"/>
      <c r="H9" s="229"/>
      <c r="I9" s="235"/>
      <c r="J9" s="229" t="s">
        <v>1180</v>
      </c>
      <c r="K9" s="229" t="s">
        <v>43</v>
      </c>
      <c r="L9" s="229" t="s">
        <v>1181</v>
      </c>
      <c r="M9" s="230">
        <v>144000000</v>
      </c>
      <c r="N9" s="230">
        <v>48000000</v>
      </c>
      <c r="O9" s="232">
        <v>96000000</v>
      </c>
      <c r="P9" s="229" t="s">
        <v>2745</v>
      </c>
      <c r="Q9" s="226"/>
    </row>
    <row r="10" spans="1:17" s="121" customFormat="1" ht="75" x14ac:dyDescent="0.25">
      <c r="A10" s="234">
        <v>7</v>
      </c>
      <c r="B10" s="229" t="s">
        <v>37</v>
      </c>
      <c r="C10" s="229" t="s">
        <v>2801</v>
      </c>
      <c r="D10" s="229" t="s">
        <v>2802</v>
      </c>
      <c r="E10" s="229" t="s">
        <v>370</v>
      </c>
      <c r="F10" s="229"/>
      <c r="G10" s="229"/>
      <c r="H10" s="229"/>
      <c r="I10" s="235"/>
      <c r="J10" s="229" t="s">
        <v>371</v>
      </c>
      <c r="K10" s="229" t="s">
        <v>43</v>
      </c>
      <c r="L10" s="229" t="s">
        <v>372</v>
      </c>
      <c r="M10" s="230">
        <v>90000000</v>
      </c>
      <c r="N10" s="230">
        <v>30000000</v>
      </c>
      <c r="O10" s="232">
        <v>60000000</v>
      </c>
      <c r="P10" s="229" t="s">
        <v>2808</v>
      </c>
      <c r="Q10" s="226"/>
    </row>
    <row r="11" spans="1:17" s="121" customFormat="1" ht="60" x14ac:dyDescent="0.25">
      <c r="A11" s="234">
        <v>8</v>
      </c>
      <c r="B11" s="229" t="s">
        <v>37</v>
      </c>
      <c r="C11" s="229"/>
      <c r="D11" s="229" t="s">
        <v>1199</v>
      </c>
      <c r="E11" s="229" t="s">
        <v>1200</v>
      </c>
      <c r="F11" s="229"/>
      <c r="G11" s="229"/>
      <c r="H11" s="229"/>
      <c r="I11" s="235"/>
      <c r="J11" s="229" t="s">
        <v>1201</v>
      </c>
      <c r="K11" s="229" t="s">
        <v>43</v>
      </c>
      <c r="L11" s="229" t="s">
        <v>1202</v>
      </c>
      <c r="M11" s="230">
        <v>24000000</v>
      </c>
      <c r="N11" s="231"/>
      <c r="O11" s="232">
        <v>24000000</v>
      </c>
      <c r="P11" s="229" t="s">
        <v>2839</v>
      </c>
      <c r="Q11" s="226"/>
    </row>
    <row r="12" spans="1:17" s="121" customFormat="1" ht="75" x14ac:dyDescent="0.25">
      <c r="A12" s="234">
        <v>9</v>
      </c>
      <c r="B12" s="229" t="s">
        <v>37</v>
      </c>
      <c r="C12" s="229" t="s">
        <v>1821</v>
      </c>
      <c r="D12" s="229" t="s">
        <v>2865</v>
      </c>
      <c r="E12" s="229" t="s">
        <v>1823</v>
      </c>
      <c r="F12" s="229" t="s">
        <v>1824</v>
      </c>
      <c r="G12" s="229"/>
      <c r="H12" s="229"/>
      <c r="I12" s="235"/>
      <c r="J12" s="229" t="s">
        <v>1825</v>
      </c>
      <c r="K12" s="229" t="s">
        <v>43</v>
      </c>
      <c r="L12" s="229" t="s">
        <v>1826</v>
      </c>
      <c r="M12" s="230">
        <v>72000000</v>
      </c>
      <c r="N12" s="233">
        <v>24000000</v>
      </c>
      <c r="O12" s="232">
        <v>48000000</v>
      </c>
      <c r="P12" s="229" t="s">
        <v>2867</v>
      </c>
      <c r="Q12" s="226"/>
    </row>
    <row r="13" spans="1:17" s="121" customFormat="1" ht="75" x14ac:dyDescent="0.25">
      <c r="A13" s="234">
        <v>10</v>
      </c>
      <c r="B13" s="229" t="s">
        <v>37</v>
      </c>
      <c r="C13" s="229"/>
      <c r="D13" s="229" t="s">
        <v>1603</v>
      </c>
      <c r="E13" s="229" t="s">
        <v>1604</v>
      </c>
      <c r="F13" s="229"/>
      <c r="G13" s="229"/>
      <c r="H13" s="229"/>
      <c r="I13" s="235"/>
      <c r="J13" s="229" t="s">
        <v>1605</v>
      </c>
      <c r="K13" s="229" t="s">
        <v>43</v>
      </c>
      <c r="L13" s="229" t="s">
        <v>1606</v>
      </c>
      <c r="M13" s="230">
        <v>72000000</v>
      </c>
      <c r="N13" s="230">
        <v>24000000</v>
      </c>
      <c r="O13" s="232">
        <v>48000000</v>
      </c>
      <c r="P13" s="229" t="s">
        <v>3023</v>
      </c>
      <c r="Q13" s="226"/>
    </row>
    <row r="14" spans="1:17" s="121" customFormat="1" ht="60" x14ac:dyDescent="0.25">
      <c r="A14" s="234">
        <v>11</v>
      </c>
      <c r="B14" s="229" t="s">
        <v>37</v>
      </c>
      <c r="C14" s="229" t="s">
        <v>450</v>
      </c>
      <c r="D14" s="229" t="s">
        <v>464</v>
      </c>
      <c r="E14" s="229" t="s">
        <v>1297</v>
      </c>
      <c r="F14" s="229" t="s">
        <v>1298</v>
      </c>
      <c r="G14" s="229"/>
      <c r="H14" s="229"/>
      <c r="I14" s="235"/>
      <c r="J14" s="229" t="s">
        <v>1299</v>
      </c>
      <c r="K14" s="229" t="s">
        <v>43</v>
      </c>
      <c r="L14" s="229" t="s">
        <v>1300</v>
      </c>
      <c r="M14" s="230">
        <v>60000000</v>
      </c>
      <c r="N14" s="232"/>
      <c r="O14" s="232">
        <v>60000000</v>
      </c>
      <c r="P14" s="229" t="s">
        <v>2520</v>
      </c>
      <c r="Q14" s="226"/>
    </row>
    <row r="15" spans="1:17" s="121" customFormat="1" ht="75" x14ac:dyDescent="0.25">
      <c r="A15" s="234">
        <v>12</v>
      </c>
      <c r="B15" s="229" t="s">
        <v>37</v>
      </c>
      <c r="C15" s="229" t="s">
        <v>821</v>
      </c>
      <c r="D15" s="229" t="s">
        <v>3115</v>
      </c>
      <c r="E15" s="229" t="s">
        <v>824</v>
      </c>
      <c r="F15" s="229" t="s">
        <v>825</v>
      </c>
      <c r="G15" s="229"/>
      <c r="H15" s="229"/>
      <c r="I15" s="235"/>
      <c r="J15" s="229" t="s">
        <v>826</v>
      </c>
      <c r="K15" s="229" t="s">
        <v>43</v>
      </c>
      <c r="L15" s="229" t="s">
        <v>827</v>
      </c>
      <c r="M15" s="230">
        <v>96000000</v>
      </c>
      <c r="N15" s="230">
        <v>48000000</v>
      </c>
      <c r="O15" s="232">
        <v>48000000</v>
      </c>
      <c r="P15" s="229" t="s">
        <v>3124</v>
      </c>
      <c r="Q15" s="226"/>
    </row>
    <row r="16" spans="1:17" s="121" customFormat="1" ht="75" x14ac:dyDescent="0.25">
      <c r="A16" s="234">
        <v>13</v>
      </c>
      <c r="B16" s="229" t="s">
        <v>37</v>
      </c>
      <c r="C16" s="229"/>
      <c r="D16" s="229" t="s">
        <v>3205</v>
      </c>
      <c r="E16" s="229" t="s">
        <v>135</v>
      </c>
      <c r="F16" s="229"/>
      <c r="G16" s="229"/>
      <c r="H16" s="229"/>
      <c r="I16" s="235"/>
      <c r="J16" s="229" t="s">
        <v>136</v>
      </c>
      <c r="K16" s="229" t="s">
        <v>43</v>
      </c>
      <c r="L16" s="229" t="s">
        <v>137</v>
      </c>
      <c r="M16" s="230">
        <v>90000000</v>
      </c>
      <c r="N16" s="230">
        <v>30000000</v>
      </c>
      <c r="O16" s="232">
        <v>60000000</v>
      </c>
      <c r="P16" s="229" t="s">
        <v>3124</v>
      </c>
      <c r="Q16" s="226"/>
    </row>
    <row r="17" spans="1:17" s="121" customFormat="1" ht="60" x14ac:dyDescent="0.25">
      <c r="A17" s="234">
        <v>14</v>
      </c>
      <c r="B17" s="229" t="s">
        <v>37</v>
      </c>
      <c r="C17" s="229"/>
      <c r="D17" s="229" t="s">
        <v>853</v>
      </c>
      <c r="E17" s="229" t="s">
        <v>854</v>
      </c>
      <c r="F17" s="229"/>
      <c r="G17" s="229"/>
      <c r="H17" s="229"/>
      <c r="I17" s="235"/>
      <c r="J17" s="229" t="s">
        <v>855</v>
      </c>
      <c r="K17" s="229" t="s">
        <v>43</v>
      </c>
      <c r="L17" s="229" t="s">
        <v>856</v>
      </c>
      <c r="M17" s="230">
        <v>56000000</v>
      </c>
      <c r="N17" s="231"/>
      <c r="O17" s="232">
        <v>56000000</v>
      </c>
      <c r="P17" s="229" t="s">
        <v>3285</v>
      </c>
      <c r="Q17" s="226"/>
    </row>
    <row r="18" spans="1:17" s="121" customFormat="1" ht="60" x14ac:dyDescent="0.25">
      <c r="A18" s="234">
        <v>15</v>
      </c>
      <c r="B18" s="229" t="s">
        <v>37</v>
      </c>
      <c r="C18" s="229"/>
      <c r="D18" s="229" t="s">
        <v>39</v>
      </c>
      <c r="E18" s="229" t="s">
        <v>40</v>
      </c>
      <c r="F18" s="229"/>
      <c r="G18" s="229"/>
      <c r="H18" s="229"/>
      <c r="I18" s="235"/>
      <c r="J18" s="229" t="s">
        <v>41</v>
      </c>
      <c r="K18" s="229" t="s">
        <v>43</v>
      </c>
      <c r="L18" s="229" t="s">
        <v>44</v>
      </c>
      <c r="M18" s="230">
        <v>72000000</v>
      </c>
      <c r="N18" s="232"/>
      <c r="O18" s="232">
        <v>72000000</v>
      </c>
      <c r="P18" s="229" t="s">
        <v>3293</v>
      </c>
      <c r="Q18" s="226"/>
    </row>
    <row r="19" spans="1:17" s="121" customFormat="1" ht="75" x14ac:dyDescent="0.25">
      <c r="A19" s="234">
        <v>16</v>
      </c>
      <c r="B19" s="229" t="s">
        <v>163</v>
      </c>
      <c r="C19" s="229"/>
      <c r="D19" s="229" t="s">
        <v>1662</v>
      </c>
      <c r="E19" s="229" t="s">
        <v>1663</v>
      </c>
      <c r="F19" s="229"/>
      <c r="G19" s="229"/>
      <c r="H19" s="229"/>
      <c r="I19" s="235"/>
      <c r="J19" s="229" t="s">
        <v>1664</v>
      </c>
      <c r="K19" s="229" t="s">
        <v>43</v>
      </c>
      <c r="L19" s="229" t="s">
        <v>1665</v>
      </c>
      <c r="M19" s="230">
        <v>96000000</v>
      </c>
      <c r="N19" s="230">
        <v>48000000</v>
      </c>
      <c r="O19" s="232">
        <v>48000000</v>
      </c>
      <c r="P19" s="229" t="s">
        <v>3506</v>
      </c>
      <c r="Q19" s="226"/>
    </row>
    <row r="20" spans="1:17" s="121" customFormat="1" ht="75" x14ac:dyDescent="0.25">
      <c r="A20" s="234">
        <v>17</v>
      </c>
      <c r="B20" s="229" t="s">
        <v>47</v>
      </c>
      <c r="C20" s="229"/>
      <c r="D20" s="229" t="s">
        <v>3519</v>
      </c>
      <c r="E20" s="229" t="s">
        <v>1253</v>
      </c>
      <c r="F20" s="229"/>
      <c r="G20" s="229"/>
      <c r="H20" s="229"/>
      <c r="I20" s="235"/>
      <c r="J20" s="229" t="s">
        <v>1254</v>
      </c>
      <c r="K20" s="229" t="s">
        <v>43</v>
      </c>
      <c r="L20" s="229" t="s">
        <v>1256</v>
      </c>
      <c r="M20" s="230">
        <v>216000000</v>
      </c>
      <c r="N20" s="230">
        <v>72000000</v>
      </c>
      <c r="O20" s="232">
        <v>144000000</v>
      </c>
      <c r="P20" s="229" t="s">
        <v>2808</v>
      </c>
      <c r="Q20" s="226"/>
    </row>
    <row r="21" spans="1:17" s="121" customFormat="1" ht="60" x14ac:dyDescent="0.25">
      <c r="A21" s="234">
        <v>18</v>
      </c>
      <c r="B21" s="229" t="s">
        <v>47</v>
      </c>
      <c r="C21" s="229"/>
      <c r="D21" s="229" t="s">
        <v>1199</v>
      </c>
      <c r="E21" s="229" t="s">
        <v>1207</v>
      </c>
      <c r="F21" s="229"/>
      <c r="G21" s="229"/>
      <c r="H21" s="229"/>
      <c r="I21" s="235"/>
      <c r="J21" s="229" t="s">
        <v>1208</v>
      </c>
      <c r="K21" s="229" t="s">
        <v>43</v>
      </c>
      <c r="L21" s="229" t="s">
        <v>1209</v>
      </c>
      <c r="M21" s="230">
        <v>54000000</v>
      </c>
      <c r="N21" s="232"/>
      <c r="O21" s="232">
        <v>54000000</v>
      </c>
      <c r="P21" s="229" t="s">
        <v>3124</v>
      </c>
      <c r="Q21" s="226"/>
    </row>
    <row r="22" spans="1:17" s="121" customFormat="1" ht="60" x14ac:dyDescent="0.25">
      <c r="A22" s="234">
        <v>19</v>
      </c>
      <c r="B22" s="229" t="s">
        <v>47</v>
      </c>
      <c r="C22" s="229"/>
      <c r="D22" s="229" t="s">
        <v>3661</v>
      </c>
      <c r="E22" s="229" t="s">
        <v>927</v>
      </c>
      <c r="F22" s="229"/>
      <c r="G22" s="229"/>
      <c r="H22" s="229"/>
      <c r="I22" s="235"/>
      <c r="J22" s="229" t="s">
        <v>928</v>
      </c>
      <c r="K22" s="229" t="s">
        <v>43</v>
      </c>
      <c r="L22" s="229" t="s">
        <v>929</v>
      </c>
      <c r="M22" s="230">
        <v>72000000</v>
      </c>
      <c r="N22" s="232"/>
      <c r="O22" s="232">
        <v>72000000</v>
      </c>
      <c r="P22" s="229" t="s">
        <v>3662</v>
      </c>
      <c r="Q22" s="226"/>
    </row>
    <row r="23" spans="1:17" s="121" customFormat="1" ht="60" x14ac:dyDescent="0.25">
      <c r="A23" s="234">
        <v>20</v>
      </c>
      <c r="B23" s="229" t="s">
        <v>47</v>
      </c>
      <c r="C23" s="229"/>
      <c r="D23" s="229" t="s">
        <v>464</v>
      </c>
      <c r="E23" s="229" t="s">
        <v>1312</v>
      </c>
      <c r="F23" s="229"/>
      <c r="G23" s="229"/>
      <c r="H23" s="229"/>
      <c r="I23" s="235"/>
      <c r="J23" s="229" t="s">
        <v>1313</v>
      </c>
      <c r="K23" s="229" t="s">
        <v>43</v>
      </c>
      <c r="L23" s="229" t="s">
        <v>1314</v>
      </c>
      <c r="M23" s="230">
        <v>48000000</v>
      </c>
      <c r="N23" s="232"/>
      <c r="O23" s="232">
        <v>48000000</v>
      </c>
      <c r="P23" s="229" t="s">
        <v>2520</v>
      </c>
      <c r="Q23" s="226"/>
    </row>
    <row r="24" spans="1:17" s="121" customFormat="1" ht="75" x14ac:dyDescent="0.25">
      <c r="A24" s="234">
        <v>21</v>
      </c>
      <c r="B24" s="229" t="s">
        <v>124</v>
      </c>
      <c r="C24" s="229" t="s">
        <v>607</v>
      </c>
      <c r="D24" s="229" t="s">
        <v>3748</v>
      </c>
      <c r="E24" s="229" t="s">
        <v>610</v>
      </c>
      <c r="F24" s="229" t="s">
        <v>611</v>
      </c>
      <c r="G24" s="229"/>
      <c r="H24" s="229"/>
      <c r="I24" s="235"/>
      <c r="J24" s="229" t="s">
        <v>613</v>
      </c>
      <c r="K24" s="229" t="s">
        <v>43</v>
      </c>
      <c r="L24" s="229" t="s">
        <v>615</v>
      </c>
      <c r="M24" s="230">
        <v>126000000</v>
      </c>
      <c r="N24" s="233">
        <v>42000000</v>
      </c>
      <c r="O24" s="232">
        <v>84000000</v>
      </c>
      <c r="P24" s="229" t="s">
        <v>2674</v>
      </c>
      <c r="Q24" s="226"/>
    </row>
    <row r="25" spans="1:17" s="121" customFormat="1" ht="75" x14ac:dyDescent="0.25">
      <c r="A25" s="234">
        <v>22</v>
      </c>
      <c r="B25" s="229" t="s">
        <v>124</v>
      </c>
      <c r="C25" s="229"/>
      <c r="D25" s="229" t="s">
        <v>3754</v>
      </c>
      <c r="E25" s="229" t="s">
        <v>1052</v>
      </c>
      <c r="F25" s="229"/>
      <c r="G25" s="229"/>
      <c r="H25" s="229"/>
      <c r="I25" s="235"/>
      <c r="J25" s="229" t="s">
        <v>1053</v>
      </c>
      <c r="K25" s="229" t="s">
        <v>43</v>
      </c>
      <c r="L25" s="229" t="s">
        <v>1054</v>
      </c>
      <c r="M25" s="230">
        <v>90000000</v>
      </c>
      <c r="N25" s="230">
        <v>30000000</v>
      </c>
      <c r="O25" s="232">
        <v>60000000</v>
      </c>
      <c r="P25" s="229" t="s">
        <v>2808</v>
      </c>
      <c r="Q25" s="226"/>
    </row>
    <row r="26" spans="1:17" s="121" customFormat="1" ht="75" x14ac:dyDescent="0.25">
      <c r="A26" s="234">
        <v>23</v>
      </c>
      <c r="B26" s="229" t="s">
        <v>124</v>
      </c>
      <c r="C26" s="232" t="s">
        <v>617</v>
      </c>
      <c r="D26" s="229" t="s">
        <v>3767</v>
      </c>
      <c r="E26" s="229" t="s">
        <v>619</v>
      </c>
      <c r="F26" s="229" t="s">
        <v>620</v>
      </c>
      <c r="G26" s="229"/>
      <c r="H26" s="229"/>
      <c r="I26" s="235"/>
      <c r="J26" s="229" t="s">
        <v>621</v>
      </c>
      <c r="K26" s="229" t="s">
        <v>43</v>
      </c>
      <c r="L26" s="229" t="s">
        <v>622</v>
      </c>
      <c r="M26" s="230">
        <v>162000000</v>
      </c>
      <c r="N26" s="230">
        <v>54000000</v>
      </c>
      <c r="O26" s="232">
        <v>108000000</v>
      </c>
      <c r="P26" s="229" t="s">
        <v>2808</v>
      </c>
      <c r="Q26" s="226"/>
    </row>
    <row r="27" spans="1:17" s="121" customFormat="1" ht="60" x14ac:dyDescent="0.25">
      <c r="A27" s="234">
        <v>24</v>
      </c>
      <c r="B27" s="229" t="s">
        <v>124</v>
      </c>
      <c r="C27" s="229" t="s">
        <v>772</v>
      </c>
      <c r="D27" s="229" t="s">
        <v>757</v>
      </c>
      <c r="E27" s="229" t="s">
        <v>773</v>
      </c>
      <c r="F27" s="229" t="s">
        <v>774</v>
      </c>
      <c r="G27" s="229"/>
      <c r="H27" s="229"/>
      <c r="I27" s="235"/>
      <c r="J27" s="229" t="s">
        <v>775</v>
      </c>
      <c r="K27" s="229" t="s">
        <v>43</v>
      </c>
      <c r="L27" s="229" t="s">
        <v>776</v>
      </c>
      <c r="M27" s="230">
        <v>48000000</v>
      </c>
      <c r="N27" s="232"/>
      <c r="O27" s="232">
        <v>48000000</v>
      </c>
      <c r="P27" s="229" t="s">
        <v>3810</v>
      </c>
      <c r="Q27" s="226"/>
    </row>
    <row r="28" spans="1:17" s="121" customFormat="1" ht="60" x14ac:dyDescent="0.25">
      <c r="A28" s="234">
        <v>25</v>
      </c>
      <c r="B28" s="229" t="s">
        <v>124</v>
      </c>
      <c r="C28" s="229"/>
      <c r="D28" s="229" t="s">
        <v>464</v>
      </c>
      <c r="E28" s="229" t="s">
        <v>1320</v>
      </c>
      <c r="F28" s="229"/>
      <c r="G28" s="229"/>
      <c r="H28" s="229"/>
      <c r="I28" s="235"/>
      <c r="J28" s="229" t="s">
        <v>1321</v>
      </c>
      <c r="K28" s="229" t="s">
        <v>43</v>
      </c>
      <c r="L28" s="229" t="s">
        <v>1322</v>
      </c>
      <c r="M28" s="230">
        <v>60000000</v>
      </c>
      <c r="N28" s="231"/>
      <c r="O28" s="232">
        <v>60000000</v>
      </c>
      <c r="P28" s="229" t="s">
        <v>3846</v>
      </c>
      <c r="Q28" s="226"/>
    </row>
    <row r="29" spans="1:17" s="121" customFormat="1" ht="60" x14ac:dyDescent="0.25">
      <c r="A29" s="234">
        <v>26</v>
      </c>
      <c r="B29" s="229" t="s">
        <v>966</v>
      </c>
      <c r="C29" s="229"/>
      <c r="D29" s="229" t="s">
        <v>872</v>
      </c>
      <c r="E29" s="229" t="s">
        <v>968</v>
      </c>
      <c r="F29" s="229"/>
      <c r="G29" s="229" t="s">
        <v>969</v>
      </c>
      <c r="H29" s="229"/>
      <c r="I29" s="235"/>
      <c r="J29" s="229" t="s">
        <v>970</v>
      </c>
      <c r="K29" s="229" t="s">
        <v>43</v>
      </c>
      <c r="L29" s="229" t="s">
        <v>971</v>
      </c>
      <c r="M29" s="230">
        <v>42000000</v>
      </c>
      <c r="N29" s="232"/>
      <c r="O29" s="232">
        <v>42000000</v>
      </c>
      <c r="P29" s="229" t="s">
        <v>3990</v>
      </c>
      <c r="Q29" s="226"/>
    </row>
    <row r="30" spans="1:17" s="121" customFormat="1" ht="75" x14ac:dyDescent="0.25">
      <c r="A30" s="234">
        <v>27</v>
      </c>
      <c r="B30" s="229" t="s">
        <v>498</v>
      </c>
      <c r="C30" s="229" t="s">
        <v>784</v>
      </c>
      <c r="D30" s="229" t="s">
        <v>2865</v>
      </c>
      <c r="E30" s="229" t="s">
        <v>1832</v>
      </c>
      <c r="F30" s="229"/>
      <c r="G30" s="229"/>
      <c r="H30" s="229"/>
      <c r="I30" s="235"/>
      <c r="J30" s="229" t="s">
        <v>1833</v>
      </c>
      <c r="K30" s="229" t="s">
        <v>43</v>
      </c>
      <c r="L30" s="229" t="s">
        <v>1834</v>
      </c>
      <c r="M30" s="230">
        <v>126000000</v>
      </c>
      <c r="N30" s="230">
        <v>42000000</v>
      </c>
      <c r="O30" s="232">
        <v>84000000</v>
      </c>
      <c r="P30" s="229" t="s">
        <v>2808</v>
      </c>
      <c r="Q30" s="226"/>
    </row>
    <row r="31" spans="1:17" s="121" customFormat="1" ht="60" x14ac:dyDescent="0.25">
      <c r="A31" s="234">
        <v>28</v>
      </c>
      <c r="B31" s="229" t="s">
        <v>498</v>
      </c>
      <c r="C31" s="229" t="s">
        <v>377</v>
      </c>
      <c r="D31" s="229" t="s">
        <v>1279</v>
      </c>
      <c r="E31" s="229" t="s">
        <v>1280</v>
      </c>
      <c r="F31" s="229" t="s">
        <v>1281</v>
      </c>
      <c r="G31" s="229"/>
      <c r="H31" s="229"/>
      <c r="I31" s="235"/>
      <c r="J31" s="229" t="s">
        <v>1282</v>
      </c>
      <c r="K31" s="229" t="s">
        <v>43</v>
      </c>
      <c r="L31" s="229" t="s">
        <v>1283</v>
      </c>
      <c r="M31" s="230">
        <v>162000000</v>
      </c>
      <c r="N31" s="230">
        <v>54000000</v>
      </c>
      <c r="O31" s="232">
        <v>108000000</v>
      </c>
      <c r="P31" s="229" t="s">
        <v>2745</v>
      </c>
      <c r="Q31" s="226"/>
    </row>
    <row r="32" spans="1:17" s="121" customFormat="1" ht="75" x14ac:dyDescent="0.25">
      <c r="A32" s="234">
        <v>29</v>
      </c>
      <c r="B32" s="229" t="s">
        <v>498</v>
      </c>
      <c r="C32" s="229"/>
      <c r="D32" s="229" t="s">
        <v>3519</v>
      </c>
      <c r="E32" s="229" t="s">
        <v>1275</v>
      </c>
      <c r="F32" s="229"/>
      <c r="G32" s="229"/>
      <c r="H32" s="229"/>
      <c r="I32" s="235"/>
      <c r="J32" s="229" t="s">
        <v>1276</v>
      </c>
      <c r="K32" s="229" t="s">
        <v>43</v>
      </c>
      <c r="L32" s="229" t="s">
        <v>1277</v>
      </c>
      <c r="M32" s="230">
        <v>72000000</v>
      </c>
      <c r="N32" s="233">
        <v>24000000</v>
      </c>
      <c r="O32" s="232">
        <v>48000000</v>
      </c>
      <c r="P32" s="229" t="s">
        <v>2808</v>
      </c>
      <c r="Q32" s="226"/>
    </row>
    <row r="33" spans="1:17" s="121" customFormat="1" ht="75" x14ac:dyDescent="0.25">
      <c r="A33" s="234">
        <v>30</v>
      </c>
      <c r="B33" s="229" t="s">
        <v>498</v>
      </c>
      <c r="C33" s="229" t="s">
        <v>1395</v>
      </c>
      <c r="D33" s="229" t="s">
        <v>1186</v>
      </c>
      <c r="E33" s="229" t="s">
        <v>1396</v>
      </c>
      <c r="F33" s="229" t="s">
        <v>1397</v>
      </c>
      <c r="G33" s="229"/>
      <c r="H33" s="229"/>
      <c r="I33" s="235"/>
      <c r="J33" s="229" t="s">
        <v>1398</v>
      </c>
      <c r="K33" s="229" t="s">
        <v>43</v>
      </c>
      <c r="L33" s="229" t="s">
        <v>1399</v>
      </c>
      <c r="M33" s="230">
        <v>8000000</v>
      </c>
      <c r="N33" s="232"/>
      <c r="O33" s="232">
        <v>8000000</v>
      </c>
      <c r="P33" s="229" t="s">
        <v>4011</v>
      </c>
      <c r="Q33" s="226"/>
    </row>
    <row r="34" spans="1:17" s="121" customFormat="1" ht="75" x14ac:dyDescent="0.25">
      <c r="A34" s="234">
        <v>31</v>
      </c>
      <c r="B34" s="229" t="s">
        <v>498</v>
      </c>
      <c r="C34" s="229"/>
      <c r="D34" s="229" t="s">
        <v>2865</v>
      </c>
      <c r="E34" s="229" t="s">
        <v>1836</v>
      </c>
      <c r="F34" s="229"/>
      <c r="G34" s="229"/>
      <c r="H34" s="229"/>
      <c r="I34" s="235"/>
      <c r="J34" s="229" t="s">
        <v>1837</v>
      </c>
      <c r="K34" s="229" t="s">
        <v>43</v>
      </c>
      <c r="L34" s="229" t="s">
        <v>1838</v>
      </c>
      <c r="M34" s="230">
        <v>120000000</v>
      </c>
      <c r="N34" s="230">
        <v>60000000</v>
      </c>
      <c r="O34" s="232">
        <v>60000000</v>
      </c>
      <c r="P34" s="229" t="s">
        <v>3506</v>
      </c>
      <c r="Q34" s="226"/>
    </row>
    <row r="35" spans="1:17" s="121" customFormat="1" ht="60" x14ac:dyDescent="0.25">
      <c r="A35" s="234">
        <v>32</v>
      </c>
      <c r="B35" s="229" t="s">
        <v>53</v>
      </c>
      <c r="C35" s="229"/>
      <c r="D35" s="229" t="s">
        <v>1809</v>
      </c>
      <c r="E35" s="229" t="s">
        <v>1810</v>
      </c>
      <c r="F35" s="229"/>
      <c r="G35" s="229" t="s">
        <v>261</v>
      </c>
      <c r="H35" s="229"/>
      <c r="I35" s="235"/>
      <c r="J35" s="229" t="s">
        <v>1811</v>
      </c>
      <c r="K35" s="229" t="s">
        <v>43</v>
      </c>
      <c r="L35" s="229" t="s">
        <v>1306</v>
      </c>
      <c r="M35" s="230">
        <v>72000000</v>
      </c>
      <c r="N35" s="230">
        <v>24000000</v>
      </c>
      <c r="O35" s="232">
        <v>48000000</v>
      </c>
      <c r="P35" s="229" t="s">
        <v>4016</v>
      </c>
      <c r="Q35" s="226"/>
    </row>
    <row r="36" spans="1:17" s="121" customFormat="1" ht="60" x14ac:dyDescent="0.25">
      <c r="A36" s="234">
        <v>33</v>
      </c>
      <c r="B36" s="229" t="s">
        <v>327</v>
      </c>
      <c r="C36" s="229" t="s">
        <v>863</v>
      </c>
      <c r="D36" s="229" t="s">
        <v>4017</v>
      </c>
      <c r="E36" s="229" t="s">
        <v>865</v>
      </c>
      <c r="F36" s="229" t="s">
        <v>866</v>
      </c>
      <c r="G36" s="229"/>
      <c r="H36" s="229"/>
      <c r="I36" s="235"/>
      <c r="J36" s="229" t="s">
        <v>867</v>
      </c>
      <c r="K36" s="229" t="s">
        <v>43</v>
      </c>
      <c r="L36" s="229" t="s">
        <v>869</v>
      </c>
      <c r="M36" s="230">
        <v>48000000</v>
      </c>
      <c r="N36" s="232"/>
      <c r="O36" s="232">
        <v>48000000</v>
      </c>
      <c r="P36" s="229" t="s">
        <v>4018</v>
      </c>
      <c r="Q36" s="226"/>
    </row>
    <row r="37" spans="1:17" s="121" customFormat="1" ht="60" x14ac:dyDescent="0.25">
      <c r="A37" s="234">
        <v>34</v>
      </c>
      <c r="B37" s="229" t="s">
        <v>67</v>
      </c>
      <c r="C37" s="229"/>
      <c r="D37" s="229" t="s">
        <v>4021</v>
      </c>
      <c r="E37" s="229" t="s">
        <v>3516</v>
      </c>
      <c r="F37" s="229"/>
      <c r="G37" s="229"/>
      <c r="H37" s="229"/>
      <c r="I37" s="229"/>
      <c r="J37" s="229" t="s">
        <v>3517</v>
      </c>
      <c r="K37" s="229" t="s">
        <v>43</v>
      </c>
      <c r="L37" s="229" t="s">
        <v>3518</v>
      </c>
      <c r="M37" s="230">
        <v>48000000</v>
      </c>
      <c r="N37" s="232"/>
      <c r="O37" s="232">
        <v>48000000</v>
      </c>
      <c r="P37" s="229" t="s">
        <v>2674</v>
      </c>
      <c r="Q37" s="226"/>
    </row>
    <row r="38" spans="1:17" s="121" customFormat="1" ht="75" x14ac:dyDescent="0.25">
      <c r="A38" s="234">
        <v>35</v>
      </c>
      <c r="B38" s="229" t="s">
        <v>67</v>
      </c>
      <c r="C38" s="229" t="s">
        <v>377</v>
      </c>
      <c r="D38" s="229" t="s">
        <v>4022</v>
      </c>
      <c r="E38" s="229" t="s">
        <v>379</v>
      </c>
      <c r="F38" s="229" t="s">
        <v>380</v>
      </c>
      <c r="G38" s="229"/>
      <c r="H38" s="229"/>
      <c r="I38" s="235"/>
      <c r="J38" s="229" t="s">
        <v>381</v>
      </c>
      <c r="K38" s="229" t="s">
        <v>43</v>
      </c>
      <c r="L38" s="229" t="s">
        <v>383</v>
      </c>
      <c r="M38" s="230">
        <v>72000000</v>
      </c>
      <c r="N38" s="232"/>
      <c r="O38" s="232">
        <v>72000000</v>
      </c>
      <c r="P38" s="229" t="s">
        <v>2745</v>
      </c>
      <c r="Q38" s="226"/>
    </row>
    <row r="39" spans="1:17" s="121" customFormat="1" ht="60" x14ac:dyDescent="0.25">
      <c r="A39" s="234">
        <v>36</v>
      </c>
      <c r="B39" s="229" t="s">
        <v>67</v>
      </c>
      <c r="C39" s="229" t="s">
        <v>895</v>
      </c>
      <c r="D39" s="229" t="s">
        <v>4020</v>
      </c>
      <c r="E39" s="229" t="s">
        <v>896</v>
      </c>
      <c r="F39" s="229" t="s">
        <v>897</v>
      </c>
      <c r="G39" s="229"/>
      <c r="H39" s="229"/>
      <c r="I39" s="235"/>
      <c r="J39" s="229" t="s">
        <v>898</v>
      </c>
      <c r="K39" s="229" t="s">
        <v>43</v>
      </c>
      <c r="L39" s="229" t="s">
        <v>899</v>
      </c>
      <c r="M39" s="230">
        <v>48000000</v>
      </c>
      <c r="N39" s="232"/>
      <c r="O39" s="232">
        <v>48000000</v>
      </c>
      <c r="P39" s="229" t="s">
        <v>2745</v>
      </c>
      <c r="Q39" s="226"/>
    </row>
    <row r="40" spans="1:17" s="121" customFormat="1" ht="60" x14ac:dyDescent="0.25">
      <c r="A40" s="234">
        <v>37</v>
      </c>
      <c r="B40" s="229" t="s">
        <v>67</v>
      </c>
      <c r="C40" s="229"/>
      <c r="D40" s="229" t="s">
        <v>1900</v>
      </c>
      <c r="E40" s="229" t="s">
        <v>1901</v>
      </c>
      <c r="F40" s="229"/>
      <c r="G40" s="229"/>
      <c r="H40" s="229"/>
      <c r="I40" s="235"/>
      <c r="J40" s="229" t="s">
        <v>1902</v>
      </c>
      <c r="K40" s="229" t="s">
        <v>43</v>
      </c>
      <c r="L40" s="229" t="s">
        <v>1903</v>
      </c>
      <c r="M40" s="230">
        <v>90000000</v>
      </c>
      <c r="N40" s="230">
        <v>30000000</v>
      </c>
      <c r="O40" s="232">
        <v>60000000</v>
      </c>
      <c r="P40" s="229" t="s">
        <v>2745</v>
      </c>
      <c r="Q40" s="226"/>
    </row>
    <row r="41" spans="1:17" s="121" customFormat="1" ht="75" x14ac:dyDescent="0.25">
      <c r="A41" s="234">
        <v>38</v>
      </c>
      <c r="B41" s="229" t="s">
        <v>67</v>
      </c>
      <c r="C41" s="229" t="s">
        <v>1395</v>
      </c>
      <c r="D41" s="229" t="s">
        <v>1630</v>
      </c>
      <c r="E41" s="229" t="s">
        <v>1649</v>
      </c>
      <c r="F41" s="229" t="s">
        <v>1650</v>
      </c>
      <c r="G41" s="229"/>
      <c r="H41" s="229"/>
      <c r="I41" s="235"/>
      <c r="J41" s="229" t="s">
        <v>1651</v>
      </c>
      <c r="K41" s="229" t="s">
        <v>43</v>
      </c>
      <c r="L41" s="229" t="s">
        <v>1652</v>
      </c>
      <c r="M41" s="230">
        <v>96000000</v>
      </c>
      <c r="N41" s="230">
        <v>48000000</v>
      </c>
      <c r="O41" s="232">
        <v>48000000</v>
      </c>
      <c r="P41" s="229" t="s">
        <v>3506</v>
      </c>
      <c r="Q41" s="226"/>
    </row>
    <row r="42" spans="1:17" s="121" customFormat="1" ht="90" x14ac:dyDescent="0.25">
      <c r="A42" s="234">
        <v>39</v>
      </c>
      <c r="B42" s="229" t="s">
        <v>67</v>
      </c>
      <c r="C42" s="229" t="s">
        <v>1002</v>
      </c>
      <c r="D42" s="229" t="s">
        <v>1003</v>
      </c>
      <c r="E42" s="229" t="s">
        <v>1004</v>
      </c>
      <c r="F42" s="229" t="s">
        <v>1005</v>
      </c>
      <c r="G42" s="229"/>
      <c r="H42" s="229"/>
      <c r="I42" s="235"/>
      <c r="J42" s="229" t="s">
        <v>1006</v>
      </c>
      <c r="K42" s="229" t="s">
        <v>43</v>
      </c>
      <c r="L42" s="229" t="s">
        <v>1007</v>
      </c>
      <c r="M42" s="230">
        <v>72000000</v>
      </c>
      <c r="N42" s="230">
        <v>24000000</v>
      </c>
      <c r="O42" s="232">
        <v>48000000</v>
      </c>
      <c r="P42" s="229" t="s">
        <v>4027</v>
      </c>
      <c r="Q42" s="226"/>
    </row>
    <row r="43" spans="1:17" s="121" customFormat="1" ht="75" x14ac:dyDescent="0.25">
      <c r="A43" s="234">
        <v>40</v>
      </c>
      <c r="B43" s="229" t="s">
        <v>67</v>
      </c>
      <c r="C43" s="229"/>
      <c r="D43" s="229" t="s">
        <v>2865</v>
      </c>
      <c r="E43" s="229" t="s">
        <v>1848</v>
      </c>
      <c r="F43" s="229"/>
      <c r="G43" s="229"/>
      <c r="H43" s="229"/>
      <c r="I43" s="235"/>
      <c r="J43" s="229" t="s">
        <v>1849</v>
      </c>
      <c r="K43" s="229" t="s">
        <v>43</v>
      </c>
      <c r="L43" s="229" t="s">
        <v>1850</v>
      </c>
      <c r="M43" s="230">
        <v>144000000</v>
      </c>
      <c r="N43" s="233">
        <v>48000000</v>
      </c>
      <c r="O43" s="232">
        <v>96000000</v>
      </c>
      <c r="P43" s="229" t="s">
        <v>2808</v>
      </c>
      <c r="Q43" s="226"/>
    </row>
    <row r="44" spans="1:17" s="121" customFormat="1" ht="75" x14ac:dyDescent="0.25">
      <c r="A44" s="234">
        <v>41</v>
      </c>
      <c r="B44" s="229" t="s">
        <v>67</v>
      </c>
      <c r="C44" s="229"/>
      <c r="D44" s="229" t="s">
        <v>2865</v>
      </c>
      <c r="E44" s="229" t="s">
        <v>1857</v>
      </c>
      <c r="F44" s="229"/>
      <c r="G44" s="229"/>
      <c r="H44" s="229"/>
      <c r="I44" s="235"/>
      <c r="J44" s="229" t="s">
        <v>1858</v>
      </c>
      <c r="K44" s="229" t="s">
        <v>43</v>
      </c>
      <c r="L44" s="229" t="s">
        <v>1859</v>
      </c>
      <c r="M44" s="230">
        <v>192000000</v>
      </c>
      <c r="N44" s="230">
        <v>96000000</v>
      </c>
      <c r="O44" s="232">
        <v>96000000</v>
      </c>
      <c r="P44" s="229" t="s">
        <v>2674</v>
      </c>
      <c r="Q44" s="226"/>
    </row>
    <row r="45" spans="1:17" s="121" customFormat="1" ht="60" x14ac:dyDescent="0.25">
      <c r="A45" s="234">
        <v>42</v>
      </c>
      <c r="B45" s="229" t="s">
        <v>67</v>
      </c>
      <c r="C45" s="229"/>
      <c r="D45" s="229" t="s">
        <v>584</v>
      </c>
      <c r="E45" s="229" t="s">
        <v>597</v>
      </c>
      <c r="F45" s="229"/>
      <c r="G45" s="229"/>
      <c r="H45" s="229"/>
      <c r="I45" s="235"/>
      <c r="J45" s="229" t="s">
        <v>598</v>
      </c>
      <c r="K45" s="229" t="s">
        <v>43</v>
      </c>
      <c r="L45" s="229" t="s">
        <v>600</v>
      </c>
      <c r="M45" s="230">
        <v>24000000</v>
      </c>
      <c r="N45" s="231"/>
      <c r="O45" s="232">
        <v>24000000</v>
      </c>
      <c r="P45" s="229" t="s">
        <v>4028</v>
      </c>
      <c r="Q45" s="226"/>
    </row>
    <row r="46" spans="1:17" s="121" customFormat="1" ht="75" x14ac:dyDescent="0.25">
      <c r="A46" s="234">
        <v>43</v>
      </c>
      <c r="B46" s="229" t="s">
        <v>74</v>
      </c>
      <c r="C46" s="229" t="s">
        <v>784</v>
      </c>
      <c r="D46" s="229" t="s">
        <v>2865</v>
      </c>
      <c r="E46" s="229" t="s">
        <v>1865</v>
      </c>
      <c r="F46" s="229" t="s">
        <v>1866</v>
      </c>
      <c r="G46" s="229" t="s">
        <v>80</v>
      </c>
      <c r="H46" s="229"/>
      <c r="I46" s="235"/>
      <c r="J46" s="229" t="s">
        <v>1867</v>
      </c>
      <c r="K46" s="229" t="s">
        <v>43</v>
      </c>
      <c r="L46" s="229" t="s">
        <v>789</v>
      </c>
      <c r="M46" s="230">
        <v>72000000</v>
      </c>
      <c r="N46" s="230">
        <v>24000000</v>
      </c>
      <c r="O46" s="232">
        <v>48000000</v>
      </c>
      <c r="P46" s="229" t="s">
        <v>2808</v>
      </c>
      <c r="Q46" s="226"/>
    </row>
    <row r="47" spans="1:17" s="121" customFormat="1" ht="75" x14ac:dyDescent="0.25">
      <c r="A47" s="234">
        <v>44</v>
      </c>
      <c r="B47" s="229" t="s">
        <v>74</v>
      </c>
      <c r="C47" s="229" t="s">
        <v>625</v>
      </c>
      <c r="D47" s="229" t="s">
        <v>3767</v>
      </c>
      <c r="E47" s="229" t="s">
        <v>626</v>
      </c>
      <c r="F47" s="229" t="s">
        <v>627</v>
      </c>
      <c r="G47" s="229"/>
      <c r="H47" s="229"/>
      <c r="I47" s="235"/>
      <c r="J47" s="229" t="s">
        <v>628</v>
      </c>
      <c r="K47" s="229" t="s">
        <v>43</v>
      </c>
      <c r="L47" s="229" t="s">
        <v>629</v>
      </c>
      <c r="M47" s="230">
        <v>90000000</v>
      </c>
      <c r="N47" s="230">
        <v>30000000</v>
      </c>
      <c r="O47" s="232">
        <v>60000000</v>
      </c>
      <c r="P47" s="229" t="s">
        <v>2808</v>
      </c>
      <c r="Q47" s="226"/>
    </row>
    <row r="48" spans="1:17" s="121" customFormat="1" ht="60" x14ac:dyDescent="0.25">
      <c r="A48" s="234">
        <v>45</v>
      </c>
      <c r="B48" s="229" t="s">
        <v>74</v>
      </c>
      <c r="C48" s="229" t="s">
        <v>3831</v>
      </c>
      <c r="D48" s="229" t="s">
        <v>4031</v>
      </c>
      <c r="E48" s="229" t="s">
        <v>3832</v>
      </c>
      <c r="F48" s="229" t="s">
        <v>3833</v>
      </c>
      <c r="G48" s="229"/>
      <c r="H48" s="229"/>
      <c r="I48" s="229"/>
      <c r="J48" s="229" t="s">
        <v>3834</v>
      </c>
      <c r="K48" s="229" t="s">
        <v>43</v>
      </c>
      <c r="L48" s="229" t="s">
        <v>838</v>
      </c>
      <c r="M48" s="230">
        <v>48000000</v>
      </c>
      <c r="N48" s="232"/>
      <c r="O48" s="232">
        <v>48000000</v>
      </c>
      <c r="P48" s="229" t="s">
        <v>3506</v>
      </c>
      <c r="Q48" s="226"/>
    </row>
    <row r="49" spans="1:17" s="121" customFormat="1" ht="60" x14ac:dyDescent="0.25">
      <c r="A49" s="234">
        <v>46</v>
      </c>
      <c r="B49" s="229" t="s">
        <v>89</v>
      </c>
      <c r="C49" s="229" t="s">
        <v>91</v>
      </c>
      <c r="D49" s="229" t="s">
        <v>92</v>
      </c>
      <c r="E49" s="229" t="s">
        <v>93</v>
      </c>
      <c r="F49" s="229" t="s">
        <v>94</v>
      </c>
      <c r="G49" s="229"/>
      <c r="H49" s="229"/>
      <c r="I49" s="235"/>
      <c r="J49" s="229" t="s">
        <v>95</v>
      </c>
      <c r="K49" s="229" t="s">
        <v>43</v>
      </c>
      <c r="L49" s="229" t="s">
        <v>96</v>
      </c>
      <c r="M49" s="230">
        <v>24000000</v>
      </c>
      <c r="N49" s="232"/>
      <c r="O49" s="232">
        <v>24000000</v>
      </c>
      <c r="P49" s="229" t="s">
        <v>4028</v>
      </c>
      <c r="Q49" s="226"/>
    </row>
    <row r="50" spans="1:17" s="121" customFormat="1" ht="75" x14ac:dyDescent="0.25">
      <c r="A50" s="234">
        <v>47</v>
      </c>
      <c r="B50" s="229" t="s">
        <v>89</v>
      </c>
      <c r="C50" s="229" t="s">
        <v>424</v>
      </c>
      <c r="D50" s="229" t="s">
        <v>4033</v>
      </c>
      <c r="E50" s="229" t="s">
        <v>425</v>
      </c>
      <c r="F50" s="229" t="s">
        <v>426</v>
      </c>
      <c r="G50" s="229"/>
      <c r="H50" s="229"/>
      <c r="I50" s="235"/>
      <c r="J50" s="229" t="s">
        <v>427</v>
      </c>
      <c r="K50" s="229" t="s">
        <v>43</v>
      </c>
      <c r="L50" s="229" t="s">
        <v>428</v>
      </c>
      <c r="M50" s="230">
        <v>72000000</v>
      </c>
      <c r="N50" s="230">
        <v>24000000</v>
      </c>
      <c r="O50" s="232">
        <v>48000000</v>
      </c>
      <c r="P50" s="229" t="s">
        <v>2674</v>
      </c>
      <c r="Q50" s="226"/>
    </row>
    <row r="51" spans="1:17" s="121" customFormat="1" ht="75" x14ac:dyDescent="0.25">
      <c r="A51" s="234">
        <v>48</v>
      </c>
      <c r="B51" s="229" t="s">
        <v>89</v>
      </c>
      <c r="C51" s="229" t="s">
        <v>918</v>
      </c>
      <c r="D51" s="229" t="s">
        <v>4034</v>
      </c>
      <c r="E51" s="229" t="s">
        <v>919</v>
      </c>
      <c r="F51" s="229"/>
      <c r="G51" s="229"/>
      <c r="H51" s="229"/>
      <c r="I51" s="235"/>
      <c r="J51" s="229" t="s">
        <v>921</v>
      </c>
      <c r="K51" s="229" t="s">
        <v>43</v>
      </c>
      <c r="L51" s="229" t="s">
        <v>922</v>
      </c>
      <c r="M51" s="230">
        <v>48000000</v>
      </c>
      <c r="N51" s="232"/>
      <c r="O51" s="232">
        <v>48000000</v>
      </c>
      <c r="P51" s="229" t="s">
        <v>2745</v>
      </c>
      <c r="Q51" s="226"/>
    </row>
    <row r="52" spans="1:17" s="121" customFormat="1" ht="75" x14ac:dyDescent="0.25">
      <c r="A52" s="234">
        <v>49</v>
      </c>
      <c r="B52" s="229" t="s">
        <v>89</v>
      </c>
      <c r="C52" s="229" t="s">
        <v>278</v>
      </c>
      <c r="D52" s="229" t="s">
        <v>279</v>
      </c>
      <c r="E52" s="229" t="s">
        <v>280</v>
      </c>
      <c r="F52" s="229" t="s">
        <v>282</v>
      </c>
      <c r="G52" s="229"/>
      <c r="H52" s="229"/>
      <c r="I52" s="235"/>
      <c r="J52" s="229" t="s">
        <v>284</v>
      </c>
      <c r="K52" s="229" t="s">
        <v>43</v>
      </c>
      <c r="L52" s="229" t="s">
        <v>285</v>
      </c>
      <c r="M52" s="230">
        <v>24000000</v>
      </c>
      <c r="N52" s="232"/>
      <c r="O52" s="232">
        <v>24000000</v>
      </c>
      <c r="P52" s="229" t="s">
        <v>4037</v>
      </c>
      <c r="Q52" s="226"/>
    </row>
    <row r="53" spans="1:17" s="121" customFormat="1" ht="90" x14ac:dyDescent="0.25">
      <c r="A53" s="234">
        <v>50</v>
      </c>
      <c r="B53" s="229" t="s">
        <v>89</v>
      </c>
      <c r="C53" s="229" t="s">
        <v>883</v>
      </c>
      <c r="D53" s="229" t="s">
        <v>1736</v>
      </c>
      <c r="E53" s="229" t="s">
        <v>1754</v>
      </c>
      <c r="F53" s="229" t="s">
        <v>1755</v>
      </c>
      <c r="G53" s="229"/>
      <c r="H53" s="229"/>
      <c r="I53" s="235"/>
      <c r="J53" s="229" t="s">
        <v>1756</v>
      </c>
      <c r="K53" s="229" t="s">
        <v>43</v>
      </c>
      <c r="L53" s="229" t="s">
        <v>1757</v>
      </c>
      <c r="M53" s="230">
        <v>10000000</v>
      </c>
      <c r="N53" s="232"/>
      <c r="O53" s="232">
        <v>10000000</v>
      </c>
      <c r="P53" s="229" t="s">
        <v>4039</v>
      </c>
      <c r="Q53" s="226"/>
    </row>
    <row r="54" spans="1:17" s="121" customFormat="1" ht="75" x14ac:dyDescent="0.25">
      <c r="A54" s="234">
        <v>51</v>
      </c>
      <c r="B54" s="229" t="s">
        <v>89</v>
      </c>
      <c r="C54" s="229" t="s">
        <v>784</v>
      </c>
      <c r="D54" s="229" t="s">
        <v>2865</v>
      </c>
      <c r="E54" s="229" t="s">
        <v>1873</v>
      </c>
      <c r="F54" s="229"/>
      <c r="G54" s="229"/>
      <c r="H54" s="229"/>
      <c r="I54" s="235"/>
      <c r="J54" s="229" t="s">
        <v>1874</v>
      </c>
      <c r="K54" s="229" t="s">
        <v>43</v>
      </c>
      <c r="L54" s="229" t="s">
        <v>1875</v>
      </c>
      <c r="M54" s="230">
        <v>126000000</v>
      </c>
      <c r="N54" s="230">
        <v>42000000</v>
      </c>
      <c r="O54" s="232">
        <v>84000000</v>
      </c>
      <c r="P54" s="229" t="s">
        <v>2808</v>
      </c>
      <c r="Q54" s="226"/>
    </row>
    <row r="55" spans="1:17" s="121" customFormat="1" ht="105" x14ac:dyDescent="0.25">
      <c r="A55" s="234">
        <v>52</v>
      </c>
      <c r="B55" s="229" t="s">
        <v>89</v>
      </c>
      <c r="C55" s="229"/>
      <c r="D55" s="229" t="s">
        <v>4040</v>
      </c>
      <c r="E55" s="229" t="s">
        <v>1160</v>
      </c>
      <c r="F55" s="229"/>
      <c r="G55" s="229"/>
      <c r="H55" s="229"/>
      <c r="I55" s="235"/>
      <c r="J55" s="229" t="s">
        <v>1161</v>
      </c>
      <c r="K55" s="229" t="s">
        <v>43</v>
      </c>
      <c r="L55" s="229" t="s">
        <v>1162</v>
      </c>
      <c r="M55" s="230">
        <v>96000000</v>
      </c>
      <c r="N55" s="230">
        <v>48000000</v>
      </c>
      <c r="O55" s="232">
        <v>48000000</v>
      </c>
      <c r="P55" s="229" t="s">
        <v>2808</v>
      </c>
      <c r="Q55" s="226"/>
    </row>
    <row r="56" spans="1:17" s="121" customFormat="1" ht="75" x14ac:dyDescent="0.25">
      <c r="A56" s="234">
        <v>53</v>
      </c>
      <c r="B56" s="229" t="s">
        <v>297</v>
      </c>
      <c r="C56" s="229" t="s">
        <v>1116</v>
      </c>
      <c r="D56" s="229" t="s">
        <v>1012</v>
      </c>
      <c r="E56" s="229" t="s">
        <v>1117</v>
      </c>
      <c r="F56" s="229" t="s">
        <v>1118</v>
      </c>
      <c r="G56" s="229"/>
      <c r="H56" s="229"/>
      <c r="I56" s="235"/>
      <c r="J56" s="229" t="s">
        <v>1119</v>
      </c>
      <c r="K56" s="229" t="s">
        <v>43</v>
      </c>
      <c r="L56" s="229" t="s">
        <v>1111</v>
      </c>
      <c r="M56" s="230">
        <v>24000000</v>
      </c>
      <c r="N56" s="232"/>
      <c r="O56" s="232">
        <v>24000000</v>
      </c>
      <c r="P56" s="229" t="s">
        <v>4043</v>
      </c>
      <c r="Q56" s="226"/>
    </row>
    <row r="57" spans="1:17" s="121" customFormat="1" ht="75" x14ac:dyDescent="0.25">
      <c r="A57" s="234">
        <v>54</v>
      </c>
      <c r="B57" s="229" t="s">
        <v>297</v>
      </c>
      <c r="C57" s="229" t="s">
        <v>1880</v>
      </c>
      <c r="D57" s="229" t="s">
        <v>2865</v>
      </c>
      <c r="E57" s="229" t="s">
        <v>1881</v>
      </c>
      <c r="F57" s="229" t="s">
        <v>1882</v>
      </c>
      <c r="G57" s="229"/>
      <c r="H57" s="229"/>
      <c r="I57" s="235"/>
      <c r="J57" s="229" t="s">
        <v>1883</v>
      </c>
      <c r="K57" s="229" t="s">
        <v>43</v>
      </c>
      <c r="L57" s="229" t="s">
        <v>1884</v>
      </c>
      <c r="M57" s="230">
        <v>72000000</v>
      </c>
      <c r="N57" s="230">
        <v>24000000</v>
      </c>
      <c r="O57" s="232">
        <v>48000000</v>
      </c>
      <c r="P57" s="229" t="s">
        <v>2808</v>
      </c>
      <c r="Q57" s="226"/>
    </row>
    <row r="58" spans="1:17" s="121" customFormat="1" ht="90" x14ac:dyDescent="0.25">
      <c r="A58" s="234">
        <v>55</v>
      </c>
      <c r="B58" s="229" t="s">
        <v>480</v>
      </c>
      <c r="C58" s="229" t="s">
        <v>481</v>
      </c>
      <c r="D58" s="229" t="s">
        <v>4045</v>
      </c>
      <c r="E58" s="229" t="s">
        <v>483</v>
      </c>
      <c r="F58" s="229"/>
      <c r="G58" s="229" t="s">
        <v>113</v>
      </c>
      <c r="H58" s="229"/>
      <c r="I58" s="235"/>
      <c r="J58" s="229" t="s">
        <v>484</v>
      </c>
      <c r="K58" s="229" t="s">
        <v>43</v>
      </c>
      <c r="L58" s="229" t="s">
        <v>485</v>
      </c>
      <c r="M58" s="230">
        <v>72000000</v>
      </c>
      <c r="N58" s="230">
        <v>24000000</v>
      </c>
      <c r="O58" s="232">
        <v>48000000</v>
      </c>
      <c r="P58" s="229" t="s">
        <v>2808</v>
      </c>
      <c r="Q58" s="226"/>
    </row>
    <row r="59" spans="1:17" s="121" customFormat="1" ht="75" x14ac:dyDescent="0.25">
      <c r="A59" s="234">
        <v>56</v>
      </c>
      <c r="B59" s="229" t="s">
        <v>480</v>
      </c>
      <c r="C59" s="229" t="s">
        <v>481</v>
      </c>
      <c r="D59" s="229" t="s">
        <v>4046</v>
      </c>
      <c r="E59" s="229" t="s">
        <v>269</v>
      </c>
      <c r="F59" s="229"/>
      <c r="G59" s="229" t="s">
        <v>113</v>
      </c>
      <c r="H59" s="229"/>
      <c r="I59" s="235"/>
      <c r="J59" s="229" t="s">
        <v>494</v>
      </c>
      <c r="K59" s="229" t="s">
        <v>43</v>
      </c>
      <c r="L59" s="229" t="s">
        <v>485</v>
      </c>
      <c r="M59" s="230">
        <v>72000000</v>
      </c>
      <c r="N59" s="230">
        <v>24000000</v>
      </c>
      <c r="O59" s="232">
        <v>48000000</v>
      </c>
      <c r="P59" s="229" t="s">
        <v>2808</v>
      </c>
      <c r="Q59" s="22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AS888"/>
  <sheetViews>
    <sheetView topLeftCell="B1" workbookViewId="0"/>
  </sheetViews>
  <sheetFormatPr defaultColWidth="14.42578125" defaultRowHeight="15" customHeight="1" x14ac:dyDescent="0.25"/>
  <cols>
    <col min="1" max="1" width="8.85546875" hidden="1" customWidth="1"/>
    <col min="2" max="2" width="6.28515625" customWidth="1"/>
    <col min="3" max="3" width="18.28515625" customWidth="1"/>
    <col min="4" max="4" width="18.28515625" hidden="1" customWidth="1"/>
    <col min="5" max="5" width="17.5703125" hidden="1" customWidth="1"/>
    <col min="6" max="6" width="18.5703125" customWidth="1"/>
    <col min="7" max="7" width="14.85546875" customWidth="1"/>
    <col min="8" max="8" width="13.7109375" customWidth="1"/>
    <col min="9" max="9" width="19.7109375" customWidth="1"/>
    <col min="10" max="10" width="40.42578125" customWidth="1"/>
    <col min="11" max="11" width="7.140625" customWidth="1"/>
    <col min="12" max="12" width="38.28515625" customWidth="1"/>
    <col min="13" max="13" width="21.42578125" hidden="1" customWidth="1"/>
    <col min="14" max="14" width="20.7109375" hidden="1" customWidth="1"/>
    <col min="15" max="15" width="23.42578125" hidden="1" customWidth="1"/>
    <col min="16" max="16" width="23.42578125" customWidth="1"/>
    <col min="17" max="18" width="23.42578125" hidden="1" customWidth="1"/>
    <col min="19" max="19" width="19.42578125" hidden="1" customWidth="1"/>
    <col min="20" max="20" width="23.42578125" hidden="1" customWidth="1"/>
    <col min="21" max="21" width="23.42578125" customWidth="1"/>
    <col min="22" max="22" width="19.28515625" hidden="1" customWidth="1"/>
    <col min="23" max="23" width="23.42578125" hidden="1" customWidth="1"/>
    <col min="24" max="24" width="21.85546875" hidden="1" customWidth="1"/>
    <col min="25" max="25" width="23.42578125" hidden="1" customWidth="1"/>
    <col min="26" max="26" width="23.42578125" customWidth="1"/>
    <col min="27" max="27" width="17.7109375" hidden="1" customWidth="1"/>
    <col min="28" max="28" width="12.140625" customWidth="1"/>
    <col min="29" max="45" width="8.85546875" customWidth="1"/>
  </cols>
  <sheetData>
    <row r="1" spans="1:45" ht="18.75" customHeight="1" x14ac:dyDescent="0.25">
      <c r="A1" s="289" t="s">
        <v>1</v>
      </c>
      <c r="B1" s="268" t="s">
        <v>3</v>
      </c>
      <c r="C1" s="270" t="s">
        <v>5</v>
      </c>
      <c r="D1" s="5"/>
      <c r="E1" s="270" t="s">
        <v>6</v>
      </c>
      <c r="F1" s="270" t="s">
        <v>7</v>
      </c>
      <c r="G1" s="270" t="s">
        <v>8</v>
      </c>
      <c r="H1" s="270" t="s">
        <v>9</v>
      </c>
      <c r="I1" s="270" t="s">
        <v>10</v>
      </c>
      <c r="J1" s="270" t="s">
        <v>11</v>
      </c>
      <c r="K1" s="273" t="s">
        <v>12</v>
      </c>
      <c r="L1" s="268" t="s">
        <v>14</v>
      </c>
      <c r="M1" s="292" t="s">
        <v>15</v>
      </c>
      <c r="N1" s="293"/>
      <c r="O1" s="293"/>
      <c r="P1" s="293"/>
      <c r="Q1" s="294"/>
      <c r="R1" s="295" t="s">
        <v>17</v>
      </c>
      <c r="S1" s="293"/>
      <c r="T1" s="293"/>
      <c r="U1" s="293"/>
      <c r="V1" s="294"/>
      <c r="W1" s="296" t="s">
        <v>18</v>
      </c>
      <c r="X1" s="297"/>
      <c r="Y1" s="297"/>
      <c r="Z1" s="298"/>
      <c r="AA1" s="291" t="s">
        <v>21</v>
      </c>
      <c r="AB1" s="291" t="s">
        <v>19</v>
      </c>
      <c r="AC1" s="15"/>
      <c r="AD1" s="15"/>
      <c r="AE1" s="6"/>
      <c r="AF1" s="6"/>
      <c r="AG1" s="6"/>
      <c r="AH1" s="6"/>
      <c r="AI1" s="6"/>
      <c r="AJ1" s="6"/>
      <c r="AK1" s="6"/>
      <c r="AL1" s="6"/>
      <c r="AM1" s="6"/>
      <c r="AN1" s="6"/>
      <c r="AO1" s="6"/>
      <c r="AP1" s="6"/>
      <c r="AQ1" s="6"/>
      <c r="AR1" s="6"/>
      <c r="AS1" s="6"/>
    </row>
    <row r="2" spans="1:45" ht="23.25" customHeight="1" x14ac:dyDescent="0.25">
      <c r="A2" s="290"/>
      <c r="B2" s="290"/>
      <c r="C2" s="290"/>
      <c r="D2" s="17" t="s">
        <v>24</v>
      </c>
      <c r="E2" s="290"/>
      <c r="F2" s="290"/>
      <c r="G2" s="290"/>
      <c r="H2" s="290"/>
      <c r="I2" s="290"/>
      <c r="J2" s="290"/>
      <c r="K2" s="290"/>
      <c r="L2" s="290"/>
      <c r="M2" s="19" t="s">
        <v>27</v>
      </c>
      <c r="N2" s="19" t="s">
        <v>28</v>
      </c>
      <c r="O2" s="19" t="s">
        <v>25</v>
      </c>
      <c r="P2" s="20" t="s">
        <v>26</v>
      </c>
      <c r="Q2" s="21" t="s">
        <v>29</v>
      </c>
      <c r="R2" s="22" t="s">
        <v>27</v>
      </c>
      <c r="S2" s="22" t="s">
        <v>28</v>
      </c>
      <c r="T2" s="23" t="s">
        <v>25</v>
      </c>
      <c r="U2" s="22" t="s">
        <v>26</v>
      </c>
      <c r="V2" s="24" t="s">
        <v>30</v>
      </c>
      <c r="W2" s="26" t="s">
        <v>27</v>
      </c>
      <c r="X2" s="28" t="s">
        <v>28</v>
      </c>
      <c r="Y2" s="28" t="s">
        <v>25</v>
      </c>
      <c r="Z2" s="28" t="s">
        <v>26</v>
      </c>
      <c r="AA2" s="290"/>
      <c r="AB2" s="290"/>
      <c r="AC2" s="30"/>
      <c r="AD2" s="30"/>
      <c r="AE2" s="31"/>
      <c r="AF2" s="31"/>
      <c r="AG2" s="31"/>
      <c r="AH2" s="31"/>
      <c r="AI2" s="31"/>
      <c r="AJ2" s="31"/>
      <c r="AK2" s="31"/>
      <c r="AL2" s="31"/>
      <c r="AM2" s="31"/>
      <c r="AN2" s="31"/>
      <c r="AO2" s="31"/>
      <c r="AP2" s="31"/>
      <c r="AQ2" s="31"/>
      <c r="AR2" s="31"/>
      <c r="AS2" s="31"/>
    </row>
    <row r="3" spans="1:45" ht="16.5" x14ac:dyDescent="0.25">
      <c r="A3" s="32"/>
      <c r="B3" s="33"/>
      <c r="C3" s="33"/>
      <c r="D3" s="32"/>
      <c r="E3" s="33"/>
      <c r="F3" s="33"/>
      <c r="G3" s="33"/>
      <c r="H3" s="33"/>
      <c r="I3" s="33"/>
      <c r="J3" s="34" t="s">
        <v>31</v>
      </c>
      <c r="K3" s="34" t="s">
        <v>31</v>
      </c>
      <c r="L3" s="34" t="s">
        <v>31</v>
      </c>
      <c r="M3" s="35">
        <f t="shared" ref="M3:AA3" si="0">SUM(M5:M888)</f>
        <v>3763236605910</v>
      </c>
      <c r="N3" s="35">
        <f t="shared" si="0"/>
        <v>201799087016</v>
      </c>
      <c r="O3" s="35">
        <f t="shared" si="0"/>
        <v>10305000664</v>
      </c>
      <c r="P3" s="35">
        <f t="shared" si="0"/>
        <v>13477266691</v>
      </c>
      <c r="Q3" s="36">
        <f t="shared" si="0"/>
        <v>3988817959493</v>
      </c>
      <c r="R3" s="36">
        <f t="shared" si="0"/>
        <v>3658167941939</v>
      </c>
      <c r="S3" s="35">
        <f t="shared" si="0"/>
        <v>186498030964</v>
      </c>
      <c r="T3" s="38">
        <f t="shared" si="0"/>
        <v>8981250565</v>
      </c>
      <c r="U3" s="35">
        <f t="shared" si="0"/>
        <v>11459266691</v>
      </c>
      <c r="V3" s="40">
        <f t="shared" si="0"/>
        <v>-8686446991</v>
      </c>
      <c r="W3" s="36">
        <f t="shared" si="0"/>
        <v>105068663971</v>
      </c>
      <c r="X3" s="35">
        <f t="shared" si="0"/>
        <v>15301056053</v>
      </c>
      <c r="Y3" s="35">
        <f t="shared" si="0"/>
        <v>1323750100</v>
      </c>
      <c r="Z3" s="35">
        <f t="shared" si="0"/>
        <v>2018000000</v>
      </c>
      <c r="AA3" s="35">
        <f t="shared" si="0"/>
        <v>105376718353</v>
      </c>
      <c r="AB3" s="35"/>
      <c r="AC3" s="15"/>
      <c r="AD3" s="15"/>
      <c r="AE3" s="6"/>
      <c r="AF3" s="6"/>
      <c r="AG3" s="6"/>
      <c r="AH3" s="6"/>
      <c r="AI3" s="6"/>
      <c r="AJ3" s="6"/>
      <c r="AK3" s="6"/>
      <c r="AL3" s="6"/>
      <c r="AM3" s="6"/>
      <c r="AN3" s="6"/>
      <c r="AO3" s="6"/>
      <c r="AP3" s="6"/>
      <c r="AQ3" s="6"/>
      <c r="AR3" s="6"/>
      <c r="AS3" s="6"/>
    </row>
    <row r="4" spans="1:45" ht="37.5" customHeight="1" x14ac:dyDescent="0.25">
      <c r="A4" s="33" t="s">
        <v>35</v>
      </c>
      <c r="B4" s="42">
        <v>376</v>
      </c>
      <c r="C4" s="33" t="s">
        <v>37</v>
      </c>
      <c r="D4" s="33" t="s">
        <v>38</v>
      </c>
      <c r="E4" s="33"/>
      <c r="F4" s="43" t="s">
        <v>39</v>
      </c>
      <c r="G4" s="33" t="s">
        <v>40</v>
      </c>
      <c r="H4" s="33"/>
      <c r="I4" s="33"/>
      <c r="J4" s="33" t="s">
        <v>41</v>
      </c>
      <c r="K4" s="33" t="s">
        <v>43</v>
      </c>
      <c r="L4" s="33" t="s">
        <v>44</v>
      </c>
      <c r="M4" s="44">
        <v>544448656</v>
      </c>
      <c r="N4" s="45"/>
      <c r="O4" s="44">
        <v>15000000</v>
      </c>
      <c r="P4" s="46">
        <v>72000000</v>
      </c>
      <c r="Q4" s="44">
        <f t="shared" ref="Q4:Q204" si="1">M4+N4+O4+P4</f>
        <v>631448656</v>
      </c>
      <c r="R4" s="48">
        <v>544448656</v>
      </c>
      <c r="S4" s="32"/>
      <c r="T4" s="44">
        <v>15000000</v>
      </c>
      <c r="U4" s="33"/>
      <c r="V4" s="32"/>
      <c r="W4" s="49"/>
      <c r="X4" s="49">
        <f t="shared" ref="X4:Z4" si="2">N4-S4</f>
        <v>0</v>
      </c>
      <c r="Y4" s="49">
        <f t="shared" si="2"/>
        <v>0</v>
      </c>
      <c r="Z4" s="52">
        <f t="shared" si="2"/>
        <v>72000000</v>
      </c>
      <c r="AA4" s="54"/>
      <c r="AB4" s="43"/>
      <c r="AC4" s="6">
        <f t="shared" ref="AC4:AC204" si="3">IF(AB4=G4,1,2)</f>
        <v>2</v>
      </c>
      <c r="AD4" s="6"/>
      <c r="AE4" s="56"/>
      <c r="AF4" s="56"/>
      <c r="AG4" s="56"/>
      <c r="AH4" s="56"/>
      <c r="AI4" s="56"/>
      <c r="AJ4" s="56"/>
      <c r="AK4" s="56"/>
      <c r="AL4" s="56"/>
      <c r="AM4" s="56"/>
      <c r="AN4" s="56"/>
      <c r="AO4" s="56"/>
      <c r="AP4" s="56"/>
      <c r="AQ4" s="56"/>
      <c r="AR4" s="56"/>
      <c r="AS4" s="56"/>
    </row>
    <row r="5" spans="1:45" ht="31.5" hidden="1" x14ac:dyDescent="0.25">
      <c r="A5" s="33" t="s">
        <v>46</v>
      </c>
      <c r="B5" s="42">
        <v>440</v>
      </c>
      <c r="C5" s="33" t="s">
        <v>47</v>
      </c>
      <c r="D5" s="33" t="s">
        <v>48</v>
      </c>
      <c r="E5" s="32"/>
      <c r="F5" s="43" t="s">
        <v>39</v>
      </c>
      <c r="G5" s="33" t="s">
        <v>49</v>
      </c>
      <c r="H5" s="32"/>
      <c r="I5" s="32"/>
      <c r="J5" s="33" t="s">
        <v>50</v>
      </c>
      <c r="K5" s="33" t="s">
        <v>43</v>
      </c>
      <c r="L5" s="33" t="s">
        <v>51</v>
      </c>
      <c r="M5" s="44">
        <v>1804834020</v>
      </c>
      <c r="N5" s="45"/>
      <c r="O5" s="44">
        <v>15000000</v>
      </c>
      <c r="P5" s="59">
        <v>72000000</v>
      </c>
      <c r="Q5" s="44">
        <f t="shared" si="1"/>
        <v>1891834020</v>
      </c>
      <c r="R5" s="48">
        <v>1804834020</v>
      </c>
      <c r="S5" s="32"/>
      <c r="T5" s="44">
        <v>15000000</v>
      </c>
      <c r="U5" s="48">
        <v>72000000</v>
      </c>
      <c r="V5" s="32"/>
      <c r="W5" s="49"/>
      <c r="X5" s="49">
        <f t="shared" ref="X5:Z5" si="4">N5-S5</f>
        <v>0</v>
      </c>
      <c r="Y5" s="49">
        <f t="shared" si="4"/>
        <v>0</v>
      </c>
      <c r="Z5" s="49">
        <f t="shared" si="4"/>
        <v>0</v>
      </c>
      <c r="AA5" s="54"/>
      <c r="AB5" s="54"/>
      <c r="AC5" s="2">
        <f t="shared" si="3"/>
        <v>2</v>
      </c>
      <c r="AD5" s="6"/>
      <c r="AE5" s="6"/>
      <c r="AF5" s="6"/>
      <c r="AG5" s="6"/>
      <c r="AH5" s="6"/>
      <c r="AI5" s="6"/>
      <c r="AJ5" s="6"/>
      <c r="AK5" s="6"/>
      <c r="AL5" s="6"/>
      <c r="AM5" s="6"/>
      <c r="AN5" s="6"/>
      <c r="AO5" s="6"/>
      <c r="AP5" s="6"/>
      <c r="AQ5" s="6"/>
      <c r="AR5" s="6"/>
      <c r="AS5" s="6"/>
    </row>
    <row r="6" spans="1:45" ht="31.5" hidden="1" x14ac:dyDescent="0.25">
      <c r="A6" s="33" t="s">
        <v>52</v>
      </c>
      <c r="B6" s="42">
        <v>606</v>
      </c>
      <c r="C6" s="33" t="s">
        <v>53</v>
      </c>
      <c r="D6" s="33" t="s">
        <v>54</v>
      </c>
      <c r="E6" s="33" t="s">
        <v>55</v>
      </c>
      <c r="F6" s="43" t="s">
        <v>39</v>
      </c>
      <c r="G6" s="33" t="s">
        <v>56</v>
      </c>
      <c r="H6" s="33" t="s">
        <v>57</v>
      </c>
      <c r="I6" s="32"/>
      <c r="J6" s="62" t="s">
        <v>58</v>
      </c>
      <c r="K6" s="33" t="s">
        <v>43</v>
      </c>
      <c r="L6" s="33" t="s">
        <v>59</v>
      </c>
      <c r="M6" s="63">
        <v>1335262372</v>
      </c>
      <c r="N6" s="63">
        <v>1131203544</v>
      </c>
      <c r="O6" s="63">
        <v>15000000</v>
      </c>
      <c r="P6" s="59">
        <v>24000000</v>
      </c>
      <c r="Q6" s="44">
        <f t="shared" si="1"/>
        <v>2505465916</v>
      </c>
      <c r="R6" s="65">
        <v>1335262372</v>
      </c>
      <c r="S6" s="65">
        <v>1131203544</v>
      </c>
      <c r="T6" s="44">
        <v>15000000</v>
      </c>
      <c r="U6" s="65">
        <v>24000000</v>
      </c>
      <c r="V6" s="32"/>
      <c r="W6" s="49"/>
      <c r="X6" s="49">
        <f t="shared" ref="X6:Z6" si="5">N6-S6</f>
        <v>0</v>
      </c>
      <c r="Y6" s="49">
        <f t="shared" si="5"/>
        <v>0</v>
      </c>
      <c r="Z6" s="49">
        <f t="shared" si="5"/>
        <v>0</v>
      </c>
      <c r="AA6" s="54"/>
      <c r="AB6" s="54"/>
      <c r="AC6" s="2">
        <f t="shared" si="3"/>
        <v>2</v>
      </c>
      <c r="AD6" s="6"/>
      <c r="AE6" s="6"/>
      <c r="AF6" s="6"/>
      <c r="AG6" s="6"/>
      <c r="AH6" s="6"/>
      <c r="AI6" s="6"/>
      <c r="AJ6" s="6"/>
      <c r="AK6" s="6"/>
      <c r="AL6" s="6"/>
      <c r="AM6" s="6"/>
      <c r="AN6" s="6"/>
      <c r="AO6" s="6"/>
      <c r="AP6" s="6"/>
      <c r="AQ6" s="6"/>
      <c r="AR6" s="6"/>
      <c r="AS6" s="6"/>
    </row>
    <row r="7" spans="1:45" ht="31.5" hidden="1" x14ac:dyDescent="0.25">
      <c r="A7" s="33" t="s">
        <v>35</v>
      </c>
      <c r="B7" s="42">
        <v>689</v>
      </c>
      <c r="C7" s="33" t="s">
        <v>67</v>
      </c>
      <c r="D7" s="33" t="s">
        <v>68</v>
      </c>
      <c r="E7" s="33" t="s">
        <v>69</v>
      </c>
      <c r="F7" s="43" t="s">
        <v>39</v>
      </c>
      <c r="G7" s="33" t="s">
        <v>70</v>
      </c>
      <c r="H7" s="33" t="s">
        <v>71</v>
      </c>
      <c r="I7" s="32"/>
      <c r="J7" s="33" t="s">
        <v>72</v>
      </c>
      <c r="K7" s="33" t="s">
        <v>43</v>
      </c>
      <c r="L7" s="33" t="s">
        <v>73</v>
      </c>
      <c r="M7" s="44">
        <v>309253343</v>
      </c>
      <c r="N7" s="66">
        <v>1023702675</v>
      </c>
      <c r="O7" s="63">
        <v>15000000</v>
      </c>
      <c r="P7" s="59">
        <v>30000000</v>
      </c>
      <c r="Q7" s="44">
        <f t="shared" si="1"/>
        <v>1377956018</v>
      </c>
      <c r="R7" s="65">
        <v>309253343</v>
      </c>
      <c r="S7" s="52">
        <v>1023702675</v>
      </c>
      <c r="T7" s="45">
        <v>15000000</v>
      </c>
      <c r="U7" s="65">
        <v>30000000</v>
      </c>
      <c r="V7" s="32"/>
      <c r="W7" s="49"/>
      <c r="X7" s="52">
        <f t="shared" ref="X7:Z7" si="6">N7-S7</f>
        <v>0</v>
      </c>
      <c r="Y7" s="49">
        <f t="shared" si="6"/>
        <v>0</v>
      </c>
      <c r="Z7" s="49">
        <f t="shared" si="6"/>
        <v>0</v>
      </c>
      <c r="AA7" s="43"/>
      <c r="AB7" s="43"/>
      <c r="AC7" s="6">
        <f t="shared" si="3"/>
        <v>2</v>
      </c>
      <c r="AD7" s="6"/>
      <c r="AE7" s="6"/>
      <c r="AF7" s="6"/>
      <c r="AG7" s="6"/>
      <c r="AH7" s="6"/>
      <c r="AI7" s="6"/>
      <c r="AJ7" s="6"/>
      <c r="AK7" s="6"/>
      <c r="AL7" s="6"/>
      <c r="AM7" s="6"/>
      <c r="AN7" s="6"/>
      <c r="AO7" s="6"/>
      <c r="AP7" s="6"/>
      <c r="AQ7" s="6"/>
      <c r="AR7" s="6"/>
      <c r="AS7" s="6"/>
    </row>
    <row r="8" spans="1:45" ht="63" hidden="1" x14ac:dyDescent="0.25">
      <c r="A8" s="33" t="s">
        <v>52</v>
      </c>
      <c r="B8" s="42">
        <v>775</v>
      </c>
      <c r="C8" s="33" t="s">
        <v>74</v>
      </c>
      <c r="D8" s="33" t="s">
        <v>75</v>
      </c>
      <c r="E8" s="33" t="s">
        <v>76</v>
      </c>
      <c r="F8" s="43" t="s">
        <v>77</v>
      </c>
      <c r="G8" s="33" t="s">
        <v>78</v>
      </c>
      <c r="H8" s="33" t="s">
        <v>79</v>
      </c>
      <c r="I8" s="33" t="s">
        <v>80</v>
      </c>
      <c r="J8" s="62" t="s">
        <v>81</v>
      </c>
      <c r="K8" s="33" t="s">
        <v>43</v>
      </c>
      <c r="L8" s="33" t="s">
        <v>82</v>
      </c>
      <c r="M8" s="63">
        <v>563400736</v>
      </c>
      <c r="N8" s="63">
        <v>138350184</v>
      </c>
      <c r="O8" s="63">
        <v>15000000</v>
      </c>
      <c r="P8" s="59">
        <v>72000000</v>
      </c>
      <c r="Q8" s="44">
        <f t="shared" si="1"/>
        <v>788750920</v>
      </c>
      <c r="R8" s="65">
        <v>563400736</v>
      </c>
      <c r="S8" s="65">
        <v>138350184</v>
      </c>
      <c r="T8" s="44">
        <v>15000000</v>
      </c>
      <c r="U8" s="65">
        <v>72000000</v>
      </c>
      <c r="V8" s="32"/>
      <c r="W8" s="49"/>
      <c r="X8" s="49">
        <f t="shared" ref="X8:Z8" si="7">N8-S8</f>
        <v>0</v>
      </c>
      <c r="Y8" s="49">
        <f t="shared" si="7"/>
        <v>0</v>
      </c>
      <c r="Z8" s="49">
        <f t="shared" si="7"/>
        <v>0</v>
      </c>
      <c r="AA8" s="54"/>
      <c r="AB8" s="54"/>
      <c r="AC8" s="2">
        <f t="shared" si="3"/>
        <v>2</v>
      </c>
      <c r="AD8" s="6"/>
      <c r="AE8" s="6"/>
      <c r="AF8" s="6"/>
      <c r="AG8" s="6"/>
      <c r="AH8" s="6"/>
      <c r="AI8" s="6"/>
      <c r="AJ8" s="6"/>
      <c r="AK8" s="6"/>
      <c r="AL8" s="6"/>
      <c r="AM8" s="6"/>
      <c r="AN8" s="6"/>
      <c r="AO8" s="6"/>
      <c r="AP8" s="6"/>
      <c r="AQ8" s="6"/>
      <c r="AR8" s="6"/>
      <c r="AS8" s="6"/>
    </row>
    <row r="9" spans="1:45" ht="31.5" x14ac:dyDescent="0.25">
      <c r="A9" s="33" t="s">
        <v>88</v>
      </c>
      <c r="B9" s="42">
        <v>812</v>
      </c>
      <c r="C9" s="33" t="s">
        <v>89</v>
      </c>
      <c r="D9" s="33" t="s">
        <v>90</v>
      </c>
      <c r="E9" s="33" t="s">
        <v>91</v>
      </c>
      <c r="F9" s="43" t="s">
        <v>92</v>
      </c>
      <c r="G9" s="33" t="s">
        <v>93</v>
      </c>
      <c r="H9" s="33" t="s">
        <v>94</v>
      </c>
      <c r="I9" s="33"/>
      <c r="J9" s="33" t="s">
        <v>95</v>
      </c>
      <c r="K9" s="33" t="s">
        <v>43</v>
      </c>
      <c r="L9" s="33" t="s">
        <v>96</v>
      </c>
      <c r="M9" s="44">
        <v>2652068258</v>
      </c>
      <c r="N9" s="44">
        <v>680801625</v>
      </c>
      <c r="O9" s="44">
        <v>15000000</v>
      </c>
      <c r="P9" s="46">
        <v>24000000</v>
      </c>
      <c r="Q9" s="44">
        <f t="shared" si="1"/>
        <v>3371869883</v>
      </c>
      <c r="R9" s="32"/>
      <c r="S9" s="33"/>
      <c r="T9" s="66"/>
      <c r="U9" s="33"/>
      <c r="V9" s="32"/>
      <c r="W9" s="49">
        <v>2652068258</v>
      </c>
      <c r="X9" s="52">
        <f t="shared" ref="X9:Z9" si="8">N9-S9</f>
        <v>680801625</v>
      </c>
      <c r="Y9" s="52">
        <f t="shared" si="8"/>
        <v>15000000</v>
      </c>
      <c r="Z9" s="52">
        <f t="shared" si="8"/>
        <v>24000000</v>
      </c>
      <c r="AA9" s="69">
        <v>2652068258</v>
      </c>
      <c r="AB9" s="43"/>
      <c r="AC9" s="15">
        <f t="shared" si="3"/>
        <v>2</v>
      </c>
      <c r="AD9" s="15"/>
      <c r="AE9" s="6"/>
      <c r="AF9" s="6"/>
      <c r="AG9" s="6"/>
      <c r="AH9" s="6"/>
      <c r="AI9" s="6"/>
      <c r="AJ9" s="6"/>
      <c r="AK9" s="6"/>
      <c r="AL9" s="6"/>
      <c r="AM9" s="6"/>
      <c r="AN9" s="6"/>
      <c r="AO9" s="6"/>
      <c r="AP9" s="6"/>
      <c r="AQ9" s="6"/>
      <c r="AR9" s="6"/>
      <c r="AS9" s="6"/>
    </row>
    <row r="10" spans="1:45" ht="31.5" hidden="1" x14ac:dyDescent="0.25">
      <c r="A10" s="33" t="s">
        <v>52</v>
      </c>
      <c r="B10" s="42">
        <v>442</v>
      </c>
      <c r="C10" s="33" t="s">
        <v>47</v>
      </c>
      <c r="D10" s="33" t="s">
        <v>105</v>
      </c>
      <c r="E10" s="33" t="s">
        <v>106</v>
      </c>
      <c r="F10" s="43" t="s">
        <v>107</v>
      </c>
      <c r="G10" s="33" t="s">
        <v>108</v>
      </c>
      <c r="H10" s="33" t="s">
        <v>109</v>
      </c>
      <c r="I10" s="32"/>
      <c r="J10" s="33" t="s">
        <v>110</v>
      </c>
      <c r="K10" s="33" t="s">
        <v>43</v>
      </c>
      <c r="L10" s="33" t="s">
        <v>111</v>
      </c>
      <c r="M10" s="44">
        <v>1155653236</v>
      </c>
      <c r="N10" s="44">
        <v>1188367986</v>
      </c>
      <c r="O10" s="44">
        <v>15000000</v>
      </c>
      <c r="P10" s="59">
        <v>24000000</v>
      </c>
      <c r="Q10" s="44">
        <f t="shared" si="1"/>
        <v>2383021222</v>
      </c>
      <c r="R10" s="48">
        <v>1155653236</v>
      </c>
      <c r="S10" s="48">
        <v>1188367986</v>
      </c>
      <c r="T10" s="44">
        <v>15000000</v>
      </c>
      <c r="U10" s="48">
        <v>24000000</v>
      </c>
      <c r="V10" s="32"/>
      <c r="W10" s="49"/>
      <c r="X10" s="49">
        <f t="shared" ref="X10:Z10" si="9">N10-S10</f>
        <v>0</v>
      </c>
      <c r="Y10" s="49">
        <f t="shared" si="9"/>
        <v>0</v>
      </c>
      <c r="Z10" s="49">
        <f t="shared" si="9"/>
        <v>0</v>
      </c>
      <c r="AA10" s="54"/>
      <c r="AB10" s="54"/>
      <c r="AC10" s="2">
        <f t="shared" si="3"/>
        <v>2</v>
      </c>
      <c r="AD10" s="6"/>
      <c r="AE10" s="6"/>
      <c r="AF10" s="6"/>
      <c r="AG10" s="6"/>
      <c r="AH10" s="6"/>
      <c r="AI10" s="6"/>
      <c r="AJ10" s="6"/>
      <c r="AK10" s="6"/>
      <c r="AL10" s="6"/>
      <c r="AM10" s="6"/>
      <c r="AN10" s="6"/>
      <c r="AO10" s="6"/>
      <c r="AP10" s="6"/>
      <c r="AQ10" s="6"/>
      <c r="AR10" s="6"/>
      <c r="AS10" s="6"/>
    </row>
    <row r="11" spans="1:45" ht="40.5" hidden="1" x14ac:dyDescent="0.25">
      <c r="A11" s="33" t="s">
        <v>35</v>
      </c>
      <c r="B11" s="42">
        <v>708</v>
      </c>
      <c r="C11" s="33" t="s">
        <v>67</v>
      </c>
      <c r="D11" s="33" t="s">
        <v>116</v>
      </c>
      <c r="E11" s="32"/>
      <c r="F11" s="43" t="s">
        <v>117</v>
      </c>
      <c r="G11" s="33" t="s">
        <v>118</v>
      </c>
      <c r="H11" s="33" t="s">
        <v>84</v>
      </c>
      <c r="I11" s="32"/>
      <c r="J11" s="62" t="s">
        <v>119</v>
      </c>
      <c r="K11" s="33" t="s">
        <v>43</v>
      </c>
      <c r="L11" s="33" t="s">
        <v>120</v>
      </c>
      <c r="M11" s="63">
        <v>2877293872</v>
      </c>
      <c r="N11" s="45"/>
      <c r="O11" s="63">
        <v>15000000</v>
      </c>
      <c r="P11" s="59">
        <v>32000000</v>
      </c>
      <c r="Q11" s="44">
        <f t="shared" si="1"/>
        <v>2924293872</v>
      </c>
      <c r="R11" s="65">
        <v>2877293872</v>
      </c>
      <c r="S11" s="32"/>
      <c r="T11" s="44">
        <v>15000000</v>
      </c>
      <c r="U11" s="65">
        <v>32000000</v>
      </c>
      <c r="V11" s="32"/>
      <c r="W11" s="49"/>
      <c r="X11" s="49">
        <f t="shared" ref="X11:Z11" si="10">N11-S11</f>
        <v>0</v>
      </c>
      <c r="Y11" s="49">
        <f t="shared" si="10"/>
        <v>0</v>
      </c>
      <c r="Z11" s="49">
        <f t="shared" si="10"/>
        <v>0</v>
      </c>
      <c r="AA11" s="54"/>
      <c r="AB11" s="54"/>
      <c r="AC11" s="2">
        <f t="shared" si="3"/>
        <v>2</v>
      </c>
      <c r="AD11" s="6"/>
      <c r="AE11" s="6"/>
      <c r="AF11" s="6"/>
      <c r="AG11" s="6"/>
      <c r="AH11" s="6"/>
      <c r="AI11" s="6"/>
      <c r="AJ11" s="6"/>
      <c r="AK11" s="6"/>
      <c r="AL11" s="6"/>
      <c r="AM11" s="6"/>
      <c r="AN11" s="6"/>
      <c r="AO11" s="6"/>
      <c r="AP11" s="6"/>
      <c r="AQ11" s="6"/>
      <c r="AR11" s="6"/>
      <c r="AS11" s="6"/>
    </row>
    <row r="12" spans="1:45" ht="78.75" hidden="1" x14ac:dyDescent="0.25">
      <c r="A12" s="33" t="s">
        <v>46</v>
      </c>
      <c r="B12" s="42">
        <v>506</v>
      </c>
      <c r="C12" s="33" t="s">
        <v>124</v>
      </c>
      <c r="D12" s="33" t="s">
        <v>125</v>
      </c>
      <c r="E12" s="32"/>
      <c r="F12" s="43" t="s">
        <v>126</v>
      </c>
      <c r="G12" s="33" t="s">
        <v>127</v>
      </c>
      <c r="H12" s="32"/>
      <c r="I12" s="32"/>
      <c r="J12" s="33" t="s">
        <v>128</v>
      </c>
      <c r="K12" s="33" t="s">
        <v>43</v>
      </c>
      <c r="L12" s="33" t="s">
        <v>129</v>
      </c>
      <c r="M12" s="44">
        <v>3890846788</v>
      </c>
      <c r="N12" s="45"/>
      <c r="O12" s="44">
        <v>15000000</v>
      </c>
      <c r="P12" s="59">
        <v>72000000</v>
      </c>
      <c r="Q12" s="44">
        <f t="shared" si="1"/>
        <v>3977846788</v>
      </c>
      <c r="R12" s="48">
        <v>3890846788</v>
      </c>
      <c r="S12" s="32"/>
      <c r="T12" s="44">
        <v>15000000</v>
      </c>
      <c r="U12" s="48">
        <v>72000000</v>
      </c>
      <c r="V12" s="32"/>
      <c r="W12" s="49"/>
      <c r="X12" s="49">
        <f t="shared" ref="X12:Z12" si="11">N12-S12</f>
        <v>0</v>
      </c>
      <c r="Y12" s="49">
        <f t="shared" si="11"/>
        <v>0</v>
      </c>
      <c r="Z12" s="49">
        <f t="shared" si="11"/>
        <v>0</v>
      </c>
      <c r="AA12" s="54"/>
      <c r="AB12" s="54"/>
      <c r="AC12" s="2">
        <f t="shared" si="3"/>
        <v>2</v>
      </c>
      <c r="AD12" s="6"/>
      <c r="AE12" s="6"/>
      <c r="AF12" s="6"/>
      <c r="AG12" s="6"/>
      <c r="AH12" s="6"/>
      <c r="AI12" s="6"/>
      <c r="AJ12" s="6"/>
      <c r="AK12" s="6"/>
      <c r="AL12" s="6"/>
      <c r="AM12" s="6"/>
      <c r="AN12" s="6"/>
      <c r="AO12" s="6"/>
      <c r="AP12" s="6"/>
      <c r="AQ12" s="6"/>
      <c r="AR12" s="6"/>
      <c r="AS12" s="6"/>
    </row>
    <row r="13" spans="1:45" ht="47.25" hidden="1" x14ac:dyDescent="0.25">
      <c r="A13" s="33" t="s">
        <v>60</v>
      </c>
      <c r="B13" s="42">
        <v>358</v>
      </c>
      <c r="C13" s="33" t="s">
        <v>37</v>
      </c>
      <c r="D13" s="33" t="s">
        <v>133</v>
      </c>
      <c r="E13" s="32"/>
      <c r="F13" s="43" t="s">
        <v>134</v>
      </c>
      <c r="G13" s="33" t="s">
        <v>135</v>
      </c>
      <c r="H13" s="32"/>
      <c r="I13" s="32"/>
      <c r="J13" s="33" t="s">
        <v>136</v>
      </c>
      <c r="K13" s="33" t="s">
        <v>43</v>
      </c>
      <c r="L13" s="33" t="s">
        <v>137</v>
      </c>
      <c r="M13" s="44">
        <v>10000000</v>
      </c>
      <c r="N13" s="45"/>
      <c r="O13" s="44">
        <v>15000000</v>
      </c>
      <c r="P13" s="59">
        <v>30000000</v>
      </c>
      <c r="Q13" s="44">
        <f t="shared" si="1"/>
        <v>55000000</v>
      </c>
      <c r="R13" s="48">
        <v>10000000</v>
      </c>
      <c r="S13" s="32"/>
      <c r="T13" s="44">
        <v>15000000</v>
      </c>
      <c r="U13" s="48">
        <v>30000000</v>
      </c>
      <c r="V13" s="32"/>
      <c r="W13" s="49"/>
      <c r="X13" s="49">
        <f t="shared" ref="X13:Z13" si="12">N13-S13</f>
        <v>0</v>
      </c>
      <c r="Y13" s="49">
        <f t="shared" si="12"/>
        <v>0</v>
      </c>
      <c r="Z13" s="49">
        <f t="shared" si="12"/>
        <v>0</v>
      </c>
      <c r="AA13" s="54"/>
      <c r="AB13" s="54"/>
      <c r="AC13" s="2">
        <f t="shared" si="3"/>
        <v>2</v>
      </c>
      <c r="AD13" s="6"/>
      <c r="AE13" s="6"/>
      <c r="AF13" s="6"/>
      <c r="AG13" s="6"/>
      <c r="AH13" s="6"/>
      <c r="AI13" s="6"/>
      <c r="AJ13" s="6"/>
      <c r="AK13" s="6"/>
      <c r="AL13" s="6"/>
      <c r="AM13" s="6"/>
      <c r="AN13" s="6"/>
      <c r="AO13" s="6"/>
      <c r="AP13" s="6"/>
      <c r="AQ13" s="6"/>
      <c r="AR13" s="6"/>
      <c r="AS13" s="6"/>
    </row>
    <row r="14" spans="1:45" ht="31.5" hidden="1" x14ac:dyDescent="0.25">
      <c r="A14" s="33" t="s">
        <v>52</v>
      </c>
      <c r="B14" s="42">
        <v>70</v>
      </c>
      <c r="C14" s="33" t="s">
        <v>142</v>
      </c>
      <c r="D14" s="33" t="s">
        <v>142</v>
      </c>
      <c r="E14" s="32"/>
      <c r="F14" s="43" t="s">
        <v>144</v>
      </c>
      <c r="G14" s="33" t="s">
        <v>146</v>
      </c>
      <c r="H14" s="32"/>
      <c r="I14" s="32"/>
      <c r="J14" s="33" t="s">
        <v>148</v>
      </c>
      <c r="K14" s="33" t="s">
        <v>43</v>
      </c>
      <c r="L14" s="33" t="s">
        <v>150</v>
      </c>
      <c r="M14" s="44">
        <v>3419539969</v>
      </c>
      <c r="N14" s="45"/>
      <c r="O14" s="44">
        <v>15000000</v>
      </c>
      <c r="P14" s="59">
        <v>96000000</v>
      </c>
      <c r="Q14" s="44">
        <f t="shared" si="1"/>
        <v>3530539969</v>
      </c>
      <c r="R14" s="52">
        <v>3419539969</v>
      </c>
      <c r="S14" s="32"/>
      <c r="T14" s="44">
        <v>15000000</v>
      </c>
      <c r="U14" s="48">
        <v>96000000</v>
      </c>
      <c r="V14" s="32"/>
      <c r="W14" s="49"/>
      <c r="X14" s="49">
        <f t="shared" ref="X14:Z14" si="13">N14-S14</f>
        <v>0</v>
      </c>
      <c r="Y14" s="49">
        <f t="shared" si="13"/>
        <v>0</v>
      </c>
      <c r="Z14" s="49">
        <f t="shared" si="13"/>
        <v>0</v>
      </c>
      <c r="AA14" s="54"/>
      <c r="AB14" s="54"/>
      <c r="AC14" s="2">
        <f t="shared" si="3"/>
        <v>2</v>
      </c>
      <c r="AD14" s="6"/>
      <c r="AE14" s="6"/>
      <c r="AF14" s="6"/>
      <c r="AG14" s="6"/>
      <c r="AH14" s="6"/>
      <c r="AI14" s="6"/>
      <c r="AJ14" s="6"/>
      <c r="AK14" s="6"/>
      <c r="AL14" s="6"/>
      <c r="AM14" s="6"/>
      <c r="AN14" s="6"/>
      <c r="AO14" s="6"/>
      <c r="AP14" s="6"/>
      <c r="AQ14" s="6"/>
      <c r="AR14" s="6"/>
      <c r="AS14" s="6"/>
    </row>
    <row r="15" spans="1:45" ht="31.5" hidden="1" x14ac:dyDescent="0.25">
      <c r="A15" s="33" t="s">
        <v>46</v>
      </c>
      <c r="B15" s="42">
        <v>157</v>
      </c>
      <c r="C15" s="33" t="s">
        <v>154</v>
      </c>
      <c r="D15" s="33" t="s">
        <v>155</v>
      </c>
      <c r="E15" s="33" t="s">
        <v>156</v>
      </c>
      <c r="F15" s="43" t="s">
        <v>144</v>
      </c>
      <c r="G15" s="33" t="s">
        <v>157</v>
      </c>
      <c r="H15" s="33" t="s">
        <v>63</v>
      </c>
      <c r="I15" s="32"/>
      <c r="J15" s="33" t="s">
        <v>158</v>
      </c>
      <c r="K15" s="33" t="s">
        <v>43</v>
      </c>
      <c r="L15" s="33" t="s">
        <v>159</v>
      </c>
      <c r="M15" s="44">
        <v>1901994350</v>
      </c>
      <c r="N15" s="44">
        <v>63527270</v>
      </c>
      <c r="O15" s="44">
        <v>15000000</v>
      </c>
      <c r="P15" s="59">
        <v>90000000</v>
      </c>
      <c r="Q15" s="44">
        <f t="shared" si="1"/>
        <v>2070521620</v>
      </c>
      <c r="R15" s="48">
        <v>1901994350</v>
      </c>
      <c r="S15" s="48">
        <v>63527270</v>
      </c>
      <c r="T15" s="44">
        <v>15000000</v>
      </c>
      <c r="U15" s="48">
        <v>90000000</v>
      </c>
      <c r="V15" s="32"/>
      <c r="W15" s="49"/>
      <c r="X15" s="49">
        <f t="shared" ref="X15:Z15" si="14">N15-S15</f>
        <v>0</v>
      </c>
      <c r="Y15" s="49">
        <f t="shared" si="14"/>
        <v>0</v>
      </c>
      <c r="Z15" s="49">
        <f t="shared" si="14"/>
        <v>0</v>
      </c>
      <c r="AA15" s="54"/>
      <c r="AB15" s="54"/>
      <c r="AC15" s="2">
        <f t="shared" si="3"/>
        <v>2</v>
      </c>
      <c r="AD15" s="6"/>
      <c r="AE15" s="6"/>
      <c r="AF15" s="6"/>
      <c r="AG15" s="6"/>
      <c r="AH15" s="6"/>
      <c r="AI15" s="6"/>
      <c r="AJ15" s="6"/>
      <c r="AK15" s="6"/>
      <c r="AL15" s="6"/>
      <c r="AM15" s="6"/>
      <c r="AN15" s="6"/>
      <c r="AO15" s="6"/>
      <c r="AP15" s="6"/>
      <c r="AQ15" s="6"/>
      <c r="AR15" s="6"/>
      <c r="AS15" s="6"/>
    </row>
    <row r="16" spans="1:45" ht="63" hidden="1" x14ac:dyDescent="0.25">
      <c r="A16" s="33" t="s">
        <v>35</v>
      </c>
      <c r="B16" s="42">
        <v>384</v>
      </c>
      <c r="C16" s="33" t="s">
        <v>163</v>
      </c>
      <c r="D16" s="33" t="s">
        <v>164</v>
      </c>
      <c r="E16" s="32"/>
      <c r="F16" s="43" t="s">
        <v>165</v>
      </c>
      <c r="G16" s="33" t="s">
        <v>166</v>
      </c>
      <c r="H16" s="32"/>
      <c r="I16" s="32"/>
      <c r="J16" s="33" t="s">
        <v>167</v>
      </c>
      <c r="K16" s="33" t="s">
        <v>43</v>
      </c>
      <c r="L16" s="33" t="s">
        <v>168</v>
      </c>
      <c r="M16" s="44">
        <v>3413351616</v>
      </c>
      <c r="N16" s="45"/>
      <c r="O16" s="44">
        <v>15000000</v>
      </c>
      <c r="P16" s="59">
        <v>126000000</v>
      </c>
      <c r="Q16" s="44">
        <f t="shared" si="1"/>
        <v>3554351616</v>
      </c>
      <c r="R16" s="48">
        <v>3413351616</v>
      </c>
      <c r="S16" s="32"/>
      <c r="T16" s="44">
        <v>15000000</v>
      </c>
      <c r="U16" s="48">
        <v>126000000</v>
      </c>
      <c r="V16" s="32"/>
      <c r="W16" s="49"/>
      <c r="X16" s="49">
        <f t="shared" ref="X16:Z16" si="15">N16-S16</f>
        <v>0</v>
      </c>
      <c r="Y16" s="49">
        <f t="shared" si="15"/>
        <v>0</v>
      </c>
      <c r="Z16" s="49">
        <f t="shared" si="15"/>
        <v>0</v>
      </c>
      <c r="AA16" s="54"/>
      <c r="AB16" s="54"/>
      <c r="AC16" s="2">
        <f t="shared" si="3"/>
        <v>2</v>
      </c>
      <c r="AD16" s="6"/>
      <c r="AE16" s="6"/>
      <c r="AF16" s="6"/>
      <c r="AG16" s="6"/>
      <c r="AH16" s="6"/>
      <c r="AI16" s="6"/>
      <c r="AJ16" s="6"/>
      <c r="AK16" s="6"/>
      <c r="AL16" s="6"/>
      <c r="AM16" s="6"/>
      <c r="AN16" s="6"/>
      <c r="AO16" s="6"/>
      <c r="AP16" s="6"/>
      <c r="AQ16" s="6"/>
      <c r="AR16" s="6"/>
      <c r="AS16" s="6"/>
    </row>
    <row r="17" spans="1:45" ht="63" hidden="1" x14ac:dyDescent="0.25">
      <c r="A17" s="33" t="s">
        <v>60</v>
      </c>
      <c r="B17" s="42">
        <v>494</v>
      </c>
      <c r="C17" s="33" t="s">
        <v>124</v>
      </c>
      <c r="D17" s="33" t="s">
        <v>172</v>
      </c>
      <c r="E17" s="32"/>
      <c r="F17" s="43" t="s">
        <v>165</v>
      </c>
      <c r="G17" s="33" t="s">
        <v>173</v>
      </c>
      <c r="H17" s="32"/>
      <c r="I17" s="32"/>
      <c r="J17" s="33" t="s">
        <v>174</v>
      </c>
      <c r="K17" s="33" t="s">
        <v>43</v>
      </c>
      <c r="L17" s="33" t="s">
        <v>175</v>
      </c>
      <c r="M17" s="44">
        <v>10000000</v>
      </c>
      <c r="N17" s="45"/>
      <c r="O17" s="44">
        <v>15000000</v>
      </c>
      <c r="P17" s="59">
        <v>72000000</v>
      </c>
      <c r="Q17" s="44">
        <f t="shared" si="1"/>
        <v>97000000</v>
      </c>
      <c r="R17" s="49">
        <v>10000000</v>
      </c>
      <c r="S17" s="32"/>
      <c r="T17" s="45">
        <v>15000000</v>
      </c>
      <c r="U17" s="49">
        <v>72000000</v>
      </c>
      <c r="V17" s="32"/>
      <c r="W17" s="49"/>
      <c r="X17" s="49">
        <f t="shared" ref="X17:Z17" si="16">N17-S17</f>
        <v>0</v>
      </c>
      <c r="Y17" s="49">
        <f t="shared" si="16"/>
        <v>0</v>
      </c>
      <c r="Z17" s="49">
        <f t="shared" si="16"/>
        <v>0</v>
      </c>
      <c r="AA17" s="73"/>
      <c r="AB17" s="54"/>
      <c r="AC17" s="2">
        <f t="shared" si="3"/>
        <v>2</v>
      </c>
      <c r="AD17" s="6"/>
      <c r="AE17" s="6"/>
      <c r="AF17" s="6"/>
      <c r="AG17" s="6"/>
      <c r="AH17" s="6"/>
      <c r="AI17" s="6"/>
      <c r="AJ17" s="6"/>
      <c r="AK17" s="6"/>
      <c r="AL17" s="6"/>
      <c r="AM17" s="6"/>
      <c r="AN17" s="6"/>
      <c r="AO17" s="6"/>
      <c r="AP17" s="6"/>
      <c r="AQ17" s="6"/>
      <c r="AR17" s="6"/>
      <c r="AS17" s="6"/>
    </row>
    <row r="18" spans="1:45" ht="63" hidden="1" x14ac:dyDescent="0.25">
      <c r="A18" s="33" t="s">
        <v>52</v>
      </c>
      <c r="B18" s="42">
        <v>778</v>
      </c>
      <c r="C18" s="33" t="s">
        <v>74</v>
      </c>
      <c r="D18" s="33" t="s">
        <v>181</v>
      </c>
      <c r="E18" s="32"/>
      <c r="F18" s="43" t="s">
        <v>165</v>
      </c>
      <c r="G18" s="33" t="s">
        <v>182</v>
      </c>
      <c r="H18" s="32"/>
      <c r="I18" s="33" t="s">
        <v>80</v>
      </c>
      <c r="J18" s="62" t="s">
        <v>184</v>
      </c>
      <c r="K18" s="33" t="s">
        <v>43</v>
      </c>
      <c r="L18" s="33" t="s">
        <v>186</v>
      </c>
      <c r="M18" s="63">
        <v>805645312</v>
      </c>
      <c r="N18" s="45"/>
      <c r="O18" s="63">
        <v>15000000</v>
      </c>
      <c r="P18" s="59">
        <v>72000000</v>
      </c>
      <c r="Q18" s="44">
        <f t="shared" si="1"/>
        <v>892645312</v>
      </c>
      <c r="R18" s="65">
        <v>805645312</v>
      </c>
      <c r="S18" s="32"/>
      <c r="T18" s="44">
        <v>15000000</v>
      </c>
      <c r="U18" s="65">
        <v>72000000</v>
      </c>
      <c r="V18" s="32"/>
      <c r="W18" s="49"/>
      <c r="X18" s="49">
        <f t="shared" ref="X18:Z18" si="17">N18-S18</f>
        <v>0</v>
      </c>
      <c r="Y18" s="49">
        <f t="shared" si="17"/>
        <v>0</v>
      </c>
      <c r="Z18" s="49">
        <f t="shared" si="17"/>
        <v>0</v>
      </c>
      <c r="AA18" s="54"/>
      <c r="AB18" s="54"/>
      <c r="AC18" s="2">
        <f t="shared" si="3"/>
        <v>2</v>
      </c>
      <c r="AD18" s="6"/>
      <c r="AE18" s="6"/>
      <c r="AF18" s="6"/>
      <c r="AG18" s="6"/>
      <c r="AH18" s="6"/>
      <c r="AI18" s="6"/>
      <c r="AJ18" s="6"/>
      <c r="AK18" s="6"/>
      <c r="AL18" s="6"/>
      <c r="AM18" s="6"/>
      <c r="AN18" s="6"/>
      <c r="AO18" s="6"/>
      <c r="AP18" s="6"/>
      <c r="AQ18" s="6"/>
      <c r="AR18" s="6"/>
      <c r="AS18" s="6"/>
    </row>
    <row r="19" spans="1:45" ht="63" hidden="1" x14ac:dyDescent="0.25">
      <c r="A19" s="33" t="s">
        <v>60</v>
      </c>
      <c r="B19" s="42">
        <v>808</v>
      </c>
      <c r="C19" s="33" t="s">
        <v>74</v>
      </c>
      <c r="D19" s="33" t="s">
        <v>190</v>
      </c>
      <c r="E19" s="33" t="s">
        <v>191</v>
      </c>
      <c r="F19" s="43" t="s">
        <v>165</v>
      </c>
      <c r="G19" s="33" t="s">
        <v>192</v>
      </c>
      <c r="H19" s="33" t="s">
        <v>193</v>
      </c>
      <c r="I19" s="42" t="s">
        <v>194</v>
      </c>
      <c r="J19" s="62" t="s">
        <v>195</v>
      </c>
      <c r="K19" s="33" t="s">
        <v>43</v>
      </c>
      <c r="L19" s="33" t="s">
        <v>186</v>
      </c>
      <c r="M19" s="63">
        <v>1042844736</v>
      </c>
      <c r="N19" s="63">
        <v>353989728</v>
      </c>
      <c r="O19" s="63">
        <v>15000000</v>
      </c>
      <c r="P19" s="59">
        <v>108000000</v>
      </c>
      <c r="Q19" s="44">
        <f t="shared" si="1"/>
        <v>1519834464</v>
      </c>
      <c r="R19" s="65">
        <v>1042844736</v>
      </c>
      <c r="S19" s="48">
        <v>353989728</v>
      </c>
      <c r="T19" s="44">
        <v>15000000</v>
      </c>
      <c r="U19" s="48">
        <v>108000000</v>
      </c>
      <c r="V19" s="32"/>
      <c r="W19" s="49"/>
      <c r="X19" s="49">
        <f t="shared" ref="X19:Z19" si="18">N19-S19</f>
        <v>0</v>
      </c>
      <c r="Y19" s="49">
        <f t="shared" si="18"/>
        <v>0</v>
      </c>
      <c r="Z19" s="49">
        <f t="shared" si="18"/>
        <v>0</v>
      </c>
      <c r="AA19" s="54"/>
      <c r="AB19" s="54"/>
      <c r="AC19" s="2">
        <f t="shared" si="3"/>
        <v>2</v>
      </c>
      <c r="AD19" s="6"/>
      <c r="AE19" s="6"/>
      <c r="AF19" s="6"/>
      <c r="AG19" s="6"/>
      <c r="AH19" s="6"/>
      <c r="AI19" s="6"/>
      <c r="AJ19" s="6"/>
      <c r="AK19" s="6"/>
      <c r="AL19" s="6"/>
      <c r="AM19" s="6"/>
      <c r="AN19" s="6"/>
      <c r="AO19" s="6"/>
      <c r="AP19" s="6"/>
      <c r="AQ19" s="6"/>
      <c r="AR19" s="6"/>
      <c r="AS19" s="6"/>
    </row>
    <row r="20" spans="1:45" ht="31.5" hidden="1" x14ac:dyDescent="0.25">
      <c r="A20" s="33" t="s">
        <v>52</v>
      </c>
      <c r="B20" s="42">
        <v>341</v>
      </c>
      <c r="C20" s="33" t="s">
        <v>37</v>
      </c>
      <c r="D20" s="33" t="s">
        <v>200</v>
      </c>
      <c r="E20" s="32"/>
      <c r="F20" s="43" t="s">
        <v>201</v>
      </c>
      <c r="G20" s="33" t="s">
        <v>202</v>
      </c>
      <c r="H20" s="32"/>
      <c r="I20" s="32"/>
      <c r="J20" s="33" t="s">
        <v>203</v>
      </c>
      <c r="K20" s="33" t="s">
        <v>43</v>
      </c>
      <c r="L20" s="33" t="s">
        <v>205</v>
      </c>
      <c r="M20" s="44">
        <v>15179235900</v>
      </c>
      <c r="N20" s="45"/>
      <c r="O20" s="44">
        <v>15000000</v>
      </c>
      <c r="P20" s="59">
        <v>96000000</v>
      </c>
      <c r="Q20" s="44">
        <f t="shared" si="1"/>
        <v>15290235900</v>
      </c>
      <c r="R20" s="48">
        <v>15179235900</v>
      </c>
      <c r="S20" s="32"/>
      <c r="T20" s="44">
        <v>15000000</v>
      </c>
      <c r="U20" s="48">
        <v>96000000</v>
      </c>
      <c r="V20" s="32"/>
      <c r="W20" s="49"/>
      <c r="X20" s="49">
        <f t="shared" ref="X20:Z20" si="19">N20-S20</f>
        <v>0</v>
      </c>
      <c r="Y20" s="49">
        <f t="shared" si="19"/>
        <v>0</v>
      </c>
      <c r="Z20" s="49">
        <f t="shared" si="19"/>
        <v>0</v>
      </c>
      <c r="AA20" s="54"/>
      <c r="AB20" s="54"/>
      <c r="AC20" s="2">
        <f t="shared" si="3"/>
        <v>2</v>
      </c>
      <c r="AD20" s="6"/>
      <c r="AE20" s="6"/>
      <c r="AF20" s="6"/>
      <c r="AG20" s="6"/>
      <c r="AH20" s="6"/>
      <c r="AI20" s="6"/>
      <c r="AJ20" s="6"/>
      <c r="AK20" s="6"/>
      <c r="AL20" s="6"/>
      <c r="AM20" s="6"/>
      <c r="AN20" s="6"/>
      <c r="AO20" s="6"/>
      <c r="AP20" s="6"/>
      <c r="AQ20" s="6"/>
      <c r="AR20" s="6"/>
      <c r="AS20" s="6"/>
    </row>
    <row r="21" spans="1:45" ht="63" hidden="1" x14ac:dyDescent="0.25">
      <c r="A21" s="33" t="s">
        <v>52</v>
      </c>
      <c r="B21" s="42">
        <v>787</v>
      </c>
      <c r="C21" s="33" t="s">
        <v>74</v>
      </c>
      <c r="D21" s="33" t="s">
        <v>208</v>
      </c>
      <c r="E21" s="32"/>
      <c r="F21" s="43" t="s">
        <v>209</v>
      </c>
      <c r="G21" s="33" t="s">
        <v>210</v>
      </c>
      <c r="H21" s="32"/>
      <c r="I21" s="33" t="s">
        <v>80</v>
      </c>
      <c r="J21" s="62" t="s">
        <v>211</v>
      </c>
      <c r="K21" s="33" t="s">
        <v>43</v>
      </c>
      <c r="L21" s="33" t="s">
        <v>212</v>
      </c>
      <c r="M21" s="63">
        <v>444381674</v>
      </c>
      <c r="N21" s="45"/>
      <c r="O21" s="63">
        <v>15000000</v>
      </c>
      <c r="P21" s="59">
        <v>72000000</v>
      </c>
      <c r="Q21" s="44">
        <f t="shared" si="1"/>
        <v>531381674</v>
      </c>
      <c r="R21" s="65">
        <v>444381674</v>
      </c>
      <c r="S21" s="32"/>
      <c r="T21" s="63">
        <v>15000000</v>
      </c>
      <c r="U21" s="65">
        <v>72000000</v>
      </c>
      <c r="V21" s="32"/>
      <c r="W21" s="49"/>
      <c r="X21" s="49">
        <f t="shared" ref="X21:Z21" si="20">N21-S21</f>
        <v>0</v>
      </c>
      <c r="Y21" s="49">
        <f t="shared" si="20"/>
        <v>0</v>
      </c>
      <c r="Z21" s="49">
        <f t="shared" si="20"/>
        <v>0</v>
      </c>
      <c r="AA21" s="54"/>
      <c r="AB21" s="54"/>
      <c r="AC21" s="2">
        <f t="shared" si="3"/>
        <v>2</v>
      </c>
      <c r="AD21" s="6"/>
      <c r="AE21" s="6"/>
      <c r="AF21" s="6"/>
      <c r="AG21" s="6"/>
      <c r="AH21" s="6"/>
      <c r="AI21" s="6"/>
      <c r="AJ21" s="6"/>
      <c r="AK21" s="6"/>
      <c r="AL21" s="6"/>
      <c r="AM21" s="6"/>
      <c r="AN21" s="6"/>
      <c r="AO21" s="6"/>
      <c r="AP21" s="6"/>
      <c r="AQ21" s="6"/>
      <c r="AR21" s="6"/>
      <c r="AS21" s="6"/>
    </row>
    <row r="22" spans="1:45" ht="78.75" hidden="1" x14ac:dyDescent="0.25">
      <c r="A22" s="33" t="s">
        <v>88</v>
      </c>
      <c r="B22" s="42">
        <v>755</v>
      </c>
      <c r="C22" s="33" t="s">
        <v>67</v>
      </c>
      <c r="D22" s="33" t="s">
        <v>216</v>
      </c>
      <c r="E22" s="32"/>
      <c r="F22" s="43" t="s">
        <v>218</v>
      </c>
      <c r="G22" s="33" t="s">
        <v>219</v>
      </c>
      <c r="H22" s="32"/>
      <c r="I22" s="32"/>
      <c r="J22" s="62" t="s">
        <v>221</v>
      </c>
      <c r="K22" s="33" t="s">
        <v>43</v>
      </c>
      <c r="L22" s="33" t="s">
        <v>223</v>
      </c>
      <c r="M22" s="63">
        <v>10000000</v>
      </c>
      <c r="N22" s="45"/>
      <c r="O22" s="63">
        <v>15000000</v>
      </c>
      <c r="P22" s="59">
        <v>72000000</v>
      </c>
      <c r="Q22" s="44">
        <f t="shared" si="1"/>
        <v>97000000</v>
      </c>
      <c r="R22" s="65">
        <v>10000000</v>
      </c>
      <c r="S22" s="32"/>
      <c r="T22" s="44">
        <v>15000000</v>
      </c>
      <c r="U22" s="65">
        <v>72000000</v>
      </c>
      <c r="V22" s="32"/>
      <c r="W22" s="49"/>
      <c r="X22" s="49">
        <f t="shared" ref="X22:Z22" si="21">N22-S22</f>
        <v>0</v>
      </c>
      <c r="Y22" s="49">
        <f t="shared" si="21"/>
        <v>0</v>
      </c>
      <c r="Z22" s="49">
        <f t="shared" si="21"/>
        <v>0</v>
      </c>
      <c r="AA22" s="54"/>
      <c r="AB22" s="54"/>
      <c r="AC22" s="2">
        <f t="shared" si="3"/>
        <v>2</v>
      </c>
      <c r="AD22" s="6"/>
      <c r="AE22" s="6"/>
      <c r="AF22" s="6"/>
      <c r="AG22" s="6"/>
      <c r="AH22" s="6"/>
      <c r="AI22" s="6"/>
      <c r="AJ22" s="6"/>
      <c r="AK22" s="6"/>
      <c r="AL22" s="6"/>
      <c r="AM22" s="6"/>
      <c r="AN22" s="6"/>
      <c r="AO22" s="6"/>
      <c r="AP22" s="6"/>
      <c r="AQ22" s="6"/>
      <c r="AR22" s="6"/>
      <c r="AS22" s="6"/>
    </row>
    <row r="23" spans="1:45" ht="63" hidden="1" x14ac:dyDescent="0.25">
      <c r="A23" s="33" t="s">
        <v>52</v>
      </c>
      <c r="B23" s="42">
        <v>621</v>
      </c>
      <c r="C23" s="33" t="s">
        <v>53</v>
      </c>
      <c r="D23" s="33" t="s">
        <v>225</v>
      </c>
      <c r="E23" s="33" t="s">
        <v>227</v>
      </c>
      <c r="F23" s="43" t="s">
        <v>228</v>
      </c>
      <c r="G23" s="33" t="s">
        <v>230</v>
      </c>
      <c r="H23" s="33" t="s">
        <v>231</v>
      </c>
      <c r="I23" s="32"/>
      <c r="J23" s="62" t="s">
        <v>232</v>
      </c>
      <c r="K23" s="33" t="s">
        <v>43</v>
      </c>
      <c r="L23" s="33" t="s">
        <v>233</v>
      </c>
      <c r="M23" s="63">
        <v>1634989243</v>
      </c>
      <c r="N23" s="63">
        <v>115406760</v>
      </c>
      <c r="O23" s="63">
        <v>15000000</v>
      </c>
      <c r="P23" s="59">
        <v>90000000</v>
      </c>
      <c r="Q23" s="44">
        <f t="shared" si="1"/>
        <v>1855396003</v>
      </c>
      <c r="R23" s="65">
        <v>1634989243</v>
      </c>
      <c r="S23" s="48">
        <v>115406760</v>
      </c>
      <c r="T23" s="44">
        <v>15000000</v>
      </c>
      <c r="U23" s="65">
        <v>90000000</v>
      </c>
      <c r="V23" s="32"/>
      <c r="W23" s="49"/>
      <c r="X23" s="49">
        <f t="shared" ref="X23:Z23" si="22">N23-S23</f>
        <v>0</v>
      </c>
      <c r="Y23" s="49">
        <f t="shared" si="22"/>
        <v>0</v>
      </c>
      <c r="Z23" s="49">
        <f t="shared" si="22"/>
        <v>0</v>
      </c>
      <c r="AA23" s="54"/>
      <c r="AB23" s="54"/>
      <c r="AC23" s="2">
        <f t="shared" si="3"/>
        <v>2</v>
      </c>
      <c r="AD23" s="6"/>
      <c r="AE23" s="6"/>
      <c r="AF23" s="6"/>
      <c r="AG23" s="6"/>
      <c r="AH23" s="6"/>
      <c r="AI23" s="6"/>
      <c r="AJ23" s="6"/>
      <c r="AK23" s="6"/>
      <c r="AL23" s="6"/>
      <c r="AM23" s="6"/>
      <c r="AN23" s="6"/>
      <c r="AO23" s="6"/>
      <c r="AP23" s="6"/>
      <c r="AQ23" s="6"/>
      <c r="AR23" s="6"/>
      <c r="AS23" s="6"/>
    </row>
    <row r="24" spans="1:45" ht="47.25" hidden="1" x14ac:dyDescent="0.25">
      <c r="A24" s="33" t="s">
        <v>35</v>
      </c>
      <c r="B24" s="42">
        <v>397</v>
      </c>
      <c r="C24" s="33" t="s">
        <v>163</v>
      </c>
      <c r="D24" s="33" t="s">
        <v>236</v>
      </c>
      <c r="E24" s="32"/>
      <c r="F24" s="43" t="s">
        <v>238</v>
      </c>
      <c r="G24" s="33" t="s">
        <v>239</v>
      </c>
      <c r="H24" s="33" t="s">
        <v>240</v>
      </c>
      <c r="I24" s="32"/>
      <c r="J24" s="33" t="s">
        <v>241</v>
      </c>
      <c r="K24" s="33" t="s">
        <v>43</v>
      </c>
      <c r="L24" s="33" t="s">
        <v>242</v>
      </c>
      <c r="M24" s="44">
        <v>1599436369</v>
      </c>
      <c r="N24" s="45"/>
      <c r="O24" s="44">
        <v>15000000</v>
      </c>
      <c r="P24" s="59">
        <v>48000000</v>
      </c>
      <c r="Q24" s="44">
        <f t="shared" si="1"/>
        <v>1662436369</v>
      </c>
      <c r="R24" s="48">
        <v>1599436369</v>
      </c>
      <c r="S24" s="32"/>
      <c r="T24" s="44">
        <v>15000000</v>
      </c>
      <c r="U24" s="48">
        <v>48000000</v>
      </c>
      <c r="V24" s="32"/>
      <c r="W24" s="49"/>
      <c r="X24" s="49">
        <f t="shared" ref="X24:Z24" si="23">N24-S24</f>
        <v>0</v>
      </c>
      <c r="Y24" s="49">
        <f t="shared" si="23"/>
        <v>0</v>
      </c>
      <c r="Z24" s="49">
        <f t="shared" si="23"/>
        <v>0</v>
      </c>
      <c r="AA24" s="54"/>
      <c r="AB24" s="54"/>
      <c r="AC24" s="2">
        <f t="shared" si="3"/>
        <v>2</v>
      </c>
      <c r="AD24" s="6"/>
      <c r="AE24" s="6"/>
      <c r="AF24" s="6"/>
      <c r="AG24" s="6"/>
      <c r="AH24" s="6"/>
      <c r="AI24" s="6"/>
      <c r="AJ24" s="6"/>
      <c r="AK24" s="6"/>
      <c r="AL24" s="6"/>
      <c r="AM24" s="6"/>
      <c r="AN24" s="6"/>
      <c r="AO24" s="6"/>
      <c r="AP24" s="6"/>
      <c r="AQ24" s="6"/>
      <c r="AR24" s="6"/>
      <c r="AS24" s="6"/>
    </row>
    <row r="25" spans="1:45" ht="47.25" hidden="1" x14ac:dyDescent="0.25">
      <c r="A25" s="33" t="s">
        <v>88</v>
      </c>
      <c r="B25" s="42">
        <v>405</v>
      </c>
      <c r="C25" s="33" t="s">
        <v>163</v>
      </c>
      <c r="D25" s="33" t="s">
        <v>243</v>
      </c>
      <c r="E25" s="32"/>
      <c r="F25" s="43" t="s">
        <v>238</v>
      </c>
      <c r="G25" s="33" t="s">
        <v>244</v>
      </c>
      <c r="H25" s="32"/>
      <c r="I25" s="32"/>
      <c r="J25" s="33" t="s">
        <v>245</v>
      </c>
      <c r="K25" s="33" t="s">
        <v>43</v>
      </c>
      <c r="L25" s="33" t="s">
        <v>246</v>
      </c>
      <c r="M25" s="44">
        <v>4490379050</v>
      </c>
      <c r="N25" s="45"/>
      <c r="O25" s="44">
        <v>15000000</v>
      </c>
      <c r="P25" s="59">
        <v>16000000</v>
      </c>
      <c r="Q25" s="44">
        <f t="shared" si="1"/>
        <v>4521379050</v>
      </c>
      <c r="R25" s="52">
        <v>4490379050</v>
      </c>
      <c r="S25" s="32"/>
      <c r="T25" s="44">
        <v>15000000</v>
      </c>
      <c r="U25" s="48">
        <v>16000000</v>
      </c>
      <c r="V25" s="32"/>
      <c r="W25" s="49"/>
      <c r="X25" s="49">
        <f t="shared" ref="X25:Z25" si="24">N25-S25</f>
        <v>0</v>
      </c>
      <c r="Y25" s="49">
        <f t="shared" si="24"/>
        <v>0</v>
      </c>
      <c r="Z25" s="49">
        <f t="shared" si="24"/>
        <v>0</v>
      </c>
      <c r="AA25" s="54"/>
      <c r="AB25" s="54"/>
      <c r="AC25" s="2">
        <f t="shared" si="3"/>
        <v>2</v>
      </c>
      <c r="AD25" s="6"/>
      <c r="AE25" s="6"/>
      <c r="AF25" s="6"/>
      <c r="AG25" s="6"/>
      <c r="AH25" s="6"/>
      <c r="AI25" s="6"/>
      <c r="AJ25" s="6"/>
      <c r="AK25" s="6"/>
      <c r="AL25" s="6"/>
      <c r="AM25" s="6"/>
      <c r="AN25" s="6"/>
      <c r="AO25" s="6"/>
      <c r="AP25" s="6"/>
      <c r="AQ25" s="6"/>
      <c r="AR25" s="6"/>
      <c r="AS25" s="6"/>
    </row>
    <row r="26" spans="1:45" ht="141.75" hidden="1" x14ac:dyDescent="0.25">
      <c r="A26" s="33" t="s">
        <v>60</v>
      </c>
      <c r="B26" s="42">
        <v>692</v>
      </c>
      <c r="C26" s="33" t="s">
        <v>67</v>
      </c>
      <c r="D26" s="33" t="s">
        <v>250</v>
      </c>
      <c r="E26" s="32"/>
      <c r="F26" s="43" t="s">
        <v>251</v>
      </c>
      <c r="G26" s="33" t="s">
        <v>252</v>
      </c>
      <c r="H26" s="33" t="s">
        <v>240</v>
      </c>
      <c r="I26" s="32"/>
      <c r="J26" s="62" t="s">
        <v>253</v>
      </c>
      <c r="K26" s="33" t="s">
        <v>43</v>
      </c>
      <c r="L26" s="33" t="s">
        <v>254</v>
      </c>
      <c r="M26" s="63">
        <v>1213968903</v>
      </c>
      <c r="N26" s="45"/>
      <c r="O26" s="44">
        <v>15000000</v>
      </c>
      <c r="P26" s="59">
        <v>192000000</v>
      </c>
      <c r="Q26" s="44">
        <f t="shared" si="1"/>
        <v>1420968903</v>
      </c>
      <c r="R26" s="65">
        <v>1213968903</v>
      </c>
      <c r="S26" s="32"/>
      <c r="T26" s="44">
        <v>15000000</v>
      </c>
      <c r="U26" s="65">
        <v>192000000</v>
      </c>
      <c r="V26" s="32"/>
      <c r="W26" s="49"/>
      <c r="X26" s="49">
        <f t="shared" ref="X26:Z26" si="25">N26-S26</f>
        <v>0</v>
      </c>
      <c r="Y26" s="49">
        <f t="shared" si="25"/>
        <v>0</v>
      </c>
      <c r="Z26" s="49">
        <f t="shared" si="25"/>
        <v>0</v>
      </c>
      <c r="AA26" s="54"/>
      <c r="AB26" s="54"/>
      <c r="AC26" s="2">
        <f t="shared" si="3"/>
        <v>2</v>
      </c>
      <c r="AD26" s="6"/>
      <c r="AE26" s="6"/>
      <c r="AF26" s="6"/>
      <c r="AG26" s="6"/>
      <c r="AH26" s="6"/>
      <c r="AI26" s="6"/>
      <c r="AJ26" s="6"/>
      <c r="AK26" s="6"/>
      <c r="AL26" s="6"/>
      <c r="AM26" s="6"/>
      <c r="AN26" s="6"/>
      <c r="AO26" s="6"/>
      <c r="AP26" s="6"/>
      <c r="AQ26" s="6"/>
      <c r="AR26" s="6"/>
      <c r="AS26" s="6"/>
    </row>
    <row r="27" spans="1:45" ht="63" hidden="1" x14ac:dyDescent="0.25">
      <c r="A27" s="33" t="s">
        <v>35</v>
      </c>
      <c r="B27" s="42">
        <v>604</v>
      </c>
      <c r="C27" s="33" t="s">
        <v>53</v>
      </c>
      <c r="D27" s="33" t="s">
        <v>258</v>
      </c>
      <c r="E27" s="32"/>
      <c r="F27" s="43" t="s">
        <v>259</v>
      </c>
      <c r="G27" s="33" t="s">
        <v>260</v>
      </c>
      <c r="H27" s="32"/>
      <c r="I27" s="33" t="s">
        <v>261</v>
      </c>
      <c r="J27" s="62" t="s">
        <v>262</v>
      </c>
      <c r="K27" s="33" t="s">
        <v>43</v>
      </c>
      <c r="L27" s="33" t="s">
        <v>263</v>
      </c>
      <c r="M27" s="63">
        <v>1552944130</v>
      </c>
      <c r="N27" s="45"/>
      <c r="O27" s="63">
        <v>15000000</v>
      </c>
      <c r="P27" s="59">
        <v>96000000</v>
      </c>
      <c r="Q27" s="44">
        <f t="shared" si="1"/>
        <v>1663944130</v>
      </c>
      <c r="R27" s="65">
        <v>1552944130</v>
      </c>
      <c r="S27" s="32"/>
      <c r="T27" s="44">
        <v>15000000</v>
      </c>
      <c r="U27" s="65">
        <v>96000000</v>
      </c>
      <c r="V27" s="32"/>
      <c r="W27" s="49"/>
      <c r="X27" s="49">
        <f t="shared" ref="X27:Z27" si="26">N27-S27</f>
        <v>0</v>
      </c>
      <c r="Y27" s="49">
        <f t="shared" si="26"/>
        <v>0</v>
      </c>
      <c r="Z27" s="49">
        <f t="shared" si="26"/>
        <v>0</v>
      </c>
      <c r="AA27" s="54"/>
      <c r="AB27" s="54"/>
      <c r="AC27" s="2">
        <f t="shared" si="3"/>
        <v>2</v>
      </c>
      <c r="AD27" s="6"/>
      <c r="AE27" s="6"/>
      <c r="AF27" s="6"/>
      <c r="AG27" s="6"/>
      <c r="AH27" s="6"/>
      <c r="AI27" s="6"/>
      <c r="AJ27" s="6"/>
      <c r="AK27" s="6"/>
      <c r="AL27" s="6"/>
      <c r="AM27" s="6"/>
      <c r="AN27" s="6"/>
      <c r="AO27" s="6"/>
      <c r="AP27" s="6"/>
      <c r="AQ27" s="6"/>
      <c r="AR27" s="6"/>
      <c r="AS27" s="6"/>
    </row>
    <row r="28" spans="1:45" ht="78.75" hidden="1" x14ac:dyDescent="0.25">
      <c r="A28" s="33" t="s">
        <v>52</v>
      </c>
      <c r="B28" s="42">
        <v>703</v>
      </c>
      <c r="C28" s="33" t="s">
        <v>67</v>
      </c>
      <c r="D28" s="33" t="s">
        <v>267</v>
      </c>
      <c r="E28" s="32"/>
      <c r="F28" s="43" t="s">
        <v>268</v>
      </c>
      <c r="G28" s="33" t="s">
        <v>269</v>
      </c>
      <c r="H28" s="32"/>
      <c r="I28" s="32"/>
      <c r="J28" s="62" t="s">
        <v>270</v>
      </c>
      <c r="K28" s="33" t="s">
        <v>43</v>
      </c>
      <c r="L28" s="33" t="s">
        <v>271</v>
      </c>
      <c r="M28" s="63">
        <v>732297702</v>
      </c>
      <c r="N28" s="45"/>
      <c r="O28" s="63">
        <v>15000000</v>
      </c>
      <c r="P28" s="59">
        <v>72000000</v>
      </c>
      <c r="Q28" s="44">
        <f t="shared" si="1"/>
        <v>819297702</v>
      </c>
      <c r="R28" s="65">
        <v>732297702</v>
      </c>
      <c r="S28" s="32"/>
      <c r="T28" s="44">
        <v>15000000</v>
      </c>
      <c r="U28" s="65">
        <v>72000000</v>
      </c>
      <c r="V28" s="32"/>
      <c r="W28" s="49"/>
      <c r="X28" s="49">
        <f t="shared" ref="X28:Z28" si="27">N28-S28</f>
        <v>0</v>
      </c>
      <c r="Y28" s="49">
        <f t="shared" si="27"/>
        <v>0</v>
      </c>
      <c r="Z28" s="49">
        <f t="shared" si="27"/>
        <v>0</v>
      </c>
      <c r="AA28" s="54"/>
      <c r="AB28" s="54"/>
      <c r="AC28" s="2">
        <f t="shared" si="3"/>
        <v>2</v>
      </c>
      <c r="AD28" s="6"/>
      <c r="AE28" s="6"/>
      <c r="AF28" s="6"/>
      <c r="AG28" s="6"/>
      <c r="AH28" s="6"/>
      <c r="AI28" s="6"/>
      <c r="AJ28" s="6"/>
      <c r="AK28" s="6"/>
      <c r="AL28" s="6"/>
      <c r="AM28" s="6"/>
      <c r="AN28" s="6"/>
      <c r="AO28" s="6"/>
      <c r="AP28" s="6"/>
      <c r="AQ28" s="6"/>
      <c r="AR28" s="6"/>
      <c r="AS28" s="6"/>
    </row>
    <row r="29" spans="1:45" ht="63" x14ac:dyDescent="0.25">
      <c r="A29" s="33" t="s">
        <v>275</v>
      </c>
      <c r="B29" s="42">
        <v>838</v>
      </c>
      <c r="C29" s="33" t="s">
        <v>89</v>
      </c>
      <c r="D29" s="33" t="s">
        <v>276</v>
      </c>
      <c r="E29" s="33" t="s">
        <v>278</v>
      </c>
      <c r="F29" s="43" t="s">
        <v>279</v>
      </c>
      <c r="G29" s="33" t="s">
        <v>280</v>
      </c>
      <c r="H29" s="33" t="s">
        <v>282</v>
      </c>
      <c r="I29" s="33"/>
      <c r="J29" s="33" t="s">
        <v>284</v>
      </c>
      <c r="K29" s="33" t="s">
        <v>43</v>
      </c>
      <c r="L29" s="33" t="s">
        <v>285</v>
      </c>
      <c r="M29" s="44">
        <v>10000000</v>
      </c>
      <c r="N29" s="44">
        <v>882094598</v>
      </c>
      <c r="O29" s="44">
        <v>15000000</v>
      </c>
      <c r="P29" s="46">
        <v>24000000</v>
      </c>
      <c r="Q29" s="44">
        <f t="shared" si="1"/>
        <v>931094598</v>
      </c>
      <c r="R29" s="32"/>
      <c r="S29" s="33"/>
      <c r="T29" s="66"/>
      <c r="U29" s="33"/>
      <c r="V29" s="32"/>
      <c r="W29" s="49">
        <v>10000000</v>
      </c>
      <c r="X29" s="52">
        <f t="shared" ref="X29:Z29" si="28">N29-S29</f>
        <v>882094598</v>
      </c>
      <c r="Y29" s="52">
        <f t="shared" si="28"/>
        <v>15000000</v>
      </c>
      <c r="Z29" s="52">
        <f t="shared" si="28"/>
        <v>24000000</v>
      </c>
      <c r="AA29" s="69">
        <v>10000000</v>
      </c>
      <c r="AB29" s="43"/>
      <c r="AC29" s="15">
        <f t="shared" si="3"/>
        <v>2</v>
      </c>
      <c r="AD29" s="15"/>
      <c r="AE29" s="6"/>
      <c r="AF29" s="6"/>
      <c r="AG29" s="6"/>
      <c r="AH29" s="6"/>
      <c r="AI29" s="6"/>
      <c r="AJ29" s="6"/>
      <c r="AK29" s="6"/>
      <c r="AL29" s="6"/>
      <c r="AM29" s="6"/>
      <c r="AN29" s="6"/>
      <c r="AO29" s="6"/>
      <c r="AP29" s="6"/>
      <c r="AQ29" s="6"/>
      <c r="AR29" s="6"/>
      <c r="AS29" s="6"/>
    </row>
    <row r="30" spans="1:45" ht="94.5" hidden="1" x14ac:dyDescent="0.25">
      <c r="A30" s="33" t="s">
        <v>52</v>
      </c>
      <c r="B30" s="42">
        <v>783</v>
      </c>
      <c r="C30" s="33" t="s">
        <v>74</v>
      </c>
      <c r="D30" s="33" t="s">
        <v>289</v>
      </c>
      <c r="E30" s="32"/>
      <c r="F30" s="43" t="s">
        <v>290</v>
      </c>
      <c r="G30" s="33" t="s">
        <v>291</v>
      </c>
      <c r="H30" s="32"/>
      <c r="I30" s="32"/>
      <c r="J30" s="62" t="s">
        <v>292</v>
      </c>
      <c r="K30" s="33" t="s">
        <v>43</v>
      </c>
      <c r="L30" s="33" t="s">
        <v>293</v>
      </c>
      <c r="M30" s="63">
        <v>1162218928</v>
      </c>
      <c r="N30" s="45"/>
      <c r="O30" s="63">
        <v>15000000</v>
      </c>
      <c r="P30" s="59">
        <v>120000000</v>
      </c>
      <c r="Q30" s="44">
        <f t="shared" si="1"/>
        <v>1297218928</v>
      </c>
      <c r="R30" s="65">
        <v>1162218928</v>
      </c>
      <c r="S30" s="32"/>
      <c r="T30" s="63">
        <v>15000000</v>
      </c>
      <c r="U30" s="65">
        <v>120000000</v>
      </c>
      <c r="V30" s="32"/>
      <c r="W30" s="49"/>
      <c r="X30" s="49">
        <f t="shared" ref="X30:Z30" si="29">N30-S30</f>
        <v>0</v>
      </c>
      <c r="Y30" s="49">
        <f t="shared" si="29"/>
        <v>0</v>
      </c>
      <c r="Z30" s="49">
        <f t="shared" si="29"/>
        <v>0</v>
      </c>
      <c r="AA30" s="54"/>
      <c r="AB30" s="54"/>
      <c r="AC30" s="2">
        <f t="shared" si="3"/>
        <v>2</v>
      </c>
      <c r="AD30" s="6"/>
      <c r="AE30" s="6"/>
      <c r="AF30" s="6"/>
      <c r="AG30" s="6"/>
      <c r="AH30" s="6"/>
      <c r="AI30" s="6"/>
      <c r="AJ30" s="6"/>
      <c r="AK30" s="6"/>
      <c r="AL30" s="6"/>
      <c r="AM30" s="6"/>
      <c r="AN30" s="6"/>
      <c r="AO30" s="6"/>
      <c r="AP30" s="6"/>
      <c r="AQ30" s="6"/>
      <c r="AR30" s="6"/>
      <c r="AS30" s="6"/>
    </row>
    <row r="31" spans="1:45" ht="63" hidden="1" x14ac:dyDescent="0.25">
      <c r="A31" s="33" t="s">
        <v>60</v>
      </c>
      <c r="B31" s="42">
        <v>872</v>
      </c>
      <c r="C31" s="33" t="s">
        <v>297</v>
      </c>
      <c r="D31" s="33" t="s">
        <v>298</v>
      </c>
      <c r="E31" s="32"/>
      <c r="F31" s="43" t="s">
        <v>300</v>
      </c>
      <c r="G31" s="33" t="s">
        <v>301</v>
      </c>
      <c r="H31" s="32"/>
      <c r="I31" s="32"/>
      <c r="J31" s="62" t="s">
        <v>304</v>
      </c>
      <c r="K31" s="33" t="s">
        <v>43</v>
      </c>
      <c r="L31" s="33" t="s">
        <v>305</v>
      </c>
      <c r="M31" s="63">
        <v>11775251750</v>
      </c>
      <c r="N31" s="45"/>
      <c r="O31" s="63">
        <v>15000000</v>
      </c>
      <c r="P31" s="59">
        <v>126000000</v>
      </c>
      <c r="Q31" s="44">
        <f t="shared" si="1"/>
        <v>11916251750</v>
      </c>
      <c r="R31" s="65">
        <v>11775251750</v>
      </c>
      <c r="S31" s="32"/>
      <c r="T31" s="44">
        <v>15000000</v>
      </c>
      <c r="U31" s="48">
        <v>126000000</v>
      </c>
      <c r="V31" s="32"/>
      <c r="W31" s="49"/>
      <c r="X31" s="49">
        <f t="shared" ref="X31:Z31" si="30">N31-S31</f>
        <v>0</v>
      </c>
      <c r="Y31" s="49">
        <f t="shared" si="30"/>
        <v>0</v>
      </c>
      <c r="Z31" s="49">
        <f t="shared" si="30"/>
        <v>0</v>
      </c>
      <c r="AA31" s="54"/>
      <c r="AB31" s="54"/>
      <c r="AC31" s="2">
        <f t="shared" si="3"/>
        <v>2</v>
      </c>
      <c r="AD31" s="6"/>
      <c r="AE31" s="6"/>
      <c r="AF31" s="6"/>
      <c r="AG31" s="6"/>
      <c r="AH31" s="6"/>
      <c r="AI31" s="6"/>
      <c r="AJ31" s="6"/>
      <c r="AK31" s="6"/>
      <c r="AL31" s="6"/>
      <c r="AM31" s="6"/>
      <c r="AN31" s="6"/>
      <c r="AO31" s="6"/>
      <c r="AP31" s="6"/>
      <c r="AQ31" s="6"/>
      <c r="AR31" s="6"/>
      <c r="AS31" s="6"/>
    </row>
    <row r="32" spans="1:45" ht="63" hidden="1" x14ac:dyDescent="0.25">
      <c r="A32" s="33" t="s">
        <v>60</v>
      </c>
      <c r="B32" s="42">
        <v>719</v>
      </c>
      <c r="C32" s="33" t="s">
        <v>67</v>
      </c>
      <c r="D32" s="33" t="s">
        <v>309</v>
      </c>
      <c r="E32" s="32"/>
      <c r="F32" s="43" t="s">
        <v>310</v>
      </c>
      <c r="G32" s="33" t="s">
        <v>311</v>
      </c>
      <c r="H32" s="32"/>
      <c r="I32" s="32"/>
      <c r="J32" s="62" t="s">
        <v>312</v>
      </c>
      <c r="K32" s="33" t="s">
        <v>43</v>
      </c>
      <c r="L32" s="33" t="s">
        <v>313</v>
      </c>
      <c r="M32" s="63">
        <v>268708240</v>
      </c>
      <c r="N32" s="45"/>
      <c r="O32" s="63">
        <v>15000000</v>
      </c>
      <c r="P32" s="59">
        <v>72000000</v>
      </c>
      <c r="Q32" s="44">
        <f t="shared" si="1"/>
        <v>355708240</v>
      </c>
      <c r="R32" s="65">
        <v>268708240</v>
      </c>
      <c r="S32" s="32"/>
      <c r="T32" s="44">
        <v>15000000</v>
      </c>
      <c r="U32" s="65">
        <v>72000000</v>
      </c>
      <c r="V32" s="32"/>
      <c r="W32" s="49"/>
      <c r="X32" s="49">
        <f t="shared" ref="X32:Z32" si="31">N32-S32</f>
        <v>0</v>
      </c>
      <c r="Y32" s="49">
        <f t="shared" si="31"/>
        <v>0</v>
      </c>
      <c r="Z32" s="49">
        <f t="shared" si="31"/>
        <v>0</v>
      </c>
      <c r="AA32" s="54"/>
      <c r="AB32" s="54"/>
      <c r="AC32" s="2">
        <f t="shared" si="3"/>
        <v>2</v>
      </c>
      <c r="AD32" s="6"/>
      <c r="AE32" s="6"/>
      <c r="AF32" s="6"/>
      <c r="AG32" s="6"/>
      <c r="AH32" s="6"/>
      <c r="AI32" s="6"/>
      <c r="AJ32" s="6"/>
      <c r="AK32" s="6"/>
      <c r="AL32" s="6"/>
      <c r="AM32" s="6"/>
      <c r="AN32" s="6"/>
      <c r="AO32" s="6"/>
      <c r="AP32" s="6"/>
      <c r="AQ32" s="6"/>
      <c r="AR32" s="6"/>
      <c r="AS32" s="6"/>
    </row>
    <row r="33" spans="1:45" ht="63" hidden="1" x14ac:dyDescent="0.25">
      <c r="A33" s="33" t="s">
        <v>275</v>
      </c>
      <c r="B33" s="42">
        <v>646</v>
      </c>
      <c r="C33" s="33" t="s">
        <v>53</v>
      </c>
      <c r="D33" s="33" t="s">
        <v>317</v>
      </c>
      <c r="E33" s="33" t="s">
        <v>318</v>
      </c>
      <c r="F33" s="43" t="s">
        <v>319</v>
      </c>
      <c r="G33" s="33" t="s">
        <v>320</v>
      </c>
      <c r="H33" s="32"/>
      <c r="I33" s="33" t="s">
        <v>321</v>
      </c>
      <c r="J33" s="62" t="s">
        <v>322</v>
      </c>
      <c r="K33" s="33" t="s">
        <v>43</v>
      </c>
      <c r="L33" s="33" t="s">
        <v>323</v>
      </c>
      <c r="M33" s="63">
        <v>986764751</v>
      </c>
      <c r="N33" s="63">
        <v>522395346</v>
      </c>
      <c r="O33" s="63">
        <v>15000000</v>
      </c>
      <c r="P33" s="59">
        <v>72000000</v>
      </c>
      <c r="Q33" s="44">
        <f t="shared" si="1"/>
        <v>1596160097</v>
      </c>
      <c r="R33" s="65">
        <v>986764751</v>
      </c>
      <c r="S33" s="65">
        <v>522395346</v>
      </c>
      <c r="T33" s="44">
        <v>15000000</v>
      </c>
      <c r="U33" s="65">
        <v>72000000</v>
      </c>
      <c r="V33" s="32"/>
      <c r="W33" s="49"/>
      <c r="X33" s="49">
        <f t="shared" ref="X33:Z33" si="32">N33-S33</f>
        <v>0</v>
      </c>
      <c r="Y33" s="49">
        <f t="shared" si="32"/>
        <v>0</v>
      </c>
      <c r="Z33" s="49">
        <f t="shared" si="32"/>
        <v>0</v>
      </c>
      <c r="AA33" s="54"/>
      <c r="AB33" s="54"/>
      <c r="AC33" s="2">
        <f t="shared" si="3"/>
        <v>2</v>
      </c>
      <c r="AD33" s="6"/>
      <c r="AE33" s="6"/>
      <c r="AF33" s="6"/>
      <c r="AG33" s="6"/>
      <c r="AH33" s="6"/>
      <c r="AI33" s="6"/>
      <c r="AJ33" s="6"/>
      <c r="AK33" s="6"/>
      <c r="AL33" s="6"/>
      <c r="AM33" s="6"/>
      <c r="AN33" s="6"/>
      <c r="AO33" s="6"/>
      <c r="AP33" s="6"/>
      <c r="AQ33" s="6"/>
      <c r="AR33" s="6"/>
      <c r="AS33" s="6"/>
    </row>
    <row r="34" spans="1:45" ht="40.5" hidden="1" x14ac:dyDescent="0.25">
      <c r="A34" s="33" t="s">
        <v>35</v>
      </c>
      <c r="B34" s="42">
        <v>666</v>
      </c>
      <c r="C34" s="33" t="s">
        <v>327</v>
      </c>
      <c r="D34" s="33" t="s">
        <v>328</v>
      </c>
      <c r="E34" s="33" t="s">
        <v>329</v>
      </c>
      <c r="F34" s="43" t="s">
        <v>330</v>
      </c>
      <c r="G34" s="33" t="s">
        <v>331</v>
      </c>
      <c r="H34" s="32"/>
      <c r="I34" s="32"/>
      <c r="J34" s="62" t="s">
        <v>332</v>
      </c>
      <c r="K34" s="33" t="s">
        <v>43</v>
      </c>
      <c r="L34" s="33" t="s">
        <v>82</v>
      </c>
      <c r="M34" s="63">
        <v>10000000</v>
      </c>
      <c r="N34" s="63">
        <v>348172944</v>
      </c>
      <c r="O34" s="63">
        <v>15000000</v>
      </c>
      <c r="P34" s="59">
        <v>30000000</v>
      </c>
      <c r="Q34" s="44">
        <f t="shared" si="1"/>
        <v>403172944</v>
      </c>
      <c r="R34" s="65">
        <v>10000000</v>
      </c>
      <c r="S34" s="65">
        <v>348172944</v>
      </c>
      <c r="T34" s="44">
        <v>15000000</v>
      </c>
      <c r="U34" s="65">
        <v>30000000</v>
      </c>
      <c r="V34" s="32"/>
      <c r="W34" s="49"/>
      <c r="X34" s="49">
        <f t="shared" ref="X34:Z34" si="33">N34-S34</f>
        <v>0</v>
      </c>
      <c r="Y34" s="49">
        <f t="shared" si="33"/>
        <v>0</v>
      </c>
      <c r="Z34" s="49">
        <f t="shared" si="33"/>
        <v>0</v>
      </c>
      <c r="AA34" s="54"/>
      <c r="AB34" s="54"/>
      <c r="AC34" s="2">
        <f t="shared" si="3"/>
        <v>2</v>
      </c>
      <c r="AD34" s="6"/>
      <c r="AE34" s="6"/>
      <c r="AF34" s="6"/>
      <c r="AG34" s="6"/>
      <c r="AH34" s="6"/>
      <c r="AI34" s="6"/>
      <c r="AJ34" s="6"/>
      <c r="AK34" s="6"/>
      <c r="AL34" s="6"/>
      <c r="AM34" s="6"/>
      <c r="AN34" s="6"/>
      <c r="AO34" s="6"/>
      <c r="AP34" s="6"/>
      <c r="AQ34" s="6"/>
      <c r="AR34" s="6"/>
      <c r="AS34" s="6"/>
    </row>
    <row r="35" spans="1:45" ht="78.75" hidden="1" x14ac:dyDescent="0.25">
      <c r="A35" s="33" t="s">
        <v>52</v>
      </c>
      <c r="B35" s="42">
        <v>448</v>
      </c>
      <c r="C35" s="33" t="s">
        <v>47</v>
      </c>
      <c r="D35" s="33" t="s">
        <v>340</v>
      </c>
      <c r="E35" s="32"/>
      <c r="F35" s="43" t="s">
        <v>341</v>
      </c>
      <c r="G35" s="33" t="s">
        <v>342</v>
      </c>
      <c r="H35" s="32"/>
      <c r="I35" s="32"/>
      <c r="J35" s="33" t="s">
        <v>343</v>
      </c>
      <c r="K35" s="33" t="s">
        <v>43</v>
      </c>
      <c r="L35" s="33" t="s">
        <v>344</v>
      </c>
      <c r="M35" s="44">
        <v>1330580934</v>
      </c>
      <c r="N35" s="45"/>
      <c r="O35" s="44">
        <v>15000000</v>
      </c>
      <c r="P35" s="59">
        <v>96000000</v>
      </c>
      <c r="Q35" s="44">
        <f t="shared" si="1"/>
        <v>1441580934</v>
      </c>
      <c r="R35" s="48">
        <v>1330580934</v>
      </c>
      <c r="S35" s="32"/>
      <c r="T35" s="44">
        <v>15000000</v>
      </c>
      <c r="U35" s="48">
        <v>96000000</v>
      </c>
      <c r="V35" s="32"/>
      <c r="W35" s="49"/>
      <c r="X35" s="49">
        <f t="shared" ref="X35:Z35" si="34">N35-S35</f>
        <v>0</v>
      </c>
      <c r="Y35" s="49">
        <f t="shared" si="34"/>
        <v>0</v>
      </c>
      <c r="Z35" s="49">
        <f t="shared" si="34"/>
        <v>0</v>
      </c>
      <c r="AA35" s="54"/>
      <c r="AB35" s="54"/>
      <c r="AC35" s="2">
        <f t="shared" si="3"/>
        <v>2</v>
      </c>
      <c r="AD35" s="6"/>
      <c r="AE35" s="6"/>
      <c r="AF35" s="6"/>
      <c r="AG35" s="6"/>
      <c r="AH35" s="6"/>
      <c r="AI35" s="6"/>
      <c r="AJ35" s="6"/>
      <c r="AK35" s="6"/>
      <c r="AL35" s="6"/>
      <c r="AM35" s="6"/>
      <c r="AN35" s="6"/>
      <c r="AO35" s="6"/>
      <c r="AP35" s="6"/>
      <c r="AQ35" s="6"/>
      <c r="AR35" s="6"/>
      <c r="AS35" s="6"/>
    </row>
    <row r="36" spans="1:45" ht="31.5" hidden="1" x14ac:dyDescent="0.25">
      <c r="A36" s="33" t="s">
        <v>46</v>
      </c>
      <c r="B36" s="42">
        <v>511</v>
      </c>
      <c r="C36" s="33" t="s">
        <v>124</v>
      </c>
      <c r="D36" s="33" t="s">
        <v>347</v>
      </c>
      <c r="E36" s="32"/>
      <c r="F36" s="43" t="s">
        <v>348</v>
      </c>
      <c r="G36" s="33" t="s">
        <v>349</v>
      </c>
      <c r="H36" s="32"/>
      <c r="I36" s="32"/>
      <c r="J36" s="33" t="s">
        <v>350</v>
      </c>
      <c r="K36" s="33" t="s">
        <v>43</v>
      </c>
      <c r="L36" s="33" t="s">
        <v>351</v>
      </c>
      <c r="M36" s="44">
        <v>1160551680</v>
      </c>
      <c r="N36" s="45"/>
      <c r="O36" s="44">
        <v>15000000</v>
      </c>
      <c r="P36" s="59">
        <v>24000000</v>
      </c>
      <c r="Q36" s="44">
        <f t="shared" si="1"/>
        <v>1199551680</v>
      </c>
      <c r="R36" s="48">
        <v>1160551680</v>
      </c>
      <c r="S36" s="32"/>
      <c r="T36" s="44">
        <v>15000000</v>
      </c>
      <c r="U36" s="48">
        <v>24000000</v>
      </c>
      <c r="V36" s="32"/>
      <c r="W36" s="49"/>
      <c r="X36" s="49">
        <f t="shared" ref="X36:Z36" si="35">N36-S36</f>
        <v>0</v>
      </c>
      <c r="Y36" s="49">
        <f t="shared" si="35"/>
        <v>0</v>
      </c>
      <c r="Z36" s="49">
        <f t="shared" si="35"/>
        <v>0</v>
      </c>
      <c r="AA36" s="54"/>
      <c r="AB36" s="54"/>
      <c r="AC36" s="2">
        <f t="shared" si="3"/>
        <v>2</v>
      </c>
      <c r="AD36" s="6"/>
      <c r="AE36" s="6"/>
      <c r="AF36" s="6"/>
      <c r="AG36" s="6"/>
      <c r="AH36" s="6"/>
      <c r="AI36" s="6"/>
      <c r="AJ36" s="6"/>
      <c r="AK36" s="6"/>
      <c r="AL36" s="6"/>
      <c r="AM36" s="6"/>
      <c r="AN36" s="6"/>
      <c r="AO36" s="6"/>
      <c r="AP36" s="6"/>
      <c r="AQ36" s="6"/>
      <c r="AR36" s="6"/>
      <c r="AS36" s="6"/>
    </row>
    <row r="37" spans="1:45" ht="40.5" hidden="1" x14ac:dyDescent="0.25">
      <c r="A37" s="33" t="s">
        <v>88</v>
      </c>
      <c r="B37" s="42">
        <v>732</v>
      </c>
      <c r="C37" s="33" t="s">
        <v>67</v>
      </c>
      <c r="D37" s="33" t="s">
        <v>356</v>
      </c>
      <c r="E37" s="32"/>
      <c r="F37" s="43" t="s">
        <v>358</v>
      </c>
      <c r="G37" s="33" t="s">
        <v>359</v>
      </c>
      <c r="H37" s="33" t="s">
        <v>360</v>
      </c>
      <c r="I37" s="32"/>
      <c r="J37" s="62" t="s">
        <v>361</v>
      </c>
      <c r="K37" s="33" t="s">
        <v>43</v>
      </c>
      <c r="L37" s="33" t="s">
        <v>362</v>
      </c>
      <c r="M37" s="63">
        <v>13921454534</v>
      </c>
      <c r="N37" s="45"/>
      <c r="O37" s="63">
        <v>15000000</v>
      </c>
      <c r="P37" s="59">
        <v>96000000</v>
      </c>
      <c r="Q37" s="44">
        <f t="shared" si="1"/>
        <v>14032454534</v>
      </c>
      <c r="R37" s="65">
        <v>13921454534</v>
      </c>
      <c r="S37" s="32"/>
      <c r="T37" s="44">
        <v>15000000</v>
      </c>
      <c r="U37" s="48">
        <v>96000000</v>
      </c>
      <c r="V37" s="32"/>
      <c r="W37" s="49"/>
      <c r="X37" s="49">
        <f t="shared" ref="X37:Z37" si="36">N37-S37</f>
        <v>0</v>
      </c>
      <c r="Y37" s="49">
        <f t="shared" si="36"/>
        <v>0</v>
      </c>
      <c r="Z37" s="49">
        <f t="shared" si="36"/>
        <v>0</v>
      </c>
      <c r="AA37" s="54"/>
      <c r="AB37" s="54"/>
      <c r="AC37" s="2">
        <f t="shared" si="3"/>
        <v>2</v>
      </c>
      <c r="AD37" s="6"/>
      <c r="AE37" s="6"/>
      <c r="AF37" s="6"/>
      <c r="AG37" s="6"/>
      <c r="AH37" s="6"/>
      <c r="AI37" s="6"/>
      <c r="AJ37" s="6"/>
      <c r="AK37" s="6"/>
      <c r="AL37" s="6"/>
      <c r="AM37" s="6"/>
      <c r="AN37" s="6"/>
      <c r="AO37" s="6"/>
      <c r="AP37" s="6"/>
      <c r="AQ37" s="6"/>
      <c r="AR37" s="6"/>
      <c r="AS37" s="6"/>
    </row>
    <row r="38" spans="1:45" ht="47.25" hidden="1" x14ac:dyDescent="0.25">
      <c r="A38" s="33" t="s">
        <v>35</v>
      </c>
      <c r="B38" s="42">
        <v>285</v>
      </c>
      <c r="C38" s="33" t="s">
        <v>37</v>
      </c>
      <c r="D38" s="33" t="s">
        <v>367</v>
      </c>
      <c r="E38" s="33" t="s">
        <v>368</v>
      </c>
      <c r="F38" s="43" t="s">
        <v>369</v>
      </c>
      <c r="G38" s="33" t="s">
        <v>370</v>
      </c>
      <c r="H38" s="32"/>
      <c r="I38" s="32"/>
      <c r="J38" s="33" t="s">
        <v>371</v>
      </c>
      <c r="K38" s="33" t="s">
        <v>43</v>
      </c>
      <c r="L38" s="33" t="s">
        <v>372</v>
      </c>
      <c r="M38" s="44">
        <v>10000000</v>
      </c>
      <c r="N38" s="44">
        <v>549345285</v>
      </c>
      <c r="O38" s="44">
        <v>15000000</v>
      </c>
      <c r="P38" s="59">
        <v>30000000</v>
      </c>
      <c r="Q38" s="44">
        <f t="shared" si="1"/>
        <v>604345285</v>
      </c>
      <c r="R38" s="48">
        <v>10000000</v>
      </c>
      <c r="S38" s="48">
        <v>549345285</v>
      </c>
      <c r="T38" s="44">
        <v>15000000</v>
      </c>
      <c r="U38" s="48">
        <v>30000000</v>
      </c>
      <c r="V38" s="32"/>
      <c r="W38" s="49"/>
      <c r="X38" s="49">
        <f t="shared" ref="X38:Z38" si="37">N38-S38</f>
        <v>0</v>
      </c>
      <c r="Y38" s="49">
        <f t="shared" si="37"/>
        <v>0</v>
      </c>
      <c r="Z38" s="49">
        <f t="shared" si="37"/>
        <v>0</v>
      </c>
      <c r="AA38" s="54"/>
      <c r="AB38" s="54"/>
      <c r="AC38" s="2">
        <f t="shared" si="3"/>
        <v>2</v>
      </c>
      <c r="AD38" s="6"/>
      <c r="AE38" s="6"/>
      <c r="AF38" s="6"/>
      <c r="AG38" s="6"/>
      <c r="AH38" s="6"/>
      <c r="AI38" s="6"/>
      <c r="AJ38" s="6"/>
      <c r="AK38" s="6"/>
      <c r="AL38" s="6"/>
      <c r="AM38" s="6"/>
      <c r="AN38" s="6"/>
      <c r="AO38" s="6"/>
      <c r="AP38" s="6"/>
      <c r="AQ38" s="6"/>
      <c r="AR38" s="6"/>
      <c r="AS38" s="6"/>
    </row>
    <row r="39" spans="1:45" ht="63" x14ac:dyDescent="0.25">
      <c r="A39" s="33" t="s">
        <v>35</v>
      </c>
      <c r="B39" s="42">
        <v>698</v>
      </c>
      <c r="C39" s="33" t="s">
        <v>67</v>
      </c>
      <c r="D39" s="33" t="s">
        <v>376</v>
      </c>
      <c r="E39" s="33" t="s">
        <v>377</v>
      </c>
      <c r="F39" s="43" t="s">
        <v>378</v>
      </c>
      <c r="G39" s="33" t="s">
        <v>379</v>
      </c>
      <c r="H39" s="33" t="s">
        <v>380</v>
      </c>
      <c r="I39" s="33"/>
      <c r="J39" s="33" t="s">
        <v>381</v>
      </c>
      <c r="K39" s="33" t="s">
        <v>43</v>
      </c>
      <c r="L39" s="33" t="s">
        <v>383</v>
      </c>
      <c r="M39" s="63">
        <v>1495439088</v>
      </c>
      <c r="N39" s="63">
        <v>330415722</v>
      </c>
      <c r="O39" s="63">
        <v>15000000</v>
      </c>
      <c r="P39" s="46">
        <v>72000000</v>
      </c>
      <c r="Q39" s="44">
        <f t="shared" si="1"/>
        <v>1912854810</v>
      </c>
      <c r="R39" s="65">
        <v>1495439088</v>
      </c>
      <c r="S39" s="65">
        <v>330415722</v>
      </c>
      <c r="T39" s="45">
        <v>15000000</v>
      </c>
      <c r="U39" s="33"/>
      <c r="V39" s="32"/>
      <c r="W39" s="49"/>
      <c r="X39" s="49">
        <f t="shared" ref="X39:Z39" si="38">N39-S39</f>
        <v>0</v>
      </c>
      <c r="Y39" s="49">
        <f t="shared" si="38"/>
        <v>0</v>
      </c>
      <c r="Z39" s="52">
        <f t="shared" si="38"/>
        <v>72000000</v>
      </c>
      <c r="AA39" s="54"/>
      <c r="AB39" s="43"/>
      <c r="AC39" s="6">
        <f t="shared" si="3"/>
        <v>2</v>
      </c>
      <c r="AD39" s="6"/>
      <c r="AE39" s="6"/>
      <c r="AF39" s="6"/>
      <c r="AG39" s="6"/>
      <c r="AH39" s="6"/>
      <c r="AI39" s="6"/>
      <c r="AJ39" s="6"/>
      <c r="AK39" s="6"/>
      <c r="AL39" s="6"/>
      <c r="AM39" s="6"/>
      <c r="AN39" s="6"/>
      <c r="AO39" s="6"/>
      <c r="AP39" s="6"/>
      <c r="AQ39" s="6"/>
      <c r="AR39" s="6"/>
      <c r="AS39" s="6"/>
    </row>
    <row r="40" spans="1:45" ht="31.5" hidden="1" x14ac:dyDescent="0.25">
      <c r="A40" s="33" t="s">
        <v>60</v>
      </c>
      <c r="B40" s="42">
        <v>181</v>
      </c>
      <c r="C40" s="33" t="s">
        <v>386</v>
      </c>
      <c r="D40" s="33" t="s">
        <v>387</v>
      </c>
      <c r="E40" s="33" t="s">
        <v>156</v>
      </c>
      <c r="F40" s="43" t="s">
        <v>388</v>
      </c>
      <c r="G40" s="33" t="s">
        <v>389</v>
      </c>
      <c r="H40" s="33" t="s">
        <v>390</v>
      </c>
      <c r="I40" s="32"/>
      <c r="J40" s="33" t="s">
        <v>391</v>
      </c>
      <c r="K40" s="33" t="s">
        <v>43</v>
      </c>
      <c r="L40" s="33" t="s">
        <v>392</v>
      </c>
      <c r="M40" s="44">
        <v>14532544980</v>
      </c>
      <c r="N40" s="44">
        <v>643772000</v>
      </c>
      <c r="O40" s="44">
        <v>15000000</v>
      </c>
      <c r="P40" s="59">
        <v>48000000</v>
      </c>
      <c r="Q40" s="44">
        <f t="shared" si="1"/>
        <v>15239316980</v>
      </c>
      <c r="R40" s="48">
        <v>14532544980</v>
      </c>
      <c r="S40" s="48">
        <v>643772000</v>
      </c>
      <c r="T40" s="44">
        <v>15000000</v>
      </c>
      <c r="U40" s="48">
        <v>48000000</v>
      </c>
      <c r="V40" s="32"/>
      <c r="W40" s="49"/>
      <c r="X40" s="49">
        <f t="shared" ref="X40:Z40" si="39">N40-S40</f>
        <v>0</v>
      </c>
      <c r="Y40" s="49">
        <f t="shared" si="39"/>
        <v>0</v>
      </c>
      <c r="Z40" s="49">
        <f t="shared" si="39"/>
        <v>0</v>
      </c>
      <c r="AA40" s="54"/>
      <c r="AB40" s="54"/>
      <c r="AC40" s="2">
        <f t="shared" si="3"/>
        <v>2</v>
      </c>
      <c r="AD40" s="6"/>
      <c r="AE40" s="6"/>
      <c r="AF40" s="6"/>
      <c r="AG40" s="6"/>
      <c r="AH40" s="6"/>
      <c r="AI40" s="6"/>
      <c r="AJ40" s="6"/>
      <c r="AK40" s="6"/>
      <c r="AL40" s="6"/>
      <c r="AM40" s="6"/>
      <c r="AN40" s="6"/>
      <c r="AO40" s="6"/>
      <c r="AP40" s="6"/>
      <c r="AQ40" s="6"/>
      <c r="AR40" s="6"/>
      <c r="AS40" s="6"/>
    </row>
    <row r="41" spans="1:45" ht="31.5" hidden="1" x14ac:dyDescent="0.25">
      <c r="A41" s="33" t="s">
        <v>35</v>
      </c>
      <c r="B41" s="42">
        <v>518</v>
      </c>
      <c r="C41" s="33" t="s">
        <v>124</v>
      </c>
      <c r="D41" s="33" t="s">
        <v>398</v>
      </c>
      <c r="E41" s="32"/>
      <c r="F41" s="43" t="s">
        <v>388</v>
      </c>
      <c r="G41" s="33" t="s">
        <v>399</v>
      </c>
      <c r="H41" s="32"/>
      <c r="I41" s="32"/>
      <c r="J41" s="33" t="s">
        <v>400</v>
      </c>
      <c r="K41" s="33" t="s">
        <v>43</v>
      </c>
      <c r="L41" s="33" t="s">
        <v>401</v>
      </c>
      <c r="M41" s="44">
        <v>6145577620</v>
      </c>
      <c r="N41" s="45"/>
      <c r="O41" s="44">
        <v>15000000</v>
      </c>
      <c r="P41" s="59">
        <v>38666675</v>
      </c>
      <c r="Q41" s="44">
        <f t="shared" si="1"/>
        <v>6199244295</v>
      </c>
      <c r="R41" s="48">
        <v>6145577620</v>
      </c>
      <c r="S41" s="32"/>
      <c r="T41" s="44">
        <v>15000000</v>
      </c>
      <c r="U41" s="48">
        <v>38666675</v>
      </c>
      <c r="V41" s="32"/>
      <c r="W41" s="49"/>
      <c r="X41" s="49">
        <f t="shared" ref="X41:Z41" si="40">N41-S41</f>
        <v>0</v>
      </c>
      <c r="Y41" s="49">
        <f t="shared" si="40"/>
        <v>0</v>
      </c>
      <c r="Z41" s="49">
        <f t="shared" si="40"/>
        <v>0</v>
      </c>
      <c r="AA41" s="54"/>
      <c r="AB41" s="54"/>
      <c r="AC41" s="2">
        <f t="shared" si="3"/>
        <v>2</v>
      </c>
      <c r="AD41" s="6"/>
      <c r="AE41" s="6"/>
      <c r="AF41" s="6"/>
      <c r="AG41" s="6"/>
      <c r="AH41" s="6"/>
      <c r="AI41" s="6"/>
      <c r="AJ41" s="6"/>
      <c r="AK41" s="6"/>
      <c r="AL41" s="6"/>
      <c r="AM41" s="6"/>
      <c r="AN41" s="6"/>
      <c r="AO41" s="6"/>
      <c r="AP41" s="6"/>
      <c r="AQ41" s="6"/>
      <c r="AR41" s="6"/>
      <c r="AS41" s="6"/>
    </row>
    <row r="42" spans="1:45" ht="40.5" hidden="1" x14ac:dyDescent="0.25">
      <c r="A42" s="33" t="s">
        <v>60</v>
      </c>
      <c r="B42" s="42">
        <v>710</v>
      </c>
      <c r="C42" s="33" t="s">
        <v>67</v>
      </c>
      <c r="D42" s="33" t="s">
        <v>403</v>
      </c>
      <c r="E42" s="32"/>
      <c r="F42" s="43" t="s">
        <v>388</v>
      </c>
      <c r="G42" s="33" t="s">
        <v>404</v>
      </c>
      <c r="H42" s="33" t="s">
        <v>405</v>
      </c>
      <c r="I42" s="32"/>
      <c r="J42" s="62" t="s">
        <v>406</v>
      </c>
      <c r="K42" s="33" t="s">
        <v>43</v>
      </c>
      <c r="L42" s="33" t="s">
        <v>407</v>
      </c>
      <c r="M42" s="63">
        <v>770926012</v>
      </c>
      <c r="N42" s="45"/>
      <c r="O42" s="63">
        <v>15000000</v>
      </c>
      <c r="P42" s="59">
        <v>17866669</v>
      </c>
      <c r="Q42" s="44">
        <f t="shared" si="1"/>
        <v>803792681</v>
      </c>
      <c r="R42" s="65">
        <v>770926012</v>
      </c>
      <c r="S42" s="32"/>
      <c r="T42" s="44">
        <v>15000000</v>
      </c>
      <c r="U42" s="65">
        <v>17866669</v>
      </c>
      <c r="V42" s="32"/>
      <c r="W42" s="49"/>
      <c r="X42" s="49">
        <f t="shared" ref="X42:Z42" si="41">N42-S42</f>
        <v>0</v>
      </c>
      <c r="Y42" s="49">
        <f t="shared" si="41"/>
        <v>0</v>
      </c>
      <c r="Z42" s="49">
        <f t="shared" si="41"/>
        <v>0</v>
      </c>
      <c r="AA42" s="54"/>
      <c r="AB42" s="54"/>
      <c r="AC42" s="2">
        <f t="shared" si="3"/>
        <v>2</v>
      </c>
      <c r="AD42" s="6"/>
      <c r="AE42" s="6"/>
      <c r="AF42" s="6"/>
      <c r="AG42" s="6"/>
      <c r="AH42" s="6"/>
      <c r="AI42" s="6"/>
      <c r="AJ42" s="6"/>
      <c r="AK42" s="6"/>
      <c r="AL42" s="6"/>
      <c r="AM42" s="6"/>
      <c r="AN42" s="6"/>
      <c r="AO42" s="6"/>
      <c r="AP42" s="6"/>
      <c r="AQ42" s="6"/>
      <c r="AR42" s="6"/>
      <c r="AS42" s="6"/>
    </row>
    <row r="43" spans="1:45" ht="31.5" hidden="1" x14ac:dyDescent="0.25">
      <c r="A43" s="33" t="s">
        <v>52</v>
      </c>
      <c r="B43" s="42">
        <v>781</v>
      </c>
      <c r="C43" s="33" t="s">
        <v>74</v>
      </c>
      <c r="D43" s="33" t="s">
        <v>414</v>
      </c>
      <c r="E43" s="33" t="s">
        <v>415</v>
      </c>
      <c r="F43" s="43" t="s">
        <v>388</v>
      </c>
      <c r="G43" s="33" t="s">
        <v>416</v>
      </c>
      <c r="H43" s="33" t="s">
        <v>417</v>
      </c>
      <c r="I43" s="33" t="s">
        <v>80</v>
      </c>
      <c r="J43" s="62" t="s">
        <v>418</v>
      </c>
      <c r="K43" s="33" t="s">
        <v>43</v>
      </c>
      <c r="L43" s="33" t="s">
        <v>419</v>
      </c>
      <c r="M43" s="63">
        <v>1064740652</v>
      </c>
      <c r="N43" s="63">
        <v>253106154</v>
      </c>
      <c r="O43" s="63">
        <v>15000000</v>
      </c>
      <c r="P43" s="59">
        <v>12533339</v>
      </c>
      <c r="Q43" s="44">
        <f t="shared" si="1"/>
        <v>1345380145</v>
      </c>
      <c r="R43" s="65">
        <v>1064740652</v>
      </c>
      <c r="S43" s="65">
        <v>253106154</v>
      </c>
      <c r="T43" s="63">
        <v>15000000</v>
      </c>
      <c r="U43" s="65">
        <v>12533339</v>
      </c>
      <c r="V43" s="32"/>
      <c r="W43" s="49"/>
      <c r="X43" s="49">
        <f t="shared" ref="X43:Z43" si="42">N43-S43</f>
        <v>0</v>
      </c>
      <c r="Y43" s="49">
        <f t="shared" si="42"/>
        <v>0</v>
      </c>
      <c r="Z43" s="49">
        <f t="shared" si="42"/>
        <v>0</v>
      </c>
      <c r="AA43" s="54"/>
      <c r="AB43" s="54"/>
      <c r="AC43" s="2">
        <f t="shared" si="3"/>
        <v>2</v>
      </c>
      <c r="AD43" s="6"/>
      <c r="AE43" s="6"/>
      <c r="AF43" s="6"/>
      <c r="AG43" s="6"/>
      <c r="AH43" s="6"/>
      <c r="AI43" s="6"/>
      <c r="AJ43" s="6"/>
      <c r="AK43" s="6"/>
      <c r="AL43" s="6"/>
      <c r="AM43" s="6"/>
      <c r="AN43" s="6"/>
      <c r="AO43" s="6"/>
      <c r="AP43" s="6"/>
      <c r="AQ43" s="6"/>
      <c r="AR43" s="6"/>
      <c r="AS43" s="6"/>
    </row>
    <row r="44" spans="1:45" ht="62.25" hidden="1" customHeight="1" x14ac:dyDescent="0.25">
      <c r="A44" s="33" t="s">
        <v>88</v>
      </c>
      <c r="B44" s="42">
        <v>822</v>
      </c>
      <c r="C44" s="33" t="s">
        <v>89</v>
      </c>
      <c r="D44" s="33" t="s">
        <v>423</v>
      </c>
      <c r="E44" s="33" t="s">
        <v>424</v>
      </c>
      <c r="F44" s="43" t="s">
        <v>388</v>
      </c>
      <c r="G44" s="33" t="s">
        <v>425</v>
      </c>
      <c r="H44" s="33" t="s">
        <v>426</v>
      </c>
      <c r="I44" s="32"/>
      <c r="J44" s="62" t="s">
        <v>427</v>
      </c>
      <c r="K44" s="33" t="s">
        <v>43</v>
      </c>
      <c r="L44" s="33" t="s">
        <v>428</v>
      </c>
      <c r="M44" s="63">
        <v>10000000</v>
      </c>
      <c r="N44" s="63">
        <v>715604580</v>
      </c>
      <c r="O44" s="63">
        <v>15000000</v>
      </c>
      <c r="P44" s="59">
        <v>24000000</v>
      </c>
      <c r="Q44" s="44">
        <f t="shared" si="1"/>
        <v>764604580</v>
      </c>
      <c r="R44" s="65">
        <v>10000000</v>
      </c>
      <c r="S44" s="65">
        <v>715604580</v>
      </c>
      <c r="T44" s="44">
        <v>15000000</v>
      </c>
      <c r="U44" s="65">
        <v>24000000</v>
      </c>
      <c r="V44" s="32"/>
      <c r="W44" s="49"/>
      <c r="X44" s="49">
        <f t="shared" ref="X44:Z44" si="43">N44-S44</f>
        <v>0</v>
      </c>
      <c r="Y44" s="49">
        <f t="shared" si="43"/>
        <v>0</v>
      </c>
      <c r="Z44" s="49">
        <f t="shared" si="43"/>
        <v>0</v>
      </c>
      <c r="AA44" s="54"/>
      <c r="AB44" s="54"/>
      <c r="AC44" s="2">
        <f t="shared" si="3"/>
        <v>2</v>
      </c>
      <c r="AD44" s="6"/>
      <c r="AE44" s="6"/>
      <c r="AF44" s="6"/>
      <c r="AG44" s="6"/>
      <c r="AH44" s="6"/>
      <c r="AI44" s="6"/>
      <c r="AJ44" s="6"/>
      <c r="AK44" s="6"/>
      <c r="AL44" s="6"/>
      <c r="AM44" s="6"/>
      <c r="AN44" s="6"/>
      <c r="AO44" s="6"/>
      <c r="AP44" s="6"/>
      <c r="AQ44" s="6"/>
      <c r="AR44" s="6"/>
      <c r="AS44" s="6"/>
    </row>
    <row r="45" spans="1:45" ht="60.75" hidden="1" x14ac:dyDescent="0.25">
      <c r="A45" s="33" t="s">
        <v>88</v>
      </c>
      <c r="B45" s="42">
        <v>828</v>
      </c>
      <c r="C45" s="33" t="s">
        <v>89</v>
      </c>
      <c r="D45" s="33" t="s">
        <v>434</v>
      </c>
      <c r="E45" s="32"/>
      <c r="F45" s="43" t="s">
        <v>388</v>
      </c>
      <c r="G45" s="33" t="s">
        <v>435</v>
      </c>
      <c r="H45" s="32"/>
      <c r="I45" s="32"/>
      <c r="J45" s="62" t="s">
        <v>436</v>
      </c>
      <c r="K45" s="33" t="s">
        <v>43</v>
      </c>
      <c r="L45" s="33" t="s">
        <v>437</v>
      </c>
      <c r="M45" s="63">
        <v>1770648232</v>
      </c>
      <c r="N45" s="45"/>
      <c r="O45" s="63">
        <v>15000000</v>
      </c>
      <c r="P45" s="59">
        <v>33333335</v>
      </c>
      <c r="Q45" s="44">
        <f t="shared" si="1"/>
        <v>1818981567</v>
      </c>
      <c r="R45" s="65">
        <v>1770648232</v>
      </c>
      <c r="S45" s="32"/>
      <c r="T45" s="44">
        <v>15000000</v>
      </c>
      <c r="U45" s="65">
        <v>33333335</v>
      </c>
      <c r="V45" s="32"/>
      <c r="W45" s="49"/>
      <c r="X45" s="49">
        <f t="shared" ref="X45:Z45" si="44">N45-S45</f>
        <v>0</v>
      </c>
      <c r="Y45" s="49">
        <f t="shared" si="44"/>
        <v>0</v>
      </c>
      <c r="Z45" s="49">
        <f t="shared" si="44"/>
        <v>0</v>
      </c>
      <c r="AA45" s="54"/>
      <c r="AB45" s="54"/>
      <c r="AC45" s="2">
        <f t="shared" si="3"/>
        <v>2</v>
      </c>
      <c r="AD45" s="6"/>
      <c r="AE45" s="6"/>
      <c r="AF45" s="6"/>
      <c r="AG45" s="6"/>
      <c r="AH45" s="6"/>
      <c r="AI45" s="6"/>
      <c r="AJ45" s="6"/>
      <c r="AK45" s="6"/>
      <c r="AL45" s="6"/>
      <c r="AM45" s="6"/>
      <c r="AN45" s="6"/>
      <c r="AO45" s="6"/>
      <c r="AP45" s="6"/>
      <c r="AQ45" s="6"/>
      <c r="AR45" s="6"/>
      <c r="AS45" s="6"/>
    </row>
    <row r="46" spans="1:45" ht="63" hidden="1" x14ac:dyDescent="0.25">
      <c r="A46" s="33" t="s">
        <v>60</v>
      </c>
      <c r="B46" s="42">
        <v>802</v>
      </c>
      <c r="C46" s="33" t="s">
        <v>74</v>
      </c>
      <c r="D46" s="33" t="s">
        <v>444</v>
      </c>
      <c r="E46" s="32"/>
      <c r="F46" s="43" t="s">
        <v>446</v>
      </c>
      <c r="G46" s="33" t="s">
        <v>447</v>
      </c>
      <c r="H46" s="32"/>
      <c r="I46" s="32"/>
      <c r="J46" s="62" t="s">
        <v>448</v>
      </c>
      <c r="K46" s="33" t="s">
        <v>43</v>
      </c>
      <c r="L46" s="33" t="s">
        <v>449</v>
      </c>
      <c r="M46" s="63">
        <v>10000000</v>
      </c>
      <c r="N46" s="45"/>
      <c r="O46" s="63">
        <v>15000000</v>
      </c>
      <c r="P46" s="59">
        <v>72000000</v>
      </c>
      <c r="Q46" s="44">
        <f t="shared" si="1"/>
        <v>97000000</v>
      </c>
      <c r="R46" s="52">
        <v>10000000</v>
      </c>
      <c r="S46" s="32"/>
      <c r="T46" s="44">
        <v>15000000</v>
      </c>
      <c r="U46" s="48">
        <v>72000000</v>
      </c>
      <c r="V46" s="32"/>
      <c r="W46" s="49"/>
      <c r="X46" s="49">
        <f t="shared" ref="X46:Z46" si="45">N46-S46</f>
        <v>0</v>
      </c>
      <c r="Y46" s="49">
        <f t="shared" si="45"/>
        <v>0</v>
      </c>
      <c r="Z46" s="49">
        <f t="shared" si="45"/>
        <v>0</v>
      </c>
      <c r="AA46" s="54"/>
      <c r="AB46" s="54"/>
      <c r="AC46" s="2">
        <f t="shared" si="3"/>
        <v>2</v>
      </c>
      <c r="AD46" s="6"/>
      <c r="AE46" s="6"/>
      <c r="AF46" s="6"/>
      <c r="AG46" s="6"/>
      <c r="AH46" s="6"/>
      <c r="AI46" s="6"/>
      <c r="AJ46" s="6"/>
      <c r="AK46" s="6"/>
      <c r="AL46" s="6"/>
      <c r="AM46" s="6"/>
      <c r="AN46" s="6"/>
      <c r="AO46" s="6"/>
      <c r="AP46" s="6"/>
      <c r="AQ46" s="6"/>
      <c r="AR46" s="6"/>
      <c r="AS46" s="6"/>
    </row>
    <row r="47" spans="1:45" ht="78.75" hidden="1" x14ac:dyDescent="0.25">
      <c r="A47" s="33" t="s">
        <v>35</v>
      </c>
      <c r="B47" s="42">
        <v>447</v>
      </c>
      <c r="C47" s="33" t="s">
        <v>47</v>
      </c>
      <c r="D47" s="33" t="s">
        <v>455</v>
      </c>
      <c r="E47" s="32"/>
      <c r="F47" s="43" t="s">
        <v>456</v>
      </c>
      <c r="G47" s="33" t="s">
        <v>457</v>
      </c>
      <c r="H47" s="32"/>
      <c r="I47" s="32"/>
      <c r="J47" s="33" t="s">
        <v>458</v>
      </c>
      <c r="K47" s="33" t="s">
        <v>43</v>
      </c>
      <c r="L47" s="33" t="s">
        <v>459</v>
      </c>
      <c r="M47" s="44">
        <v>1371254860</v>
      </c>
      <c r="N47" s="45"/>
      <c r="O47" s="44">
        <v>15000000</v>
      </c>
      <c r="P47" s="59">
        <v>192000000</v>
      </c>
      <c r="Q47" s="44">
        <f t="shared" si="1"/>
        <v>1578254860</v>
      </c>
      <c r="R47" s="48">
        <v>1371254860</v>
      </c>
      <c r="S47" s="32"/>
      <c r="T47" s="44">
        <v>15000000</v>
      </c>
      <c r="U47" s="48">
        <v>192000000</v>
      </c>
      <c r="V47" s="32"/>
      <c r="W47" s="49"/>
      <c r="X47" s="49">
        <f t="shared" ref="X47:Z47" si="46">N47-S47</f>
        <v>0</v>
      </c>
      <c r="Y47" s="49">
        <f t="shared" si="46"/>
        <v>0</v>
      </c>
      <c r="Z47" s="49">
        <f t="shared" si="46"/>
        <v>0</v>
      </c>
      <c r="AA47" s="54"/>
      <c r="AB47" s="54"/>
      <c r="AC47" s="2">
        <f t="shared" si="3"/>
        <v>2</v>
      </c>
      <c r="AD47" s="6"/>
      <c r="AE47" s="6"/>
      <c r="AF47" s="6"/>
      <c r="AG47" s="6"/>
      <c r="AH47" s="6"/>
      <c r="AI47" s="6"/>
      <c r="AJ47" s="6"/>
      <c r="AK47" s="6"/>
      <c r="AL47" s="6"/>
      <c r="AM47" s="6"/>
      <c r="AN47" s="6"/>
      <c r="AO47" s="6"/>
      <c r="AP47" s="6"/>
      <c r="AQ47" s="6"/>
      <c r="AR47" s="6"/>
      <c r="AS47" s="6"/>
    </row>
    <row r="48" spans="1:45" ht="63.75" hidden="1" x14ac:dyDescent="0.3">
      <c r="A48" s="43" t="s">
        <v>35</v>
      </c>
      <c r="B48" s="42">
        <v>760</v>
      </c>
      <c r="C48" s="33" t="s">
        <v>67</v>
      </c>
      <c r="D48" s="33" t="s">
        <v>465</v>
      </c>
      <c r="E48" s="54"/>
      <c r="F48" s="43" t="s">
        <v>466</v>
      </c>
      <c r="G48" s="43" t="s">
        <v>467</v>
      </c>
      <c r="H48" s="54"/>
      <c r="I48" s="54"/>
      <c r="J48" s="62" t="s">
        <v>468</v>
      </c>
      <c r="K48" s="43" t="s">
        <v>43</v>
      </c>
      <c r="L48" s="33" t="s">
        <v>82</v>
      </c>
      <c r="M48" s="76">
        <v>1230286468</v>
      </c>
      <c r="N48" s="45"/>
      <c r="O48" s="63">
        <v>15000000</v>
      </c>
      <c r="P48" s="59">
        <v>72000000</v>
      </c>
      <c r="Q48" s="44">
        <f t="shared" si="1"/>
        <v>1317286468</v>
      </c>
      <c r="R48" s="65">
        <v>1230286468</v>
      </c>
      <c r="S48" s="32"/>
      <c r="T48" s="63">
        <v>15000000</v>
      </c>
      <c r="U48" s="65">
        <v>72000000</v>
      </c>
      <c r="V48" s="32"/>
      <c r="W48" s="49"/>
      <c r="X48" s="49">
        <f t="shared" ref="X48:Z48" si="47">N48-S48</f>
        <v>0</v>
      </c>
      <c r="Y48" s="49">
        <f t="shared" si="47"/>
        <v>0</v>
      </c>
      <c r="Z48" s="49">
        <f t="shared" si="47"/>
        <v>0</v>
      </c>
      <c r="AA48" s="54"/>
      <c r="AB48" s="54"/>
      <c r="AC48" s="2">
        <f t="shared" si="3"/>
        <v>2</v>
      </c>
      <c r="AD48" s="6"/>
      <c r="AE48" s="6"/>
      <c r="AF48" s="6"/>
      <c r="AG48" s="6"/>
      <c r="AH48" s="6"/>
      <c r="AI48" s="6"/>
      <c r="AJ48" s="6"/>
      <c r="AK48" s="6"/>
      <c r="AL48" s="6"/>
      <c r="AM48" s="6"/>
      <c r="AN48" s="6"/>
      <c r="AO48" s="6"/>
      <c r="AP48" s="6"/>
      <c r="AQ48" s="6"/>
      <c r="AR48" s="6"/>
      <c r="AS48" s="6"/>
    </row>
    <row r="49" spans="1:45" ht="78.75" hidden="1" x14ac:dyDescent="0.25">
      <c r="A49" s="33" t="s">
        <v>88</v>
      </c>
      <c r="B49" s="42">
        <v>873</v>
      </c>
      <c r="C49" s="33" t="s">
        <v>480</v>
      </c>
      <c r="D49" s="32"/>
      <c r="E49" s="33" t="s">
        <v>481</v>
      </c>
      <c r="F49" s="33" t="s">
        <v>482</v>
      </c>
      <c r="G49" s="33" t="s">
        <v>483</v>
      </c>
      <c r="H49" s="32"/>
      <c r="I49" s="33" t="s">
        <v>113</v>
      </c>
      <c r="J49" s="62" t="s">
        <v>484</v>
      </c>
      <c r="K49" s="33" t="s">
        <v>43</v>
      </c>
      <c r="L49" s="33" t="s">
        <v>485</v>
      </c>
      <c r="M49" s="63">
        <v>10717985200</v>
      </c>
      <c r="N49" s="45"/>
      <c r="O49" s="63">
        <v>15000000</v>
      </c>
      <c r="P49" s="63">
        <v>24000000</v>
      </c>
      <c r="Q49" s="44">
        <f t="shared" si="1"/>
        <v>10756985200</v>
      </c>
      <c r="R49" s="48">
        <v>10717985200</v>
      </c>
      <c r="S49" s="32"/>
      <c r="T49" s="45">
        <v>15000000</v>
      </c>
      <c r="U49" s="65">
        <v>24000000</v>
      </c>
      <c r="V49" s="32"/>
      <c r="W49" s="49"/>
      <c r="X49" s="49">
        <f t="shared" ref="X49:Z49" si="48">N49-S49</f>
        <v>0</v>
      </c>
      <c r="Y49" s="49">
        <f t="shared" si="48"/>
        <v>0</v>
      </c>
      <c r="Z49" s="49">
        <f t="shared" si="48"/>
        <v>0</v>
      </c>
      <c r="AA49" s="54"/>
      <c r="AB49" s="54"/>
      <c r="AC49" s="2">
        <f t="shared" si="3"/>
        <v>2</v>
      </c>
      <c r="AD49" s="6"/>
      <c r="AE49" s="6"/>
      <c r="AF49" s="6"/>
      <c r="AG49" s="6"/>
      <c r="AH49" s="6"/>
      <c r="AI49" s="6"/>
      <c r="AJ49" s="6"/>
      <c r="AK49" s="6"/>
      <c r="AL49" s="6"/>
      <c r="AM49" s="6"/>
      <c r="AN49" s="6"/>
      <c r="AO49" s="6"/>
      <c r="AP49" s="6"/>
      <c r="AQ49" s="6"/>
      <c r="AR49" s="6"/>
      <c r="AS49" s="6"/>
    </row>
    <row r="50" spans="1:45" ht="40.5" hidden="1" x14ac:dyDescent="0.25">
      <c r="A50" s="33" t="s">
        <v>88</v>
      </c>
      <c r="B50" s="42">
        <v>875</v>
      </c>
      <c r="C50" s="33" t="s">
        <v>480</v>
      </c>
      <c r="D50" s="33" t="s">
        <v>491</v>
      </c>
      <c r="E50" s="33" t="s">
        <v>481</v>
      </c>
      <c r="F50" s="33" t="s">
        <v>482</v>
      </c>
      <c r="G50" s="33" t="s">
        <v>269</v>
      </c>
      <c r="H50" s="32"/>
      <c r="I50" s="33" t="s">
        <v>113</v>
      </c>
      <c r="J50" s="62" t="s">
        <v>494</v>
      </c>
      <c r="K50" s="33" t="s">
        <v>43</v>
      </c>
      <c r="L50" s="33" t="s">
        <v>485</v>
      </c>
      <c r="M50" s="63">
        <v>2852252840</v>
      </c>
      <c r="N50" s="45"/>
      <c r="O50" s="63">
        <v>15000000</v>
      </c>
      <c r="P50" s="63">
        <v>24000000</v>
      </c>
      <c r="Q50" s="44">
        <f t="shared" si="1"/>
        <v>2891252840</v>
      </c>
      <c r="R50" s="65">
        <v>2852252840</v>
      </c>
      <c r="S50" s="32"/>
      <c r="T50" s="45">
        <v>15000000</v>
      </c>
      <c r="U50" s="65">
        <v>24000000</v>
      </c>
      <c r="V50" s="32"/>
      <c r="W50" s="49"/>
      <c r="X50" s="49">
        <f t="shared" ref="X50:Z50" si="49">N50-S50</f>
        <v>0</v>
      </c>
      <c r="Y50" s="49">
        <f t="shared" si="49"/>
        <v>0</v>
      </c>
      <c r="Z50" s="49">
        <f t="shared" si="49"/>
        <v>0</v>
      </c>
      <c r="AA50" s="54"/>
      <c r="AB50" s="54"/>
      <c r="AC50" s="2">
        <f t="shared" si="3"/>
        <v>2</v>
      </c>
      <c r="AD50" s="6"/>
      <c r="AE50" s="6"/>
      <c r="AF50" s="6"/>
      <c r="AG50" s="6"/>
      <c r="AH50" s="6"/>
      <c r="AI50" s="6"/>
      <c r="AJ50" s="6"/>
      <c r="AK50" s="6"/>
      <c r="AL50" s="6"/>
      <c r="AM50" s="6"/>
      <c r="AN50" s="6"/>
      <c r="AO50" s="6"/>
      <c r="AP50" s="6"/>
      <c r="AQ50" s="6"/>
      <c r="AR50" s="6"/>
      <c r="AS50" s="6"/>
    </row>
    <row r="51" spans="1:45" ht="60.75" hidden="1" x14ac:dyDescent="0.25">
      <c r="A51" s="33" t="s">
        <v>35</v>
      </c>
      <c r="B51" s="42">
        <v>599</v>
      </c>
      <c r="C51" s="33" t="s">
        <v>498</v>
      </c>
      <c r="D51" s="33" t="s">
        <v>499</v>
      </c>
      <c r="E51" s="33" t="s">
        <v>500</v>
      </c>
      <c r="F51" s="43" t="s">
        <v>501</v>
      </c>
      <c r="G51" s="33" t="s">
        <v>502</v>
      </c>
      <c r="H51" s="32"/>
      <c r="I51" s="32"/>
      <c r="J51" s="62" t="s">
        <v>504</v>
      </c>
      <c r="K51" s="33" t="s">
        <v>43</v>
      </c>
      <c r="L51" s="33" t="s">
        <v>507</v>
      </c>
      <c r="M51" s="63">
        <v>1021855390</v>
      </c>
      <c r="N51" s="63">
        <v>627822258</v>
      </c>
      <c r="O51" s="63">
        <v>15000000</v>
      </c>
      <c r="P51" s="59">
        <v>24000000</v>
      </c>
      <c r="Q51" s="44">
        <f t="shared" si="1"/>
        <v>1688677648</v>
      </c>
      <c r="R51" s="65">
        <v>1021855390</v>
      </c>
      <c r="S51" s="65">
        <v>627822258</v>
      </c>
      <c r="T51" s="44">
        <v>15000000</v>
      </c>
      <c r="U51" s="65">
        <v>24000000</v>
      </c>
      <c r="V51" s="32"/>
      <c r="W51" s="49"/>
      <c r="X51" s="49">
        <f t="shared" ref="X51:Z51" si="50">N51-S51</f>
        <v>0</v>
      </c>
      <c r="Y51" s="49">
        <f t="shared" si="50"/>
        <v>0</v>
      </c>
      <c r="Z51" s="49">
        <f t="shared" si="50"/>
        <v>0</v>
      </c>
      <c r="AA51" s="54"/>
      <c r="AB51" s="54"/>
      <c r="AC51" s="2">
        <f t="shared" si="3"/>
        <v>2</v>
      </c>
      <c r="AD51" s="6"/>
      <c r="AE51" s="6"/>
      <c r="AF51" s="6"/>
      <c r="AG51" s="6"/>
      <c r="AH51" s="6"/>
      <c r="AI51" s="6"/>
      <c r="AJ51" s="6"/>
      <c r="AK51" s="6"/>
      <c r="AL51" s="6"/>
      <c r="AM51" s="6"/>
      <c r="AN51" s="6"/>
      <c r="AO51" s="6"/>
      <c r="AP51" s="6"/>
      <c r="AQ51" s="6"/>
      <c r="AR51" s="6"/>
      <c r="AS51" s="6"/>
    </row>
    <row r="52" spans="1:45" ht="31.5" hidden="1" x14ac:dyDescent="0.25">
      <c r="A52" s="33" t="s">
        <v>52</v>
      </c>
      <c r="B52" s="42">
        <v>786</v>
      </c>
      <c r="C52" s="33" t="s">
        <v>74</v>
      </c>
      <c r="D52" s="33" t="s">
        <v>513</v>
      </c>
      <c r="E52" s="33" t="s">
        <v>514</v>
      </c>
      <c r="F52" s="43" t="s">
        <v>515</v>
      </c>
      <c r="G52" s="33" t="s">
        <v>516</v>
      </c>
      <c r="H52" s="33" t="s">
        <v>517</v>
      </c>
      <c r="I52" s="33"/>
      <c r="J52" s="33" t="s">
        <v>518</v>
      </c>
      <c r="K52" s="33" t="s">
        <v>43</v>
      </c>
      <c r="L52" s="33" t="s">
        <v>519</v>
      </c>
      <c r="M52" s="63">
        <v>10000000</v>
      </c>
      <c r="N52" s="63">
        <v>1809369992</v>
      </c>
      <c r="O52" s="44">
        <v>15000000</v>
      </c>
      <c r="P52" s="59">
        <v>24000000</v>
      </c>
      <c r="Q52" s="44">
        <f t="shared" si="1"/>
        <v>1858369992</v>
      </c>
      <c r="R52" s="65">
        <v>10000000</v>
      </c>
      <c r="S52" s="65">
        <v>1809369992</v>
      </c>
      <c r="T52" s="66"/>
      <c r="U52" s="65">
        <v>24000000</v>
      </c>
      <c r="V52" s="32"/>
      <c r="W52" s="49"/>
      <c r="X52" s="49">
        <f t="shared" ref="X52:Z52" si="51">N52-S52</f>
        <v>0</v>
      </c>
      <c r="Y52" s="52">
        <f t="shared" si="51"/>
        <v>15000000</v>
      </c>
      <c r="Z52" s="49">
        <f t="shared" si="51"/>
        <v>0</v>
      </c>
      <c r="AA52" s="54"/>
      <c r="AB52" s="43"/>
      <c r="AC52" s="15">
        <f t="shared" si="3"/>
        <v>2</v>
      </c>
      <c r="AD52" s="15"/>
      <c r="AE52" s="6"/>
      <c r="AF52" s="6"/>
      <c r="AG52" s="6"/>
      <c r="AH52" s="6"/>
      <c r="AI52" s="6"/>
      <c r="AJ52" s="6"/>
      <c r="AK52" s="6"/>
      <c r="AL52" s="6"/>
      <c r="AM52" s="6"/>
      <c r="AN52" s="6"/>
      <c r="AO52" s="6"/>
      <c r="AP52" s="6"/>
      <c r="AQ52" s="6"/>
      <c r="AR52" s="6"/>
      <c r="AS52" s="6"/>
    </row>
    <row r="53" spans="1:45" ht="63" hidden="1" x14ac:dyDescent="0.25">
      <c r="A53" s="33" t="s">
        <v>52</v>
      </c>
      <c r="B53" s="42">
        <v>301</v>
      </c>
      <c r="C53" s="33" t="s">
        <v>37</v>
      </c>
      <c r="D53" s="33" t="s">
        <v>526</v>
      </c>
      <c r="E53" s="33" t="s">
        <v>527</v>
      </c>
      <c r="F53" s="43" t="s">
        <v>528</v>
      </c>
      <c r="G53" s="33" t="s">
        <v>529</v>
      </c>
      <c r="H53" s="33" t="s">
        <v>530</v>
      </c>
      <c r="I53" s="32"/>
      <c r="J53" s="33" t="s">
        <v>531</v>
      </c>
      <c r="K53" s="33" t="s">
        <v>43</v>
      </c>
      <c r="L53" s="33" t="s">
        <v>532</v>
      </c>
      <c r="M53" s="44">
        <v>3088919040</v>
      </c>
      <c r="N53" s="44">
        <v>465246720</v>
      </c>
      <c r="O53" s="44">
        <v>15000000</v>
      </c>
      <c r="P53" s="59">
        <v>36000000</v>
      </c>
      <c r="Q53" s="44">
        <f t="shared" si="1"/>
        <v>3605165760</v>
      </c>
      <c r="R53" s="48">
        <v>3088919040</v>
      </c>
      <c r="S53" s="48">
        <v>465246720</v>
      </c>
      <c r="T53" s="44">
        <v>15000000</v>
      </c>
      <c r="U53" s="48">
        <v>36000000</v>
      </c>
      <c r="V53" s="32"/>
      <c r="W53" s="49"/>
      <c r="X53" s="52">
        <f t="shared" ref="X53:Z53" si="52">N53-S53</f>
        <v>0</v>
      </c>
      <c r="Y53" s="49">
        <f t="shared" si="52"/>
        <v>0</v>
      </c>
      <c r="Z53" s="49">
        <f t="shared" si="52"/>
        <v>0</v>
      </c>
      <c r="AA53" s="43"/>
      <c r="AB53" s="43"/>
      <c r="AC53" s="6">
        <f t="shared" si="3"/>
        <v>2</v>
      </c>
      <c r="AD53" s="6"/>
      <c r="AE53" s="6"/>
      <c r="AF53" s="6"/>
      <c r="AG53" s="6"/>
      <c r="AH53" s="6"/>
      <c r="AI53" s="6"/>
      <c r="AJ53" s="6"/>
      <c r="AK53" s="6"/>
      <c r="AL53" s="6"/>
      <c r="AM53" s="6"/>
      <c r="AN53" s="6"/>
      <c r="AO53" s="6"/>
      <c r="AP53" s="6"/>
      <c r="AQ53" s="6"/>
      <c r="AR53" s="6"/>
      <c r="AS53" s="6"/>
    </row>
    <row r="54" spans="1:45" ht="63" x14ac:dyDescent="0.25">
      <c r="A54" s="33" t="s">
        <v>60</v>
      </c>
      <c r="B54" s="42">
        <v>601</v>
      </c>
      <c r="C54" s="33" t="s">
        <v>498</v>
      </c>
      <c r="D54" s="33" t="s">
        <v>539</v>
      </c>
      <c r="E54" s="33" t="s">
        <v>540</v>
      </c>
      <c r="F54" s="43" t="s">
        <v>541</v>
      </c>
      <c r="G54" s="33" t="s">
        <v>542</v>
      </c>
      <c r="H54" s="33"/>
      <c r="I54" s="33"/>
      <c r="J54" s="33" t="s">
        <v>543</v>
      </c>
      <c r="K54" s="33" t="s">
        <v>43</v>
      </c>
      <c r="L54" s="33" t="s">
        <v>544</v>
      </c>
      <c r="M54" s="63">
        <v>9937143048</v>
      </c>
      <c r="N54" s="63">
        <v>11165154312</v>
      </c>
      <c r="O54" s="63">
        <v>15000000</v>
      </c>
      <c r="P54" s="46">
        <v>216000000</v>
      </c>
      <c r="Q54" s="44">
        <f t="shared" si="1"/>
        <v>21333297360</v>
      </c>
      <c r="R54" s="65">
        <v>9937143048</v>
      </c>
      <c r="S54" s="65">
        <v>11165154312</v>
      </c>
      <c r="T54" s="44">
        <v>15000000</v>
      </c>
      <c r="U54" s="48">
        <v>72000000</v>
      </c>
      <c r="V54" s="32"/>
      <c r="W54" s="49"/>
      <c r="X54" s="49">
        <f t="shared" ref="X54:Z54" si="53">N54-S54</f>
        <v>0</v>
      </c>
      <c r="Y54" s="49">
        <f t="shared" si="53"/>
        <v>0</v>
      </c>
      <c r="Z54" s="52">
        <f t="shared" si="53"/>
        <v>144000000</v>
      </c>
      <c r="AA54" s="54"/>
      <c r="AB54" s="43"/>
      <c r="AC54" s="6">
        <f t="shared" si="3"/>
        <v>2</v>
      </c>
      <c r="AD54" s="6"/>
      <c r="AE54" s="6"/>
      <c r="AF54" s="6"/>
      <c r="AG54" s="6"/>
      <c r="AH54" s="6"/>
      <c r="AI54" s="6"/>
      <c r="AJ54" s="6"/>
      <c r="AK54" s="6"/>
      <c r="AL54" s="6"/>
      <c r="AM54" s="6"/>
      <c r="AN54" s="6"/>
      <c r="AO54" s="6"/>
      <c r="AP54" s="6"/>
      <c r="AQ54" s="6"/>
      <c r="AR54" s="6"/>
      <c r="AS54" s="6"/>
    </row>
    <row r="55" spans="1:45" ht="63" hidden="1" x14ac:dyDescent="0.25">
      <c r="A55" s="33" t="s">
        <v>88</v>
      </c>
      <c r="B55" s="42">
        <v>485</v>
      </c>
      <c r="C55" s="33" t="s">
        <v>124</v>
      </c>
      <c r="D55" s="33" t="s">
        <v>549</v>
      </c>
      <c r="E55" s="32"/>
      <c r="F55" s="43" t="s">
        <v>550</v>
      </c>
      <c r="G55" s="33" t="s">
        <v>551</v>
      </c>
      <c r="H55" s="32"/>
      <c r="I55" s="32"/>
      <c r="J55" s="33" t="s">
        <v>552</v>
      </c>
      <c r="K55" s="33" t="s">
        <v>43</v>
      </c>
      <c r="L55" s="33" t="s">
        <v>553</v>
      </c>
      <c r="M55" s="44">
        <v>10000000</v>
      </c>
      <c r="N55" s="45"/>
      <c r="O55" s="44">
        <v>15000000</v>
      </c>
      <c r="P55" s="59">
        <v>72000000</v>
      </c>
      <c r="Q55" s="44">
        <f t="shared" si="1"/>
        <v>97000000</v>
      </c>
      <c r="R55" s="52">
        <v>10000000</v>
      </c>
      <c r="S55" s="32"/>
      <c r="T55" s="44">
        <v>15000000</v>
      </c>
      <c r="U55" s="48">
        <v>72000000</v>
      </c>
      <c r="V55" s="32"/>
      <c r="W55" s="49"/>
      <c r="X55" s="49">
        <f t="shared" ref="X55:Z55" si="54">N55-S55</f>
        <v>0</v>
      </c>
      <c r="Y55" s="49">
        <f t="shared" si="54"/>
        <v>0</v>
      </c>
      <c r="Z55" s="49">
        <f t="shared" si="54"/>
        <v>0</v>
      </c>
      <c r="AA55" s="54"/>
      <c r="AB55" s="54"/>
      <c r="AC55" s="2">
        <f t="shared" si="3"/>
        <v>2</v>
      </c>
      <c r="AD55" s="6"/>
      <c r="AE55" s="6"/>
      <c r="AF55" s="6"/>
      <c r="AG55" s="6"/>
      <c r="AH55" s="6"/>
      <c r="AI55" s="6"/>
      <c r="AJ55" s="6"/>
      <c r="AK55" s="6"/>
      <c r="AL55" s="6"/>
      <c r="AM55" s="6"/>
      <c r="AN55" s="6"/>
      <c r="AO55" s="6"/>
      <c r="AP55" s="6"/>
      <c r="AQ55" s="6"/>
      <c r="AR55" s="6"/>
      <c r="AS55" s="6"/>
    </row>
    <row r="56" spans="1:45" ht="31.5" hidden="1" x14ac:dyDescent="0.25">
      <c r="A56" s="33" t="s">
        <v>52</v>
      </c>
      <c r="B56" s="42">
        <v>225</v>
      </c>
      <c r="C56" s="33" t="s">
        <v>557</v>
      </c>
      <c r="D56" s="33" t="s">
        <v>558</v>
      </c>
      <c r="E56" s="32"/>
      <c r="F56" s="33" t="s">
        <v>559</v>
      </c>
      <c r="G56" s="33" t="s">
        <v>560</v>
      </c>
      <c r="H56" s="32"/>
      <c r="I56" s="32"/>
      <c r="J56" s="33" t="s">
        <v>561</v>
      </c>
      <c r="K56" s="33" t="s">
        <v>43</v>
      </c>
      <c r="L56" s="33" t="s">
        <v>562</v>
      </c>
      <c r="M56" s="44">
        <v>30585365520</v>
      </c>
      <c r="N56" s="45"/>
      <c r="O56" s="44">
        <v>15000000</v>
      </c>
      <c r="P56" s="59">
        <v>48000000</v>
      </c>
      <c r="Q56" s="44">
        <f t="shared" si="1"/>
        <v>30648365520</v>
      </c>
      <c r="R56" s="48">
        <v>30585365520</v>
      </c>
      <c r="S56" s="32"/>
      <c r="T56" s="44">
        <v>15000000</v>
      </c>
      <c r="U56" s="48">
        <v>48000000</v>
      </c>
      <c r="V56" s="32"/>
      <c r="W56" s="49"/>
      <c r="X56" s="49">
        <f t="shared" ref="X56:Z56" si="55">N56-S56</f>
        <v>0</v>
      </c>
      <c r="Y56" s="49">
        <f t="shared" si="55"/>
        <v>0</v>
      </c>
      <c r="Z56" s="49">
        <f t="shared" si="55"/>
        <v>0</v>
      </c>
      <c r="AA56" s="54"/>
      <c r="AB56" s="54"/>
      <c r="AC56" s="2">
        <f t="shared" si="3"/>
        <v>2</v>
      </c>
      <c r="AD56" s="6"/>
      <c r="AE56" s="6"/>
      <c r="AF56" s="6"/>
      <c r="AG56" s="6"/>
      <c r="AH56" s="6"/>
      <c r="AI56" s="6"/>
      <c r="AJ56" s="6"/>
      <c r="AK56" s="6"/>
      <c r="AL56" s="6"/>
      <c r="AM56" s="6"/>
      <c r="AN56" s="6"/>
      <c r="AO56" s="6"/>
      <c r="AP56" s="6"/>
      <c r="AQ56" s="6"/>
      <c r="AR56" s="6"/>
      <c r="AS56" s="6"/>
    </row>
    <row r="57" spans="1:45" ht="31.5" hidden="1" x14ac:dyDescent="0.25">
      <c r="A57" s="33" t="s">
        <v>60</v>
      </c>
      <c r="B57" s="42">
        <v>582</v>
      </c>
      <c r="C57" s="33" t="s">
        <v>498</v>
      </c>
      <c r="D57" s="33" t="s">
        <v>566</v>
      </c>
      <c r="E57" s="33" t="s">
        <v>567</v>
      </c>
      <c r="F57" s="33" t="s">
        <v>568</v>
      </c>
      <c r="G57" s="33" t="s">
        <v>569</v>
      </c>
      <c r="H57" s="33"/>
      <c r="I57" s="33"/>
      <c r="J57" s="33" t="s">
        <v>570</v>
      </c>
      <c r="K57" s="33" t="s">
        <v>43</v>
      </c>
      <c r="L57" s="33" t="s">
        <v>571</v>
      </c>
      <c r="M57" s="63">
        <v>9159919264</v>
      </c>
      <c r="N57" s="77">
        <v>705698588</v>
      </c>
      <c r="O57" s="44">
        <v>15000000</v>
      </c>
      <c r="P57" s="59">
        <v>24000000</v>
      </c>
      <c r="Q57" s="44">
        <f t="shared" si="1"/>
        <v>9904617852</v>
      </c>
      <c r="R57" s="65">
        <v>9159919264</v>
      </c>
      <c r="S57" s="78">
        <v>705698588</v>
      </c>
      <c r="T57" s="66"/>
      <c r="U57" s="65">
        <v>24000000</v>
      </c>
      <c r="V57" s="32"/>
      <c r="W57" s="49"/>
      <c r="X57" s="49">
        <f t="shared" ref="X57:Z57" si="56">N57-S57</f>
        <v>0</v>
      </c>
      <c r="Y57" s="52">
        <f t="shared" si="56"/>
        <v>15000000</v>
      </c>
      <c r="Z57" s="49">
        <f t="shared" si="56"/>
        <v>0</v>
      </c>
      <c r="AA57" s="54"/>
      <c r="AB57" s="43"/>
      <c r="AC57" s="15">
        <f t="shared" si="3"/>
        <v>2</v>
      </c>
      <c r="AD57" s="15"/>
      <c r="AE57" s="6"/>
      <c r="AF57" s="6"/>
      <c r="AG57" s="6"/>
      <c r="AH57" s="6"/>
      <c r="AI57" s="6"/>
      <c r="AJ57" s="6"/>
      <c r="AK57" s="6"/>
      <c r="AL57" s="6"/>
      <c r="AM57" s="6"/>
      <c r="AN57" s="6"/>
      <c r="AO57" s="6"/>
      <c r="AP57" s="6"/>
      <c r="AQ57" s="6"/>
      <c r="AR57" s="6"/>
      <c r="AS57" s="6"/>
    </row>
    <row r="58" spans="1:45" ht="31.5" x14ac:dyDescent="0.25">
      <c r="A58" s="33" t="s">
        <v>52</v>
      </c>
      <c r="B58" s="42">
        <v>146</v>
      </c>
      <c r="C58" s="33" t="s">
        <v>581</v>
      </c>
      <c r="D58" s="33" t="s">
        <v>582</v>
      </c>
      <c r="E58" s="33" t="s">
        <v>583</v>
      </c>
      <c r="F58" s="33" t="s">
        <v>584</v>
      </c>
      <c r="G58" s="33" t="s">
        <v>585</v>
      </c>
      <c r="H58" s="33" t="s">
        <v>586</v>
      </c>
      <c r="I58" s="33"/>
      <c r="J58" s="33" t="s">
        <v>587</v>
      </c>
      <c r="K58" s="33" t="s">
        <v>43</v>
      </c>
      <c r="L58" s="33" t="s">
        <v>588</v>
      </c>
      <c r="M58" s="44">
        <v>3395712926</v>
      </c>
      <c r="N58" s="66">
        <v>194860554</v>
      </c>
      <c r="O58" s="44">
        <v>15000000</v>
      </c>
      <c r="P58" s="46">
        <v>30000000</v>
      </c>
      <c r="Q58" s="44">
        <f t="shared" si="1"/>
        <v>3635573480</v>
      </c>
      <c r="R58" s="49">
        <v>3395712926</v>
      </c>
      <c r="S58" s="33"/>
      <c r="T58" s="44">
        <v>15000000</v>
      </c>
      <c r="U58" s="33"/>
      <c r="V58" s="32"/>
      <c r="W58" s="49"/>
      <c r="X58" s="52">
        <f t="shared" ref="X58:Z58" si="57">N58-S58</f>
        <v>194860554</v>
      </c>
      <c r="Y58" s="49">
        <f t="shared" si="57"/>
        <v>0</v>
      </c>
      <c r="Z58" s="52">
        <f t="shared" si="57"/>
        <v>30000000</v>
      </c>
      <c r="AA58" s="69"/>
      <c r="AB58" s="43"/>
      <c r="AC58" s="6">
        <f t="shared" si="3"/>
        <v>2</v>
      </c>
      <c r="AD58" s="6"/>
      <c r="AE58" s="6"/>
      <c r="AF58" s="6"/>
      <c r="AG58" s="6"/>
      <c r="AH58" s="6"/>
      <c r="AI58" s="6"/>
      <c r="AJ58" s="6"/>
      <c r="AK58" s="6"/>
      <c r="AL58" s="6"/>
      <c r="AM58" s="6"/>
      <c r="AN58" s="6"/>
      <c r="AO58" s="6"/>
      <c r="AP58" s="6"/>
      <c r="AQ58" s="6"/>
      <c r="AR58" s="6"/>
      <c r="AS58" s="6"/>
    </row>
    <row r="59" spans="1:45" ht="47.25" x14ac:dyDescent="0.25">
      <c r="A59" s="33" t="s">
        <v>60</v>
      </c>
      <c r="B59" s="42">
        <v>764</v>
      </c>
      <c r="C59" s="33" t="s">
        <v>67</v>
      </c>
      <c r="D59" s="33" t="s">
        <v>596</v>
      </c>
      <c r="E59" s="33"/>
      <c r="F59" s="43" t="s">
        <v>584</v>
      </c>
      <c r="G59" s="33" t="s">
        <v>597</v>
      </c>
      <c r="H59" s="33"/>
      <c r="I59" s="33"/>
      <c r="J59" s="33" t="s">
        <v>598</v>
      </c>
      <c r="K59" s="33" t="s">
        <v>43</v>
      </c>
      <c r="L59" s="33" t="s">
        <v>600</v>
      </c>
      <c r="M59" s="63">
        <v>5514125770</v>
      </c>
      <c r="N59" s="45"/>
      <c r="O59" s="44">
        <v>15000000</v>
      </c>
      <c r="P59" s="46">
        <v>24000000</v>
      </c>
      <c r="Q59" s="44">
        <f t="shared" si="1"/>
        <v>5553125770</v>
      </c>
      <c r="R59" s="32"/>
      <c r="S59" s="32"/>
      <c r="T59" s="66"/>
      <c r="U59" s="33"/>
      <c r="V59" s="32"/>
      <c r="W59" s="49">
        <v>5514125770</v>
      </c>
      <c r="X59" s="49">
        <f t="shared" ref="X59:Z59" si="58">N59-S59</f>
        <v>0</v>
      </c>
      <c r="Y59" s="52">
        <f t="shared" si="58"/>
        <v>15000000</v>
      </c>
      <c r="Z59" s="52">
        <f t="shared" si="58"/>
        <v>24000000</v>
      </c>
      <c r="AA59" s="73">
        <v>5514125770</v>
      </c>
      <c r="AB59" s="43"/>
      <c r="AC59" s="15">
        <f t="shared" si="3"/>
        <v>2</v>
      </c>
      <c r="AD59" s="15"/>
      <c r="AE59" s="6"/>
      <c r="AF59" s="6"/>
      <c r="AG59" s="6"/>
      <c r="AH59" s="6"/>
      <c r="AI59" s="6"/>
      <c r="AJ59" s="6"/>
      <c r="AK59" s="6"/>
      <c r="AL59" s="6"/>
      <c r="AM59" s="6"/>
      <c r="AN59" s="6"/>
      <c r="AO59" s="6"/>
      <c r="AP59" s="6"/>
      <c r="AQ59" s="6"/>
      <c r="AR59" s="6"/>
      <c r="AS59" s="6"/>
    </row>
    <row r="60" spans="1:45" ht="31.5" hidden="1" x14ac:dyDescent="0.25">
      <c r="A60" s="33" t="s">
        <v>35</v>
      </c>
      <c r="B60" s="42">
        <v>491</v>
      </c>
      <c r="C60" s="33" t="s">
        <v>124</v>
      </c>
      <c r="D60" s="33" t="s">
        <v>605</v>
      </c>
      <c r="E60" s="33" t="s">
        <v>607</v>
      </c>
      <c r="F60" s="43" t="s">
        <v>609</v>
      </c>
      <c r="G60" s="33" t="s">
        <v>610</v>
      </c>
      <c r="H60" s="33" t="s">
        <v>611</v>
      </c>
      <c r="I60" s="32"/>
      <c r="J60" s="33" t="s">
        <v>613</v>
      </c>
      <c r="K60" s="33" t="s">
        <v>43</v>
      </c>
      <c r="L60" s="33" t="s">
        <v>615</v>
      </c>
      <c r="M60" s="44">
        <v>1336260530</v>
      </c>
      <c r="N60" s="44">
        <v>1211633920</v>
      </c>
      <c r="O60" s="44">
        <v>15000000</v>
      </c>
      <c r="P60" s="59">
        <v>42000000</v>
      </c>
      <c r="Q60" s="44">
        <f t="shared" si="1"/>
        <v>2604894450</v>
      </c>
      <c r="R60" s="52">
        <v>1336260530</v>
      </c>
      <c r="S60" s="48">
        <v>1211633920</v>
      </c>
      <c r="T60" s="44">
        <v>15000000</v>
      </c>
      <c r="U60" s="48">
        <v>42000000</v>
      </c>
      <c r="V60" s="32"/>
      <c r="W60" s="49"/>
      <c r="X60" s="49">
        <f t="shared" ref="X60:Z60" si="59">N60-S60</f>
        <v>0</v>
      </c>
      <c r="Y60" s="49">
        <f t="shared" si="59"/>
        <v>0</v>
      </c>
      <c r="Z60" s="49">
        <f t="shared" si="59"/>
        <v>0</v>
      </c>
      <c r="AA60" s="54"/>
      <c r="AB60" s="54"/>
      <c r="AC60" s="2">
        <f t="shared" si="3"/>
        <v>2</v>
      </c>
      <c r="AD60" s="6"/>
      <c r="AE60" s="6"/>
      <c r="AF60" s="6"/>
      <c r="AG60" s="6"/>
      <c r="AH60" s="6"/>
      <c r="AI60" s="6"/>
      <c r="AJ60" s="6"/>
      <c r="AK60" s="6"/>
      <c r="AL60" s="6"/>
      <c r="AM60" s="6"/>
      <c r="AN60" s="6"/>
      <c r="AO60" s="6"/>
      <c r="AP60" s="6"/>
      <c r="AQ60" s="6"/>
      <c r="AR60" s="6"/>
      <c r="AS60" s="6"/>
    </row>
    <row r="61" spans="1:45" ht="47.25" hidden="1" x14ac:dyDescent="0.25">
      <c r="A61" s="33" t="s">
        <v>60</v>
      </c>
      <c r="B61" s="42">
        <v>495</v>
      </c>
      <c r="C61" s="33" t="s">
        <v>124</v>
      </c>
      <c r="D61" s="33" t="s">
        <v>616</v>
      </c>
      <c r="E61" s="81" t="s">
        <v>617</v>
      </c>
      <c r="F61" s="43" t="s">
        <v>618</v>
      </c>
      <c r="G61" s="33" t="s">
        <v>619</v>
      </c>
      <c r="H61" s="33" t="s">
        <v>620</v>
      </c>
      <c r="I61" s="32"/>
      <c r="J61" s="33" t="s">
        <v>621</v>
      </c>
      <c r="K61" s="33" t="s">
        <v>43</v>
      </c>
      <c r="L61" s="33" t="s">
        <v>622</v>
      </c>
      <c r="M61" s="44">
        <v>6407680720</v>
      </c>
      <c r="N61" s="82">
        <v>2970696540</v>
      </c>
      <c r="O61" s="44">
        <v>15000000</v>
      </c>
      <c r="P61" s="59">
        <v>54000000</v>
      </c>
      <c r="Q61" s="44">
        <f t="shared" si="1"/>
        <v>9447377260</v>
      </c>
      <c r="R61" s="79">
        <v>6407680720</v>
      </c>
      <c r="S61" s="48">
        <v>2970696540</v>
      </c>
      <c r="T61" s="44">
        <v>15000000</v>
      </c>
      <c r="U61" s="48">
        <v>54000000</v>
      </c>
      <c r="V61" s="32"/>
      <c r="W61" s="49"/>
      <c r="X61" s="49">
        <f t="shared" ref="X61:Z61" si="60">N61-S61</f>
        <v>0</v>
      </c>
      <c r="Y61" s="49">
        <f t="shared" si="60"/>
        <v>0</v>
      </c>
      <c r="Z61" s="49">
        <f t="shared" si="60"/>
        <v>0</v>
      </c>
      <c r="AA61" s="54"/>
      <c r="AB61" s="54"/>
      <c r="AC61" s="2">
        <f t="shared" si="3"/>
        <v>2</v>
      </c>
      <c r="AD61" s="6"/>
      <c r="AE61" s="6"/>
      <c r="AF61" s="6"/>
      <c r="AG61" s="6"/>
      <c r="AH61" s="6"/>
      <c r="AI61" s="6"/>
      <c r="AJ61" s="6"/>
      <c r="AK61" s="6"/>
      <c r="AL61" s="6"/>
      <c r="AM61" s="6"/>
      <c r="AN61" s="6"/>
      <c r="AO61" s="6"/>
      <c r="AP61" s="6"/>
      <c r="AQ61" s="6"/>
      <c r="AR61" s="6"/>
      <c r="AS61" s="6"/>
    </row>
    <row r="62" spans="1:45" ht="40.5" hidden="1" x14ac:dyDescent="0.25">
      <c r="A62" s="33" t="s">
        <v>52</v>
      </c>
      <c r="B62" s="42">
        <v>795</v>
      </c>
      <c r="C62" s="33" t="s">
        <v>74</v>
      </c>
      <c r="D62" s="33" t="s">
        <v>624</v>
      </c>
      <c r="E62" s="33" t="s">
        <v>625</v>
      </c>
      <c r="F62" s="33" t="s">
        <v>618</v>
      </c>
      <c r="G62" s="33" t="s">
        <v>626</v>
      </c>
      <c r="H62" s="33" t="s">
        <v>627</v>
      </c>
      <c r="I62" s="32"/>
      <c r="J62" s="62" t="s">
        <v>628</v>
      </c>
      <c r="K62" s="33" t="s">
        <v>43</v>
      </c>
      <c r="L62" s="33" t="s">
        <v>629</v>
      </c>
      <c r="M62" s="63">
        <v>10000000</v>
      </c>
      <c r="N62" s="82">
        <v>2527001190</v>
      </c>
      <c r="O62" s="63">
        <v>15000000</v>
      </c>
      <c r="P62" s="59">
        <v>30000000</v>
      </c>
      <c r="Q62" s="44">
        <f t="shared" si="1"/>
        <v>2582001190</v>
      </c>
      <c r="R62" s="65">
        <v>10000000</v>
      </c>
      <c r="S62" s="65">
        <v>2527001190</v>
      </c>
      <c r="T62" s="44">
        <v>15000000</v>
      </c>
      <c r="U62" s="65">
        <v>30000000</v>
      </c>
      <c r="V62" s="32"/>
      <c r="W62" s="49"/>
      <c r="X62" s="49">
        <f t="shared" ref="X62:Z62" si="61">N62-S62</f>
        <v>0</v>
      </c>
      <c r="Y62" s="49">
        <f t="shared" si="61"/>
        <v>0</v>
      </c>
      <c r="Z62" s="49">
        <f t="shared" si="61"/>
        <v>0</v>
      </c>
      <c r="AA62" s="54"/>
      <c r="AB62" s="54"/>
      <c r="AC62" s="2">
        <f t="shared" si="3"/>
        <v>2</v>
      </c>
      <c r="AD62" s="6"/>
      <c r="AE62" s="6"/>
      <c r="AF62" s="6"/>
      <c r="AG62" s="6"/>
      <c r="AH62" s="6"/>
      <c r="AI62" s="6"/>
      <c r="AJ62" s="6"/>
      <c r="AK62" s="6"/>
      <c r="AL62" s="6"/>
      <c r="AM62" s="6"/>
      <c r="AN62" s="6"/>
      <c r="AO62" s="6"/>
      <c r="AP62" s="6"/>
      <c r="AQ62" s="6"/>
      <c r="AR62" s="6"/>
      <c r="AS62" s="6"/>
    </row>
    <row r="63" spans="1:45" ht="40.5" hidden="1" x14ac:dyDescent="0.25">
      <c r="A63" s="33" t="s">
        <v>88</v>
      </c>
      <c r="B63" s="42">
        <v>823</v>
      </c>
      <c r="C63" s="33" t="s">
        <v>89</v>
      </c>
      <c r="D63" s="33" t="s">
        <v>634</v>
      </c>
      <c r="E63" s="33" t="s">
        <v>625</v>
      </c>
      <c r="F63" s="43" t="s">
        <v>618</v>
      </c>
      <c r="G63" s="33" t="s">
        <v>635</v>
      </c>
      <c r="H63" s="33" t="s">
        <v>636</v>
      </c>
      <c r="I63" s="32"/>
      <c r="J63" s="62" t="s">
        <v>637</v>
      </c>
      <c r="K63" s="33" t="s">
        <v>43</v>
      </c>
      <c r="L63" s="33" t="s">
        <v>638</v>
      </c>
      <c r="M63" s="63">
        <v>10000000</v>
      </c>
      <c r="N63" s="63">
        <v>417893364</v>
      </c>
      <c r="O63" s="63">
        <v>15000000</v>
      </c>
      <c r="P63" s="59">
        <v>24000000</v>
      </c>
      <c r="Q63" s="44">
        <f t="shared" si="1"/>
        <v>466893364</v>
      </c>
      <c r="R63" s="65">
        <v>10000000</v>
      </c>
      <c r="S63" s="65">
        <v>417893364</v>
      </c>
      <c r="T63" s="44">
        <v>15000000</v>
      </c>
      <c r="U63" s="65">
        <v>24000000</v>
      </c>
      <c r="V63" s="32"/>
      <c r="W63" s="49"/>
      <c r="X63" s="49">
        <f t="shared" ref="X63:Z63" si="62">N63-S63</f>
        <v>0</v>
      </c>
      <c r="Y63" s="49">
        <f t="shared" si="62"/>
        <v>0</v>
      </c>
      <c r="Z63" s="49">
        <f t="shared" si="62"/>
        <v>0</v>
      </c>
      <c r="AA63" s="54"/>
      <c r="AB63" s="54"/>
      <c r="AC63" s="2">
        <f t="shared" si="3"/>
        <v>2</v>
      </c>
      <c r="AD63" s="6"/>
      <c r="AE63" s="6"/>
      <c r="AF63" s="6"/>
      <c r="AG63" s="6"/>
      <c r="AH63" s="6"/>
      <c r="AI63" s="6"/>
      <c r="AJ63" s="6"/>
      <c r="AK63" s="6"/>
      <c r="AL63" s="6"/>
      <c r="AM63" s="6"/>
      <c r="AN63" s="6"/>
      <c r="AO63" s="6"/>
      <c r="AP63" s="6"/>
      <c r="AQ63" s="6"/>
      <c r="AR63" s="6"/>
      <c r="AS63" s="6"/>
    </row>
    <row r="64" spans="1:45" ht="47.25" hidden="1" x14ac:dyDescent="0.25">
      <c r="A64" s="33" t="s">
        <v>52</v>
      </c>
      <c r="B64" s="42">
        <v>733</v>
      </c>
      <c r="C64" s="33" t="s">
        <v>67</v>
      </c>
      <c r="D64" s="33" t="s">
        <v>642</v>
      </c>
      <c r="E64" s="33" t="s">
        <v>643</v>
      </c>
      <c r="F64" s="43" t="s">
        <v>644</v>
      </c>
      <c r="G64" s="33" t="s">
        <v>645</v>
      </c>
      <c r="H64" s="33" t="s">
        <v>646</v>
      </c>
      <c r="I64" s="32"/>
      <c r="J64" s="62" t="s">
        <v>647</v>
      </c>
      <c r="K64" s="33" t="s">
        <v>43</v>
      </c>
      <c r="L64" s="33" t="s">
        <v>649</v>
      </c>
      <c r="M64" s="63">
        <v>1706747626</v>
      </c>
      <c r="N64" s="63">
        <v>471972074</v>
      </c>
      <c r="O64" s="63">
        <v>15000000</v>
      </c>
      <c r="P64" s="59">
        <v>24000000</v>
      </c>
      <c r="Q64" s="44">
        <f t="shared" si="1"/>
        <v>2217719700</v>
      </c>
      <c r="R64" s="83">
        <v>1706747626</v>
      </c>
      <c r="S64" s="65">
        <v>471972074</v>
      </c>
      <c r="T64" s="44">
        <v>15000000</v>
      </c>
      <c r="U64" s="65">
        <v>24000000</v>
      </c>
      <c r="V64" s="32"/>
      <c r="W64" s="49"/>
      <c r="X64" s="49">
        <f t="shared" ref="X64:Z64" si="63">N64-S64</f>
        <v>0</v>
      </c>
      <c r="Y64" s="49">
        <f t="shared" si="63"/>
        <v>0</v>
      </c>
      <c r="Z64" s="49">
        <f t="shared" si="63"/>
        <v>0</v>
      </c>
      <c r="AA64" s="54"/>
      <c r="AB64" s="54"/>
      <c r="AC64" s="2">
        <f t="shared" si="3"/>
        <v>2</v>
      </c>
      <c r="AD64" s="6"/>
      <c r="AE64" s="6"/>
      <c r="AF64" s="6"/>
      <c r="AG64" s="6"/>
      <c r="AH64" s="6"/>
      <c r="AI64" s="6"/>
      <c r="AJ64" s="6"/>
      <c r="AK64" s="6"/>
      <c r="AL64" s="6"/>
      <c r="AM64" s="6"/>
      <c r="AN64" s="6"/>
      <c r="AO64" s="6"/>
      <c r="AP64" s="6"/>
      <c r="AQ64" s="6"/>
      <c r="AR64" s="6"/>
      <c r="AS64" s="6"/>
    </row>
    <row r="65" spans="1:45" ht="63" hidden="1" x14ac:dyDescent="0.25">
      <c r="A65" s="33" t="s">
        <v>35</v>
      </c>
      <c r="B65" s="42">
        <v>83</v>
      </c>
      <c r="C65" s="33" t="s">
        <v>655</v>
      </c>
      <c r="D65" s="33" t="s">
        <v>655</v>
      </c>
      <c r="E65" s="33" t="s">
        <v>656</v>
      </c>
      <c r="F65" s="43" t="s">
        <v>657</v>
      </c>
      <c r="G65" s="33" t="s">
        <v>658</v>
      </c>
      <c r="H65" s="33" t="s">
        <v>659</v>
      </c>
      <c r="I65" s="32"/>
      <c r="J65" s="33" t="s">
        <v>661</v>
      </c>
      <c r="K65" s="33" t="s">
        <v>43</v>
      </c>
      <c r="L65" s="33" t="s">
        <v>663</v>
      </c>
      <c r="M65" s="44">
        <v>2870247816</v>
      </c>
      <c r="N65" s="44">
        <v>123263617</v>
      </c>
      <c r="O65" s="44">
        <v>15000000</v>
      </c>
      <c r="P65" s="59">
        <v>94200000</v>
      </c>
      <c r="Q65" s="44">
        <f t="shared" si="1"/>
        <v>3102711433</v>
      </c>
      <c r="R65" s="48">
        <v>2870247816</v>
      </c>
      <c r="S65" s="48">
        <v>123263617</v>
      </c>
      <c r="T65" s="44">
        <v>15000000</v>
      </c>
      <c r="U65" s="49">
        <v>94200000</v>
      </c>
      <c r="V65" s="32"/>
      <c r="W65" s="49"/>
      <c r="X65" s="49">
        <f t="shared" ref="X65:Z65" si="64">N65-S65</f>
        <v>0</v>
      </c>
      <c r="Y65" s="49">
        <f t="shared" si="64"/>
        <v>0</v>
      </c>
      <c r="Z65" s="49">
        <f t="shared" si="64"/>
        <v>0</v>
      </c>
      <c r="AA65" s="54"/>
      <c r="AB65" s="54"/>
      <c r="AC65" s="2">
        <f t="shared" si="3"/>
        <v>2</v>
      </c>
      <c r="AD65" s="2" t="s">
        <v>671</v>
      </c>
      <c r="AE65" s="6"/>
      <c r="AF65" s="6"/>
      <c r="AG65" s="6"/>
      <c r="AH65" s="6"/>
      <c r="AI65" s="6"/>
      <c r="AJ65" s="6"/>
      <c r="AK65" s="6"/>
      <c r="AL65" s="6"/>
      <c r="AM65" s="6"/>
      <c r="AN65" s="6"/>
      <c r="AO65" s="6"/>
      <c r="AP65" s="6"/>
      <c r="AQ65" s="6"/>
      <c r="AR65" s="6"/>
      <c r="AS65" s="6"/>
    </row>
    <row r="66" spans="1:45" ht="31.5" hidden="1" x14ac:dyDescent="0.25">
      <c r="A66" s="33" t="s">
        <v>60</v>
      </c>
      <c r="B66" s="42">
        <v>144</v>
      </c>
      <c r="C66" s="33" t="s">
        <v>581</v>
      </c>
      <c r="D66" s="33" t="s">
        <v>672</v>
      </c>
      <c r="E66" s="32"/>
      <c r="F66" s="43" t="s">
        <v>657</v>
      </c>
      <c r="G66" s="33" t="s">
        <v>673</v>
      </c>
      <c r="H66" s="33" t="s">
        <v>84</v>
      </c>
      <c r="I66" s="32"/>
      <c r="J66" s="33" t="s">
        <v>674</v>
      </c>
      <c r="K66" s="33" t="s">
        <v>43</v>
      </c>
      <c r="L66" s="33" t="s">
        <v>675</v>
      </c>
      <c r="M66" s="44">
        <v>9907256382</v>
      </c>
      <c r="N66" s="45"/>
      <c r="O66" s="44">
        <v>15000000</v>
      </c>
      <c r="P66" s="59">
        <v>5600000</v>
      </c>
      <c r="Q66" s="44">
        <f t="shared" si="1"/>
        <v>9927856382</v>
      </c>
      <c r="R66" s="48">
        <v>9907256382</v>
      </c>
      <c r="S66" s="32"/>
      <c r="T66" s="44">
        <v>15000000</v>
      </c>
      <c r="U66" s="49">
        <v>5600000</v>
      </c>
      <c r="V66" s="32"/>
      <c r="W66" s="49"/>
      <c r="X66" s="49">
        <f t="shared" ref="X66:Z66" si="65">N66-S66</f>
        <v>0</v>
      </c>
      <c r="Y66" s="49">
        <f t="shared" si="65"/>
        <v>0</v>
      </c>
      <c r="Z66" s="49">
        <f t="shared" si="65"/>
        <v>0</v>
      </c>
      <c r="AA66" s="54"/>
      <c r="AB66" s="54"/>
      <c r="AC66" s="2">
        <f t="shared" si="3"/>
        <v>2</v>
      </c>
      <c r="AD66" s="6"/>
      <c r="AE66" s="6"/>
      <c r="AF66" s="6"/>
      <c r="AG66" s="6"/>
      <c r="AH66" s="6"/>
      <c r="AI66" s="6"/>
      <c r="AJ66" s="6"/>
      <c r="AK66" s="6"/>
      <c r="AL66" s="6"/>
      <c r="AM66" s="6"/>
      <c r="AN66" s="6"/>
      <c r="AO66" s="6"/>
      <c r="AP66" s="6"/>
      <c r="AQ66" s="6"/>
      <c r="AR66" s="6"/>
      <c r="AS66" s="6"/>
    </row>
    <row r="67" spans="1:45" ht="47.25" hidden="1" x14ac:dyDescent="0.25">
      <c r="A67" s="33" t="s">
        <v>35</v>
      </c>
      <c r="B67" s="42">
        <v>862</v>
      </c>
      <c r="C67" s="33" t="s">
        <v>89</v>
      </c>
      <c r="D67" s="33" t="s">
        <v>679</v>
      </c>
      <c r="E67" s="32"/>
      <c r="F67" s="43" t="s">
        <v>657</v>
      </c>
      <c r="G67" s="33" t="s">
        <v>680</v>
      </c>
      <c r="H67" s="32"/>
      <c r="I67" s="32"/>
      <c r="J67" s="62" t="s">
        <v>681</v>
      </c>
      <c r="K67" s="33" t="s">
        <v>43</v>
      </c>
      <c r="L67" s="33" t="s">
        <v>682</v>
      </c>
      <c r="M67" s="63">
        <v>2882807920</v>
      </c>
      <c r="N67" s="45"/>
      <c r="O67" s="63">
        <v>15000000</v>
      </c>
      <c r="P67" s="59">
        <v>16000000</v>
      </c>
      <c r="Q67" s="44">
        <f t="shared" si="1"/>
        <v>2913807920</v>
      </c>
      <c r="R67" s="65">
        <v>2882807920</v>
      </c>
      <c r="S67" s="32"/>
      <c r="T67" s="44">
        <v>15000000</v>
      </c>
      <c r="U67" s="65">
        <v>16000000</v>
      </c>
      <c r="V67" s="32"/>
      <c r="W67" s="49"/>
      <c r="X67" s="49">
        <f t="shared" ref="X67:Z67" si="66">N67-S67</f>
        <v>0</v>
      </c>
      <c r="Y67" s="49">
        <f t="shared" si="66"/>
        <v>0</v>
      </c>
      <c r="Z67" s="49">
        <f t="shared" si="66"/>
        <v>0</v>
      </c>
      <c r="AA67" s="54"/>
      <c r="AB67" s="54"/>
      <c r="AC67" s="2">
        <f t="shared" si="3"/>
        <v>2</v>
      </c>
      <c r="AD67" s="6"/>
      <c r="AE67" s="6"/>
      <c r="AF67" s="6"/>
      <c r="AG67" s="6"/>
      <c r="AH67" s="6"/>
      <c r="AI67" s="6"/>
      <c r="AJ67" s="6"/>
      <c r="AK67" s="6"/>
      <c r="AL67" s="6"/>
      <c r="AM67" s="6"/>
      <c r="AN67" s="6"/>
      <c r="AO67" s="6"/>
      <c r="AP67" s="6"/>
      <c r="AQ67" s="6"/>
      <c r="AR67" s="6"/>
      <c r="AS67" s="6"/>
    </row>
    <row r="68" spans="1:45" ht="63" hidden="1" x14ac:dyDescent="0.25">
      <c r="A68" s="33" t="s">
        <v>52</v>
      </c>
      <c r="B68" s="42">
        <v>711</v>
      </c>
      <c r="C68" s="33" t="s">
        <v>67</v>
      </c>
      <c r="D68" s="33" t="s">
        <v>687</v>
      </c>
      <c r="E68" s="32"/>
      <c r="F68" s="43" t="s">
        <v>688</v>
      </c>
      <c r="G68" s="33" t="s">
        <v>689</v>
      </c>
      <c r="H68" s="32"/>
      <c r="I68" s="32"/>
      <c r="J68" s="62" t="s">
        <v>690</v>
      </c>
      <c r="K68" s="33" t="s">
        <v>43</v>
      </c>
      <c r="L68" s="33" t="s">
        <v>691</v>
      </c>
      <c r="M68" s="63">
        <v>1080696928</v>
      </c>
      <c r="N68" s="45"/>
      <c r="O68" s="63">
        <v>15000000</v>
      </c>
      <c r="P68" s="59">
        <v>120000000</v>
      </c>
      <c r="Q68" s="44">
        <f t="shared" si="1"/>
        <v>1215696928</v>
      </c>
      <c r="R68" s="65">
        <v>1080696928</v>
      </c>
      <c r="S68" s="32"/>
      <c r="T68" s="63">
        <v>15000000</v>
      </c>
      <c r="U68" s="65">
        <v>120000000</v>
      </c>
      <c r="V68" s="32"/>
      <c r="W68" s="49"/>
      <c r="X68" s="49">
        <f t="shared" ref="X68:Z68" si="67">N68-S68</f>
        <v>0</v>
      </c>
      <c r="Y68" s="49">
        <f t="shared" si="67"/>
        <v>0</v>
      </c>
      <c r="Z68" s="49">
        <f t="shared" si="67"/>
        <v>0</v>
      </c>
      <c r="AA68" s="54"/>
      <c r="AB68" s="54"/>
      <c r="AC68" s="2">
        <f t="shared" si="3"/>
        <v>2</v>
      </c>
      <c r="AD68" s="6"/>
      <c r="AE68" s="6"/>
      <c r="AF68" s="6"/>
      <c r="AG68" s="6"/>
      <c r="AH68" s="6"/>
      <c r="AI68" s="6"/>
      <c r="AJ68" s="6"/>
      <c r="AK68" s="6"/>
      <c r="AL68" s="6"/>
      <c r="AM68" s="6"/>
      <c r="AN68" s="6"/>
      <c r="AO68" s="6"/>
      <c r="AP68" s="6"/>
      <c r="AQ68" s="6"/>
      <c r="AR68" s="6"/>
      <c r="AS68" s="6"/>
    </row>
    <row r="69" spans="1:45" ht="63" hidden="1" x14ac:dyDescent="0.25">
      <c r="A69" s="33" t="s">
        <v>88</v>
      </c>
      <c r="B69" s="42">
        <v>744</v>
      </c>
      <c r="C69" s="33" t="s">
        <v>67</v>
      </c>
      <c r="D69" s="33" t="s">
        <v>695</v>
      </c>
      <c r="E69" s="32"/>
      <c r="F69" s="43" t="s">
        <v>688</v>
      </c>
      <c r="G69" s="33" t="s">
        <v>696</v>
      </c>
      <c r="H69" s="32"/>
      <c r="I69" s="32"/>
      <c r="J69" s="62" t="s">
        <v>697</v>
      </c>
      <c r="K69" s="33" t="s">
        <v>43</v>
      </c>
      <c r="L69" s="33" t="s">
        <v>698</v>
      </c>
      <c r="M69" s="63">
        <v>416665504</v>
      </c>
      <c r="N69" s="45"/>
      <c r="O69" s="63">
        <v>15000000</v>
      </c>
      <c r="P69" s="59">
        <v>72000000</v>
      </c>
      <c r="Q69" s="44">
        <f t="shared" si="1"/>
        <v>503665504</v>
      </c>
      <c r="R69" s="65">
        <v>416665504</v>
      </c>
      <c r="S69" s="32"/>
      <c r="T69" s="44">
        <v>15000000</v>
      </c>
      <c r="U69" s="65">
        <v>72000000</v>
      </c>
      <c r="V69" s="32"/>
      <c r="W69" s="49"/>
      <c r="X69" s="49">
        <f t="shared" ref="X69:Z69" si="68">N69-S69</f>
        <v>0</v>
      </c>
      <c r="Y69" s="49">
        <f t="shared" si="68"/>
        <v>0</v>
      </c>
      <c r="Z69" s="49">
        <f t="shared" si="68"/>
        <v>0</v>
      </c>
      <c r="AA69" s="54"/>
      <c r="AB69" s="54"/>
      <c r="AC69" s="2">
        <f t="shared" si="3"/>
        <v>2</v>
      </c>
      <c r="AD69" s="6"/>
      <c r="AE69" s="6"/>
      <c r="AF69" s="6"/>
      <c r="AG69" s="6"/>
      <c r="AH69" s="6"/>
      <c r="AI69" s="6"/>
      <c r="AJ69" s="6"/>
      <c r="AK69" s="6"/>
      <c r="AL69" s="6"/>
      <c r="AM69" s="6"/>
      <c r="AN69" s="6"/>
      <c r="AO69" s="6"/>
      <c r="AP69" s="6"/>
      <c r="AQ69" s="6"/>
      <c r="AR69" s="6"/>
      <c r="AS69" s="6"/>
    </row>
    <row r="70" spans="1:45" ht="63" hidden="1" x14ac:dyDescent="0.25">
      <c r="A70" s="33" t="s">
        <v>88</v>
      </c>
      <c r="B70" s="42">
        <v>864</v>
      </c>
      <c r="C70" s="33" t="s">
        <v>297</v>
      </c>
      <c r="D70" s="33" t="s">
        <v>706</v>
      </c>
      <c r="E70" s="33" t="s">
        <v>707</v>
      </c>
      <c r="F70" s="43" t="s">
        <v>708</v>
      </c>
      <c r="G70" s="33" t="s">
        <v>709</v>
      </c>
      <c r="H70" s="33" t="s">
        <v>711</v>
      </c>
      <c r="I70" s="32"/>
      <c r="J70" s="62" t="s">
        <v>712</v>
      </c>
      <c r="K70" s="33" t="s">
        <v>43</v>
      </c>
      <c r="L70" s="33" t="s">
        <v>713</v>
      </c>
      <c r="M70" s="63">
        <v>163511848</v>
      </c>
      <c r="N70" s="63">
        <v>1198719060</v>
      </c>
      <c r="O70" s="63">
        <v>15000000</v>
      </c>
      <c r="P70" s="59">
        <v>24000000</v>
      </c>
      <c r="Q70" s="44">
        <f t="shared" si="1"/>
        <v>1401230908</v>
      </c>
      <c r="R70" s="65">
        <v>163511848</v>
      </c>
      <c r="S70" s="65">
        <v>1198719060</v>
      </c>
      <c r="T70" s="44">
        <v>15000000</v>
      </c>
      <c r="U70" s="65">
        <v>24000000</v>
      </c>
      <c r="V70" s="32"/>
      <c r="W70" s="49"/>
      <c r="X70" s="49">
        <f t="shared" ref="X70:Z70" si="69">N70-S70</f>
        <v>0</v>
      </c>
      <c r="Y70" s="49">
        <f t="shared" si="69"/>
        <v>0</v>
      </c>
      <c r="Z70" s="49">
        <f t="shared" si="69"/>
        <v>0</v>
      </c>
      <c r="AA70" s="54"/>
      <c r="AB70" s="54"/>
      <c r="AC70" s="2">
        <f t="shared" si="3"/>
        <v>2</v>
      </c>
      <c r="AD70" s="6"/>
      <c r="AE70" s="6"/>
      <c r="AF70" s="6"/>
      <c r="AG70" s="6"/>
      <c r="AH70" s="6"/>
      <c r="AI70" s="6"/>
      <c r="AJ70" s="6"/>
      <c r="AK70" s="6"/>
      <c r="AL70" s="6"/>
      <c r="AM70" s="6"/>
      <c r="AN70" s="6"/>
      <c r="AO70" s="6"/>
      <c r="AP70" s="6"/>
      <c r="AQ70" s="6"/>
      <c r="AR70" s="6"/>
      <c r="AS70" s="6"/>
    </row>
    <row r="71" spans="1:45" ht="47.25" hidden="1" x14ac:dyDescent="0.25">
      <c r="A71" s="33" t="s">
        <v>46</v>
      </c>
      <c r="B71" s="42">
        <v>344</v>
      </c>
      <c r="C71" s="33" t="s">
        <v>37</v>
      </c>
      <c r="D71" s="33" t="s">
        <v>714</v>
      </c>
      <c r="E71" s="32"/>
      <c r="F71" s="43" t="s">
        <v>715</v>
      </c>
      <c r="G71" s="33" t="s">
        <v>716</v>
      </c>
      <c r="H71" s="32"/>
      <c r="I71" s="32"/>
      <c r="J71" s="33" t="s">
        <v>717</v>
      </c>
      <c r="K71" s="33" t="s">
        <v>43</v>
      </c>
      <c r="L71" s="33" t="s">
        <v>718</v>
      </c>
      <c r="M71" s="44">
        <v>1585255168</v>
      </c>
      <c r="N71" s="45"/>
      <c r="O71" s="44">
        <v>15000000</v>
      </c>
      <c r="P71" s="59">
        <v>48000000</v>
      </c>
      <c r="Q71" s="44">
        <f t="shared" si="1"/>
        <v>1648255168</v>
      </c>
      <c r="R71" s="48">
        <v>1585255168</v>
      </c>
      <c r="S71" s="32"/>
      <c r="T71" s="44">
        <v>15000000</v>
      </c>
      <c r="U71" s="49">
        <v>48000000</v>
      </c>
      <c r="V71" s="32"/>
      <c r="W71" s="49"/>
      <c r="X71" s="49">
        <f t="shared" ref="X71:Z71" si="70">N71-S71</f>
        <v>0</v>
      </c>
      <c r="Y71" s="49">
        <f t="shared" si="70"/>
        <v>0</v>
      </c>
      <c r="Z71" s="49">
        <f t="shared" si="70"/>
        <v>0</v>
      </c>
      <c r="AA71" s="54"/>
      <c r="AB71" s="54"/>
      <c r="AC71" s="2">
        <f t="shared" si="3"/>
        <v>2</v>
      </c>
      <c r="AD71" s="6"/>
      <c r="AE71" s="6"/>
      <c r="AF71" s="6"/>
      <c r="AG71" s="6"/>
      <c r="AH71" s="6"/>
      <c r="AI71" s="6"/>
      <c r="AJ71" s="6"/>
      <c r="AK71" s="6"/>
      <c r="AL71" s="6"/>
      <c r="AM71" s="6"/>
      <c r="AN71" s="6"/>
      <c r="AO71" s="6"/>
      <c r="AP71" s="6"/>
      <c r="AQ71" s="6"/>
      <c r="AR71" s="6"/>
      <c r="AS71" s="6"/>
    </row>
    <row r="72" spans="1:45" ht="31.5" hidden="1" x14ac:dyDescent="0.25">
      <c r="A72" s="33" t="s">
        <v>60</v>
      </c>
      <c r="B72" s="42">
        <v>152</v>
      </c>
      <c r="C72" s="33" t="s">
        <v>719</v>
      </c>
      <c r="D72" s="33" t="s">
        <v>720</v>
      </c>
      <c r="E72" s="33" t="s">
        <v>156</v>
      </c>
      <c r="F72" s="43" t="s">
        <v>722</v>
      </c>
      <c r="G72" s="33" t="s">
        <v>723</v>
      </c>
      <c r="H72" s="33" t="s">
        <v>724</v>
      </c>
      <c r="I72" s="32"/>
      <c r="J72" s="33" t="s">
        <v>725</v>
      </c>
      <c r="K72" s="33" t="s">
        <v>43</v>
      </c>
      <c r="L72" s="33" t="s">
        <v>726</v>
      </c>
      <c r="M72" s="44">
        <v>2958066419</v>
      </c>
      <c r="N72" s="44">
        <v>403742592</v>
      </c>
      <c r="O72" s="44">
        <v>15000000</v>
      </c>
      <c r="P72" s="59">
        <v>45066673</v>
      </c>
      <c r="Q72" s="44">
        <f t="shared" si="1"/>
        <v>3421875684</v>
      </c>
      <c r="R72" s="48">
        <v>2958066419</v>
      </c>
      <c r="S72" s="48">
        <v>403742592</v>
      </c>
      <c r="T72" s="44">
        <v>15000000</v>
      </c>
      <c r="U72" s="49">
        <v>45066673</v>
      </c>
      <c r="V72" s="32"/>
      <c r="W72" s="49"/>
      <c r="X72" s="49">
        <f t="shared" ref="X72:Z72" si="71">N72-S72</f>
        <v>0</v>
      </c>
      <c r="Y72" s="49">
        <f t="shared" si="71"/>
        <v>0</v>
      </c>
      <c r="Z72" s="49">
        <f t="shared" si="71"/>
        <v>0</v>
      </c>
      <c r="AA72" s="54"/>
      <c r="AB72" s="54"/>
      <c r="AC72" s="2">
        <f t="shared" si="3"/>
        <v>2</v>
      </c>
      <c r="AD72" s="6"/>
      <c r="AE72" s="6"/>
      <c r="AF72" s="6"/>
      <c r="AG72" s="6"/>
      <c r="AH72" s="6"/>
      <c r="AI72" s="6"/>
      <c r="AJ72" s="6"/>
      <c r="AK72" s="6"/>
      <c r="AL72" s="6"/>
      <c r="AM72" s="6"/>
      <c r="AN72" s="6"/>
      <c r="AO72" s="6"/>
      <c r="AP72" s="6"/>
      <c r="AQ72" s="6"/>
      <c r="AR72" s="6"/>
      <c r="AS72" s="6"/>
    </row>
    <row r="73" spans="1:45" ht="78.75" hidden="1" x14ac:dyDescent="0.25">
      <c r="A73" s="33" t="s">
        <v>60</v>
      </c>
      <c r="B73" s="42">
        <v>660</v>
      </c>
      <c r="C73" s="33" t="s">
        <v>730</v>
      </c>
      <c r="D73" s="33" t="s">
        <v>731</v>
      </c>
      <c r="E73" s="32"/>
      <c r="F73" s="33" t="s">
        <v>732</v>
      </c>
      <c r="G73" s="33" t="s">
        <v>733</v>
      </c>
      <c r="H73" s="32"/>
      <c r="I73" s="32"/>
      <c r="J73" s="62" t="s">
        <v>734</v>
      </c>
      <c r="K73" s="33" t="s">
        <v>43</v>
      </c>
      <c r="L73" s="33" t="s">
        <v>735</v>
      </c>
      <c r="M73" s="63">
        <v>10000000</v>
      </c>
      <c r="N73" s="45"/>
      <c r="O73" s="63">
        <v>15000000</v>
      </c>
      <c r="P73" s="59">
        <v>72000000</v>
      </c>
      <c r="Q73" s="44">
        <f t="shared" si="1"/>
        <v>97000000</v>
      </c>
      <c r="R73" s="48">
        <v>10000000</v>
      </c>
      <c r="S73" s="32"/>
      <c r="T73" s="44">
        <v>15000000</v>
      </c>
      <c r="U73" s="49">
        <v>72000000</v>
      </c>
      <c r="V73" s="32"/>
      <c r="W73" s="49"/>
      <c r="X73" s="49">
        <f t="shared" ref="X73:Z73" si="72">N73-S73</f>
        <v>0</v>
      </c>
      <c r="Y73" s="49">
        <f t="shared" si="72"/>
        <v>0</v>
      </c>
      <c r="Z73" s="49">
        <f t="shared" si="72"/>
        <v>0</v>
      </c>
      <c r="AA73" s="54"/>
      <c r="AB73" s="54"/>
      <c r="AC73" s="2">
        <f t="shared" si="3"/>
        <v>2</v>
      </c>
      <c r="AD73" s="6"/>
      <c r="AE73" s="6"/>
      <c r="AF73" s="6"/>
      <c r="AG73" s="6"/>
      <c r="AH73" s="6"/>
      <c r="AI73" s="6"/>
      <c r="AJ73" s="6"/>
      <c r="AK73" s="6"/>
      <c r="AL73" s="6"/>
      <c r="AM73" s="6"/>
      <c r="AN73" s="6"/>
      <c r="AO73" s="6"/>
      <c r="AP73" s="6"/>
      <c r="AQ73" s="6"/>
      <c r="AR73" s="6"/>
      <c r="AS73" s="6"/>
    </row>
    <row r="74" spans="1:45" ht="63" hidden="1" x14ac:dyDescent="0.25">
      <c r="A74" s="33" t="s">
        <v>88</v>
      </c>
      <c r="B74" s="42">
        <v>592</v>
      </c>
      <c r="C74" s="33" t="s">
        <v>498</v>
      </c>
      <c r="D74" s="33" t="s">
        <v>739</v>
      </c>
      <c r="E74" s="33" t="s">
        <v>740</v>
      </c>
      <c r="F74" s="43" t="s">
        <v>741</v>
      </c>
      <c r="G74" s="33" t="s">
        <v>742</v>
      </c>
      <c r="H74" s="33" t="s">
        <v>743</v>
      </c>
      <c r="I74" s="32"/>
      <c r="J74" s="33" t="s">
        <v>744</v>
      </c>
      <c r="K74" s="33" t="s">
        <v>43</v>
      </c>
      <c r="L74" s="33" t="s">
        <v>745</v>
      </c>
      <c r="M74" s="44">
        <v>9029596830</v>
      </c>
      <c r="N74" s="44">
        <v>1121289520</v>
      </c>
      <c r="O74" s="63">
        <v>15000000</v>
      </c>
      <c r="P74" s="59">
        <v>48000000</v>
      </c>
      <c r="Q74" s="44">
        <f t="shared" si="1"/>
        <v>10213886350</v>
      </c>
      <c r="R74" s="52">
        <v>9029596830</v>
      </c>
      <c r="S74" s="48">
        <v>1121289520</v>
      </c>
      <c r="T74" s="45">
        <v>15000000</v>
      </c>
      <c r="U74" s="48">
        <v>48000000</v>
      </c>
      <c r="V74" s="32"/>
      <c r="W74" s="49"/>
      <c r="X74" s="52">
        <f t="shared" ref="X74:Z74" si="73">N74-S74</f>
        <v>0</v>
      </c>
      <c r="Y74" s="49">
        <f t="shared" si="73"/>
        <v>0</v>
      </c>
      <c r="Z74" s="49">
        <f t="shared" si="73"/>
        <v>0</v>
      </c>
      <c r="AA74" s="43"/>
      <c r="AB74" s="43"/>
      <c r="AC74" s="6">
        <f t="shared" si="3"/>
        <v>2</v>
      </c>
      <c r="AD74" s="6"/>
      <c r="AE74" s="6"/>
      <c r="AF74" s="6"/>
      <c r="AG74" s="6"/>
      <c r="AH74" s="6"/>
      <c r="AI74" s="6"/>
      <c r="AJ74" s="6"/>
      <c r="AK74" s="6"/>
      <c r="AL74" s="6"/>
      <c r="AM74" s="6"/>
      <c r="AN74" s="6"/>
      <c r="AO74" s="6"/>
      <c r="AP74" s="6"/>
      <c r="AQ74" s="6"/>
      <c r="AR74" s="6"/>
      <c r="AS74" s="6"/>
    </row>
    <row r="75" spans="1:45" ht="31.5" hidden="1" x14ac:dyDescent="0.25">
      <c r="A75" s="33" t="s">
        <v>52</v>
      </c>
      <c r="B75" s="42">
        <v>777</v>
      </c>
      <c r="C75" s="33" t="s">
        <v>74</v>
      </c>
      <c r="D75" s="33" t="s">
        <v>749</v>
      </c>
      <c r="E75" s="32"/>
      <c r="F75" s="43" t="s">
        <v>750</v>
      </c>
      <c r="G75" s="33" t="s">
        <v>751</v>
      </c>
      <c r="H75" s="32"/>
      <c r="I75" s="32"/>
      <c r="J75" s="62" t="s">
        <v>752</v>
      </c>
      <c r="K75" s="33" t="s">
        <v>43</v>
      </c>
      <c r="L75" s="33" t="s">
        <v>82</v>
      </c>
      <c r="M75" s="63">
        <v>885586096</v>
      </c>
      <c r="N75" s="45"/>
      <c r="O75" s="63">
        <v>15000000</v>
      </c>
      <c r="P75" s="59">
        <v>40000000</v>
      </c>
      <c r="Q75" s="44">
        <f t="shared" si="1"/>
        <v>940586096</v>
      </c>
      <c r="R75" s="65">
        <v>885586096</v>
      </c>
      <c r="S75" s="32"/>
      <c r="T75" s="63">
        <v>15000000</v>
      </c>
      <c r="U75" s="49">
        <v>40000000</v>
      </c>
      <c r="V75" s="32"/>
      <c r="W75" s="49"/>
      <c r="X75" s="49">
        <f t="shared" ref="X75:Z75" si="74">N75-S75</f>
        <v>0</v>
      </c>
      <c r="Y75" s="49">
        <f t="shared" si="74"/>
        <v>0</v>
      </c>
      <c r="Z75" s="49">
        <f t="shared" si="74"/>
        <v>0</v>
      </c>
      <c r="AA75" s="54"/>
      <c r="AB75" s="54"/>
      <c r="AC75" s="2">
        <f t="shared" si="3"/>
        <v>2</v>
      </c>
      <c r="AD75" s="6"/>
      <c r="AE75" s="6"/>
      <c r="AF75" s="6"/>
      <c r="AG75" s="6"/>
      <c r="AH75" s="6"/>
      <c r="AI75" s="6"/>
      <c r="AJ75" s="6"/>
      <c r="AK75" s="6"/>
      <c r="AL75" s="6"/>
      <c r="AM75" s="6"/>
      <c r="AN75" s="6"/>
      <c r="AO75" s="6"/>
      <c r="AP75" s="6"/>
      <c r="AQ75" s="6"/>
      <c r="AR75" s="6"/>
      <c r="AS75" s="6"/>
    </row>
    <row r="76" spans="1:45" ht="47.25" hidden="1" x14ac:dyDescent="0.25">
      <c r="A76" s="33" t="s">
        <v>35</v>
      </c>
      <c r="B76" s="42">
        <v>286</v>
      </c>
      <c r="C76" s="33" t="s">
        <v>37</v>
      </c>
      <c r="D76" s="33" t="s">
        <v>754</v>
      </c>
      <c r="E76" s="33" t="s">
        <v>756</v>
      </c>
      <c r="F76" s="43" t="s">
        <v>757</v>
      </c>
      <c r="G76" s="33" t="s">
        <v>759</v>
      </c>
      <c r="H76" s="33" t="s">
        <v>760</v>
      </c>
      <c r="I76" s="32"/>
      <c r="J76" s="33" t="s">
        <v>761</v>
      </c>
      <c r="K76" s="33" t="s">
        <v>43</v>
      </c>
      <c r="L76" s="33" t="s">
        <v>762</v>
      </c>
      <c r="M76" s="44">
        <v>2353030170</v>
      </c>
      <c r="N76" s="44">
        <v>56355840</v>
      </c>
      <c r="O76" s="44">
        <v>15000000</v>
      </c>
      <c r="P76" s="59">
        <v>48000000</v>
      </c>
      <c r="Q76" s="44">
        <f t="shared" si="1"/>
        <v>2472386010</v>
      </c>
      <c r="R76" s="48">
        <v>2353030170</v>
      </c>
      <c r="S76" s="48">
        <v>56355840</v>
      </c>
      <c r="T76" s="44">
        <v>15000000</v>
      </c>
      <c r="U76" s="49">
        <v>48000000</v>
      </c>
      <c r="V76" s="32"/>
      <c r="W76" s="49"/>
      <c r="X76" s="49">
        <f t="shared" ref="X76:Z76" si="75">N76-S76</f>
        <v>0</v>
      </c>
      <c r="Y76" s="49">
        <f t="shared" si="75"/>
        <v>0</v>
      </c>
      <c r="Z76" s="49">
        <f t="shared" si="75"/>
        <v>0</v>
      </c>
      <c r="AA76" s="54"/>
      <c r="AB76" s="54"/>
      <c r="AC76" s="2">
        <f t="shared" si="3"/>
        <v>2</v>
      </c>
      <c r="AD76" s="6"/>
      <c r="AE76" s="6"/>
      <c r="AF76" s="6"/>
      <c r="AG76" s="6"/>
      <c r="AH76" s="6"/>
      <c r="AI76" s="6"/>
      <c r="AJ76" s="6"/>
      <c r="AK76" s="6"/>
      <c r="AL76" s="6"/>
      <c r="AM76" s="6"/>
      <c r="AN76" s="6"/>
      <c r="AO76" s="6"/>
      <c r="AP76" s="6"/>
      <c r="AQ76" s="6"/>
      <c r="AR76" s="6"/>
      <c r="AS76" s="6"/>
    </row>
    <row r="77" spans="1:45" ht="31.5" x14ac:dyDescent="0.25">
      <c r="A77" s="33" t="s">
        <v>35</v>
      </c>
      <c r="B77" s="42">
        <v>503</v>
      </c>
      <c r="C77" s="33" t="s">
        <v>124</v>
      </c>
      <c r="D77" s="33" t="s">
        <v>771</v>
      </c>
      <c r="E77" s="33" t="s">
        <v>772</v>
      </c>
      <c r="F77" s="43" t="s">
        <v>757</v>
      </c>
      <c r="G77" s="33" t="s">
        <v>773</v>
      </c>
      <c r="H77" s="33" t="s">
        <v>774</v>
      </c>
      <c r="I77" s="33"/>
      <c r="J77" s="33" t="s">
        <v>775</v>
      </c>
      <c r="K77" s="33" t="s">
        <v>43</v>
      </c>
      <c r="L77" s="33" t="s">
        <v>776</v>
      </c>
      <c r="M77" s="44">
        <v>6096414328</v>
      </c>
      <c r="N77" s="66">
        <v>570602880</v>
      </c>
      <c r="O77" s="44">
        <v>15000000</v>
      </c>
      <c r="P77" s="46">
        <v>48000000</v>
      </c>
      <c r="Q77" s="44">
        <f t="shared" si="1"/>
        <v>6730017208</v>
      </c>
      <c r="R77" s="32"/>
      <c r="S77" s="33"/>
      <c r="T77" s="66"/>
      <c r="U77" s="33"/>
      <c r="V77" s="32"/>
      <c r="W77" s="49">
        <v>6096414328</v>
      </c>
      <c r="X77" s="52">
        <f t="shared" ref="X77:Z77" si="76">N77-S77</f>
        <v>570602880</v>
      </c>
      <c r="Y77" s="52">
        <f t="shared" si="76"/>
        <v>15000000</v>
      </c>
      <c r="Z77" s="52">
        <f t="shared" si="76"/>
        <v>48000000</v>
      </c>
      <c r="AA77" s="69">
        <v>6096414328</v>
      </c>
      <c r="AB77" s="43"/>
      <c r="AC77" s="15">
        <f t="shared" si="3"/>
        <v>2</v>
      </c>
      <c r="AD77" s="15"/>
      <c r="AE77" s="6"/>
      <c r="AF77" s="6"/>
      <c r="AG77" s="6"/>
      <c r="AH77" s="6"/>
      <c r="AI77" s="6"/>
      <c r="AJ77" s="6"/>
      <c r="AK77" s="6"/>
      <c r="AL77" s="6"/>
      <c r="AM77" s="6"/>
      <c r="AN77" s="6"/>
      <c r="AO77" s="6"/>
      <c r="AP77" s="6"/>
      <c r="AQ77" s="6"/>
      <c r="AR77" s="6"/>
      <c r="AS77" s="6"/>
    </row>
    <row r="78" spans="1:45" ht="47.25" hidden="1" x14ac:dyDescent="0.25">
      <c r="A78" s="33" t="s">
        <v>52</v>
      </c>
      <c r="B78" s="42">
        <v>780</v>
      </c>
      <c r="C78" s="33" t="s">
        <v>74</v>
      </c>
      <c r="D78" s="33" t="s">
        <v>783</v>
      </c>
      <c r="E78" s="33" t="s">
        <v>784</v>
      </c>
      <c r="F78" s="43" t="s">
        <v>757</v>
      </c>
      <c r="G78" s="33" t="s">
        <v>785</v>
      </c>
      <c r="H78" s="33" t="s">
        <v>786</v>
      </c>
      <c r="I78" s="33" t="s">
        <v>80</v>
      </c>
      <c r="J78" s="62" t="s">
        <v>788</v>
      </c>
      <c r="K78" s="33" t="s">
        <v>43</v>
      </c>
      <c r="L78" s="33" t="s">
        <v>789</v>
      </c>
      <c r="M78" s="63">
        <v>10000000</v>
      </c>
      <c r="N78" s="63">
        <v>619479840</v>
      </c>
      <c r="O78" s="63">
        <v>15000000</v>
      </c>
      <c r="P78" s="59">
        <v>48000000</v>
      </c>
      <c r="Q78" s="44">
        <f t="shared" si="1"/>
        <v>692479840</v>
      </c>
      <c r="R78" s="65">
        <v>10000000</v>
      </c>
      <c r="S78" s="65">
        <v>619479840</v>
      </c>
      <c r="T78" s="44">
        <v>15000000</v>
      </c>
      <c r="U78" s="49">
        <v>48000000</v>
      </c>
      <c r="V78" s="32"/>
      <c r="W78" s="49"/>
      <c r="X78" s="49">
        <f t="shared" ref="X78:Z78" si="77">N78-S78</f>
        <v>0</v>
      </c>
      <c r="Y78" s="49">
        <f t="shared" si="77"/>
        <v>0</v>
      </c>
      <c r="Z78" s="49">
        <f t="shared" si="77"/>
        <v>0</v>
      </c>
      <c r="AA78" s="54"/>
      <c r="AB78" s="54"/>
      <c r="AC78" s="2">
        <f t="shared" si="3"/>
        <v>2</v>
      </c>
      <c r="AD78" s="6"/>
      <c r="AE78" s="6"/>
      <c r="AF78" s="6"/>
      <c r="AG78" s="6"/>
      <c r="AH78" s="6"/>
      <c r="AI78" s="6"/>
      <c r="AJ78" s="6"/>
      <c r="AK78" s="6"/>
      <c r="AL78" s="6"/>
      <c r="AM78" s="6"/>
      <c r="AN78" s="6"/>
      <c r="AO78" s="6"/>
      <c r="AP78" s="6"/>
      <c r="AQ78" s="6"/>
      <c r="AR78" s="6"/>
      <c r="AS78" s="6"/>
    </row>
    <row r="79" spans="1:45" ht="47.25" hidden="1" x14ac:dyDescent="0.25">
      <c r="A79" s="33" t="s">
        <v>35</v>
      </c>
      <c r="B79" s="42">
        <v>850</v>
      </c>
      <c r="C79" s="33" t="s">
        <v>89</v>
      </c>
      <c r="D79" s="33" t="s">
        <v>793</v>
      </c>
      <c r="E79" s="33" t="s">
        <v>794</v>
      </c>
      <c r="F79" s="43" t="s">
        <v>757</v>
      </c>
      <c r="G79" s="33" t="s">
        <v>795</v>
      </c>
      <c r="H79" s="33" t="s">
        <v>796</v>
      </c>
      <c r="I79" s="32"/>
      <c r="J79" s="62" t="s">
        <v>797</v>
      </c>
      <c r="K79" s="33" t="s">
        <v>43</v>
      </c>
      <c r="L79" s="33" t="s">
        <v>798</v>
      </c>
      <c r="M79" s="63">
        <v>412442880</v>
      </c>
      <c r="N79" s="63">
        <v>623213760</v>
      </c>
      <c r="O79" s="63">
        <v>15000000</v>
      </c>
      <c r="P79" s="59">
        <v>48000000</v>
      </c>
      <c r="Q79" s="44">
        <f t="shared" si="1"/>
        <v>1098656640</v>
      </c>
      <c r="R79" s="65">
        <v>412442880</v>
      </c>
      <c r="S79" s="65">
        <v>623213760</v>
      </c>
      <c r="T79" s="44">
        <v>15000000</v>
      </c>
      <c r="U79" s="49">
        <v>48000000</v>
      </c>
      <c r="V79" s="32"/>
      <c r="W79" s="49"/>
      <c r="X79" s="49">
        <f t="shared" ref="X79:Z79" si="78">N79-S79</f>
        <v>0</v>
      </c>
      <c r="Y79" s="49">
        <f t="shared" si="78"/>
        <v>0</v>
      </c>
      <c r="Z79" s="49">
        <f t="shared" si="78"/>
        <v>0</v>
      </c>
      <c r="AA79" s="54"/>
      <c r="AB79" s="54"/>
      <c r="AC79" s="2">
        <f t="shared" si="3"/>
        <v>2</v>
      </c>
      <c r="AD79" s="6"/>
      <c r="AE79" s="6"/>
      <c r="AF79" s="6"/>
      <c r="AG79" s="6"/>
      <c r="AH79" s="6"/>
      <c r="AI79" s="6"/>
      <c r="AJ79" s="6"/>
      <c r="AK79" s="6"/>
      <c r="AL79" s="6"/>
      <c r="AM79" s="6"/>
      <c r="AN79" s="6"/>
      <c r="AO79" s="6"/>
      <c r="AP79" s="6"/>
      <c r="AQ79" s="6"/>
      <c r="AR79" s="6"/>
      <c r="AS79" s="6"/>
    </row>
    <row r="80" spans="1:45" ht="47.25" hidden="1" x14ac:dyDescent="0.25">
      <c r="A80" s="33" t="s">
        <v>35</v>
      </c>
      <c r="B80" s="42">
        <v>400</v>
      </c>
      <c r="C80" s="33" t="s">
        <v>163</v>
      </c>
      <c r="D80" s="33" t="s">
        <v>805</v>
      </c>
      <c r="E80" s="33" t="s">
        <v>806</v>
      </c>
      <c r="F80" s="43" t="s">
        <v>807</v>
      </c>
      <c r="G80" s="33" t="s">
        <v>808</v>
      </c>
      <c r="H80" s="33" t="s">
        <v>809</v>
      </c>
      <c r="I80" s="32"/>
      <c r="J80" s="33" t="s">
        <v>810</v>
      </c>
      <c r="K80" s="33" t="s">
        <v>43</v>
      </c>
      <c r="L80" s="33" t="s">
        <v>811</v>
      </c>
      <c r="M80" s="44">
        <v>10872345664</v>
      </c>
      <c r="N80" s="44">
        <v>425645424</v>
      </c>
      <c r="O80" s="44">
        <v>15000000</v>
      </c>
      <c r="P80" s="59">
        <v>48000000</v>
      </c>
      <c r="Q80" s="44">
        <f t="shared" si="1"/>
        <v>11360991088</v>
      </c>
      <c r="R80" s="48">
        <v>10872345664</v>
      </c>
      <c r="S80" s="48">
        <v>425645424</v>
      </c>
      <c r="T80" s="44">
        <v>15000000</v>
      </c>
      <c r="U80" s="49">
        <v>48000000</v>
      </c>
      <c r="V80" s="32"/>
      <c r="W80" s="49"/>
      <c r="X80" s="49">
        <f t="shared" ref="X80:Z80" si="79">N80-S80</f>
        <v>0</v>
      </c>
      <c r="Y80" s="49">
        <f t="shared" si="79"/>
        <v>0</v>
      </c>
      <c r="Z80" s="49">
        <f t="shared" si="79"/>
        <v>0</v>
      </c>
      <c r="AA80" s="54"/>
      <c r="AB80" s="54"/>
      <c r="AC80" s="2">
        <f t="shared" si="3"/>
        <v>2</v>
      </c>
      <c r="AD80" s="6"/>
      <c r="AE80" s="6"/>
      <c r="AF80" s="6"/>
      <c r="AG80" s="6"/>
      <c r="AH80" s="6"/>
      <c r="AI80" s="6"/>
      <c r="AJ80" s="6"/>
      <c r="AK80" s="6"/>
      <c r="AL80" s="6"/>
      <c r="AM80" s="6"/>
      <c r="AN80" s="6"/>
      <c r="AO80" s="6"/>
      <c r="AP80" s="6"/>
      <c r="AQ80" s="6"/>
      <c r="AR80" s="6"/>
      <c r="AS80" s="6"/>
    </row>
    <row r="81" spans="1:45" ht="63" hidden="1" x14ac:dyDescent="0.25">
      <c r="A81" s="33" t="s">
        <v>60</v>
      </c>
      <c r="B81" s="42">
        <v>338</v>
      </c>
      <c r="C81" s="33" t="s">
        <v>37</v>
      </c>
      <c r="D81" s="33" t="s">
        <v>818</v>
      </c>
      <c r="E81" s="33" t="s">
        <v>821</v>
      </c>
      <c r="F81" s="43" t="s">
        <v>823</v>
      </c>
      <c r="G81" s="33" t="s">
        <v>824</v>
      </c>
      <c r="H81" s="33" t="s">
        <v>825</v>
      </c>
      <c r="I81" s="33"/>
      <c r="J81" s="33" t="s">
        <v>826</v>
      </c>
      <c r="K81" s="33" t="s">
        <v>43</v>
      </c>
      <c r="L81" s="33" t="s">
        <v>827</v>
      </c>
      <c r="M81" s="44">
        <v>6891800904</v>
      </c>
      <c r="N81" s="44">
        <v>390746990</v>
      </c>
      <c r="O81" s="44">
        <v>15000000</v>
      </c>
      <c r="P81" s="59">
        <v>48000000</v>
      </c>
      <c r="Q81" s="44">
        <f t="shared" si="1"/>
        <v>7345547894</v>
      </c>
      <c r="R81" s="48">
        <v>6891800904</v>
      </c>
      <c r="S81" s="48">
        <v>390746990</v>
      </c>
      <c r="T81" s="66"/>
      <c r="U81" s="49">
        <v>48000000</v>
      </c>
      <c r="V81" s="32"/>
      <c r="W81" s="49"/>
      <c r="X81" s="49">
        <f t="shared" ref="X81:Z81" si="80">N81-S81</f>
        <v>0</v>
      </c>
      <c r="Y81" s="52">
        <f t="shared" si="80"/>
        <v>15000000</v>
      </c>
      <c r="Z81" s="49">
        <f t="shared" si="80"/>
        <v>0</v>
      </c>
      <c r="AA81" s="54"/>
      <c r="AB81" s="43"/>
      <c r="AC81" s="15">
        <f t="shared" si="3"/>
        <v>2</v>
      </c>
      <c r="AD81" s="15"/>
      <c r="AE81" s="6"/>
      <c r="AF81" s="6"/>
      <c r="AG81" s="6"/>
      <c r="AH81" s="6"/>
      <c r="AI81" s="6"/>
      <c r="AJ81" s="6"/>
      <c r="AK81" s="6"/>
      <c r="AL81" s="6"/>
      <c r="AM81" s="6"/>
      <c r="AN81" s="6"/>
      <c r="AO81" s="6"/>
      <c r="AP81" s="6"/>
      <c r="AQ81" s="6"/>
      <c r="AR81" s="6"/>
      <c r="AS81" s="6"/>
    </row>
    <row r="82" spans="1:45" ht="40.5" hidden="1" x14ac:dyDescent="0.25">
      <c r="A82" s="33" t="s">
        <v>88</v>
      </c>
      <c r="B82" s="42">
        <v>752</v>
      </c>
      <c r="C82" s="33" t="s">
        <v>67</v>
      </c>
      <c r="D82" s="33" t="s">
        <v>832</v>
      </c>
      <c r="E82" s="33" t="s">
        <v>625</v>
      </c>
      <c r="F82" s="43" t="s">
        <v>823</v>
      </c>
      <c r="G82" s="33" t="s">
        <v>834</v>
      </c>
      <c r="H82" s="32"/>
      <c r="I82" s="32"/>
      <c r="J82" s="62" t="s">
        <v>836</v>
      </c>
      <c r="K82" s="33" t="s">
        <v>43</v>
      </c>
      <c r="L82" s="33" t="s">
        <v>838</v>
      </c>
      <c r="M82" s="63">
        <v>10000000</v>
      </c>
      <c r="N82" s="77">
        <v>1047274020</v>
      </c>
      <c r="O82" s="63">
        <v>15000000</v>
      </c>
      <c r="P82" s="59">
        <v>60000000</v>
      </c>
      <c r="Q82" s="44">
        <f t="shared" si="1"/>
        <v>1132274020</v>
      </c>
      <c r="R82" s="65">
        <v>10000000</v>
      </c>
      <c r="S82" s="65">
        <v>1047274020</v>
      </c>
      <c r="T82" s="44">
        <v>15000000</v>
      </c>
      <c r="U82" s="49">
        <v>60000000</v>
      </c>
      <c r="V82" s="32"/>
      <c r="W82" s="49"/>
      <c r="X82" s="49">
        <f t="shared" ref="X82:Z82" si="81">N82-S82</f>
        <v>0</v>
      </c>
      <c r="Y82" s="49">
        <f t="shared" si="81"/>
        <v>0</v>
      </c>
      <c r="Z82" s="49">
        <f t="shared" si="81"/>
        <v>0</v>
      </c>
      <c r="AA82" s="54"/>
      <c r="AB82" s="54"/>
      <c r="AC82" s="2">
        <f t="shared" si="3"/>
        <v>2</v>
      </c>
      <c r="AD82" s="6"/>
      <c r="AE82" s="6"/>
      <c r="AF82" s="6"/>
      <c r="AG82" s="6"/>
      <c r="AH82" s="6"/>
      <c r="AI82" s="6"/>
      <c r="AJ82" s="6"/>
      <c r="AK82" s="6"/>
      <c r="AL82" s="6"/>
      <c r="AM82" s="6"/>
      <c r="AN82" s="6"/>
      <c r="AO82" s="6"/>
      <c r="AP82" s="6"/>
      <c r="AQ82" s="6"/>
      <c r="AR82" s="6"/>
      <c r="AS82" s="6"/>
    </row>
    <row r="83" spans="1:45" ht="31.5" hidden="1" x14ac:dyDescent="0.25">
      <c r="A83" s="33" t="s">
        <v>88</v>
      </c>
      <c r="B83" s="42">
        <v>767</v>
      </c>
      <c r="C83" s="33" t="s">
        <v>67</v>
      </c>
      <c r="D83" s="33" t="s">
        <v>842</v>
      </c>
      <c r="E83" s="33" t="s">
        <v>625</v>
      </c>
      <c r="F83" s="43" t="s">
        <v>823</v>
      </c>
      <c r="G83" s="33" t="s">
        <v>843</v>
      </c>
      <c r="H83" s="32"/>
      <c r="I83" s="32"/>
      <c r="J83" s="62" t="s">
        <v>844</v>
      </c>
      <c r="K83" s="33" t="s">
        <v>43</v>
      </c>
      <c r="L83" s="33" t="s">
        <v>845</v>
      </c>
      <c r="M83" s="63">
        <v>10000000</v>
      </c>
      <c r="N83" s="77">
        <v>3051023772</v>
      </c>
      <c r="O83" s="63">
        <v>15000000</v>
      </c>
      <c r="P83" s="59">
        <v>48000000</v>
      </c>
      <c r="Q83" s="44">
        <f t="shared" si="1"/>
        <v>3124023772</v>
      </c>
      <c r="R83" s="85">
        <v>10000000</v>
      </c>
      <c r="S83" s="65">
        <v>3051023772</v>
      </c>
      <c r="T83" s="44">
        <v>15000000</v>
      </c>
      <c r="U83" s="49">
        <v>48000000</v>
      </c>
      <c r="V83" s="32"/>
      <c r="W83" s="49"/>
      <c r="X83" s="49">
        <f t="shared" ref="X83:Z83" si="82">N83-S83</f>
        <v>0</v>
      </c>
      <c r="Y83" s="49">
        <f t="shared" si="82"/>
        <v>0</v>
      </c>
      <c r="Z83" s="49">
        <f t="shared" si="82"/>
        <v>0</v>
      </c>
      <c r="AA83" s="54"/>
      <c r="AB83" s="54"/>
      <c r="AC83" s="2">
        <f t="shared" si="3"/>
        <v>2</v>
      </c>
      <c r="AD83" s="6"/>
      <c r="AE83" s="6"/>
      <c r="AF83" s="6"/>
      <c r="AG83" s="6"/>
      <c r="AH83" s="6"/>
      <c r="AI83" s="6"/>
      <c r="AJ83" s="6"/>
      <c r="AK83" s="6"/>
      <c r="AL83" s="6"/>
      <c r="AM83" s="6"/>
      <c r="AN83" s="6"/>
      <c r="AO83" s="6"/>
      <c r="AP83" s="6"/>
      <c r="AQ83" s="6"/>
      <c r="AR83" s="6"/>
      <c r="AS83" s="6"/>
    </row>
    <row r="84" spans="1:45" ht="47.25" x14ac:dyDescent="0.25">
      <c r="A84" s="33" t="s">
        <v>60</v>
      </c>
      <c r="B84" s="42">
        <v>373</v>
      </c>
      <c r="C84" s="33" t="s">
        <v>37</v>
      </c>
      <c r="D84" s="33" t="s">
        <v>852</v>
      </c>
      <c r="E84" s="33"/>
      <c r="F84" s="43" t="s">
        <v>853</v>
      </c>
      <c r="G84" s="33" t="s">
        <v>854</v>
      </c>
      <c r="H84" s="33"/>
      <c r="I84" s="33"/>
      <c r="J84" s="33" t="s">
        <v>855</v>
      </c>
      <c r="K84" s="33" t="s">
        <v>43</v>
      </c>
      <c r="L84" s="33" t="s">
        <v>856</v>
      </c>
      <c r="M84" s="44">
        <v>3862052810</v>
      </c>
      <c r="N84" s="45"/>
      <c r="O84" s="44">
        <v>15000000</v>
      </c>
      <c r="P84" s="46">
        <v>56000000</v>
      </c>
      <c r="Q84" s="44">
        <f t="shared" si="1"/>
        <v>3933052810</v>
      </c>
      <c r="R84" s="48">
        <v>3862052810</v>
      </c>
      <c r="S84" s="32"/>
      <c r="T84" s="44">
        <v>15000000</v>
      </c>
      <c r="U84" s="33"/>
      <c r="V84" s="32"/>
      <c r="W84" s="49"/>
      <c r="X84" s="49">
        <f t="shared" ref="X84:Z84" si="83">N84-S84</f>
        <v>0</v>
      </c>
      <c r="Y84" s="49">
        <f t="shared" si="83"/>
        <v>0</v>
      </c>
      <c r="Z84" s="52">
        <f t="shared" si="83"/>
        <v>56000000</v>
      </c>
      <c r="AA84" s="54"/>
      <c r="AB84" s="43"/>
      <c r="AC84" s="6">
        <f t="shared" si="3"/>
        <v>2</v>
      </c>
      <c r="AD84" s="6"/>
      <c r="AE84" s="6"/>
      <c r="AF84" s="6"/>
      <c r="AG84" s="6"/>
      <c r="AH84" s="6"/>
      <c r="AI84" s="6"/>
      <c r="AJ84" s="6"/>
      <c r="AK84" s="6"/>
      <c r="AL84" s="6"/>
      <c r="AM84" s="6"/>
      <c r="AN84" s="6"/>
      <c r="AO84" s="6"/>
      <c r="AP84" s="6"/>
      <c r="AQ84" s="6"/>
      <c r="AR84" s="6"/>
      <c r="AS84" s="6"/>
    </row>
    <row r="85" spans="1:45" ht="63" x14ac:dyDescent="0.25">
      <c r="A85" s="33" t="s">
        <v>60</v>
      </c>
      <c r="B85" s="42">
        <v>664</v>
      </c>
      <c r="C85" s="33" t="s">
        <v>327</v>
      </c>
      <c r="D85" s="33" t="s">
        <v>862</v>
      </c>
      <c r="E85" s="33" t="s">
        <v>863</v>
      </c>
      <c r="F85" s="43" t="s">
        <v>864</v>
      </c>
      <c r="G85" s="33" t="s">
        <v>865</v>
      </c>
      <c r="H85" s="33" t="s">
        <v>866</v>
      </c>
      <c r="I85" s="33"/>
      <c r="J85" s="33" t="s">
        <v>867</v>
      </c>
      <c r="K85" s="33" t="s">
        <v>43</v>
      </c>
      <c r="L85" s="33" t="s">
        <v>869</v>
      </c>
      <c r="M85" s="44">
        <v>10000000</v>
      </c>
      <c r="N85" s="44">
        <v>1529015488</v>
      </c>
      <c r="O85" s="44">
        <v>15000000</v>
      </c>
      <c r="P85" s="46">
        <v>48000000</v>
      </c>
      <c r="Q85" s="44">
        <f t="shared" si="1"/>
        <v>1602015488</v>
      </c>
      <c r="R85" s="65">
        <v>10000000</v>
      </c>
      <c r="S85" s="65">
        <v>1529015488</v>
      </c>
      <c r="T85" s="66"/>
      <c r="U85" s="33"/>
      <c r="V85" s="32"/>
      <c r="W85" s="49"/>
      <c r="X85" s="49">
        <f t="shared" ref="X85:Z85" si="84">N85-S85</f>
        <v>0</v>
      </c>
      <c r="Y85" s="52">
        <f t="shared" si="84"/>
        <v>15000000</v>
      </c>
      <c r="Z85" s="52">
        <f t="shared" si="84"/>
        <v>48000000</v>
      </c>
      <c r="AA85" s="54"/>
      <c r="AB85" s="43"/>
      <c r="AC85" s="15">
        <f t="shared" si="3"/>
        <v>2</v>
      </c>
      <c r="AD85" s="15"/>
      <c r="AE85" s="6"/>
      <c r="AF85" s="6"/>
      <c r="AG85" s="6"/>
      <c r="AH85" s="6"/>
      <c r="AI85" s="6"/>
      <c r="AJ85" s="6"/>
      <c r="AK85" s="6"/>
      <c r="AL85" s="6"/>
      <c r="AM85" s="6"/>
      <c r="AN85" s="6"/>
      <c r="AO85" s="6"/>
      <c r="AP85" s="6"/>
      <c r="AQ85" s="6"/>
      <c r="AR85" s="6"/>
      <c r="AS85" s="6"/>
    </row>
    <row r="86" spans="1:45" ht="60.75" hidden="1" x14ac:dyDescent="0.25">
      <c r="A86" s="33" t="s">
        <v>52</v>
      </c>
      <c r="B86" s="42">
        <v>562</v>
      </c>
      <c r="C86" s="33" t="s">
        <v>498</v>
      </c>
      <c r="D86" s="33" t="s">
        <v>875</v>
      </c>
      <c r="E86" s="32"/>
      <c r="F86" s="43" t="s">
        <v>877</v>
      </c>
      <c r="G86" s="33" t="s">
        <v>879</v>
      </c>
      <c r="H86" s="32"/>
      <c r="I86" s="32"/>
      <c r="J86" s="62" t="s">
        <v>880</v>
      </c>
      <c r="K86" s="33" t="s">
        <v>43</v>
      </c>
      <c r="L86" s="33" t="s">
        <v>881</v>
      </c>
      <c r="M86" s="63">
        <v>1118352476</v>
      </c>
      <c r="N86" s="45"/>
      <c r="O86" s="63">
        <v>15000000</v>
      </c>
      <c r="P86" s="59">
        <v>108000000</v>
      </c>
      <c r="Q86" s="44">
        <f t="shared" si="1"/>
        <v>1241352476</v>
      </c>
      <c r="R86" s="65">
        <v>1118352476</v>
      </c>
      <c r="S86" s="32"/>
      <c r="T86" s="44">
        <v>15000000</v>
      </c>
      <c r="U86" s="49">
        <v>108000000</v>
      </c>
      <c r="V86" s="32"/>
      <c r="W86" s="49"/>
      <c r="X86" s="49">
        <f t="shared" ref="X86:Z86" si="85">N86-S86</f>
        <v>0</v>
      </c>
      <c r="Y86" s="49">
        <f t="shared" si="85"/>
        <v>0</v>
      </c>
      <c r="Z86" s="49">
        <f t="shared" si="85"/>
        <v>0</v>
      </c>
      <c r="AA86" s="54"/>
      <c r="AB86" s="54"/>
      <c r="AC86" s="2">
        <f t="shared" si="3"/>
        <v>2</v>
      </c>
      <c r="AD86" s="6"/>
      <c r="AE86" s="6"/>
      <c r="AF86" s="6"/>
      <c r="AG86" s="6"/>
      <c r="AH86" s="6"/>
      <c r="AI86" s="6"/>
      <c r="AJ86" s="6"/>
      <c r="AK86" s="6"/>
      <c r="AL86" s="6"/>
      <c r="AM86" s="6"/>
      <c r="AN86" s="6"/>
      <c r="AO86" s="6"/>
      <c r="AP86" s="6"/>
      <c r="AQ86" s="6"/>
      <c r="AR86" s="6"/>
      <c r="AS86" s="6"/>
    </row>
    <row r="87" spans="1:45" ht="47.25" hidden="1" x14ac:dyDescent="0.25">
      <c r="A87" s="33" t="s">
        <v>52</v>
      </c>
      <c r="B87" s="42">
        <v>688</v>
      </c>
      <c r="C87" s="33" t="s">
        <v>67</v>
      </c>
      <c r="D87" s="33" t="s">
        <v>882</v>
      </c>
      <c r="E87" s="33" t="s">
        <v>883</v>
      </c>
      <c r="F87" s="54" t="s">
        <v>884</v>
      </c>
      <c r="G87" s="33" t="s">
        <v>885</v>
      </c>
      <c r="H87" s="33" t="s">
        <v>886</v>
      </c>
      <c r="I87" s="32"/>
      <c r="J87" s="62" t="s">
        <v>887</v>
      </c>
      <c r="K87" s="33" t="s">
        <v>43</v>
      </c>
      <c r="L87" s="33" t="s">
        <v>888</v>
      </c>
      <c r="M87" s="63">
        <v>1016998986</v>
      </c>
      <c r="N87" s="63">
        <v>86605610</v>
      </c>
      <c r="O87" s="63">
        <v>15000000</v>
      </c>
      <c r="P87" s="86">
        <v>48000000</v>
      </c>
      <c r="Q87" s="44">
        <f t="shared" si="1"/>
        <v>1166604596</v>
      </c>
      <c r="R87" s="65">
        <v>1016998986</v>
      </c>
      <c r="S87" s="65">
        <v>86605610</v>
      </c>
      <c r="T87" s="63">
        <v>15000000</v>
      </c>
      <c r="U87" s="49">
        <v>48000000</v>
      </c>
      <c r="V87" s="32"/>
      <c r="W87" s="49"/>
      <c r="X87" s="49">
        <f t="shared" ref="X87:Z87" si="86">N87-S87</f>
        <v>0</v>
      </c>
      <c r="Y87" s="49">
        <f t="shared" si="86"/>
        <v>0</v>
      </c>
      <c r="Z87" s="49">
        <f t="shared" si="86"/>
        <v>0</v>
      </c>
      <c r="AA87" s="54"/>
      <c r="AB87" s="54"/>
      <c r="AC87" s="2">
        <f t="shared" si="3"/>
        <v>2</v>
      </c>
      <c r="AD87" s="6"/>
      <c r="AE87" s="6"/>
      <c r="AF87" s="6"/>
      <c r="AG87" s="6"/>
      <c r="AH87" s="6"/>
      <c r="AI87" s="6"/>
      <c r="AJ87" s="6"/>
      <c r="AK87" s="6"/>
      <c r="AL87" s="6"/>
      <c r="AM87" s="6"/>
      <c r="AN87" s="6"/>
      <c r="AO87" s="6"/>
      <c r="AP87" s="6"/>
      <c r="AQ87" s="6"/>
      <c r="AR87" s="6"/>
      <c r="AS87" s="6"/>
    </row>
    <row r="88" spans="1:45" ht="31.5" x14ac:dyDescent="0.25">
      <c r="A88" s="33" t="s">
        <v>52</v>
      </c>
      <c r="B88" s="42">
        <v>702</v>
      </c>
      <c r="C88" s="33" t="s">
        <v>67</v>
      </c>
      <c r="D88" s="33" t="s">
        <v>894</v>
      </c>
      <c r="E88" s="33" t="s">
        <v>895</v>
      </c>
      <c r="F88" s="43" t="s">
        <v>884</v>
      </c>
      <c r="G88" s="33" t="s">
        <v>896</v>
      </c>
      <c r="H88" s="33" t="s">
        <v>897</v>
      </c>
      <c r="I88" s="33"/>
      <c r="J88" s="33" t="s">
        <v>898</v>
      </c>
      <c r="K88" s="33" t="s">
        <v>43</v>
      </c>
      <c r="L88" s="33" t="s">
        <v>899</v>
      </c>
      <c r="M88" s="63">
        <v>1540321022</v>
      </c>
      <c r="N88" s="63">
        <v>659051076</v>
      </c>
      <c r="O88" s="63">
        <v>15000000</v>
      </c>
      <c r="P88" s="87">
        <v>48000000</v>
      </c>
      <c r="Q88" s="44">
        <f t="shared" si="1"/>
        <v>2262372098</v>
      </c>
      <c r="R88" s="65">
        <v>1540321022</v>
      </c>
      <c r="S88" s="49">
        <v>659051076</v>
      </c>
      <c r="T88" s="44">
        <v>15000000</v>
      </c>
      <c r="U88" s="33"/>
      <c r="V88" s="32"/>
      <c r="W88" s="49"/>
      <c r="X88" s="49">
        <f t="shared" ref="X88:Z88" si="87">N88-S88</f>
        <v>0</v>
      </c>
      <c r="Y88" s="49">
        <f t="shared" si="87"/>
        <v>0</v>
      </c>
      <c r="Z88" s="52">
        <f t="shared" si="87"/>
        <v>48000000</v>
      </c>
      <c r="AA88" s="54"/>
      <c r="AB88" s="43"/>
      <c r="AC88" s="6">
        <f t="shared" si="3"/>
        <v>2</v>
      </c>
      <c r="AD88" s="6"/>
      <c r="AE88" s="6"/>
      <c r="AF88" s="6"/>
      <c r="AG88" s="6"/>
      <c r="AH88" s="6"/>
      <c r="AI88" s="6"/>
      <c r="AJ88" s="6"/>
      <c r="AK88" s="6"/>
      <c r="AL88" s="6"/>
      <c r="AM88" s="6"/>
      <c r="AN88" s="6"/>
      <c r="AO88" s="6"/>
      <c r="AP88" s="6"/>
      <c r="AQ88" s="6"/>
      <c r="AR88" s="6"/>
      <c r="AS88" s="6"/>
    </row>
    <row r="89" spans="1:45" ht="47.25" x14ac:dyDescent="0.25">
      <c r="A89" s="33" t="s">
        <v>35</v>
      </c>
      <c r="B89" s="42">
        <v>668</v>
      </c>
      <c r="C89" s="33" t="s">
        <v>327</v>
      </c>
      <c r="D89" s="33" t="s">
        <v>905</v>
      </c>
      <c r="E89" s="33" t="s">
        <v>906</v>
      </c>
      <c r="F89" s="43" t="s">
        <v>907</v>
      </c>
      <c r="G89" s="33" t="s">
        <v>908</v>
      </c>
      <c r="H89" s="33" t="s">
        <v>909</v>
      </c>
      <c r="I89" s="33"/>
      <c r="J89" s="33" t="s">
        <v>910</v>
      </c>
      <c r="K89" s="33" t="s">
        <v>43</v>
      </c>
      <c r="L89" s="33" t="s">
        <v>911</v>
      </c>
      <c r="M89" s="63">
        <v>10000000</v>
      </c>
      <c r="N89" s="63">
        <v>429264612</v>
      </c>
      <c r="O89" s="63">
        <v>15000000</v>
      </c>
      <c r="P89" s="87">
        <v>48000000</v>
      </c>
      <c r="Q89" s="44">
        <f t="shared" si="1"/>
        <v>502264612</v>
      </c>
      <c r="R89" s="48">
        <v>10000000</v>
      </c>
      <c r="S89" s="65">
        <v>429264612</v>
      </c>
      <c r="T89" s="44">
        <v>15000000</v>
      </c>
      <c r="U89" s="33"/>
      <c r="V89" s="32"/>
      <c r="W89" s="49"/>
      <c r="X89" s="49">
        <f t="shared" ref="X89:Z89" si="88">N89-S89</f>
        <v>0</v>
      </c>
      <c r="Y89" s="49">
        <f t="shared" si="88"/>
        <v>0</v>
      </c>
      <c r="Z89" s="52">
        <f t="shared" si="88"/>
        <v>48000000</v>
      </c>
      <c r="AA89" s="54"/>
      <c r="AB89" s="43"/>
      <c r="AC89" s="6">
        <f t="shared" si="3"/>
        <v>2</v>
      </c>
      <c r="AD89" s="6"/>
      <c r="AE89" s="6"/>
      <c r="AF89" s="6"/>
      <c r="AG89" s="6"/>
      <c r="AH89" s="6"/>
      <c r="AI89" s="6"/>
      <c r="AJ89" s="6"/>
      <c r="AK89" s="6"/>
      <c r="AL89" s="6"/>
      <c r="AM89" s="6"/>
      <c r="AN89" s="6"/>
      <c r="AO89" s="6"/>
      <c r="AP89" s="6"/>
      <c r="AQ89" s="6"/>
      <c r="AR89" s="6"/>
      <c r="AS89" s="6"/>
    </row>
    <row r="90" spans="1:45" ht="47.25" x14ac:dyDescent="0.25">
      <c r="A90" s="33" t="s">
        <v>275</v>
      </c>
      <c r="B90" s="42">
        <v>831</v>
      </c>
      <c r="C90" s="33" t="s">
        <v>89</v>
      </c>
      <c r="D90" s="33" t="s">
        <v>917</v>
      </c>
      <c r="E90" s="33" t="s">
        <v>918</v>
      </c>
      <c r="F90" s="43" t="s">
        <v>907</v>
      </c>
      <c r="G90" s="33" t="s">
        <v>919</v>
      </c>
      <c r="H90" s="33"/>
      <c r="I90" s="33"/>
      <c r="J90" s="33" t="s">
        <v>921</v>
      </c>
      <c r="K90" s="33" t="s">
        <v>43</v>
      </c>
      <c r="L90" s="33" t="s">
        <v>922</v>
      </c>
      <c r="M90" s="63">
        <v>10000000</v>
      </c>
      <c r="N90" s="63">
        <v>549610320</v>
      </c>
      <c r="O90" s="63">
        <v>15000000</v>
      </c>
      <c r="P90" s="87">
        <v>48000000</v>
      </c>
      <c r="Q90" s="44">
        <f t="shared" si="1"/>
        <v>622610320</v>
      </c>
      <c r="R90" s="65">
        <v>10000000</v>
      </c>
      <c r="S90" s="65">
        <v>549610320</v>
      </c>
      <c r="T90" s="44">
        <v>15000000</v>
      </c>
      <c r="U90" s="33"/>
      <c r="V90" s="32"/>
      <c r="W90" s="49"/>
      <c r="X90" s="49">
        <f t="shared" ref="X90:Z90" si="89">N90-S90</f>
        <v>0</v>
      </c>
      <c r="Y90" s="49">
        <f t="shared" si="89"/>
        <v>0</v>
      </c>
      <c r="Z90" s="52">
        <f t="shared" si="89"/>
        <v>48000000</v>
      </c>
      <c r="AA90" s="54"/>
      <c r="AB90" s="43"/>
      <c r="AC90" s="6">
        <f t="shared" si="3"/>
        <v>2</v>
      </c>
      <c r="AD90" s="6"/>
      <c r="AE90" s="6"/>
      <c r="AF90" s="6"/>
      <c r="AG90" s="6"/>
      <c r="AH90" s="6"/>
      <c r="AI90" s="6"/>
      <c r="AJ90" s="6"/>
      <c r="AK90" s="6"/>
      <c r="AL90" s="6"/>
      <c r="AM90" s="6"/>
      <c r="AN90" s="6"/>
      <c r="AO90" s="6"/>
      <c r="AP90" s="6"/>
      <c r="AQ90" s="6"/>
      <c r="AR90" s="6"/>
      <c r="AS90" s="6"/>
    </row>
    <row r="91" spans="1:45" ht="31.5" x14ac:dyDescent="0.25">
      <c r="A91" s="33" t="s">
        <v>46</v>
      </c>
      <c r="B91" s="42">
        <v>466</v>
      </c>
      <c r="C91" s="33" t="s">
        <v>47</v>
      </c>
      <c r="D91" s="33" t="s">
        <v>925</v>
      </c>
      <c r="E91" s="33"/>
      <c r="F91" s="43" t="s">
        <v>926</v>
      </c>
      <c r="G91" s="33" t="s">
        <v>927</v>
      </c>
      <c r="H91" s="33"/>
      <c r="I91" s="33"/>
      <c r="J91" s="33" t="s">
        <v>928</v>
      </c>
      <c r="K91" s="33" t="s">
        <v>43</v>
      </c>
      <c r="L91" s="33" t="s">
        <v>929</v>
      </c>
      <c r="M91" s="44">
        <v>9079262352</v>
      </c>
      <c r="N91" s="45"/>
      <c r="O91" s="44">
        <v>15000000</v>
      </c>
      <c r="P91" s="87">
        <v>72000000</v>
      </c>
      <c r="Q91" s="44">
        <f t="shared" si="1"/>
        <v>9166262352</v>
      </c>
      <c r="R91" s="48">
        <v>9079262352</v>
      </c>
      <c r="S91" s="32"/>
      <c r="T91" s="44">
        <v>15000000</v>
      </c>
      <c r="U91" s="33"/>
      <c r="V91" s="32"/>
      <c r="W91" s="49"/>
      <c r="X91" s="49">
        <f t="shared" ref="X91:Z91" si="90">N91-S91</f>
        <v>0</v>
      </c>
      <c r="Y91" s="49">
        <f t="shared" si="90"/>
        <v>0</v>
      </c>
      <c r="Z91" s="52">
        <f t="shared" si="90"/>
        <v>72000000</v>
      </c>
      <c r="AA91" s="54"/>
      <c r="AB91" s="43"/>
      <c r="AC91" s="6">
        <f t="shared" si="3"/>
        <v>2</v>
      </c>
      <c r="AD91" s="6"/>
      <c r="AE91" s="6"/>
      <c r="AF91" s="6"/>
      <c r="AG91" s="6"/>
      <c r="AH91" s="6"/>
      <c r="AI91" s="6"/>
      <c r="AJ91" s="6"/>
      <c r="AK91" s="6"/>
      <c r="AL91" s="6"/>
      <c r="AM91" s="6"/>
      <c r="AN91" s="6"/>
      <c r="AO91" s="6"/>
      <c r="AP91" s="6"/>
      <c r="AQ91" s="6"/>
      <c r="AR91" s="6"/>
      <c r="AS91" s="6"/>
    </row>
    <row r="92" spans="1:45" ht="31.5" x14ac:dyDescent="0.25">
      <c r="A92" s="33" t="s">
        <v>52</v>
      </c>
      <c r="B92" s="42">
        <v>575</v>
      </c>
      <c r="C92" s="33" t="s">
        <v>498</v>
      </c>
      <c r="D92" s="33" t="s">
        <v>934</v>
      </c>
      <c r="E92" s="33" t="s">
        <v>935</v>
      </c>
      <c r="F92" s="43" t="s">
        <v>926</v>
      </c>
      <c r="G92" s="33" t="s">
        <v>936</v>
      </c>
      <c r="H92" s="33" t="s">
        <v>937</v>
      </c>
      <c r="I92" s="33"/>
      <c r="J92" s="33" t="s">
        <v>938</v>
      </c>
      <c r="K92" s="33" t="s">
        <v>43</v>
      </c>
      <c r="L92" s="33" t="s">
        <v>939</v>
      </c>
      <c r="M92" s="63">
        <v>2862700618</v>
      </c>
      <c r="N92" s="63">
        <v>122707142</v>
      </c>
      <c r="O92" s="63">
        <v>15000000</v>
      </c>
      <c r="P92" s="87">
        <v>60000000</v>
      </c>
      <c r="Q92" s="44">
        <f t="shared" si="1"/>
        <v>3060407760</v>
      </c>
      <c r="R92" s="65">
        <v>2862700618</v>
      </c>
      <c r="S92" s="65">
        <v>122707142</v>
      </c>
      <c r="T92" s="44">
        <v>15000000</v>
      </c>
      <c r="U92" s="33"/>
      <c r="V92" s="32"/>
      <c r="W92" s="49"/>
      <c r="X92" s="49">
        <f t="shared" ref="X92:Z92" si="91">N92-S92</f>
        <v>0</v>
      </c>
      <c r="Y92" s="49">
        <f t="shared" si="91"/>
        <v>0</v>
      </c>
      <c r="Z92" s="52">
        <f t="shared" si="91"/>
        <v>60000000</v>
      </c>
      <c r="AA92" s="54"/>
      <c r="AB92" s="43"/>
      <c r="AC92" s="6">
        <f t="shared" si="3"/>
        <v>2</v>
      </c>
      <c r="AD92" s="6"/>
      <c r="AE92" s="6"/>
      <c r="AF92" s="6"/>
      <c r="AG92" s="6"/>
      <c r="AH92" s="6"/>
      <c r="AI92" s="6"/>
      <c r="AJ92" s="6"/>
      <c r="AK92" s="6"/>
      <c r="AL92" s="6"/>
      <c r="AM92" s="6"/>
      <c r="AN92" s="6"/>
      <c r="AO92" s="6"/>
      <c r="AP92" s="6"/>
      <c r="AQ92" s="6"/>
      <c r="AR92" s="6"/>
      <c r="AS92" s="6"/>
    </row>
    <row r="93" spans="1:45" ht="47.25" x14ac:dyDescent="0.25">
      <c r="A93" s="33" t="s">
        <v>275</v>
      </c>
      <c r="B93" s="42">
        <v>843</v>
      </c>
      <c r="C93" s="33" t="s">
        <v>89</v>
      </c>
      <c r="D93" s="33" t="s">
        <v>943</v>
      </c>
      <c r="E93" s="33"/>
      <c r="F93" s="43" t="s">
        <v>926</v>
      </c>
      <c r="G93" s="33" t="s">
        <v>944</v>
      </c>
      <c r="H93" s="33"/>
      <c r="I93" s="33"/>
      <c r="J93" s="33" t="s">
        <v>945</v>
      </c>
      <c r="K93" s="33" t="s">
        <v>43</v>
      </c>
      <c r="L93" s="33" t="s">
        <v>946</v>
      </c>
      <c r="M93" s="63">
        <v>2090430751</v>
      </c>
      <c r="N93" s="45"/>
      <c r="O93" s="63">
        <v>15000000</v>
      </c>
      <c r="P93" s="87">
        <v>132000000</v>
      </c>
      <c r="Q93" s="44">
        <f t="shared" si="1"/>
        <v>2237430751</v>
      </c>
      <c r="R93" s="65">
        <v>2090430751</v>
      </c>
      <c r="S93" s="32"/>
      <c r="T93" s="44">
        <v>15000000</v>
      </c>
      <c r="U93" s="33"/>
      <c r="V93" s="32"/>
      <c r="W93" s="49"/>
      <c r="X93" s="49">
        <f t="shared" ref="X93:Z93" si="92">N93-S93</f>
        <v>0</v>
      </c>
      <c r="Y93" s="49">
        <f t="shared" si="92"/>
        <v>0</v>
      </c>
      <c r="Z93" s="52">
        <f t="shared" si="92"/>
        <v>132000000</v>
      </c>
      <c r="AA93" s="54"/>
      <c r="AB93" s="43"/>
      <c r="AC93" s="6">
        <f t="shared" si="3"/>
        <v>2</v>
      </c>
      <c r="AD93" s="6"/>
      <c r="AE93" s="6"/>
      <c r="AF93" s="6"/>
      <c r="AG93" s="6"/>
      <c r="AH93" s="6"/>
      <c r="AI93" s="6"/>
      <c r="AJ93" s="6"/>
      <c r="AK93" s="6"/>
      <c r="AL93" s="6"/>
      <c r="AM93" s="6"/>
      <c r="AN93" s="6"/>
      <c r="AO93" s="6"/>
      <c r="AP93" s="6"/>
      <c r="AQ93" s="6"/>
      <c r="AR93" s="6"/>
      <c r="AS93" s="6"/>
    </row>
    <row r="94" spans="1:45" ht="31.5" hidden="1" x14ac:dyDescent="0.25">
      <c r="A94" s="33" t="s">
        <v>35</v>
      </c>
      <c r="B94" s="42">
        <v>104</v>
      </c>
      <c r="C94" s="33" t="s">
        <v>828</v>
      </c>
      <c r="D94" s="33" t="s">
        <v>828</v>
      </c>
      <c r="E94" s="32"/>
      <c r="F94" s="43" t="s">
        <v>872</v>
      </c>
      <c r="G94" s="33" t="s">
        <v>868</v>
      </c>
      <c r="H94" s="32"/>
      <c r="I94" s="32"/>
      <c r="J94" s="33" t="s">
        <v>870</v>
      </c>
      <c r="K94" s="33" t="s">
        <v>43</v>
      </c>
      <c r="L94" s="33" t="s">
        <v>871</v>
      </c>
      <c r="M94" s="44">
        <v>2113955500</v>
      </c>
      <c r="N94" s="45"/>
      <c r="O94" s="44">
        <v>15000000</v>
      </c>
      <c r="P94" s="59">
        <v>40000000</v>
      </c>
      <c r="Q94" s="44">
        <f t="shared" si="1"/>
        <v>2168955500</v>
      </c>
      <c r="R94" s="52">
        <v>2113955500</v>
      </c>
      <c r="S94" s="32"/>
      <c r="T94" s="44">
        <v>15000000</v>
      </c>
      <c r="U94" s="48">
        <v>40000000</v>
      </c>
      <c r="V94" s="32"/>
      <c r="W94" s="49"/>
      <c r="X94" s="49">
        <f t="shared" ref="X94:Z94" si="93">N94-S94</f>
        <v>0</v>
      </c>
      <c r="Y94" s="49">
        <f t="shared" si="93"/>
        <v>0</v>
      </c>
      <c r="Z94" s="49">
        <f t="shared" si="93"/>
        <v>0</v>
      </c>
      <c r="AA94" s="54"/>
      <c r="AB94" s="54"/>
      <c r="AC94" s="2">
        <f t="shared" si="3"/>
        <v>2</v>
      </c>
      <c r="AD94" s="6"/>
      <c r="AE94" s="6"/>
      <c r="AF94" s="6"/>
      <c r="AG94" s="6"/>
      <c r="AH94" s="6"/>
      <c r="AI94" s="6"/>
      <c r="AJ94" s="6"/>
      <c r="AK94" s="6"/>
      <c r="AL94" s="6"/>
      <c r="AM94" s="6"/>
      <c r="AN94" s="6"/>
      <c r="AO94" s="6"/>
      <c r="AP94" s="6"/>
      <c r="AQ94" s="6"/>
      <c r="AR94" s="6"/>
      <c r="AS94" s="6"/>
    </row>
    <row r="95" spans="1:45" ht="31.5" hidden="1" x14ac:dyDescent="0.25">
      <c r="A95" s="33" t="s">
        <v>35</v>
      </c>
      <c r="B95" s="42">
        <v>528</v>
      </c>
      <c r="C95" s="33" t="s">
        <v>124</v>
      </c>
      <c r="D95" s="33" t="s">
        <v>954</v>
      </c>
      <c r="E95" s="54"/>
      <c r="F95" s="43" t="s">
        <v>872</v>
      </c>
      <c r="G95" s="33" t="s">
        <v>955</v>
      </c>
      <c r="H95" s="32"/>
      <c r="I95" s="32"/>
      <c r="J95" s="33" t="s">
        <v>956</v>
      </c>
      <c r="K95" s="33" t="s">
        <v>43</v>
      </c>
      <c r="L95" s="33" t="s">
        <v>957</v>
      </c>
      <c r="M95" s="44">
        <v>4199771950</v>
      </c>
      <c r="N95" s="45"/>
      <c r="O95" s="44">
        <v>15000000</v>
      </c>
      <c r="P95" s="59">
        <v>144000000</v>
      </c>
      <c r="Q95" s="44">
        <f t="shared" si="1"/>
        <v>4358771950</v>
      </c>
      <c r="R95" s="48">
        <v>4199771950</v>
      </c>
      <c r="S95" s="32"/>
      <c r="T95" s="44">
        <v>15000000</v>
      </c>
      <c r="U95" s="48">
        <v>144000000</v>
      </c>
      <c r="V95" s="32"/>
      <c r="W95" s="49"/>
      <c r="X95" s="49">
        <f t="shared" ref="X95:Z95" si="94">N95-S95</f>
        <v>0</v>
      </c>
      <c r="Y95" s="49">
        <f t="shared" si="94"/>
        <v>0</v>
      </c>
      <c r="Z95" s="49">
        <f t="shared" si="94"/>
        <v>0</v>
      </c>
      <c r="AA95" s="54"/>
      <c r="AB95" s="54"/>
      <c r="AC95" s="2">
        <f t="shared" si="3"/>
        <v>2</v>
      </c>
      <c r="AD95" s="6"/>
      <c r="AE95" s="6"/>
      <c r="AF95" s="6"/>
      <c r="AG95" s="6"/>
      <c r="AH95" s="6"/>
      <c r="AI95" s="6"/>
      <c r="AJ95" s="6"/>
      <c r="AK95" s="6"/>
      <c r="AL95" s="6"/>
      <c r="AM95" s="6"/>
      <c r="AN95" s="6"/>
      <c r="AO95" s="6"/>
      <c r="AP95" s="6"/>
      <c r="AQ95" s="6"/>
      <c r="AR95" s="6"/>
      <c r="AS95" s="6"/>
    </row>
    <row r="96" spans="1:45" ht="31.5" hidden="1" x14ac:dyDescent="0.25">
      <c r="A96" s="33" t="s">
        <v>35</v>
      </c>
      <c r="B96" s="42">
        <v>530</v>
      </c>
      <c r="C96" s="33" t="s">
        <v>124</v>
      </c>
      <c r="D96" s="33" t="s">
        <v>959</v>
      </c>
      <c r="E96" s="54"/>
      <c r="F96" s="43" t="s">
        <v>872</v>
      </c>
      <c r="G96" s="33" t="s">
        <v>961</v>
      </c>
      <c r="H96" s="32"/>
      <c r="I96" s="32"/>
      <c r="J96" s="33" t="s">
        <v>963</v>
      </c>
      <c r="K96" s="33" t="s">
        <v>43</v>
      </c>
      <c r="L96" s="33" t="s">
        <v>964</v>
      </c>
      <c r="M96" s="44">
        <v>4879415244</v>
      </c>
      <c r="N96" s="45"/>
      <c r="O96" s="44">
        <v>15000000</v>
      </c>
      <c r="P96" s="59">
        <v>72000000</v>
      </c>
      <c r="Q96" s="44">
        <f t="shared" si="1"/>
        <v>4966415244</v>
      </c>
      <c r="R96" s="48">
        <v>4879415244</v>
      </c>
      <c r="S96" s="32"/>
      <c r="T96" s="44">
        <v>15000000</v>
      </c>
      <c r="U96" s="48">
        <v>72000000</v>
      </c>
      <c r="V96" s="32"/>
      <c r="W96" s="49"/>
      <c r="X96" s="49">
        <f t="shared" ref="X96:Z96" si="95">N96-S96</f>
        <v>0</v>
      </c>
      <c r="Y96" s="49">
        <f t="shared" si="95"/>
        <v>0</v>
      </c>
      <c r="Z96" s="49">
        <f t="shared" si="95"/>
        <v>0</v>
      </c>
      <c r="AA96" s="54"/>
      <c r="AB96" s="54"/>
      <c r="AC96" s="2">
        <f t="shared" si="3"/>
        <v>2</v>
      </c>
      <c r="AD96" s="6"/>
      <c r="AE96" s="6"/>
      <c r="AF96" s="6"/>
      <c r="AG96" s="6"/>
      <c r="AH96" s="6"/>
      <c r="AI96" s="6"/>
      <c r="AJ96" s="6"/>
      <c r="AK96" s="6"/>
      <c r="AL96" s="6"/>
      <c r="AM96" s="6"/>
      <c r="AN96" s="6"/>
      <c r="AO96" s="6"/>
      <c r="AP96" s="6"/>
      <c r="AQ96" s="6"/>
      <c r="AR96" s="6"/>
      <c r="AS96" s="6"/>
    </row>
    <row r="97" spans="1:45" ht="31.5" x14ac:dyDescent="0.25">
      <c r="A97" s="33" t="s">
        <v>52</v>
      </c>
      <c r="B97" s="42">
        <v>546</v>
      </c>
      <c r="C97" s="33" t="s">
        <v>966</v>
      </c>
      <c r="D97" s="33" t="s">
        <v>967</v>
      </c>
      <c r="E97" s="33"/>
      <c r="F97" s="43" t="s">
        <v>872</v>
      </c>
      <c r="G97" s="33" t="s">
        <v>968</v>
      </c>
      <c r="H97" s="33"/>
      <c r="I97" s="33" t="s">
        <v>969</v>
      </c>
      <c r="J97" s="33" t="s">
        <v>970</v>
      </c>
      <c r="K97" s="33" t="s">
        <v>43</v>
      </c>
      <c r="L97" s="33" t="s">
        <v>971</v>
      </c>
      <c r="M97" s="63">
        <v>5670213620</v>
      </c>
      <c r="N97" s="45"/>
      <c r="O97" s="44">
        <v>15000000</v>
      </c>
      <c r="P97" s="46">
        <v>42000000</v>
      </c>
      <c r="Q97" s="44">
        <f t="shared" si="1"/>
        <v>5727213620</v>
      </c>
      <c r="R97" s="65">
        <v>5670213620</v>
      </c>
      <c r="S97" s="32"/>
      <c r="T97" s="66"/>
      <c r="U97" s="33"/>
      <c r="V97" s="32"/>
      <c r="W97" s="49"/>
      <c r="X97" s="49">
        <f t="shared" ref="X97:Z97" si="96">N97-S97</f>
        <v>0</v>
      </c>
      <c r="Y97" s="52">
        <f t="shared" si="96"/>
        <v>15000000</v>
      </c>
      <c r="Z97" s="52">
        <f t="shared" si="96"/>
        <v>42000000</v>
      </c>
      <c r="AA97" s="54"/>
      <c r="AB97" s="43"/>
      <c r="AC97" s="15">
        <f t="shared" si="3"/>
        <v>2</v>
      </c>
      <c r="AD97" s="15"/>
      <c r="AE97" s="6"/>
      <c r="AF97" s="6"/>
      <c r="AG97" s="6"/>
      <c r="AH97" s="6"/>
      <c r="AI97" s="6"/>
      <c r="AJ97" s="6"/>
      <c r="AK97" s="6"/>
      <c r="AL97" s="6"/>
      <c r="AM97" s="6"/>
      <c r="AN97" s="6"/>
      <c r="AO97" s="6"/>
      <c r="AP97" s="6"/>
      <c r="AQ97" s="6"/>
      <c r="AR97" s="6"/>
      <c r="AS97" s="6"/>
    </row>
    <row r="98" spans="1:45" ht="60.75" hidden="1" x14ac:dyDescent="0.25">
      <c r="A98" s="33" t="s">
        <v>275</v>
      </c>
      <c r="B98" s="42">
        <v>652</v>
      </c>
      <c r="C98" s="33" t="s">
        <v>53</v>
      </c>
      <c r="D98" s="33" t="s">
        <v>976</v>
      </c>
      <c r="E98" s="32"/>
      <c r="F98" s="43" t="s">
        <v>872</v>
      </c>
      <c r="G98" s="33" t="s">
        <v>978</v>
      </c>
      <c r="H98" s="32"/>
      <c r="I98" s="33" t="s">
        <v>321</v>
      </c>
      <c r="J98" s="62" t="s">
        <v>979</v>
      </c>
      <c r="K98" s="33" t="s">
        <v>43</v>
      </c>
      <c r="L98" s="33" t="s">
        <v>981</v>
      </c>
      <c r="M98" s="63">
        <v>16382742639</v>
      </c>
      <c r="N98" s="45"/>
      <c r="O98" s="63">
        <v>15000000</v>
      </c>
      <c r="P98" s="59">
        <v>144000000</v>
      </c>
      <c r="Q98" s="44">
        <f t="shared" si="1"/>
        <v>16541742639</v>
      </c>
      <c r="R98" s="65">
        <v>16382742639</v>
      </c>
      <c r="S98" s="32"/>
      <c r="T98" s="63">
        <v>15000000</v>
      </c>
      <c r="U98" s="65">
        <v>144000000</v>
      </c>
      <c r="V98" s="32"/>
      <c r="W98" s="49"/>
      <c r="X98" s="49">
        <f t="shared" ref="X98:Z98" si="97">N98-S98</f>
        <v>0</v>
      </c>
      <c r="Y98" s="49">
        <f t="shared" si="97"/>
        <v>0</v>
      </c>
      <c r="Z98" s="49">
        <f t="shared" si="97"/>
        <v>0</v>
      </c>
      <c r="AA98" s="54"/>
      <c r="AB98" s="54"/>
      <c r="AC98" s="2">
        <f t="shared" si="3"/>
        <v>2</v>
      </c>
      <c r="AD98" s="6"/>
      <c r="AE98" s="6"/>
      <c r="AF98" s="6"/>
      <c r="AG98" s="6"/>
      <c r="AH98" s="6"/>
      <c r="AI98" s="6"/>
      <c r="AJ98" s="6"/>
      <c r="AK98" s="6"/>
      <c r="AL98" s="6"/>
      <c r="AM98" s="6"/>
      <c r="AN98" s="6"/>
      <c r="AO98" s="6"/>
      <c r="AP98" s="6"/>
      <c r="AQ98" s="6"/>
      <c r="AR98" s="6"/>
      <c r="AS98" s="6"/>
    </row>
    <row r="99" spans="1:45" ht="31.5" hidden="1" x14ac:dyDescent="0.25">
      <c r="A99" s="33" t="s">
        <v>60</v>
      </c>
      <c r="B99" s="42">
        <v>656</v>
      </c>
      <c r="C99" s="33" t="s">
        <v>730</v>
      </c>
      <c r="D99" s="33" t="s">
        <v>983</v>
      </c>
      <c r="E99" s="33" t="s">
        <v>984</v>
      </c>
      <c r="F99" s="43" t="s">
        <v>872</v>
      </c>
      <c r="G99" s="33" t="s">
        <v>985</v>
      </c>
      <c r="H99" s="33" t="s">
        <v>986</v>
      </c>
      <c r="I99" s="32"/>
      <c r="J99" s="33" t="s">
        <v>987</v>
      </c>
      <c r="K99" s="33" t="s">
        <v>43</v>
      </c>
      <c r="L99" s="33" t="s">
        <v>988</v>
      </c>
      <c r="M99" s="44">
        <v>2036054500</v>
      </c>
      <c r="N99" s="44">
        <v>165171840</v>
      </c>
      <c r="O99" s="63">
        <v>15000000</v>
      </c>
      <c r="P99" s="59">
        <v>24000000</v>
      </c>
      <c r="Q99" s="44">
        <f t="shared" si="1"/>
        <v>2240226340</v>
      </c>
      <c r="R99" s="65">
        <v>2036054500</v>
      </c>
      <c r="S99" s="52">
        <v>165171840</v>
      </c>
      <c r="T99" s="44">
        <v>15000000</v>
      </c>
      <c r="U99" s="65">
        <v>24000000</v>
      </c>
      <c r="V99" s="32"/>
      <c r="W99" s="49"/>
      <c r="X99" s="52">
        <f t="shared" ref="X99:Z99" si="98">N99-S99</f>
        <v>0</v>
      </c>
      <c r="Y99" s="49">
        <f t="shared" si="98"/>
        <v>0</v>
      </c>
      <c r="Z99" s="49">
        <f t="shared" si="98"/>
        <v>0</v>
      </c>
      <c r="AA99" s="43"/>
      <c r="AB99" s="43"/>
      <c r="AC99" s="6">
        <f t="shared" si="3"/>
        <v>2</v>
      </c>
      <c r="AD99" s="6"/>
      <c r="AE99" s="6"/>
      <c r="AF99" s="6"/>
      <c r="AG99" s="6"/>
      <c r="AH99" s="6"/>
      <c r="AI99" s="6"/>
      <c r="AJ99" s="6"/>
      <c r="AK99" s="6"/>
      <c r="AL99" s="6"/>
      <c r="AM99" s="6"/>
      <c r="AN99" s="6"/>
      <c r="AO99" s="6"/>
      <c r="AP99" s="6"/>
      <c r="AQ99" s="6"/>
      <c r="AR99" s="6"/>
      <c r="AS99" s="6"/>
    </row>
    <row r="100" spans="1:45" ht="63" hidden="1" x14ac:dyDescent="0.25">
      <c r="A100" s="33" t="s">
        <v>35</v>
      </c>
      <c r="B100" s="42">
        <v>673</v>
      </c>
      <c r="C100" s="33" t="s">
        <v>67</v>
      </c>
      <c r="D100" s="33" t="s">
        <v>993</v>
      </c>
      <c r="E100" s="33"/>
      <c r="F100" s="43" t="s">
        <v>872</v>
      </c>
      <c r="G100" s="33" t="s">
        <v>994</v>
      </c>
      <c r="H100" s="33" t="s">
        <v>995</v>
      </c>
      <c r="I100" s="33"/>
      <c r="J100" s="33" t="s">
        <v>996</v>
      </c>
      <c r="K100" s="33" t="s">
        <v>43</v>
      </c>
      <c r="L100" s="33" t="s">
        <v>997</v>
      </c>
      <c r="M100" s="63">
        <v>235340708770</v>
      </c>
      <c r="N100" s="45"/>
      <c r="O100" s="44">
        <v>15000000</v>
      </c>
      <c r="P100" s="59">
        <v>144000000</v>
      </c>
      <c r="Q100" s="44">
        <f t="shared" si="1"/>
        <v>235499708770</v>
      </c>
      <c r="R100" s="65">
        <v>235340708770</v>
      </c>
      <c r="S100" s="32"/>
      <c r="T100" s="66"/>
      <c r="U100" s="65">
        <v>144000000</v>
      </c>
      <c r="V100" s="32"/>
      <c r="W100" s="49"/>
      <c r="X100" s="49">
        <f t="shared" ref="X100:Z100" si="99">N100-S100</f>
        <v>0</v>
      </c>
      <c r="Y100" s="52">
        <f t="shared" si="99"/>
        <v>15000000</v>
      </c>
      <c r="Z100" s="49">
        <f t="shared" si="99"/>
        <v>0</v>
      </c>
      <c r="AA100" s="54"/>
      <c r="AB100" s="43"/>
      <c r="AC100" s="15">
        <f t="shared" si="3"/>
        <v>2</v>
      </c>
      <c r="AD100" s="15"/>
      <c r="AE100" s="6"/>
      <c r="AF100" s="6"/>
      <c r="AG100" s="6"/>
      <c r="AH100" s="6"/>
      <c r="AI100" s="6"/>
      <c r="AJ100" s="6"/>
      <c r="AK100" s="6"/>
      <c r="AL100" s="6"/>
      <c r="AM100" s="6"/>
      <c r="AN100" s="6"/>
      <c r="AO100" s="6"/>
      <c r="AP100" s="6"/>
      <c r="AQ100" s="6"/>
      <c r="AR100" s="6"/>
      <c r="AS100" s="6"/>
    </row>
    <row r="101" spans="1:45" ht="63" x14ac:dyDescent="0.25">
      <c r="A101" s="33" t="s">
        <v>275</v>
      </c>
      <c r="B101" s="42">
        <v>756</v>
      </c>
      <c r="C101" s="33" t="s">
        <v>67</v>
      </c>
      <c r="D101" s="33" t="s">
        <v>1000</v>
      </c>
      <c r="E101" s="33" t="s">
        <v>1002</v>
      </c>
      <c r="F101" s="43" t="s">
        <v>1003</v>
      </c>
      <c r="G101" s="33" t="s">
        <v>1004</v>
      </c>
      <c r="H101" s="33" t="s">
        <v>1005</v>
      </c>
      <c r="I101" s="33"/>
      <c r="J101" s="33" t="s">
        <v>1006</v>
      </c>
      <c r="K101" s="33" t="s">
        <v>43</v>
      </c>
      <c r="L101" s="33" t="s">
        <v>1007</v>
      </c>
      <c r="M101" s="63">
        <v>1842294840</v>
      </c>
      <c r="N101" s="63">
        <v>866576480</v>
      </c>
      <c r="O101" s="63">
        <v>15000000</v>
      </c>
      <c r="P101" s="46">
        <v>72000000</v>
      </c>
      <c r="Q101" s="44">
        <f t="shared" si="1"/>
        <v>2795871320</v>
      </c>
      <c r="R101" s="65">
        <v>1842294840</v>
      </c>
      <c r="S101" s="65">
        <v>866576480</v>
      </c>
      <c r="T101" s="63">
        <v>15000000</v>
      </c>
      <c r="U101" s="48">
        <v>24000000</v>
      </c>
      <c r="V101" s="32"/>
      <c r="W101" s="49"/>
      <c r="X101" s="49">
        <f t="shared" ref="X101:Z101" si="100">N101-S101</f>
        <v>0</v>
      </c>
      <c r="Y101" s="49">
        <f t="shared" si="100"/>
        <v>0</v>
      </c>
      <c r="Z101" s="52">
        <f t="shared" si="100"/>
        <v>48000000</v>
      </c>
      <c r="AA101" s="54"/>
      <c r="AB101" s="43"/>
      <c r="AC101" s="6">
        <f t="shared" si="3"/>
        <v>2</v>
      </c>
      <c r="AD101" s="6"/>
      <c r="AE101" s="6"/>
      <c r="AF101" s="6"/>
      <c r="AG101" s="6"/>
      <c r="AH101" s="6"/>
      <c r="AI101" s="6"/>
      <c r="AJ101" s="6"/>
      <c r="AK101" s="6"/>
      <c r="AL101" s="6"/>
      <c r="AM101" s="6"/>
      <c r="AN101" s="6"/>
      <c r="AO101" s="6"/>
      <c r="AP101" s="6"/>
      <c r="AQ101" s="6"/>
      <c r="AR101" s="6"/>
      <c r="AS101" s="6"/>
    </row>
    <row r="102" spans="1:45" ht="31.5" hidden="1" x14ac:dyDescent="0.25">
      <c r="A102" s="33" t="s">
        <v>60</v>
      </c>
      <c r="B102" s="42">
        <v>169</v>
      </c>
      <c r="C102" s="33" t="s">
        <v>386</v>
      </c>
      <c r="D102" s="33" t="s">
        <v>1009</v>
      </c>
      <c r="E102" s="33" t="s">
        <v>1011</v>
      </c>
      <c r="F102" s="43" t="s">
        <v>1012</v>
      </c>
      <c r="G102" s="33" t="s">
        <v>1014</v>
      </c>
      <c r="H102" s="33" t="s">
        <v>1015</v>
      </c>
      <c r="I102" s="32"/>
      <c r="J102" s="33" t="s">
        <v>1016</v>
      </c>
      <c r="K102" s="33" t="s">
        <v>43</v>
      </c>
      <c r="L102" s="33" t="s">
        <v>1017</v>
      </c>
      <c r="M102" s="44">
        <v>5988544304</v>
      </c>
      <c r="N102" s="44">
        <v>118968048</v>
      </c>
      <c r="O102" s="44">
        <v>15000000</v>
      </c>
      <c r="P102" s="59">
        <v>36000000</v>
      </c>
      <c r="Q102" s="44">
        <f t="shared" si="1"/>
        <v>6158512352</v>
      </c>
      <c r="R102" s="48">
        <v>5988544304</v>
      </c>
      <c r="S102" s="48">
        <v>118968048</v>
      </c>
      <c r="T102" s="44">
        <v>15000000</v>
      </c>
      <c r="U102" s="48">
        <v>36000000</v>
      </c>
      <c r="V102" s="32"/>
      <c r="W102" s="49"/>
      <c r="X102" s="49">
        <f t="shared" ref="X102:Z102" si="101">N102-S102</f>
        <v>0</v>
      </c>
      <c r="Y102" s="49">
        <f t="shared" si="101"/>
        <v>0</v>
      </c>
      <c r="Z102" s="49">
        <f t="shared" si="101"/>
        <v>0</v>
      </c>
      <c r="AA102" s="54"/>
      <c r="AB102" s="54"/>
      <c r="AC102" s="2">
        <f t="shared" si="3"/>
        <v>2</v>
      </c>
      <c r="AD102" s="6"/>
      <c r="AE102" s="6"/>
      <c r="AF102" s="6"/>
      <c r="AG102" s="6"/>
      <c r="AH102" s="6"/>
      <c r="AI102" s="6"/>
      <c r="AJ102" s="6"/>
      <c r="AK102" s="6"/>
      <c r="AL102" s="6"/>
      <c r="AM102" s="6"/>
      <c r="AN102" s="6"/>
      <c r="AO102" s="6"/>
      <c r="AP102" s="6"/>
      <c r="AQ102" s="6"/>
      <c r="AR102" s="6"/>
      <c r="AS102" s="6"/>
    </row>
    <row r="103" spans="1:45" ht="31.5" hidden="1" x14ac:dyDescent="0.25">
      <c r="A103" s="33" t="s">
        <v>60</v>
      </c>
      <c r="B103" s="42">
        <v>189</v>
      </c>
      <c r="C103" s="33" t="s">
        <v>1018</v>
      </c>
      <c r="D103" s="33" t="s">
        <v>1019</v>
      </c>
      <c r="E103" s="32"/>
      <c r="F103" s="43" t="s">
        <v>1012</v>
      </c>
      <c r="G103" s="33" t="s">
        <v>1020</v>
      </c>
      <c r="H103" s="32"/>
      <c r="I103" s="32"/>
      <c r="J103" s="33" t="s">
        <v>1021</v>
      </c>
      <c r="K103" s="33" t="s">
        <v>43</v>
      </c>
      <c r="L103" s="33" t="s">
        <v>1022</v>
      </c>
      <c r="M103" s="44">
        <v>3789029120</v>
      </c>
      <c r="N103" s="45"/>
      <c r="O103" s="44">
        <v>15000000</v>
      </c>
      <c r="P103" s="59">
        <v>24000000</v>
      </c>
      <c r="Q103" s="44">
        <f t="shared" si="1"/>
        <v>3828029120</v>
      </c>
      <c r="R103" s="48">
        <v>3789029120</v>
      </c>
      <c r="S103" s="32"/>
      <c r="T103" s="44">
        <v>15000000</v>
      </c>
      <c r="U103" s="48">
        <v>24000000</v>
      </c>
      <c r="V103" s="32"/>
      <c r="W103" s="49"/>
      <c r="X103" s="49">
        <f t="shared" ref="X103:Z103" si="102">N103-S103</f>
        <v>0</v>
      </c>
      <c r="Y103" s="49">
        <f t="shared" si="102"/>
        <v>0</v>
      </c>
      <c r="Z103" s="49">
        <f t="shared" si="102"/>
        <v>0</v>
      </c>
      <c r="AA103" s="54"/>
      <c r="AB103" s="54"/>
      <c r="AC103" s="2">
        <f t="shared" si="3"/>
        <v>2</v>
      </c>
      <c r="AD103" s="6"/>
      <c r="AE103" s="6"/>
      <c r="AF103" s="6"/>
      <c r="AG103" s="6"/>
      <c r="AH103" s="6"/>
      <c r="AI103" s="6"/>
      <c r="AJ103" s="6"/>
      <c r="AK103" s="6"/>
      <c r="AL103" s="6"/>
      <c r="AM103" s="6"/>
      <c r="AN103" s="6"/>
      <c r="AO103" s="6"/>
      <c r="AP103" s="6"/>
      <c r="AQ103" s="6"/>
      <c r="AR103" s="6"/>
      <c r="AS103" s="6"/>
    </row>
    <row r="104" spans="1:45" ht="47.25" hidden="1" x14ac:dyDescent="0.25">
      <c r="A104" s="33" t="s">
        <v>46</v>
      </c>
      <c r="B104" s="42">
        <v>282</v>
      </c>
      <c r="C104" s="33" t="s">
        <v>37</v>
      </c>
      <c r="D104" s="33" t="s">
        <v>1027</v>
      </c>
      <c r="E104" s="33" t="s">
        <v>1028</v>
      </c>
      <c r="F104" s="43" t="s">
        <v>1012</v>
      </c>
      <c r="G104" s="33" t="s">
        <v>1029</v>
      </c>
      <c r="H104" s="33" t="s">
        <v>1030</v>
      </c>
      <c r="I104" s="32"/>
      <c r="J104" s="33" t="s">
        <v>1031</v>
      </c>
      <c r="K104" s="33" t="s">
        <v>43</v>
      </c>
      <c r="L104" s="33" t="s">
        <v>1032</v>
      </c>
      <c r="M104" s="44">
        <v>1650170289</v>
      </c>
      <c r="N104" s="44">
        <v>191680384</v>
      </c>
      <c r="O104" s="44">
        <v>15000000</v>
      </c>
      <c r="P104" s="59">
        <v>24000000</v>
      </c>
      <c r="Q104" s="44">
        <f t="shared" si="1"/>
        <v>1880850673</v>
      </c>
      <c r="R104" s="48">
        <v>1650170289</v>
      </c>
      <c r="S104" s="48">
        <v>191680384</v>
      </c>
      <c r="T104" s="44">
        <v>15000000</v>
      </c>
      <c r="U104" s="48">
        <v>24000000</v>
      </c>
      <c r="V104" s="32"/>
      <c r="W104" s="49"/>
      <c r="X104" s="49">
        <f t="shared" ref="X104:Z104" si="103">N104-S104</f>
        <v>0</v>
      </c>
      <c r="Y104" s="49">
        <f t="shared" si="103"/>
        <v>0</v>
      </c>
      <c r="Z104" s="49">
        <f t="shared" si="103"/>
        <v>0</v>
      </c>
      <c r="AA104" s="54"/>
      <c r="AB104" s="54"/>
      <c r="AC104" s="2">
        <f t="shared" si="3"/>
        <v>2</v>
      </c>
      <c r="AD104" s="6"/>
      <c r="AE104" s="6"/>
      <c r="AF104" s="6"/>
      <c r="AG104" s="6"/>
      <c r="AH104" s="6"/>
      <c r="AI104" s="6"/>
      <c r="AJ104" s="6"/>
      <c r="AK104" s="6"/>
      <c r="AL104" s="6"/>
      <c r="AM104" s="6"/>
      <c r="AN104" s="6"/>
      <c r="AO104" s="6"/>
      <c r="AP104" s="6"/>
      <c r="AQ104" s="6"/>
      <c r="AR104" s="6"/>
      <c r="AS104" s="6"/>
    </row>
    <row r="105" spans="1:45" ht="47.25" hidden="1" x14ac:dyDescent="0.25">
      <c r="A105" s="33" t="s">
        <v>60</v>
      </c>
      <c r="B105" s="42">
        <v>325</v>
      </c>
      <c r="C105" s="33" t="s">
        <v>37</v>
      </c>
      <c r="D105" s="33" t="s">
        <v>1036</v>
      </c>
      <c r="E105" s="32"/>
      <c r="F105" s="43" t="s">
        <v>1012</v>
      </c>
      <c r="G105" s="33" t="s">
        <v>1037</v>
      </c>
      <c r="H105" s="32"/>
      <c r="I105" s="32"/>
      <c r="J105" s="33" t="s">
        <v>1038</v>
      </c>
      <c r="K105" s="33" t="s">
        <v>43</v>
      </c>
      <c r="L105" s="33" t="s">
        <v>1039</v>
      </c>
      <c r="M105" s="44">
        <v>5365012540</v>
      </c>
      <c r="N105" s="45"/>
      <c r="O105" s="44">
        <v>15000000</v>
      </c>
      <c r="P105" s="59">
        <v>24000000</v>
      </c>
      <c r="Q105" s="44">
        <f t="shared" si="1"/>
        <v>5404012540</v>
      </c>
      <c r="R105" s="48">
        <v>5365012540</v>
      </c>
      <c r="S105" s="32"/>
      <c r="T105" s="44">
        <v>15000000</v>
      </c>
      <c r="U105" s="48">
        <v>24000000</v>
      </c>
      <c r="V105" s="32"/>
      <c r="W105" s="49"/>
      <c r="X105" s="49">
        <f t="shared" ref="X105:Z105" si="104">N105-S105</f>
        <v>0</v>
      </c>
      <c r="Y105" s="49">
        <f t="shared" si="104"/>
        <v>0</v>
      </c>
      <c r="Z105" s="49">
        <f t="shared" si="104"/>
        <v>0</v>
      </c>
      <c r="AA105" s="54"/>
      <c r="AB105" s="54"/>
      <c r="AC105" s="2">
        <f t="shared" si="3"/>
        <v>2</v>
      </c>
      <c r="AD105" s="6"/>
      <c r="AE105" s="6"/>
      <c r="AF105" s="6"/>
      <c r="AG105" s="6"/>
      <c r="AH105" s="6"/>
      <c r="AI105" s="6"/>
      <c r="AJ105" s="6"/>
      <c r="AK105" s="6"/>
      <c r="AL105" s="6"/>
      <c r="AM105" s="6"/>
      <c r="AN105" s="6"/>
      <c r="AO105" s="6"/>
      <c r="AP105" s="6"/>
      <c r="AQ105" s="6"/>
      <c r="AR105" s="6"/>
      <c r="AS105" s="6"/>
    </row>
    <row r="106" spans="1:45" ht="47.25" hidden="1" x14ac:dyDescent="0.25">
      <c r="A106" s="33" t="s">
        <v>35</v>
      </c>
      <c r="B106" s="42">
        <v>410</v>
      </c>
      <c r="C106" s="33" t="s">
        <v>163</v>
      </c>
      <c r="D106" s="33" t="s">
        <v>1042</v>
      </c>
      <c r="E106" s="33" t="s">
        <v>1043</v>
      </c>
      <c r="F106" s="43" t="s">
        <v>1012</v>
      </c>
      <c r="G106" s="33" t="s">
        <v>1044</v>
      </c>
      <c r="H106" s="33" t="s">
        <v>1045</v>
      </c>
      <c r="I106" s="32"/>
      <c r="J106" s="33" t="s">
        <v>1046</v>
      </c>
      <c r="K106" s="33" t="s">
        <v>43</v>
      </c>
      <c r="L106" s="33" t="s">
        <v>1047</v>
      </c>
      <c r="M106" s="44">
        <v>4152104400</v>
      </c>
      <c r="N106" s="44">
        <v>332999424</v>
      </c>
      <c r="O106" s="44">
        <v>15000000</v>
      </c>
      <c r="P106" s="59">
        <v>48000000</v>
      </c>
      <c r="Q106" s="44">
        <f t="shared" si="1"/>
        <v>4548103824</v>
      </c>
      <c r="R106" s="48">
        <v>4152104400</v>
      </c>
      <c r="S106" s="49">
        <v>332999424</v>
      </c>
      <c r="T106" s="44">
        <v>15000000</v>
      </c>
      <c r="U106" s="48">
        <v>48000000</v>
      </c>
      <c r="V106" s="32"/>
      <c r="W106" s="49"/>
      <c r="X106" s="49">
        <f t="shared" ref="X106:Z106" si="105">N106-S106</f>
        <v>0</v>
      </c>
      <c r="Y106" s="49">
        <f t="shared" si="105"/>
        <v>0</v>
      </c>
      <c r="Z106" s="49">
        <f t="shared" si="105"/>
        <v>0</v>
      </c>
      <c r="AA106" s="54"/>
      <c r="AB106" s="54"/>
      <c r="AC106" s="2">
        <f t="shared" si="3"/>
        <v>2</v>
      </c>
      <c r="AD106" s="6"/>
      <c r="AE106" s="6"/>
      <c r="AF106" s="6"/>
      <c r="AG106" s="6"/>
      <c r="AH106" s="6"/>
      <c r="AI106" s="6"/>
      <c r="AJ106" s="6"/>
      <c r="AK106" s="6"/>
      <c r="AL106" s="6"/>
      <c r="AM106" s="6"/>
      <c r="AN106" s="6"/>
      <c r="AO106" s="6"/>
      <c r="AP106" s="6"/>
      <c r="AQ106" s="6"/>
      <c r="AR106" s="6"/>
      <c r="AS106" s="6"/>
    </row>
    <row r="107" spans="1:45" ht="31.5" hidden="1" x14ac:dyDescent="0.25">
      <c r="A107" s="33" t="s">
        <v>52</v>
      </c>
      <c r="B107" s="42">
        <v>493</v>
      </c>
      <c r="C107" s="33" t="s">
        <v>124</v>
      </c>
      <c r="D107" s="33" t="s">
        <v>1051</v>
      </c>
      <c r="E107" s="33"/>
      <c r="F107" s="43" t="s">
        <v>1012</v>
      </c>
      <c r="G107" s="33" t="s">
        <v>1052</v>
      </c>
      <c r="H107" s="33"/>
      <c r="I107" s="33"/>
      <c r="J107" s="33" t="s">
        <v>1053</v>
      </c>
      <c r="K107" s="33" t="s">
        <v>43</v>
      </c>
      <c r="L107" s="33" t="s">
        <v>1054</v>
      </c>
      <c r="M107" s="44">
        <v>3570553528</v>
      </c>
      <c r="N107" s="45"/>
      <c r="O107" s="44">
        <v>15000000</v>
      </c>
      <c r="P107" s="59">
        <v>30000000</v>
      </c>
      <c r="Q107" s="44">
        <f t="shared" si="1"/>
        <v>3615553528</v>
      </c>
      <c r="R107" s="32"/>
      <c r="S107" s="32"/>
      <c r="T107" s="66"/>
      <c r="U107" s="49">
        <v>30000000</v>
      </c>
      <c r="V107" s="32"/>
      <c r="W107" s="49">
        <v>3570553528</v>
      </c>
      <c r="X107" s="49">
        <f t="shared" ref="X107:Z107" si="106">N107-S107</f>
        <v>0</v>
      </c>
      <c r="Y107" s="52">
        <f t="shared" si="106"/>
        <v>15000000</v>
      </c>
      <c r="Z107" s="49">
        <f t="shared" si="106"/>
        <v>0</v>
      </c>
      <c r="AA107" s="69">
        <v>3570553528</v>
      </c>
      <c r="AB107" s="43"/>
      <c r="AC107" s="15">
        <f t="shared" si="3"/>
        <v>2</v>
      </c>
      <c r="AD107" s="15"/>
      <c r="AE107" s="6"/>
      <c r="AF107" s="6"/>
      <c r="AG107" s="6"/>
      <c r="AH107" s="6"/>
      <c r="AI107" s="6"/>
      <c r="AJ107" s="6"/>
      <c r="AK107" s="6"/>
      <c r="AL107" s="6"/>
      <c r="AM107" s="6"/>
      <c r="AN107" s="6"/>
      <c r="AO107" s="6"/>
      <c r="AP107" s="6"/>
      <c r="AQ107" s="6"/>
      <c r="AR107" s="6"/>
      <c r="AS107" s="6"/>
    </row>
    <row r="108" spans="1:45" ht="40.5" hidden="1" x14ac:dyDescent="0.25">
      <c r="A108" s="33" t="s">
        <v>46</v>
      </c>
      <c r="B108" s="42">
        <v>626</v>
      </c>
      <c r="C108" s="33" t="s">
        <v>53</v>
      </c>
      <c r="D108" s="33" t="s">
        <v>1058</v>
      </c>
      <c r="E108" s="32"/>
      <c r="F108" s="43" t="s">
        <v>1012</v>
      </c>
      <c r="G108" s="33" t="s">
        <v>1059</v>
      </c>
      <c r="H108" s="32"/>
      <c r="I108" s="32"/>
      <c r="J108" s="62" t="s">
        <v>1060</v>
      </c>
      <c r="K108" s="33" t="s">
        <v>43</v>
      </c>
      <c r="L108" s="33" t="s">
        <v>1061</v>
      </c>
      <c r="M108" s="63">
        <v>13885095762</v>
      </c>
      <c r="N108" s="45"/>
      <c r="O108" s="63">
        <v>15000000</v>
      </c>
      <c r="P108" s="59">
        <v>72000000</v>
      </c>
      <c r="Q108" s="44">
        <f t="shared" si="1"/>
        <v>13972095762</v>
      </c>
      <c r="R108" s="65">
        <v>13885095762</v>
      </c>
      <c r="S108" s="32"/>
      <c r="T108" s="44">
        <v>15000000</v>
      </c>
      <c r="U108" s="48">
        <v>72000000</v>
      </c>
      <c r="V108" s="32"/>
      <c r="W108" s="49"/>
      <c r="X108" s="49">
        <f t="shared" ref="X108:Z108" si="107">N108-S108</f>
        <v>0</v>
      </c>
      <c r="Y108" s="49">
        <f t="shared" si="107"/>
        <v>0</v>
      </c>
      <c r="Z108" s="49">
        <f t="shared" si="107"/>
        <v>0</v>
      </c>
      <c r="AA108" s="54"/>
      <c r="AB108" s="54"/>
      <c r="AC108" s="2">
        <f t="shared" si="3"/>
        <v>2</v>
      </c>
      <c r="AD108" s="6"/>
      <c r="AE108" s="6"/>
      <c r="AF108" s="6"/>
      <c r="AG108" s="6"/>
      <c r="AH108" s="6"/>
      <c r="AI108" s="6"/>
      <c r="AJ108" s="6"/>
      <c r="AK108" s="6"/>
      <c r="AL108" s="6"/>
      <c r="AM108" s="6"/>
      <c r="AN108" s="6"/>
      <c r="AO108" s="6"/>
      <c r="AP108" s="6"/>
      <c r="AQ108" s="6"/>
      <c r="AR108" s="6"/>
      <c r="AS108" s="6"/>
    </row>
    <row r="109" spans="1:45" ht="40.5" hidden="1" x14ac:dyDescent="0.25">
      <c r="A109" s="33" t="s">
        <v>35</v>
      </c>
      <c r="B109" s="42">
        <v>676</v>
      </c>
      <c r="C109" s="33" t="s">
        <v>67</v>
      </c>
      <c r="D109" s="33" t="s">
        <v>1062</v>
      </c>
      <c r="E109" s="32"/>
      <c r="F109" s="43" t="s">
        <v>1012</v>
      </c>
      <c r="G109" s="33" t="s">
        <v>1063</v>
      </c>
      <c r="H109" s="32"/>
      <c r="I109" s="32"/>
      <c r="J109" s="62" t="s">
        <v>1064</v>
      </c>
      <c r="K109" s="33" t="s">
        <v>43</v>
      </c>
      <c r="L109" s="33" t="s">
        <v>1065</v>
      </c>
      <c r="M109" s="63">
        <v>1133587600</v>
      </c>
      <c r="N109" s="45"/>
      <c r="O109" s="63">
        <v>15000000</v>
      </c>
      <c r="P109" s="59">
        <v>36000000</v>
      </c>
      <c r="Q109" s="44">
        <f t="shared" si="1"/>
        <v>1184587600</v>
      </c>
      <c r="R109" s="65">
        <v>1133587600</v>
      </c>
      <c r="S109" s="32"/>
      <c r="T109" s="63">
        <v>15000000</v>
      </c>
      <c r="U109" s="65">
        <v>36000000</v>
      </c>
      <c r="V109" s="32"/>
      <c r="W109" s="49"/>
      <c r="X109" s="49">
        <f t="shared" ref="X109:Z109" si="108">N109-S109</f>
        <v>0</v>
      </c>
      <c r="Y109" s="49">
        <f t="shared" si="108"/>
        <v>0</v>
      </c>
      <c r="Z109" s="49">
        <f t="shared" si="108"/>
        <v>0</v>
      </c>
      <c r="AA109" s="54"/>
      <c r="AB109" s="54"/>
      <c r="AC109" s="2">
        <f t="shared" si="3"/>
        <v>2</v>
      </c>
      <c r="AD109" s="6"/>
      <c r="AE109" s="6"/>
      <c r="AF109" s="6"/>
      <c r="AG109" s="6"/>
      <c r="AH109" s="6"/>
      <c r="AI109" s="6"/>
      <c r="AJ109" s="6"/>
      <c r="AK109" s="6"/>
      <c r="AL109" s="6"/>
      <c r="AM109" s="6"/>
      <c r="AN109" s="6"/>
      <c r="AO109" s="6"/>
      <c r="AP109" s="6"/>
      <c r="AQ109" s="6"/>
      <c r="AR109" s="6"/>
      <c r="AS109" s="6"/>
    </row>
    <row r="110" spans="1:45" ht="40.5" hidden="1" x14ac:dyDescent="0.25">
      <c r="A110" s="33" t="s">
        <v>35</v>
      </c>
      <c r="B110" s="42">
        <v>677</v>
      </c>
      <c r="C110" s="33" t="s">
        <v>67</v>
      </c>
      <c r="D110" s="33" t="s">
        <v>1068</v>
      </c>
      <c r="E110" s="32"/>
      <c r="F110" s="43" t="s">
        <v>1012</v>
      </c>
      <c r="G110" s="33" t="s">
        <v>1069</v>
      </c>
      <c r="H110" s="32"/>
      <c r="I110" s="32"/>
      <c r="J110" s="62" t="s">
        <v>1070</v>
      </c>
      <c r="K110" s="33" t="s">
        <v>43</v>
      </c>
      <c r="L110" s="33" t="s">
        <v>1071</v>
      </c>
      <c r="M110" s="63">
        <v>13988110203</v>
      </c>
      <c r="N110" s="45"/>
      <c r="O110" s="63">
        <v>15000000</v>
      </c>
      <c r="P110" s="59">
        <v>36000000</v>
      </c>
      <c r="Q110" s="44">
        <f t="shared" si="1"/>
        <v>14039110203</v>
      </c>
      <c r="R110" s="65">
        <v>13988110203</v>
      </c>
      <c r="S110" s="32"/>
      <c r="T110" s="44">
        <v>15000000</v>
      </c>
      <c r="U110" s="65">
        <v>36000000</v>
      </c>
      <c r="V110" s="32"/>
      <c r="W110" s="49"/>
      <c r="X110" s="49">
        <f t="shared" ref="X110:Z110" si="109">N110-S110</f>
        <v>0</v>
      </c>
      <c r="Y110" s="49">
        <f t="shared" si="109"/>
        <v>0</v>
      </c>
      <c r="Z110" s="49">
        <f t="shared" si="109"/>
        <v>0</v>
      </c>
      <c r="AA110" s="54"/>
      <c r="AB110" s="54"/>
      <c r="AC110" s="2">
        <f t="shared" si="3"/>
        <v>2</v>
      </c>
      <c r="AD110" s="6"/>
      <c r="AE110" s="6"/>
      <c r="AF110" s="6"/>
      <c r="AG110" s="6"/>
      <c r="AH110" s="6"/>
      <c r="AI110" s="6"/>
      <c r="AJ110" s="6"/>
      <c r="AK110" s="6"/>
      <c r="AL110" s="6"/>
      <c r="AM110" s="6"/>
      <c r="AN110" s="6"/>
      <c r="AO110" s="6"/>
      <c r="AP110" s="6"/>
      <c r="AQ110" s="6"/>
      <c r="AR110" s="6"/>
      <c r="AS110" s="6"/>
    </row>
    <row r="111" spans="1:45" ht="31.5" hidden="1" x14ac:dyDescent="0.25">
      <c r="A111" s="33" t="s">
        <v>35</v>
      </c>
      <c r="B111" s="42">
        <v>679</v>
      </c>
      <c r="C111" s="33" t="s">
        <v>67</v>
      </c>
      <c r="D111" s="33" t="s">
        <v>1075</v>
      </c>
      <c r="E111" s="33"/>
      <c r="F111" s="43" t="s">
        <v>1012</v>
      </c>
      <c r="G111" s="33" t="s">
        <v>1076</v>
      </c>
      <c r="H111" s="33"/>
      <c r="I111" s="33"/>
      <c r="J111" s="33" t="s">
        <v>1077</v>
      </c>
      <c r="K111" s="33" t="s">
        <v>43</v>
      </c>
      <c r="L111" s="33" t="s">
        <v>1078</v>
      </c>
      <c r="M111" s="63">
        <v>4656135712</v>
      </c>
      <c r="N111" s="45"/>
      <c r="O111" s="44">
        <v>15000000</v>
      </c>
      <c r="P111" s="59">
        <v>72000000</v>
      </c>
      <c r="Q111" s="44">
        <f t="shared" si="1"/>
        <v>4743135712</v>
      </c>
      <c r="R111" s="65">
        <v>4656135712</v>
      </c>
      <c r="S111" s="32"/>
      <c r="T111" s="66"/>
      <c r="U111" s="65">
        <v>72000000</v>
      </c>
      <c r="V111" s="32"/>
      <c r="W111" s="49"/>
      <c r="X111" s="49">
        <f t="shared" ref="X111:Z111" si="110">N111-S111</f>
        <v>0</v>
      </c>
      <c r="Y111" s="52">
        <f t="shared" si="110"/>
        <v>15000000</v>
      </c>
      <c r="Z111" s="49">
        <f t="shared" si="110"/>
        <v>0</v>
      </c>
      <c r="AA111" s="54"/>
      <c r="AB111" s="43"/>
      <c r="AC111" s="15">
        <f t="shared" si="3"/>
        <v>2</v>
      </c>
      <c r="AD111" s="15"/>
      <c r="AE111" s="6"/>
      <c r="AF111" s="6"/>
      <c r="AG111" s="6"/>
      <c r="AH111" s="6"/>
      <c r="AI111" s="6"/>
      <c r="AJ111" s="6"/>
      <c r="AK111" s="6"/>
      <c r="AL111" s="6"/>
      <c r="AM111" s="6"/>
      <c r="AN111" s="6"/>
      <c r="AO111" s="6"/>
      <c r="AP111" s="6"/>
      <c r="AQ111" s="6"/>
      <c r="AR111" s="6"/>
      <c r="AS111" s="6"/>
    </row>
    <row r="112" spans="1:45" ht="40.5" hidden="1" x14ac:dyDescent="0.25">
      <c r="A112" s="33" t="s">
        <v>52</v>
      </c>
      <c r="B112" s="42">
        <v>685</v>
      </c>
      <c r="C112" s="33" t="s">
        <v>67</v>
      </c>
      <c r="D112" s="33" t="s">
        <v>1082</v>
      </c>
      <c r="E112" s="32"/>
      <c r="F112" s="43" t="s">
        <v>1012</v>
      </c>
      <c r="G112" s="33" t="s">
        <v>1083</v>
      </c>
      <c r="H112" s="32"/>
      <c r="I112" s="32"/>
      <c r="J112" s="62" t="s">
        <v>1084</v>
      </c>
      <c r="K112" s="33" t="s">
        <v>43</v>
      </c>
      <c r="L112" s="33" t="s">
        <v>1085</v>
      </c>
      <c r="M112" s="63">
        <v>9840789310</v>
      </c>
      <c r="N112" s="45"/>
      <c r="O112" s="63">
        <v>15000000</v>
      </c>
      <c r="P112" s="59">
        <v>120000000</v>
      </c>
      <c r="Q112" s="44">
        <f t="shared" si="1"/>
        <v>9975789310</v>
      </c>
      <c r="R112" s="65">
        <v>9840789310</v>
      </c>
      <c r="S112" s="32"/>
      <c r="T112" s="63">
        <v>15000000</v>
      </c>
      <c r="U112" s="65">
        <v>120000000</v>
      </c>
      <c r="V112" s="32"/>
      <c r="W112" s="49"/>
      <c r="X112" s="49">
        <f t="shared" ref="X112:Z112" si="111">N112-S112</f>
        <v>0</v>
      </c>
      <c r="Y112" s="49">
        <f t="shared" si="111"/>
        <v>0</v>
      </c>
      <c r="Z112" s="49">
        <f t="shared" si="111"/>
        <v>0</v>
      </c>
      <c r="AA112" s="54"/>
      <c r="AB112" s="54"/>
      <c r="AC112" s="2">
        <f t="shared" si="3"/>
        <v>2</v>
      </c>
      <c r="AD112" s="6"/>
      <c r="AE112" s="6"/>
      <c r="AF112" s="6"/>
      <c r="AG112" s="6"/>
      <c r="AH112" s="6"/>
      <c r="AI112" s="6"/>
      <c r="AJ112" s="6"/>
      <c r="AK112" s="6"/>
      <c r="AL112" s="6"/>
      <c r="AM112" s="6"/>
      <c r="AN112" s="6"/>
      <c r="AO112" s="6"/>
      <c r="AP112" s="6"/>
      <c r="AQ112" s="6"/>
      <c r="AR112" s="6"/>
      <c r="AS112" s="6"/>
    </row>
    <row r="113" spans="1:45" ht="101.25" hidden="1" x14ac:dyDescent="0.25">
      <c r="A113" s="33" t="s">
        <v>88</v>
      </c>
      <c r="B113" s="42">
        <v>816</v>
      </c>
      <c r="C113" s="33" t="s">
        <v>89</v>
      </c>
      <c r="D113" s="33" t="s">
        <v>1090</v>
      </c>
      <c r="E113" s="32"/>
      <c r="F113" s="43" t="s">
        <v>1012</v>
      </c>
      <c r="G113" s="33" t="s">
        <v>1091</v>
      </c>
      <c r="H113" s="32"/>
      <c r="I113" s="32"/>
      <c r="J113" s="62" t="s">
        <v>1092</v>
      </c>
      <c r="K113" s="33" t="s">
        <v>43</v>
      </c>
      <c r="L113" s="33" t="s">
        <v>1093</v>
      </c>
      <c r="M113" s="63">
        <v>5929074343</v>
      </c>
      <c r="N113" s="45"/>
      <c r="O113" s="63">
        <v>15000000</v>
      </c>
      <c r="P113" s="59">
        <v>24000000</v>
      </c>
      <c r="Q113" s="44">
        <f t="shared" si="1"/>
        <v>5968074343</v>
      </c>
      <c r="R113" s="65">
        <v>5929074343</v>
      </c>
      <c r="S113" s="32"/>
      <c r="T113" s="44">
        <v>15000000</v>
      </c>
      <c r="U113" s="48">
        <v>24000000</v>
      </c>
      <c r="V113" s="32"/>
      <c r="W113" s="49"/>
      <c r="X113" s="49">
        <f t="shared" ref="X113:Z113" si="112">N113-S113</f>
        <v>0</v>
      </c>
      <c r="Y113" s="49">
        <f t="shared" si="112"/>
        <v>0</v>
      </c>
      <c r="Z113" s="49">
        <f t="shared" si="112"/>
        <v>0</v>
      </c>
      <c r="AA113" s="54"/>
      <c r="AB113" s="54"/>
      <c r="AC113" s="2">
        <f t="shared" si="3"/>
        <v>2</v>
      </c>
      <c r="AD113" s="6"/>
      <c r="AE113" s="6"/>
      <c r="AF113" s="6"/>
      <c r="AG113" s="6"/>
      <c r="AH113" s="6"/>
      <c r="AI113" s="6"/>
      <c r="AJ113" s="6"/>
      <c r="AK113" s="6"/>
      <c r="AL113" s="6"/>
      <c r="AM113" s="6"/>
      <c r="AN113" s="6"/>
      <c r="AO113" s="6"/>
      <c r="AP113" s="6"/>
      <c r="AQ113" s="6"/>
      <c r="AR113" s="6"/>
      <c r="AS113" s="6"/>
    </row>
    <row r="114" spans="1:45" ht="47.25" hidden="1" x14ac:dyDescent="0.25">
      <c r="A114" s="33" t="s">
        <v>88</v>
      </c>
      <c r="B114" s="42">
        <v>824</v>
      </c>
      <c r="C114" s="33" t="s">
        <v>89</v>
      </c>
      <c r="D114" s="33" t="s">
        <v>1107</v>
      </c>
      <c r="E114" s="33" t="s">
        <v>1108</v>
      </c>
      <c r="F114" s="43" t="s">
        <v>1012</v>
      </c>
      <c r="G114" s="33" t="s">
        <v>1109</v>
      </c>
      <c r="H114" s="33"/>
      <c r="I114" s="33"/>
      <c r="J114" s="33" t="s">
        <v>1110</v>
      </c>
      <c r="K114" s="33" t="s">
        <v>43</v>
      </c>
      <c r="L114" s="33" t="s">
        <v>1111</v>
      </c>
      <c r="M114" s="63">
        <v>1278949840</v>
      </c>
      <c r="N114" s="63">
        <v>451639776</v>
      </c>
      <c r="O114" s="44">
        <v>15000000</v>
      </c>
      <c r="P114" s="59">
        <v>24000000</v>
      </c>
      <c r="Q114" s="44">
        <f t="shared" si="1"/>
        <v>1769589616</v>
      </c>
      <c r="R114" s="65">
        <v>1278949840</v>
      </c>
      <c r="S114" s="65">
        <v>451639776</v>
      </c>
      <c r="T114" s="66"/>
      <c r="U114" s="65">
        <v>24000000</v>
      </c>
      <c r="V114" s="32"/>
      <c r="W114" s="49"/>
      <c r="X114" s="49">
        <f t="shared" ref="X114:Z114" si="113">N114-S114</f>
        <v>0</v>
      </c>
      <c r="Y114" s="52">
        <f t="shared" si="113"/>
        <v>15000000</v>
      </c>
      <c r="Z114" s="49">
        <f t="shared" si="113"/>
        <v>0</v>
      </c>
      <c r="AA114" s="54"/>
      <c r="AB114" s="43"/>
      <c r="AC114" s="15">
        <f t="shared" si="3"/>
        <v>2</v>
      </c>
      <c r="AD114" s="15"/>
      <c r="AE114" s="6"/>
      <c r="AF114" s="6"/>
      <c r="AG114" s="6"/>
      <c r="AH114" s="6"/>
      <c r="AI114" s="6"/>
      <c r="AJ114" s="6"/>
      <c r="AK114" s="6"/>
      <c r="AL114" s="6"/>
      <c r="AM114" s="6"/>
      <c r="AN114" s="6"/>
      <c r="AO114" s="6"/>
      <c r="AP114" s="6"/>
      <c r="AQ114" s="6"/>
      <c r="AR114" s="6"/>
      <c r="AS114" s="6"/>
    </row>
    <row r="115" spans="1:45" ht="47.25" x14ac:dyDescent="0.25">
      <c r="A115" s="33" t="s">
        <v>60</v>
      </c>
      <c r="B115" s="42">
        <v>868</v>
      </c>
      <c r="C115" s="33" t="s">
        <v>297</v>
      </c>
      <c r="D115" s="33" t="s">
        <v>1115</v>
      </c>
      <c r="E115" s="33" t="s">
        <v>1116</v>
      </c>
      <c r="F115" s="43" t="s">
        <v>1012</v>
      </c>
      <c r="G115" s="33" t="s">
        <v>1117</v>
      </c>
      <c r="H115" s="33" t="s">
        <v>1118</v>
      </c>
      <c r="I115" s="33"/>
      <c r="J115" s="33" t="s">
        <v>1119</v>
      </c>
      <c r="K115" s="33" t="s">
        <v>43</v>
      </c>
      <c r="L115" s="33" t="s">
        <v>1111</v>
      </c>
      <c r="M115" s="63">
        <v>8361271432</v>
      </c>
      <c r="N115" s="63">
        <v>1995580618</v>
      </c>
      <c r="O115" s="44">
        <v>15000000</v>
      </c>
      <c r="P115" s="46">
        <v>24000000</v>
      </c>
      <c r="Q115" s="44">
        <f t="shared" si="1"/>
        <v>10395852050</v>
      </c>
      <c r="R115" s="65">
        <v>8361271432</v>
      </c>
      <c r="S115" s="65">
        <v>1995580618</v>
      </c>
      <c r="T115" s="66"/>
      <c r="U115" s="33"/>
      <c r="V115" s="32"/>
      <c r="W115" s="49"/>
      <c r="X115" s="49">
        <f t="shared" ref="X115:Z115" si="114">N115-S115</f>
        <v>0</v>
      </c>
      <c r="Y115" s="52">
        <f t="shared" si="114"/>
        <v>15000000</v>
      </c>
      <c r="Z115" s="52">
        <f t="shared" si="114"/>
        <v>24000000</v>
      </c>
      <c r="AA115" s="54"/>
      <c r="AB115" s="43"/>
      <c r="AC115" s="15">
        <f t="shared" si="3"/>
        <v>2</v>
      </c>
      <c r="AD115" s="15"/>
      <c r="AE115" s="6"/>
      <c r="AF115" s="6"/>
      <c r="AG115" s="6"/>
      <c r="AH115" s="6"/>
      <c r="AI115" s="6"/>
      <c r="AJ115" s="6"/>
      <c r="AK115" s="6"/>
      <c r="AL115" s="6"/>
      <c r="AM115" s="6"/>
      <c r="AN115" s="6"/>
      <c r="AO115" s="6"/>
      <c r="AP115" s="6"/>
      <c r="AQ115" s="6"/>
      <c r="AR115" s="6"/>
      <c r="AS115" s="6"/>
    </row>
    <row r="116" spans="1:45" ht="63" hidden="1" x14ac:dyDescent="0.25">
      <c r="A116" s="33" t="s">
        <v>52</v>
      </c>
      <c r="B116" s="42">
        <v>411</v>
      </c>
      <c r="C116" s="33" t="s">
        <v>163</v>
      </c>
      <c r="D116" s="33" t="s">
        <v>1123</v>
      </c>
      <c r="E116" s="32"/>
      <c r="F116" s="43" t="s">
        <v>1124</v>
      </c>
      <c r="G116" s="33" t="s">
        <v>1125</v>
      </c>
      <c r="H116" s="32"/>
      <c r="I116" s="32"/>
      <c r="J116" s="33" t="s">
        <v>1126</v>
      </c>
      <c r="K116" s="33" t="s">
        <v>43</v>
      </c>
      <c r="L116" s="33" t="s">
        <v>1127</v>
      </c>
      <c r="M116" s="44">
        <v>1375587700</v>
      </c>
      <c r="N116" s="45"/>
      <c r="O116" s="44">
        <v>15000000</v>
      </c>
      <c r="P116" s="59">
        <v>88000000</v>
      </c>
      <c r="Q116" s="44">
        <f t="shared" si="1"/>
        <v>1478587700</v>
      </c>
      <c r="R116" s="48">
        <v>1375587700</v>
      </c>
      <c r="S116" s="32"/>
      <c r="T116" s="44">
        <v>15000000</v>
      </c>
      <c r="U116" s="48">
        <v>88000000</v>
      </c>
      <c r="V116" s="32"/>
      <c r="W116" s="49"/>
      <c r="X116" s="49">
        <f t="shared" ref="X116:Z116" si="115">N116-S116</f>
        <v>0</v>
      </c>
      <c r="Y116" s="49">
        <f t="shared" si="115"/>
        <v>0</v>
      </c>
      <c r="Z116" s="49">
        <f t="shared" si="115"/>
        <v>0</v>
      </c>
      <c r="AA116" s="54"/>
      <c r="AB116" s="54"/>
      <c r="AC116" s="2">
        <f t="shared" si="3"/>
        <v>2</v>
      </c>
      <c r="AD116" s="6"/>
      <c r="AE116" s="6"/>
      <c r="AF116" s="6"/>
      <c r="AG116" s="6"/>
      <c r="AH116" s="6"/>
      <c r="AI116" s="6"/>
      <c r="AJ116" s="6"/>
      <c r="AK116" s="6"/>
      <c r="AL116" s="6"/>
      <c r="AM116" s="6"/>
      <c r="AN116" s="6"/>
      <c r="AO116" s="6"/>
      <c r="AP116" s="6"/>
      <c r="AQ116" s="6"/>
      <c r="AR116" s="6"/>
      <c r="AS116" s="6"/>
    </row>
    <row r="117" spans="1:45" ht="63" hidden="1" x14ac:dyDescent="0.25">
      <c r="A117" s="33" t="s">
        <v>60</v>
      </c>
      <c r="B117" s="42">
        <v>544</v>
      </c>
      <c r="C117" s="33" t="s">
        <v>966</v>
      </c>
      <c r="D117" s="33" t="s">
        <v>1131</v>
      </c>
      <c r="E117" s="33" t="s">
        <v>1132</v>
      </c>
      <c r="F117" s="43" t="s">
        <v>1124</v>
      </c>
      <c r="G117" s="33" t="s">
        <v>1133</v>
      </c>
      <c r="H117" s="32"/>
      <c r="I117" s="32"/>
      <c r="J117" s="62" t="s">
        <v>1134</v>
      </c>
      <c r="K117" s="33" t="s">
        <v>43</v>
      </c>
      <c r="L117" s="33" t="s">
        <v>1135</v>
      </c>
      <c r="M117" s="63">
        <v>4492043428</v>
      </c>
      <c r="N117" s="82">
        <v>1612138368</v>
      </c>
      <c r="O117" s="63">
        <v>15000000</v>
      </c>
      <c r="P117" s="59">
        <v>72000000</v>
      </c>
      <c r="Q117" s="44">
        <f t="shared" si="1"/>
        <v>6191181796</v>
      </c>
      <c r="R117" s="65">
        <v>4492043428</v>
      </c>
      <c r="S117" s="48">
        <v>1612138368</v>
      </c>
      <c r="T117" s="44">
        <v>15000000</v>
      </c>
      <c r="U117" s="48">
        <v>72000000</v>
      </c>
      <c r="V117" s="32"/>
      <c r="W117" s="49"/>
      <c r="X117" s="49">
        <f t="shared" ref="X117:Z117" si="116">N117-S117</f>
        <v>0</v>
      </c>
      <c r="Y117" s="49">
        <f t="shared" si="116"/>
        <v>0</v>
      </c>
      <c r="Z117" s="49">
        <f t="shared" si="116"/>
        <v>0</v>
      </c>
      <c r="AA117" s="54"/>
      <c r="AB117" s="54"/>
      <c r="AC117" s="2">
        <f t="shared" si="3"/>
        <v>2</v>
      </c>
      <c r="AD117" s="6"/>
      <c r="AE117" s="6"/>
      <c r="AF117" s="6"/>
      <c r="AG117" s="6"/>
      <c r="AH117" s="6"/>
      <c r="AI117" s="6"/>
      <c r="AJ117" s="6"/>
      <c r="AK117" s="6"/>
      <c r="AL117" s="6"/>
      <c r="AM117" s="6"/>
      <c r="AN117" s="6"/>
      <c r="AO117" s="6"/>
      <c r="AP117" s="6"/>
      <c r="AQ117" s="6"/>
      <c r="AR117" s="6"/>
      <c r="AS117" s="6"/>
    </row>
    <row r="118" spans="1:45" ht="63" hidden="1" x14ac:dyDescent="0.25">
      <c r="A118" s="43" t="s">
        <v>52</v>
      </c>
      <c r="B118" s="42">
        <v>249</v>
      </c>
      <c r="C118" s="43" t="s">
        <v>1136</v>
      </c>
      <c r="D118" s="43" t="s">
        <v>1137</v>
      </c>
      <c r="E118" s="43" t="s">
        <v>409</v>
      </c>
      <c r="F118" s="43" t="s">
        <v>1138</v>
      </c>
      <c r="G118" s="43" t="s">
        <v>1140</v>
      </c>
      <c r="H118" s="43" t="s">
        <v>204</v>
      </c>
      <c r="I118" s="54"/>
      <c r="J118" s="43" t="s">
        <v>1141</v>
      </c>
      <c r="K118" s="43" t="s">
        <v>43</v>
      </c>
      <c r="L118" s="43" t="s">
        <v>1143</v>
      </c>
      <c r="M118" s="46">
        <v>11542084576</v>
      </c>
      <c r="N118" s="46">
        <v>195952446</v>
      </c>
      <c r="O118" s="46">
        <v>15000000</v>
      </c>
      <c r="P118" s="59">
        <v>108000000</v>
      </c>
      <c r="Q118" s="44">
        <f t="shared" si="1"/>
        <v>11861037022</v>
      </c>
      <c r="R118" s="48">
        <v>11542084576</v>
      </c>
      <c r="S118" s="48">
        <v>195952446</v>
      </c>
      <c r="T118" s="44">
        <v>15000000</v>
      </c>
      <c r="U118" s="69">
        <v>108000000</v>
      </c>
      <c r="V118" s="32"/>
      <c r="W118" s="49"/>
      <c r="X118" s="49">
        <f t="shared" ref="X118:Z118" si="117">N118-S118</f>
        <v>0</v>
      </c>
      <c r="Y118" s="49">
        <f t="shared" si="117"/>
        <v>0</v>
      </c>
      <c r="Z118" s="49">
        <f t="shared" si="117"/>
        <v>0</v>
      </c>
      <c r="AA118" s="54"/>
      <c r="AB118" s="54"/>
      <c r="AC118" s="2">
        <f t="shared" si="3"/>
        <v>2</v>
      </c>
      <c r="AD118" s="6"/>
      <c r="AE118" s="6"/>
      <c r="AF118" s="6"/>
      <c r="AG118" s="6"/>
      <c r="AH118" s="6"/>
      <c r="AI118" s="6"/>
      <c r="AJ118" s="6"/>
      <c r="AK118" s="6"/>
      <c r="AL118" s="6"/>
      <c r="AM118" s="6"/>
      <c r="AN118" s="6"/>
      <c r="AO118" s="6"/>
      <c r="AP118" s="6"/>
      <c r="AQ118" s="6"/>
      <c r="AR118" s="6"/>
      <c r="AS118" s="6"/>
    </row>
    <row r="119" spans="1:45" ht="63" hidden="1" x14ac:dyDescent="0.25">
      <c r="A119" s="33" t="s">
        <v>35</v>
      </c>
      <c r="B119" s="42">
        <v>483</v>
      </c>
      <c r="C119" s="33" t="s">
        <v>124</v>
      </c>
      <c r="D119" s="33" t="s">
        <v>1146</v>
      </c>
      <c r="E119" s="33" t="s">
        <v>1147</v>
      </c>
      <c r="F119" s="43" t="s">
        <v>1148</v>
      </c>
      <c r="G119" s="33" t="s">
        <v>1149</v>
      </c>
      <c r="H119" s="33" t="s">
        <v>1150</v>
      </c>
      <c r="I119" s="32"/>
      <c r="J119" s="33" t="s">
        <v>1151</v>
      </c>
      <c r="K119" s="33" t="s">
        <v>43</v>
      </c>
      <c r="L119" s="33" t="s">
        <v>1152</v>
      </c>
      <c r="M119" s="44">
        <v>2978570608</v>
      </c>
      <c r="N119" s="44">
        <v>191495014</v>
      </c>
      <c r="O119" s="44">
        <v>15000000</v>
      </c>
      <c r="P119" s="59">
        <v>144000000</v>
      </c>
      <c r="Q119" s="44">
        <f t="shared" si="1"/>
        <v>3329065622</v>
      </c>
      <c r="R119" s="48">
        <v>2978570608</v>
      </c>
      <c r="S119" s="48">
        <v>191495014</v>
      </c>
      <c r="T119" s="44">
        <v>15000000</v>
      </c>
      <c r="U119" s="48">
        <v>144000000</v>
      </c>
      <c r="V119" s="32"/>
      <c r="W119" s="49"/>
      <c r="X119" s="49">
        <f t="shared" ref="X119:Z119" si="118">N119-S119</f>
        <v>0</v>
      </c>
      <c r="Y119" s="49">
        <f t="shared" si="118"/>
        <v>0</v>
      </c>
      <c r="Z119" s="49">
        <f t="shared" si="118"/>
        <v>0</v>
      </c>
      <c r="AA119" s="54"/>
      <c r="AB119" s="54"/>
      <c r="AC119" s="2">
        <f t="shared" si="3"/>
        <v>2</v>
      </c>
      <c r="AD119" s="6"/>
      <c r="AE119" s="6"/>
      <c r="AF119" s="6"/>
      <c r="AG119" s="6"/>
      <c r="AH119" s="6"/>
      <c r="AI119" s="6"/>
      <c r="AJ119" s="6"/>
      <c r="AK119" s="6"/>
      <c r="AL119" s="6"/>
      <c r="AM119" s="6"/>
      <c r="AN119" s="6"/>
      <c r="AO119" s="6"/>
      <c r="AP119" s="6"/>
      <c r="AQ119" s="6"/>
      <c r="AR119" s="6"/>
      <c r="AS119" s="6"/>
    </row>
    <row r="120" spans="1:45" ht="63" hidden="1" x14ac:dyDescent="0.25">
      <c r="A120" s="33" t="s">
        <v>35</v>
      </c>
      <c r="B120" s="42">
        <v>854</v>
      </c>
      <c r="C120" s="33" t="s">
        <v>89</v>
      </c>
      <c r="D120" s="33" t="s">
        <v>1158</v>
      </c>
      <c r="E120" s="32"/>
      <c r="F120" s="43" t="s">
        <v>1159</v>
      </c>
      <c r="G120" s="33" t="s">
        <v>1160</v>
      </c>
      <c r="H120" s="32"/>
      <c r="I120" s="32"/>
      <c r="J120" s="62" t="s">
        <v>1161</v>
      </c>
      <c r="K120" s="33" t="s">
        <v>43</v>
      </c>
      <c r="L120" s="33" t="s">
        <v>1162</v>
      </c>
      <c r="M120" s="63">
        <v>2066275000</v>
      </c>
      <c r="N120" s="45"/>
      <c r="O120" s="63">
        <v>15000000</v>
      </c>
      <c r="P120" s="59">
        <v>48000000</v>
      </c>
      <c r="Q120" s="44">
        <f t="shared" si="1"/>
        <v>2129275000</v>
      </c>
      <c r="R120" s="65">
        <v>2066275000</v>
      </c>
      <c r="S120" s="32"/>
      <c r="T120" s="63">
        <v>15000000</v>
      </c>
      <c r="U120" s="65">
        <v>48000000</v>
      </c>
      <c r="V120" s="32"/>
      <c r="W120" s="49"/>
      <c r="X120" s="49">
        <f t="shared" ref="X120:Z120" si="119">N120-S120</f>
        <v>0</v>
      </c>
      <c r="Y120" s="49">
        <f t="shared" si="119"/>
        <v>0</v>
      </c>
      <c r="Z120" s="49">
        <f t="shared" si="119"/>
        <v>0</v>
      </c>
      <c r="AA120" s="54"/>
      <c r="AB120" s="54"/>
      <c r="AC120" s="2">
        <f t="shared" si="3"/>
        <v>2</v>
      </c>
      <c r="AD120" s="6"/>
      <c r="AE120" s="6"/>
      <c r="AF120" s="6"/>
      <c r="AG120" s="6"/>
      <c r="AH120" s="6"/>
      <c r="AI120" s="6"/>
      <c r="AJ120" s="6"/>
      <c r="AK120" s="6"/>
      <c r="AL120" s="6"/>
      <c r="AM120" s="6"/>
      <c r="AN120" s="6"/>
      <c r="AO120" s="6"/>
      <c r="AP120" s="6"/>
      <c r="AQ120" s="6"/>
      <c r="AR120" s="6"/>
      <c r="AS120" s="6"/>
    </row>
    <row r="121" spans="1:45" ht="47.25" hidden="1" x14ac:dyDescent="0.25">
      <c r="A121" s="33" t="s">
        <v>46</v>
      </c>
      <c r="B121" s="42">
        <v>639</v>
      </c>
      <c r="C121" s="33" t="s">
        <v>53</v>
      </c>
      <c r="D121" s="33" t="s">
        <v>1167</v>
      </c>
      <c r="E121" s="33" t="s">
        <v>567</v>
      </c>
      <c r="F121" s="43" t="s">
        <v>1169</v>
      </c>
      <c r="G121" s="33" t="s">
        <v>1170</v>
      </c>
      <c r="H121" s="33"/>
      <c r="I121" s="33" t="s">
        <v>261</v>
      </c>
      <c r="J121" s="33" t="s">
        <v>1171</v>
      </c>
      <c r="K121" s="33" t="s">
        <v>43</v>
      </c>
      <c r="L121" s="33" t="s">
        <v>1172</v>
      </c>
      <c r="M121" s="63">
        <v>6012667866</v>
      </c>
      <c r="N121" s="82">
        <v>3504088820</v>
      </c>
      <c r="O121" s="44">
        <v>15000000</v>
      </c>
      <c r="P121" s="59">
        <v>24000000</v>
      </c>
      <c r="Q121" s="44">
        <f t="shared" si="1"/>
        <v>9555756686</v>
      </c>
      <c r="R121" s="65">
        <v>6012667866</v>
      </c>
      <c r="S121" s="65">
        <v>3504088820</v>
      </c>
      <c r="T121" s="66"/>
      <c r="U121" s="65">
        <v>24000000</v>
      </c>
      <c r="V121" s="32"/>
      <c r="W121" s="49"/>
      <c r="X121" s="49">
        <f t="shared" ref="X121:Z121" si="120">N121-S121</f>
        <v>0</v>
      </c>
      <c r="Y121" s="52">
        <f t="shared" si="120"/>
        <v>15000000</v>
      </c>
      <c r="Z121" s="49">
        <f t="shared" si="120"/>
        <v>0</v>
      </c>
      <c r="AA121" s="54"/>
      <c r="AB121" s="43"/>
      <c r="AC121" s="15">
        <f t="shared" si="3"/>
        <v>2</v>
      </c>
      <c r="AD121" s="15"/>
      <c r="AE121" s="6"/>
      <c r="AF121" s="6"/>
      <c r="AG121" s="6"/>
      <c r="AH121" s="6"/>
      <c r="AI121" s="6"/>
      <c r="AJ121" s="6"/>
      <c r="AK121" s="6"/>
      <c r="AL121" s="6"/>
      <c r="AM121" s="6"/>
      <c r="AN121" s="6"/>
      <c r="AO121" s="6"/>
      <c r="AP121" s="6"/>
      <c r="AQ121" s="6"/>
      <c r="AR121" s="6"/>
      <c r="AS121" s="6"/>
    </row>
    <row r="122" spans="1:45" ht="110.25" x14ac:dyDescent="0.25">
      <c r="A122" s="33" t="s">
        <v>52</v>
      </c>
      <c r="B122" s="42">
        <v>277</v>
      </c>
      <c r="C122" s="33" t="s">
        <v>37</v>
      </c>
      <c r="D122" s="33" t="s">
        <v>1177</v>
      </c>
      <c r="E122" s="33"/>
      <c r="F122" s="43" t="s">
        <v>1178</v>
      </c>
      <c r="G122" s="33" t="s">
        <v>1179</v>
      </c>
      <c r="H122" s="33"/>
      <c r="I122" s="33"/>
      <c r="J122" s="33" t="s">
        <v>1180</v>
      </c>
      <c r="K122" s="33" t="s">
        <v>43</v>
      </c>
      <c r="L122" s="33" t="s">
        <v>1181</v>
      </c>
      <c r="M122" s="44">
        <v>4066100280</v>
      </c>
      <c r="N122" s="45"/>
      <c r="O122" s="44">
        <v>15000000</v>
      </c>
      <c r="P122" s="46">
        <v>144000000</v>
      </c>
      <c r="Q122" s="44">
        <f t="shared" si="1"/>
        <v>4225100280</v>
      </c>
      <c r="R122" s="48">
        <v>4066100280</v>
      </c>
      <c r="S122" s="32"/>
      <c r="T122" s="44">
        <v>15000000</v>
      </c>
      <c r="U122" s="69">
        <v>48000000</v>
      </c>
      <c r="V122" s="32"/>
      <c r="W122" s="49"/>
      <c r="X122" s="49">
        <f t="shared" ref="X122:Z122" si="121">N122-S122</f>
        <v>0</v>
      </c>
      <c r="Y122" s="49">
        <f t="shared" si="121"/>
        <v>0</v>
      </c>
      <c r="Z122" s="52">
        <f t="shared" si="121"/>
        <v>96000000</v>
      </c>
      <c r="AA122" s="54"/>
      <c r="AB122" s="43"/>
      <c r="AC122" s="6">
        <f t="shared" si="3"/>
        <v>2</v>
      </c>
      <c r="AD122" s="6"/>
      <c r="AE122" s="6"/>
      <c r="AF122" s="6"/>
      <c r="AG122" s="6"/>
      <c r="AH122" s="6"/>
      <c r="AI122" s="6"/>
      <c r="AJ122" s="6"/>
      <c r="AK122" s="6"/>
      <c r="AL122" s="6"/>
      <c r="AM122" s="6"/>
      <c r="AN122" s="6"/>
      <c r="AO122" s="6"/>
      <c r="AP122" s="6"/>
      <c r="AQ122" s="6"/>
      <c r="AR122" s="6"/>
      <c r="AS122" s="6"/>
    </row>
    <row r="123" spans="1:45" ht="63" hidden="1" x14ac:dyDescent="0.25">
      <c r="A123" s="33" t="s">
        <v>52</v>
      </c>
      <c r="B123" s="42">
        <v>270</v>
      </c>
      <c r="C123" s="33" t="s">
        <v>37</v>
      </c>
      <c r="D123" s="33" t="s">
        <v>1187</v>
      </c>
      <c r="E123" s="33" t="s">
        <v>1188</v>
      </c>
      <c r="F123" s="43" t="s">
        <v>1189</v>
      </c>
      <c r="G123" s="33" t="s">
        <v>1190</v>
      </c>
      <c r="H123" s="33" t="s">
        <v>1191</v>
      </c>
      <c r="I123" s="32"/>
      <c r="J123" s="33" t="s">
        <v>1192</v>
      </c>
      <c r="K123" s="33" t="s">
        <v>43</v>
      </c>
      <c r="L123" s="33" t="s">
        <v>1193</v>
      </c>
      <c r="M123" s="44">
        <v>1418361365</v>
      </c>
      <c r="N123" s="44">
        <v>168075878</v>
      </c>
      <c r="O123" s="44">
        <v>15000000</v>
      </c>
      <c r="P123" s="59">
        <v>96000000</v>
      </c>
      <c r="Q123" s="44">
        <f t="shared" si="1"/>
        <v>1697437243</v>
      </c>
      <c r="R123" s="48">
        <v>1418361365</v>
      </c>
      <c r="S123" s="48">
        <v>168075878</v>
      </c>
      <c r="T123" s="44">
        <v>15000000</v>
      </c>
      <c r="U123" s="48">
        <v>96000000</v>
      </c>
      <c r="V123" s="32"/>
      <c r="W123" s="49"/>
      <c r="X123" s="49">
        <f t="shared" ref="X123:Z123" si="122">N123-S123</f>
        <v>0</v>
      </c>
      <c r="Y123" s="49">
        <f t="shared" si="122"/>
        <v>0</v>
      </c>
      <c r="Z123" s="49">
        <f t="shared" si="122"/>
        <v>0</v>
      </c>
      <c r="AA123" s="54"/>
      <c r="AB123" s="54"/>
      <c r="AC123" s="2">
        <f t="shared" si="3"/>
        <v>2</v>
      </c>
      <c r="AD123" s="6"/>
      <c r="AE123" s="6"/>
      <c r="AF123" s="6"/>
      <c r="AG123" s="6"/>
      <c r="AH123" s="6"/>
      <c r="AI123" s="6"/>
      <c r="AJ123" s="6"/>
      <c r="AK123" s="6"/>
      <c r="AL123" s="6"/>
      <c r="AM123" s="6"/>
      <c r="AN123" s="6"/>
      <c r="AO123" s="6"/>
      <c r="AP123" s="6"/>
      <c r="AQ123" s="6"/>
      <c r="AR123" s="6"/>
      <c r="AS123" s="6"/>
    </row>
    <row r="124" spans="1:45" ht="47.25" x14ac:dyDescent="0.25">
      <c r="A124" s="33" t="s">
        <v>60</v>
      </c>
      <c r="B124" s="42">
        <v>289</v>
      </c>
      <c r="C124" s="33" t="s">
        <v>37</v>
      </c>
      <c r="D124" s="33" t="s">
        <v>1198</v>
      </c>
      <c r="E124" s="33"/>
      <c r="F124" s="43" t="s">
        <v>1199</v>
      </c>
      <c r="G124" s="33" t="s">
        <v>1200</v>
      </c>
      <c r="H124" s="33"/>
      <c r="I124" s="33"/>
      <c r="J124" s="33" t="s">
        <v>1201</v>
      </c>
      <c r="K124" s="33" t="s">
        <v>43</v>
      </c>
      <c r="L124" s="33" t="s">
        <v>1202</v>
      </c>
      <c r="M124" s="44">
        <v>20692684800</v>
      </c>
      <c r="N124" s="45"/>
      <c r="O124" s="44">
        <v>15000000</v>
      </c>
      <c r="P124" s="46">
        <v>24000000</v>
      </c>
      <c r="Q124" s="44">
        <f t="shared" si="1"/>
        <v>20731684800</v>
      </c>
      <c r="R124" s="48">
        <v>20692684800</v>
      </c>
      <c r="S124" s="32"/>
      <c r="T124" s="66"/>
      <c r="U124" s="33"/>
      <c r="V124" s="32"/>
      <c r="W124" s="49"/>
      <c r="X124" s="49">
        <f t="shared" ref="X124:Z124" si="123">N124-S124</f>
        <v>0</v>
      </c>
      <c r="Y124" s="52">
        <f t="shared" si="123"/>
        <v>15000000</v>
      </c>
      <c r="Z124" s="52">
        <f t="shared" si="123"/>
        <v>24000000</v>
      </c>
      <c r="AA124" s="54"/>
      <c r="AB124" s="43"/>
      <c r="AC124" s="15">
        <f t="shared" si="3"/>
        <v>2</v>
      </c>
      <c r="AD124" s="15"/>
      <c r="AE124" s="6"/>
      <c r="AF124" s="6"/>
      <c r="AG124" s="6"/>
      <c r="AH124" s="6"/>
      <c r="AI124" s="6"/>
      <c r="AJ124" s="6"/>
      <c r="AK124" s="6"/>
      <c r="AL124" s="6"/>
      <c r="AM124" s="6"/>
      <c r="AN124" s="6"/>
      <c r="AO124" s="6"/>
      <c r="AP124" s="6"/>
      <c r="AQ124" s="6"/>
      <c r="AR124" s="6"/>
      <c r="AS124" s="6"/>
    </row>
    <row r="125" spans="1:45" ht="31.5" x14ac:dyDescent="0.25">
      <c r="A125" s="33" t="s">
        <v>46</v>
      </c>
      <c r="B125" s="42">
        <v>456</v>
      </c>
      <c r="C125" s="33" t="s">
        <v>47</v>
      </c>
      <c r="D125" s="33" t="s">
        <v>1206</v>
      </c>
      <c r="E125" s="33"/>
      <c r="F125" s="43" t="s">
        <v>1199</v>
      </c>
      <c r="G125" s="33" t="s">
        <v>1207</v>
      </c>
      <c r="H125" s="33"/>
      <c r="I125" s="33"/>
      <c r="J125" s="33" t="s">
        <v>1208</v>
      </c>
      <c r="K125" s="33" t="s">
        <v>43</v>
      </c>
      <c r="L125" s="33" t="s">
        <v>1209</v>
      </c>
      <c r="M125" s="44">
        <v>5179078192</v>
      </c>
      <c r="N125" s="45"/>
      <c r="O125" s="44">
        <v>15000000</v>
      </c>
      <c r="P125" s="46">
        <v>54000000</v>
      </c>
      <c r="Q125" s="44">
        <f t="shared" si="1"/>
        <v>5248078192</v>
      </c>
      <c r="R125" s="48">
        <v>5179078192</v>
      </c>
      <c r="S125" s="32"/>
      <c r="T125" s="66"/>
      <c r="U125" s="33"/>
      <c r="V125" s="32"/>
      <c r="W125" s="49"/>
      <c r="X125" s="49">
        <f t="shared" ref="X125:Z125" si="124">N125-S125</f>
        <v>0</v>
      </c>
      <c r="Y125" s="52">
        <f t="shared" si="124"/>
        <v>15000000</v>
      </c>
      <c r="Z125" s="52">
        <f t="shared" si="124"/>
        <v>54000000</v>
      </c>
      <c r="AA125" s="54"/>
      <c r="AB125" s="43"/>
      <c r="AC125" s="15">
        <f t="shared" si="3"/>
        <v>2</v>
      </c>
      <c r="AD125" s="15"/>
      <c r="AE125" s="6"/>
      <c r="AF125" s="6"/>
      <c r="AG125" s="6"/>
      <c r="AH125" s="6"/>
      <c r="AI125" s="6"/>
      <c r="AJ125" s="6"/>
      <c r="AK125" s="6"/>
      <c r="AL125" s="6"/>
      <c r="AM125" s="6"/>
      <c r="AN125" s="6"/>
      <c r="AO125" s="6"/>
      <c r="AP125" s="6"/>
      <c r="AQ125" s="6"/>
      <c r="AR125" s="6"/>
      <c r="AS125" s="6"/>
    </row>
    <row r="126" spans="1:45" ht="63" hidden="1" x14ac:dyDescent="0.25">
      <c r="A126" s="33" t="s">
        <v>275</v>
      </c>
      <c r="B126" s="42">
        <v>749</v>
      </c>
      <c r="C126" s="33" t="s">
        <v>67</v>
      </c>
      <c r="D126" s="33" t="s">
        <v>1215</v>
      </c>
      <c r="E126" s="33" t="s">
        <v>1216</v>
      </c>
      <c r="F126" s="43" t="s">
        <v>1217</v>
      </c>
      <c r="G126" s="33" t="s">
        <v>1218</v>
      </c>
      <c r="H126" s="33" t="s">
        <v>1219</v>
      </c>
      <c r="I126" s="32"/>
      <c r="J126" s="62" t="s">
        <v>1220</v>
      </c>
      <c r="K126" s="33" t="s">
        <v>43</v>
      </c>
      <c r="L126" s="33" t="s">
        <v>1221</v>
      </c>
      <c r="M126" s="63">
        <v>1467836032</v>
      </c>
      <c r="N126" s="77">
        <v>1187425264</v>
      </c>
      <c r="O126" s="63">
        <v>15000000</v>
      </c>
      <c r="P126" s="59">
        <v>72000000</v>
      </c>
      <c r="Q126" s="44">
        <f t="shared" si="1"/>
        <v>2742261296</v>
      </c>
      <c r="R126" s="65">
        <v>1467836032</v>
      </c>
      <c r="S126" s="65">
        <v>1187425264</v>
      </c>
      <c r="T126" s="44">
        <v>15000000</v>
      </c>
      <c r="U126" s="65">
        <v>72000000</v>
      </c>
      <c r="V126" s="32"/>
      <c r="W126" s="49"/>
      <c r="X126" s="49">
        <f t="shared" ref="X126:Z126" si="125">N126-S126</f>
        <v>0</v>
      </c>
      <c r="Y126" s="49">
        <f t="shared" si="125"/>
        <v>0</v>
      </c>
      <c r="Z126" s="49">
        <f t="shared" si="125"/>
        <v>0</v>
      </c>
      <c r="AA126" s="54"/>
      <c r="AB126" s="54"/>
      <c r="AC126" s="2">
        <f t="shared" si="3"/>
        <v>2</v>
      </c>
      <c r="AD126" s="6"/>
      <c r="AE126" s="6"/>
      <c r="AF126" s="6"/>
      <c r="AG126" s="6"/>
      <c r="AH126" s="6"/>
      <c r="AI126" s="6"/>
      <c r="AJ126" s="6"/>
      <c r="AK126" s="6"/>
      <c r="AL126" s="6"/>
      <c r="AM126" s="6"/>
      <c r="AN126" s="6"/>
      <c r="AO126" s="6"/>
      <c r="AP126" s="6"/>
      <c r="AQ126" s="6"/>
      <c r="AR126" s="6"/>
      <c r="AS126" s="6"/>
    </row>
    <row r="127" spans="1:45" ht="31.5" hidden="1" x14ac:dyDescent="0.25">
      <c r="A127" s="33" t="s">
        <v>52</v>
      </c>
      <c r="B127" s="42">
        <v>218</v>
      </c>
      <c r="C127" s="33" t="s">
        <v>557</v>
      </c>
      <c r="D127" s="33" t="s">
        <v>1224</v>
      </c>
      <c r="E127" s="33" t="s">
        <v>1226</v>
      </c>
      <c r="F127" s="43" t="s">
        <v>1227</v>
      </c>
      <c r="G127" s="33" t="s">
        <v>1229</v>
      </c>
      <c r="H127" s="32"/>
      <c r="I127" s="32"/>
      <c r="J127" s="33" t="s">
        <v>1231</v>
      </c>
      <c r="K127" s="33" t="s">
        <v>43</v>
      </c>
      <c r="L127" s="33" t="s">
        <v>1232</v>
      </c>
      <c r="M127" s="44">
        <v>1212272880</v>
      </c>
      <c r="N127" s="44">
        <v>231967520</v>
      </c>
      <c r="O127" s="44">
        <v>15000000</v>
      </c>
      <c r="P127" s="59">
        <v>42000000</v>
      </c>
      <c r="Q127" s="44">
        <f t="shared" si="1"/>
        <v>1501240400</v>
      </c>
      <c r="R127" s="48">
        <v>1212272880</v>
      </c>
      <c r="S127" s="48">
        <v>231967520</v>
      </c>
      <c r="T127" s="44">
        <v>15000000</v>
      </c>
      <c r="U127" s="48">
        <v>42000000</v>
      </c>
      <c r="V127" s="32"/>
      <c r="W127" s="49"/>
      <c r="X127" s="49">
        <f t="shared" ref="X127:Z127" si="126">N127-S127</f>
        <v>0</v>
      </c>
      <c r="Y127" s="49">
        <f t="shared" si="126"/>
        <v>0</v>
      </c>
      <c r="Z127" s="49">
        <f t="shared" si="126"/>
        <v>0</v>
      </c>
      <c r="AA127" s="54"/>
      <c r="AB127" s="54"/>
      <c r="AC127" s="2">
        <f t="shared" si="3"/>
        <v>2</v>
      </c>
      <c r="AD127" s="6"/>
      <c r="AE127" s="6"/>
      <c r="AF127" s="6"/>
      <c r="AG127" s="6"/>
      <c r="AH127" s="6"/>
      <c r="AI127" s="6"/>
      <c r="AJ127" s="6"/>
      <c r="AK127" s="6"/>
      <c r="AL127" s="6"/>
      <c r="AM127" s="6"/>
      <c r="AN127" s="6"/>
      <c r="AO127" s="6"/>
      <c r="AP127" s="6"/>
      <c r="AQ127" s="6"/>
      <c r="AR127" s="6"/>
      <c r="AS127" s="6"/>
    </row>
    <row r="128" spans="1:45" ht="47.25" hidden="1" x14ac:dyDescent="0.25">
      <c r="A128" s="33" t="s">
        <v>52</v>
      </c>
      <c r="B128" s="42">
        <v>268</v>
      </c>
      <c r="C128" s="33" t="s">
        <v>1233</v>
      </c>
      <c r="D128" s="33" t="s">
        <v>1234</v>
      </c>
      <c r="E128" s="32"/>
      <c r="F128" s="43" t="s">
        <v>1227</v>
      </c>
      <c r="G128" s="33" t="s">
        <v>1235</v>
      </c>
      <c r="H128" s="32"/>
      <c r="I128" s="32"/>
      <c r="J128" s="33" t="s">
        <v>1236</v>
      </c>
      <c r="K128" s="33" t="s">
        <v>43</v>
      </c>
      <c r="L128" s="33" t="s">
        <v>1237</v>
      </c>
      <c r="M128" s="44">
        <v>7086142428</v>
      </c>
      <c r="N128" s="45"/>
      <c r="O128" s="44">
        <v>7500000</v>
      </c>
      <c r="P128" s="59">
        <v>72000000</v>
      </c>
      <c r="Q128" s="44">
        <f t="shared" si="1"/>
        <v>7165642428</v>
      </c>
      <c r="R128" s="48">
        <v>7086142428</v>
      </c>
      <c r="S128" s="32"/>
      <c r="T128" s="44">
        <v>7500000</v>
      </c>
      <c r="U128" s="48">
        <v>72000000</v>
      </c>
      <c r="V128" s="32"/>
      <c r="W128" s="49"/>
      <c r="X128" s="49">
        <f t="shared" ref="X128:Z128" si="127">N128-S128</f>
        <v>0</v>
      </c>
      <c r="Y128" s="49">
        <f t="shared" si="127"/>
        <v>0</v>
      </c>
      <c r="Z128" s="49">
        <f t="shared" si="127"/>
        <v>0</v>
      </c>
      <c r="AA128" s="54"/>
      <c r="AB128" s="54"/>
      <c r="AC128" s="2">
        <f t="shared" si="3"/>
        <v>2</v>
      </c>
      <c r="AD128" s="6"/>
      <c r="AE128" s="6"/>
      <c r="AF128" s="6"/>
      <c r="AG128" s="6"/>
      <c r="AH128" s="6"/>
      <c r="AI128" s="6"/>
      <c r="AJ128" s="6"/>
      <c r="AK128" s="6"/>
      <c r="AL128" s="6"/>
      <c r="AM128" s="6"/>
      <c r="AN128" s="6"/>
      <c r="AO128" s="6"/>
      <c r="AP128" s="6"/>
      <c r="AQ128" s="6"/>
      <c r="AR128" s="6"/>
      <c r="AS128" s="6"/>
    </row>
    <row r="129" spans="1:45" ht="47.25" hidden="1" x14ac:dyDescent="0.25">
      <c r="A129" s="33" t="s">
        <v>35</v>
      </c>
      <c r="B129" s="42">
        <v>317</v>
      </c>
      <c r="C129" s="33" t="s">
        <v>37</v>
      </c>
      <c r="D129" s="33" t="s">
        <v>1242</v>
      </c>
      <c r="E129" s="33" t="s">
        <v>409</v>
      </c>
      <c r="F129" s="43" t="s">
        <v>1227</v>
      </c>
      <c r="G129" s="33" t="s">
        <v>1243</v>
      </c>
      <c r="H129" s="33" t="s">
        <v>1244</v>
      </c>
      <c r="I129" s="32"/>
      <c r="J129" s="33" t="s">
        <v>1245</v>
      </c>
      <c r="K129" s="33" t="s">
        <v>43</v>
      </c>
      <c r="L129" s="33" t="s">
        <v>1246</v>
      </c>
      <c r="M129" s="44">
        <v>2002133194</v>
      </c>
      <c r="N129" s="44">
        <v>247965696</v>
      </c>
      <c r="O129" s="44">
        <v>15000000</v>
      </c>
      <c r="P129" s="59">
        <v>30000000</v>
      </c>
      <c r="Q129" s="44">
        <f t="shared" si="1"/>
        <v>2295098890</v>
      </c>
      <c r="R129" s="48">
        <v>2002133194</v>
      </c>
      <c r="S129" s="33"/>
      <c r="T129" s="44">
        <v>15000000</v>
      </c>
      <c r="U129" s="48">
        <v>30000000</v>
      </c>
      <c r="V129" s="32"/>
      <c r="W129" s="49"/>
      <c r="X129" s="52">
        <f t="shared" ref="X129:Z129" si="128">N129-S129</f>
        <v>247965696</v>
      </c>
      <c r="Y129" s="49">
        <f t="shared" si="128"/>
        <v>0</v>
      </c>
      <c r="Z129" s="49">
        <f t="shared" si="128"/>
        <v>0</v>
      </c>
      <c r="AA129" s="43"/>
      <c r="AB129" s="43"/>
      <c r="AC129" s="6">
        <f t="shared" si="3"/>
        <v>2</v>
      </c>
      <c r="AD129" s="6"/>
      <c r="AE129" s="6"/>
      <c r="AF129" s="6"/>
      <c r="AG129" s="6"/>
      <c r="AH129" s="6"/>
      <c r="AI129" s="6"/>
      <c r="AJ129" s="6"/>
      <c r="AK129" s="6"/>
      <c r="AL129" s="6"/>
      <c r="AM129" s="6"/>
      <c r="AN129" s="6"/>
      <c r="AO129" s="6"/>
      <c r="AP129" s="6"/>
      <c r="AQ129" s="6"/>
      <c r="AR129" s="6"/>
      <c r="AS129" s="6"/>
    </row>
    <row r="130" spans="1:45" ht="31.5" hidden="1" x14ac:dyDescent="0.25">
      <c r="A130" s="33" t="s">
        <v>88</v>
      </c>
      <c r="B130" s="42">
        <v>434</v>
      </c>
      <c r="C130" s="33" t="s">
        <v>47</v>
      </c>
      <c r="D130" s="33" t="s">
        <v>1252</v>
      </c>
      <c r="E130" s="32"/>
      <c r="F130" s="43" t="s">
        <v>1227</v>
      </c>
      <c r="G130" s="33" t="s">
        <v>1253</v>
      </c>
      <c r="H130" s="32"/>
      <c r="I130" s="32"/>
      <c r="J130" s="33" t="s">
        <v>1254</v>
      </c>
      <c r="K130" s="33" t="s">
        <v>43</v>
      </c>
      <c r="L130" s="33" t="s">
        <v>1256</v>
      </c>
      <c r="M130" s="44">
        <v>4110860698</v>
      </c>
      <c r="N130" s="45"/>
      <c r="O130" s="44">
        <v>15000000</v>
      </c>
      <c r="P130" s="59">
        <v>72000000</v>
      </c>
      <c r="Q130" s="44">
        <f t="shared" si="1"/>
        <v>4197860698</v>
      </c>
      <c r="R130" s="48">
        <v>4110860698</v>
      </c>
      <c r="S130" s="32"/>
      <c r="T130" s="44">
        <v>15000000</v>
      </c>
      <c r="U130" s="48">
        <v>72000000</v>
      </c>
      <c r="V130" s="32"/>
      <c r="W130" s="49"/>
      <c r="X130" s="49">
        <f t="shared" ref="X130:Z130" si="129">N130-S130</f>
        <v>0</v>
      </c>
      <c r="Y130" s="49">
        <f t="shared" si="129"/>
        <v>0</v>
      </c>
      <c r="Z130" s="49">
        <f t="shared" si="129"/>
        <v>0</v>
      </c>
      <c r="AA130" s="54"/>
      <c r="AB130" s="54"/>
      <c r="AC130" s="2">
        <f t="shared" si="3"/>
        <v>2</v>
      </c>
      <c r="AD130" s="6"/>
      <c r="AE130" s="6"/>
      <c r="AF130" s="6"/>
      <c r="AG130" s="6"/>
      <c r="AH130" s="6"/>
      <c r="AI130" s="6"/>
      <c r="AJ130" s="6"/>
      <c r="AK130" s="6"/>
      <c r="AL130" s="6"/>
      <c r="AM130" s="6"/>
      <c r="AN130" s="6"/>
      <c r="AO130" s="6"/>
      <c r="AP130" s="6"/>
      <c r="AQ130" s="6"/>
      <c r="AR130" s="6"/>
      <c r="AS130" s="6"/>
    </row>
    <row r="131" spans="1:45" ht="31.5" hidden="1" x14ac:dyDescent="0.25">
      <c r="A131" s="33" t="s">
        <v>35</v>
      </c>
      <c r="B131" s="42">
        <v>565</v>
      </c>
      <c r="C131" s="33" t="s">
        <v>498</v>
      </c>
      <c r="D131" s="33" t="s">
        <v>1265</v>
      </c>
      <c r="E131" s="32"/>
      <c r="F131" s="43" t="s">
        <v>1227</v>
      </c>
      <c r="G131" s="33" t="s">
        <v>1266</v>
      </c>
      <c r="H131" s="32"/>
      <c r="I131" s="32"/>
      <c r="J131" s="62" t="s">
        <v>1267</v>
      </c>
      <c r="K131" s="33" t="s">
        <v>43</v>
      </c>
      <c r="L131" s="33" t="s">
        <v>1268</v>
      </c>
      <c r="M131" s="63">
        <v>1871632320</v>
      </c>
      <c r="N131" s="45"/>
      <c r="O131" s="63">
        <v>15000000</v>
      </c>
      <c r="P131" s="59">
        <v>24000000</v>
      </c>
      <c r="Q131" s="44">
        <f t="shared" si="1"/>
        <v>1910632320</v>
      </c>
      <c r="R131" s="65">
        <v>1871632320</v>
      </c>
      <c r="S131" s="32"/>
      <c r="T131" s="44">
        <v>15000000</v>
      </c>
      <c r="U131" s="65">
        <v>24000000</v>
      </c>
      <c r="V131" s="32"/>
      <c r="W131" s="49"/>
      <c r="X131" s="49">
        <f t="shared" ref="X131:Z131" si="130">N131-S131</f>
        <v>0</v>
      </c>
      <c r="Y131" s="49">
        <f t="shared" si="130"/>
        <v>0</v>
      </c>
      <c r="Z131" s="49">
        <f t="shared" si="130"/>
        <v>0</v>
      </c>
      <c r="AA131" s="54"/>
      <c r="AB131" s="54"/>
      <c r="AC131" s="2">
        <f t="shared" si="3"/>
        <v>2</v>
      </c>
      <c r="AD131" s="6"/>
      <c r="AE131" s="6"/>
      <c r="AF131" s="6"/>
      <c r="AG131" s="6"/>
      <c r="AH131" s="6"/>
      <c r="AI131" s="6"/>
      <c r="AJ131" s="6"/>
      <c r="AK131" s="6"/>
      <c r="AL131" s="6"/>
      <c r="AM131" s="6"/>
      <c r="AN131" s="6"/>
      <c r="AO131" s="6"/>
      <c r="AP131" s="6"/>
      <c r="AQ131" s="6"/>
      <c r="AR131" s="6"/>
      <c r="AS131" s="6"/>
    </row>
    <row r="132" spans="1:45" ht="40.5" hidden="1" x14ac:dyDescent="0.25">
      <c r="A132" s="33" t="s">
        <v>88</v>
      </c>
      <c r="B132" s="42">
        <v>589</v>
      </c>
      <c r="C132" s="33" t="s">
        <v>498</v>
      </c>
      <c r="D132" s="33" t="s">
        <v>1274</v>
      </c>
      <c r="E132" s="32"/>
      <c r="F132" s="43" t="s">
        <v>1227</v>
      </c>
      <c r="G132" s="33" t="s">
        <v>1275</v>
      </c>
      <c r="H132" s="32"/>
      <c r="I132" s="32"/>
      <c r="J132" s="62" t="s">
        <v>1276</v>
      </c>
      <c r="K132" s="33" t="s">
        <v>43</v>
      </c>
      <c r="L132" s="33" t="s">
        <v>1277</v>
      </c>
      <c r="M132" s="63">
        <v>1143797868</v>
      </c>
      <c r="N132" s="45"/>
      <c r="O132" s="63">
        <v>15000000</v>
      </c>
      <c r="P132" s="59">
        <v>24000000</v>
      </c>
      <c r="Q132" s="44">
        <f t="shared" si="1"/>
        <v>1182797868</v>
      </c>
      <c r="R132" s="52">
        <v>1143797868</v>
      </c>
      <c r="S132" s="32"/>
      <c r="T132" s="44">
        <v>15000000</v>
      </c>
      <c r="U132" s="48">
        <v>24000000</v>
      </c>
      <c r="V132" s="32"/>
      <c r="W132" s="49"/>
      <c r="X132" s="49">
        <f t="shared" ref="X132:Z132" si="131">N132-S132</f>
        <v>0</v>
      </c>
      <c r="Y132" s="49">
        <f t="shared" si="131"/>
        <v>0</v>
      </c>
      <c r="Z132" s="49">
        <f t="shared" si="131"/>
        <v>0</v>
      </c>
      <c r="AA132" s="54"/>
      <c r="AB132" s="54"/>
      <c r="AC132" s="2">
        <f t="shared" si="3"/>
        <v>2</v>
      </c>
      <c r="AD132" s="6"/>
      <c r="AE132" s="6"/>
      <c r="AF132" s="6"/>
      <c r="AG132" s="6"/>
      <c r="AH132" s="6"/>
      <c r="AI132" s="6"/>
      <c r="AJ132" s="6"/>
      <c r="AK132" s="6"/>
      <c r="AL132" s="6"/>
      <c r="AM132" s="6"/>
      <c r="AN132" s="6"/>
      <c r="AO132" s="6"/>
      <c r="AP132" s="6"/>
      <c r="AQ132" s="6"/>
      <c r="AR132" s="6"/>
      <c r="AS132" s="6"/>
    </row>
    <row r="133" spans="1:45" ht="63" x14ac:dyDescent="0.25">
      <c r="A133" s="33" t="s">
        <v>60</v>
      </c>
      <c r="B133" s="42">
        <v>577</v>
      </c>
      <c r="C133" s="33" t="s">
        <v>498</v>
      </c>
      <c r="D133" s="33" t="s">
        <v>1278</v>
      </c>
      <c r="E133" s="33" t="s">
        <v>377</v>
      </c>
      <c r="F133" s="43" t="s">
        <v>1279</v>
      </c>
      <c r="G133" s="33" t="s">
        <v>1280</v>
      </c>
      <c r="H133" s="33" t="s">
        <v>1281</v>
      </c>
      <c r="I133" s="33"/>
      <c r="J133" s="33" t="s">
        <v>1282</v>
      </c>
      <c r="K133" s="33" t="s">
        <v>43</v>
      </c>
      <c r="L133" s="33" t="s">
        <v>1283</v>
      </c>
      <c r="M133" s="63">
        <v>3664901998</v>
      </c>
      <c r="N133" s="63">
        <v>306209442</v>
      </c>
      <c r="O133" s="63">
        <v>15000000</v>
      </c>
      <c r="P133" s="46">
        <v>162000000</v>
      </c>
      <c r="Q133" s="44">
        <f t="shared" si="1"/>
        <v>4148111440</v>
      </c>
      <c r="R133" s="65">
        <v>3664901998</v>
      </c>
      <c r="S133" s="65">
        <v>306209442</v>
      </c>
      <c r="T133" s="44">
        <v>15000000</v>
      </c>
      <c r="U133" s="48">
        <v>54000000</v>
      </c>
      <c r="V133" s="32"/>
      <c r="W133" s="49"/>
      <c r="X133" s="49">
        <f t="shared" ref="X133:Z133" si="132">N133-S133</f>
        <v>0</v>
      </c>
      <c r="Y133" s="49">
        <f t="shared" si="132"/>
        <v>0</v>
      </c>
      <c r="Z133" s="52">
        <f t="shared" si="132"/>
        <v>108000000</v>
      </c>
      <c r="AA133" s="54"/>
      <c r="AB133" s="43"/>
      <c r="AC133" s="6">
        <f t="shared" si="3"/>
        <v>2</v>
      </c>
      <c r="AD133" s="6"/>
      <c r="AE133" s="6"/>
      <c r="AF133" s="6"/>
      <c r="AG133" s="6"/>
      <c r="AH133" s="6"/>
      <c r="AI133" s="6"/>
      <c r="AJ133" s="6"/>
      <c r="AK133" s="6"/>
      <c r="AL133" s="6"/>
      <c r="AM133" s="6"/>
      <c r="AN133" s="6"/>
      <c r="AO133" s="6"/>
      <c r="AP133" s="6"/>
      <c r="AQ133" s="6"/>
      <c r="AR133" s="6"/>
      <c r="AS133" s="6"/>
    </row>
    <row r="134" spans="1:45" ht="31.5" x14ac:dyDescent="0.25">
      <c r="A134" s="33" t="s">
        <v>35</v>
      </c>
      <c r="B134" s="42">
        <v>47</v>
      </c>
      <c r="C134" s="33" t="s">
        <v>363</v>
      </c>
      <c r="D134" s="33" t="s">
        <v>363</v>
      </c>
      <c r="E134" s="33"/>
      <c r="F134" s="43" t="s">
        <v>464</v>
      </c>
      <c r="G134" s="33" t="s">
        <v>460</v>
      </c>
      <c r="H134" s="33"/>
      <c r="I134" s="33" t="s">
        <v>461</v>
      </c>
      <c r="J134" s="33" t="s">
        <v>462</v>
      </c>
      <c r="K134" s="33" t="s">
        <v>43</v>
      </c>
      <c r="L134" s="33" t="s">
        <v>463</v>
      </c>
      <c r="M134" s="44">
        <v>11046885900</v>
      </c>
      <c r="N134" s="45"/>
      <c r="O134" s="44">
        <v>15000000</v>
      </c>
      <c r="P134" s="46">
        <v>84000000</v>
      </c>
      <c r="Q134" s="44">
        <f t="shared" si="1"/>
        <v>11145885900</v>
      </c>
      <c r="R134" s="52">
        <v>11046885900</v>
      </c>
      <c r="S134" s="32"/>
      <c r="T134" s="44">
        <v>15000000</v>
      </c>
      <c r="U134" s="33"/>
      <c r="V134" s="32"/>
      <c r="W134" s="49"/>
      <c r="X134" s="49">
        <f t="shared" ref="X134:Z134" si="133">N134-S134</f>
        <v>0</v>
      </c>
      <c r="Y134" s="49">
        <f t="shared" si="133"/>
        <v>0</v>
      </c>
      <c r="Z134" s="52">
        <f t="shared" si="133"/>
        <v>84000000</v>
      </c>
      <c r="AA134" s="54"/>
      <c r="AB134" s="43"/>
      <c r="AC134" s="6">
        <f t="shared" si="3"/>
        <v>2</v>
      </c>
      <c r="AD134" s="6"/>
      <c r="AE134" s="6"/>
      <c r="AF134" s="6"/>
      <c r="AG134" s="6"/>
      <c r="AH134" s="6"/>
      <c r="AI134" s="6"/>
      <c r="AJ134" s="6"/>
      <c r="AK134" s="6"/>
      <c r="AL134" s="6"/>
      <c r="AM134" s="6"/>
      <c r="AN134" s="6"/>
      <c r="AO134" s="6"/>
      <c r="AP134" s="6"/>
      <c r="AQ134" s="6"/>
      <c r="AR134" s="6"/>
      <c r="AS134" s="6"/>
    </row>
    <row r="135" spans="1:45" ht="31.5" x14ac:dyDescent="0.25">
      <c r="A135" s="33" t="s">
        <v>35</v>
      </c>
      <c r="B135" s="42">
        <v>235</v>
      </c>
      <c r="C135" s="33" t="s">
        <v>1136</v>
      </c>
      <c r="D135" s="33" t="s">
        <v>1284</v>
      </c>
      <c r="E135" s="33" t="s">
        <v>1285</v>
      </c>
      <c r="F135" s="43" t="s">
        <v>464</v>
      </c>
      <c r="G135" s="33" t="s">
        <v>1286</v>
      </c>
      <c r="H135" s="33" t="s">
        <v>1287</v>
      </c>
      <c r="I135" s="33"/>
      <c r="J135" s="33" t="s">
        <v>1288</v>
      </c>
      <c r="K135" s="33" t="s">
        <v>43</v>
      </c>
      <c r="L135" s="33" t="s">
        <v>1289</v>
      </c>
      <c r="M135" s="44">
        <v>29643369869</v>
      </c>
      <c r="N135" s="44">
        <v>642820640</v>
      </c>
      <c r="O135" s="44">
        <v>15000000</v>
      </c>
      <c r="P135" s="46">
        <v>48000000</v>
      </c>
      <c r="Q135" s="44">
        <f t="shared" si="1"/>
        <v>30349190509</v>
      </c>
      <c r="R135" s="48">
        <v>29643369869</v>
      </c>
      <c r="S135" s="49">
        <v>642820640</v>
      </c>
      <c r="T135" s="66"/>
      <c r="U135" s="33"/>
      <c r="V135" s="32"/>
      <c r="W135" s="49"/>
      <c r="X135" s="49">
        <f t="shared" ref="X135:Z135" si="134">N135-S135</f>
        <v>0</v>
      </c>
      <c r="Y135" s="52">
        <f t="shared" si="134"/>
        <v>15000000</v>
      </c>
      <c r="Z135" s="52">
        <f t="shared" si="134"/>
        <v>48000000</v>
      </c>
      <c r="AA135" s="54"/>
      <c r="AB135" s="43"/>
      <c r="AC135" s="15">
        <f t="shared" si="3"/>
        <v>2</v>
      </c>
      <c r="AD135" s="15"/>
      <c r="AE135" s="6"/>
      <c r="AF135" s="6"/>
      <c r="AG135" s="6"/>
      <c r="AH135" s="6"/>
      <c r="AI135" s="6"/>
      <c r="AJ135" s="6"/>
      <c r="AK135" s="6"/>
      <c r="AL135" s="6"/>
      <c r="AM135" s="6"/>
      <c r="AN135" s="6"/>
      <c r="AO135" s="6"/>
      <c r="AP135" s="6"/>
      <c r="AQ135" s="6"/>
      <c r="AR135" s="6"/>
      <c r="AS135" s="6"/>
    </row>
    <row r="136" spans="1:45" ht="31.5" x14ac:dyDescent="0.25">
      <c r="A136" s="33" t="s">
        <v>46</v>
      </c>
      <c r="B136" s="42">
        <v>323</v>
      </c>
      <c r="C136" s="33" t="s">
        <v>37</v>
      </c>
      <c r="D136" s="33" t="s">
        <v>1296</v>
      </c>
      <c r="E136" s="33" t="s">
        <v>450</v>
      </c>
      <c r="F136" s="43" t="s">
        <v>464</v>
      </c>
      <c r="G136" s="33" t="s">
        <v>1297</v>
      </c>
      <c r="H136" s="33" t="s">
        <v>1298</v>
      </c>
      <c r="I136" s="33"/>
      <c r="J136" s="33" t="s">
        <v>1299</v>
      </c>
      <c r="K136" s="33" t="s">
        <v>43</v>
      </c>
      <c r="L136" s="33" t="s">
        <v>1300</v>
      </c>
      <c r="M136" s="44">
        <v>31787585620</v>
      </c>
      <c r="N136" s="44">
        <v>1149412000</v>
      </c>
      <c r="O136" s="44">
        <v>15000000</v>
      </c>
      <c r="P136" s="46">
        <v>60000000</v>
      </c>
      <c r="Q136" s="44">
        <f t="shared" si="1"/>
        <v>33011997620</v>
      </c>
      <c r="R136" s="48">
        <v>31787585620</v>
      </c>
      <c r="S136" s="48">
        <v>1149412000</v>
      </c>
      <c r="T136" s="44">
        <v>15000000</v>
      </c>
      <c r="U136" s="33"/>
      <c r="V136" s="32"/>
      <c r="W136" s="49"/>
      <c r="X136" s="49">
        <f t="shared" ref="X136:Z136" si="135">N136-S136</f>
        <v>0</v>
      </c>
      <c r="Y136" s="49">
        <f t="shared" si="135"/>
        <v>0</v>
      </c>
      <c r="Z136" s="52">
        <f t="shared" si="135"/>
        <v>60000000</v>
      </c>
      <c r="AA136" s="54"/>
      <c r="AB136" s="43"/>
      <c r="AC136" s="6">
        <f t="shared" si="3"/>
        <v>2</v>
      </c>
      <c r="AD136" s="6"/>
      <c r="AE136" s="6"/>
      <c r="AF136" s="6"/>
      <c r="AG136" s="6"/>
      <c r="AH136" s="6"/>
      <c r="AI136" s="6"/>
      <c r="AJ136" s="6"/>
      <c r="AK136" s="6"/>
      <c r="AL136" s="6"/>
      <c r="AM136" s="6"/>
      <c r="AN136" s="6"/>
      <c r="AO136" s="6"/>
      <c r="AP136" s="6"/>
      <c r="AQ136" s="6"/>
      <c r="AR136" s="6"/>
      <c r="AS136" s="6"/>
    </row>
    <row r="137" spans="1:45" ht="47.25" hidden="1" x14ac:dyDescent="0.25">
      <c r="A137" s="33" t="s">
        <v>46</v>
      </c>
      <c r="B137" s="42">
        <v>396</v>
      </c>
      <c r="C137" s="33" t="s">
        <v>163</v>
      </c>
      <c r="D137" s="33" t="s">
        <v>1301</v>
      </c>
      <c r="E137" s="33" t="s">
        <v>1302</v>
      </c>
      <c r="F137" s="43" t="s">
        <v>464</v>
      </c>
      <c r="G137" s="33" t="s">
        <v>1303</v>
      </c>
      <c r="H137" s="33" t="s">
        <v>1304</v>
      </c>
      <c r="I137" s="32"/>
      <c r="J137" s="33" t="s">
        <v>1305</v>
      </c>
      <c r="K137" s="33" t="s">
        <v>43</v>
      </c>
      <c r="L137" s="33" t="s">
        <v>1306</v>
      </c>
      <c r="M137" s="44">
        <v>49337003090</v>
      </c>
      <c r="N137" s="44">
        <v>10000000</v>
      </c>
      <c r="O137" s="44">
        <v>15000000</v>
      </c>
      <c r="P137" s="59">
        <v>144000000</v>
      </c>
      <c r="Q137" s="44">
        <f t="shared" si="1"/>
        <v>49506003090</v>
      </c>
      <c r="R137" s="48">
        <v>49337003090</v>
      </c>
      <c r="S137" s="48">
        <v>10000000</v>
      </c>
      <c r="T137" s="44">
        <v>15000000</v>
      </c>
      <c r="U137" s="48">
        <v>144000000</v>
      </c>
      <c r="V137" s="32"/>
      <c r="W137" s="49"/>
      <c r="X137" s="49">
        <f t="shared" ref="X137:Z137" si="136">N137-S137</f>
        <v>0</v>
      </c>
      <c r="Y137" s="49">
        <f t="shared" si="136"/>
        <v>0</v>
      </c>
      <c r="Z137" s="49">
        <f t="shared" si="136"/>
        <v>0</v>
      </c>
      <c r="AA137" s="54"/>
      <c r="AB137" s="54"/>
      <c r="AC137" s="2">
        <f t="shared" si="3"/>
        <v>2</v>
      </c>
      <c r="AD137" s="6"/>
      <c r="AE137" s="6"/>
      <c r="AF137" s="6"/>
      <c r="AG137" s="6"/>
      <c r="AH137" s="6"/>
      <c r="AI137" s="6"/>
      <c r="AJ137" s="6"/>
      <c r="AK137" s="6"/>
      <c r="AL137" s="6"/>
      <c r="AM137" s="6"/>
      <c r="AN137" s="6"/>
      <c r="AO137" s="6"/>
      <c r="AP137" s="6"/>
      <c r="AQ137" s="6"/>
      <c r="AR137" s="6"/>
      <c r="AS137" s="6"/>
    </row>
    <row r="138" spans="1:45" ht="31.5" x14ac:dyDescent="0.25">
      <c r="A138" s="33" t="s">
        <v>46</v>
      </c>
      <c r="B138" s="42">
        <v>476</v>
      </c>
      <c r="C138" s="33" t="s">
        <v>47</v>
      </c>
      <c r="D138" s="33" t="s">
        <v>1311</v>
      </c>
      <c r="E138" s="33"/>
      <c r="F138" s="43" t="s">
        <v>464</v>
      </c>
      <c r="G138" s="33" t="s">
        <v>1312</v>
      </c>
      <c r="H138" s="33"/>
      <c r="I138" s="33"/>
      <c r="J138" s="33" t="s">
        <v>1313</v>
      </c>
      <c r="K138" s="33" t="s">
        <v>43</v>
      </c>
      <c r="L138" s="33" t="s">
        <v>1314</v>
      </c>
      <c r="M138" s="44">
        <v>20421915934</v>
      </c>
      <c r="N138" s="45"/>
      <c r="O138" s="44">
        <v>15000000</v>
      </c>
      <c r="P138" s="46">
        <v>48000000</v>
      </c>
      <c r="Q138" s="44">
        <f t="shared" si="1"/>
        <v>20484915934</v>
      </c>
      <c r="R138" s="48">
        <v>20421915934</v>
      </c>
      <c r="S138" s="32"/>
      <c r="T138" s="66"/>
      <c r="U138" s="33"/>
      <c r="V138" s="32"/>
      <c r="W138" s="49"/>
      <c r="X138" s="49">
        <f t="shared" ref="X138:Z138" si="137">N138-S138</f>
        <v>0</v>
      </c>
      <c r="Y138" s="52">
        <f t="shared" si="137"/>
        <v>15000000</v>
      </c>
      <c r="Z138" s="52">
        <f t="shared" si="137"/>
        <v>48000000</v>
      </c>
      <c r="AA138" s="54"/>
      <c r="AB138" s="43"/>
      <c r="AC138" s="15">
        <f t="shared" si="3"/>
        <v>2</v>
      </c>
      <c r="AD138" s="15"/>
      <c r="AE138" s="6"/>
      <c r="AF138" s="6"/>
      <c r="AG138" s="6"/>
      <c r="AH138" s="6"/>
      <c r="AI138" s="6"/>
      <c r="AJ138" s="6"/>
      <c r="AK138" s="6"/>
      <c r="AL138" s="6"/>
      <c r="AM138" s="6"/>
      <c r="AN138" s="6"/>
      <c r="AO138" s="6"/>
      <c r="AP138" s="6"/>
      <c r="AQ138" s="6"/>
      <c r="AR138" s="6"/>
      <c r="AS138" s="6"/>
    </row>
    <row r="139" spans="1:45" ht="31.5" x14ac:dyDescent="0.25">
      <c r="A139" s="33" t="s">
        <v>46</v>
      </c>
      <c r="B139" s="42">
        <v>512</v>
      </c>
      <c r="C139" s="33" t="s">
        <v>124</v>
      </c>
      <c r="D139" s="33" t="s">
        <v>1319</v>
      </c>
      <c r="E139" s="33"/>
      <c r="F139" s="43" t="s">
        <v>464</v>
      </c>
      <c r="G139" s="33" t="s">
        <v>1320</v>
      </c>
      <c r="H139" s="33"/>
      <c r="I139" s="33"/>
      <c r="J139" s="33" t="s">
        <v>1321</v>
      </c>
      <c r="K139" s="33" t="s">
        <v>43</v>
      </c>
      <c r="L139" s="33" t="s">
        <v>1322</v>
      </c>
      <c r="M139" s="44">
        <v>15083899760</v>
      </c>
      <c r="N139" s="45"/>
      <c r="O139" s="44">
        <v>15000000</v>
      </c>
      <c r="P139" s="46">
        <v>60000000</v>
      </c>
      <c r="Q139" s="44">
        <f t="shared" si="1"/>
        <v>15158899760</v>
      </c>
      <c r="R139" s="48">
        <v>15083899760</v>
      </c>
      <c r="S139" s="32"/>
      <c r="T139" s="66"/>
      <c r="U139" s="33"/>
      <c r="V139" s="32"/>
      <c r="W139" s="49"/>
      <c r="X139" s="49">
        <f t="shared" ref="X139:Z139" si="138">N139-S139</f>
        <v>0</v>
      </c>
      <c r="Y139" s="52">
        <f t="shared" si="138"/>
        <v>15000000</v>
      </c>
      <c r="Z139" s="52">
        <f t="shared" si="138"/>
        <v>60000000</v>
      </c>
      <c r="AA139" s="54"/>
      <c r="AB139" s="43"/>
      <c r="AC139" s="15">
        <f t="shared" si="3"/>
        <v>2</v>
      </c>
      <c r="AD139" s="15"/>
      <c r="AE139" s="6"/>
      <c r="AF139" s="6"/>
      <c r="AG139" s="6"/>
      <c r="AH139" s="6"/>
      <c r="AI139" s="6"/>
      <c r="AJ139" s="6"/>
      <c r="AK139" s="6"/>
      <c r="AL139" s="6"/>
      <c r="AM139" s="6"/>
      <c r="AN139" s="6"/>
      <c r="AO139" s="6"/>
      <c r="AP139" s="6"/>
      <c r="AQ139" s="6"/>
      <c r="AR139" s="6"/>
      <c r="AS139" s="6"/>
    </row>
    <row r="140" spans="1:45" ht="31.5" hidden="1" x14ac:dyDescent="0.25">
      <c r="A140" s="33" t="s">
        <v>1327</v>
      </c>
      <c r="B140" s="42">
        <v>548</v>
      </c>
      <c r="C140" s="33" t="s">
        <v>966</v>
      </c>
      <c r="D140" s="33" t="s">
        <v>1328</v>
      </c>
      <c r="E140" s="32"/>
      <c r="F140" s="43" t="s">
        <v>464</v>
      </c>
      <c r="G140" s="33" t="s">
        <v>1329</v>
      </c>
      <c r="H140" s="32"/>
      <c r="I140" s="32"/>
      <c r="J140" s="62" t="s">
        <v>1330</v>
      </c>
      <c r="K140" s="33" t="s">
        <v>43</v>
      </c>
      <c r="L140" s="33" t="s">
        <v>1331</v>
      </c>
      <c r="M140" s="63">
        <v>8344894680</v>
      </c>
      <c r="N140" s="45"/>
      <c r="O140" s="63">
        <v>15000000</v>
      </c>
      <c r="P140" s="59">
        <v>120000000</v>
      </c>
      <c r="Q140" s="44">
        <f t="shared" si="1"/>
        <v>8479894680</v>
      </c>
      <c r="R140" s="65">
        <v>8344894680</v>
      </c>
      <c r="S140" s="32"/>
      <c r="T140" s="44">
        <v>15000000</v>
      </c>
      <c r="U140" s="65">
        <v>120000000</v>
      </c>
      <c r="V140" s="32"/>
      <c r="W140" s="49"/>
      <c r="X140" s="49">
        <f t="shared" ref="X140:Z140" si="139">N140-S140</f>
        <v>0</v>
      </c>
      <c r="Y140" s="49">
        <f t="shared" si="139"/>
        <v>0</v>
      </c>
      <c r="Z140" s="49">
        <f t="shared" si="139"/>
        <v>0</v>
      </c>
      <c r="AA140" s="54"/>
      <c r="AB140" s="54"/>
      <c r="AC140" s="2">
        <f t="shared" si="3"/>
        <v>2</v>
      </c>
      <c r="AD140" s="6"/>
      <c r="AE140" s="6"/>
      <c r="AF140" s="6"/>
      <c r="AG140" s="6"/>
      <c r="AH140" s="6"/>
      <c r="AI140" s="6"/>
      <c r="AJ140" s="6"/>
      <c r="AK140" s="6"/>
      <c r="AL140" s="6"/>
      <c r="AM140" s="6"/>
      <c r="AN140" s="6"/>
      <c r="AO140" s="6"/>
      <c r="AP140" s="6"/>
      <c r="AQ140" s="6"/>
      <c r="AR140" s="6"/>
      <c r="AS140" s="6"/>
    </row>
    <row r="141" spans="1:45" ht="40.5" hidden="1" x14ac:dyDescent="0.25">
      <c r="A141" s="33" t="s">
        <v>60</v>
      </c>
      <c r="B141" s="42">
        <v>554</v>
      </c>
      <c r="C141" s="33" t="s">
        <v>498</v>
      </c>
      <c r="D141" s="33" t="s">
        <v>1332</v>
      </c>
      <c r="E141" s="32"/>
      <c r="F141" s="43" t="s">
        <v>464</v>
      </c>
      <c r="G141" s="33" t="s">
        <v>1333</v>
      </c>
      <c r="H141" s="32"/>
      <c r="I141" s="32"/>
      <c r="J141" s="62" t="s">
        <v>1334</v>
      </c>
      <c r="K141" s="33" t="s">
        <v>43</v>
      </c>
      <c r="L141" s="33" t="s">
        <v>1335</v>
      </c>
      <c r="M141" s="63">
        <v>13618798440</v>
      </c>
      <c r="N141" s="45"/>
      <c r="O141" s="63">
        <v>15000000</v>
      </c>
      <c r="P141" s="59">
        <v>144000000</v>
      </c>
      <c r="Q141" s="44">
        <f t="shared" si="1"/>
        <v>13777798440</v>
      </c>
      <c r="R141" s="65">
        <v>13618798440</v>
      </c>
      <c r="S141" s="32"/>
      <c r="T141" s="44">
        <v>15000000</v>
      </c>
      <c r="U141" s="65">
        <v>144000000</v>
      </c>
      <c r="V141" s="32"/>
      <c r="W141" s="49"/>
      <c r="X141" s="49">
        <f t="shared" ref="X141:Z141" si="140">N141-S141</f>
        <v>0</v>
      </c>
      <c r="Y141" s="49">
        <f t="shared" si="140"/>
        <v>0</v>
      </c>
      <c r="Z141" s="49">
        <f t="shared" si="140"/>
        <v>0</v>
      </c>
      <c r="AA141" s="54"/>
      <c r="AB141" s="54"/>
      <c r="AC141" s="2">
        <f t="shared" si="3"/>
        <v>2</v>
      </c>
      <c r="AD141" s="6"/>
      <c r="AE141" s="6"/>
      <c r="AF141" s="6"/>
      <c r="AG141" s="6"/>
      <c r="AH141" s="6"/>
      <c r="AI141" s="6"/>
      <c r="AJ141" s="6"/>
      <c r="AK141" s="6"/>
      <c r="AL141" s="6"/>
      <c r="AM141" s="6"/>
      <c r="AN141" s="6"/>
      <c r="AO141" s="6"/>
      <c r="AP141" s="6"/>
      <c r="AQ141" s="6"/>
      <c r="AR141" s="6"/>
      <c r="AS141" s="6"/>
    </row>
    <row r="142" spans="1:45" ht="63" hidden="1" x14ac:dyDescent="0.25">
      <c r="A142" s="33" t="s">
        <v>35</v>
      </c>
      <c r="B142" s="42">
        <v>857</v>
      </c>
      <c r="C142" s="33" t="s">
        <v>89</v>
      </c>
      <c r="D142" s="33" t="s">
        <v>1340</v>
      </c>
      <c r="E142" s="33" t="s">
        <v>91</v>
      </c>
      <c r="F142" s="43" t="s">
        <v>1341</v>
      </c>
      <c r="G142" s="33" t="s">
        <v>1342</v>
      </c>
      <c r="H142" s="32"/>
      <c r="I142" s="32"/>
      <c r="J142" s="62" t="s">
        <v>1343</v>
      </c>
      <c r="K142" s="33" t="s">
        <v>43</v>
      </c>
      <c r="L142" s="33" t="s">
        <v>1344</v>
      </c>
      <c r="M142" s="63">
        <v>3420319048</v>
      </c>
      <c r="N142" s="59">
        <v>642406970</v>
      </c>
      <c r="O142" s="63">
        <v>15000000</v>
      </c>
      <c r="P142" s="59">
        <v>216000000</v>
      </c>
      <c r="Q142" s="44">
        <f t="shared" si="1"/>
        <v>4293726018</v>
      </c>
      <c r="R142" s="65">
        <v>3420319048</v>
      </c>
      <c r="S142" s="65">
        <v>642406970</v>
      </c>
      <c r="T142" s="44">
        <v>15000000</v>
      </c>
      <c r="U142" s="65">
        <v>216000000</v>
      </c>
      <c r="V142" s="32"/>
      <c r="W142" s="49"/>
      <c r="X142" s="49">
        <f t="shared" ref="X142:Z142" si="141">N142-S142</f>
        <v>0</v>
      </c>
      <c r="Y142" s="49">
        <f t="shared" si="141"/>
        <v>0</v>
      </c>
      <c r="Z142" s="49">
        <f t="shared" si="141"/>
        <v>0</v>
      </c>
      <c r="AA142" s="54"/>
      <c r="AB142" s="54"/>
      <c r="AC142" s="2">
        <f t="shared" si="3"/>
        <v>2</v>
      </c>
      <c r="AD142" s="6"/>
      <c r="AE142" s="6"/>
      <c r="AF142" s="6"/>
      <c r="AG142" s="6"/>
      <c r="AH142" s="6"/>
      <c r="AI142" s="6"/>
      <c r="AJ142" s="6"/>
      <c r="AK142" s="6"/>
      <c r="AL142" s="6"/>
      <c r="AM142" s="6"/>
      <c r="AN142" s="6"/>
      <c r="AO142" s="6"/>
      <c r="AP142" s="6"/>
      <c r="AQ142" s="6"/>
      <c r="AR142" s="6"/>
      <c r="AS142" s="6"/>
    </row>
    <row r="143" spans="1:45" ht="31.5" hidden="1" x14ac:dyDescent="0.25">
      <c r="A143" s="33" t="s">
        <v>52</v>
      </c>
      <c r="B143" s="42">
        <v>488</v>
      </c>
      <c r="C143" s="33" t="s">
        <v>124</v>
      </c>
      <c r="D143" s="33" t="s">
        <v>1349</v>
      </c>
      <c r="E143" s="32"/>
      <c r="F143" s="43" t="s">
        <v>1350</v>
      </c>
      <c r="G143" s="33" t="s">
        <v>1351</v>
      </c>
      <c r="H143" s="32"/>
      <c r="I143" s="32"/>
      <c r="J143" s="33" t="s">
        <v>1352</v>
      </c>
      <c r="K143" s="33" t="s">
        <v>43</v>
      </c>
      <c r="L143" s="33" t="s">
        <v>1353</v>
      </c>
      <c r="M143" s="44">
        <v>24488585954</v>
      </c>
      <c r="N143" s="45"/>
      <c r="O143" s="44">
        <v>15000000</v>
      </c>
      <c r="P143" s="59">
        <v>96000000</v>
      </c>
      <c r="Q143" s="44">
        <f t="shared" si="1"/>
        <v>24599585954</v>
      </c>
      <c r="R143" s="48">
        <v>24488585954</v>
      </c>
      <c r="S143" s="32"/>
      <c r="T143" s="44">
        <v>15000000</v>
      </c>
      <c r="U143" s="48">
        <v>96000000</v>
      </c>
      <c r="V143" s="32"/>
      <c r="W143" s="49"/>
      <c r="X143" s="49">
        <f t="shared" ref="X143:Z143" si="142">N143-S143</f>
        <v>0</v>
      </c>
      <c r="Y143" s="49">
        <f t="shared" si="142"/>
        <v>0</v>
      </c>
      <c r="Z143" s="49">
        <f t="shared" si="142"/>
        <v>0</v>
      </c>
      <c r="AA143" s="54"/>
      <c r="AB143" s="54"/>
      <c r="AC143" s="2">
        <f t="shared" si="3"/>
        <v>2</v>
      </c>
      <c r="AD143" s="6"/>
      <c r="AE143" s="6"/>
      <c r="AF143" s="6"/>
      <c r="AG143" s="6"/>
      <c r="AH143" s="6"/>
      <c r="AI143" s="6"/>
      <c r="AJ143" s="6"/>
      <c r="AK143" s="6"/>
      <c r="AL143" s="6"/>
      <c r="AM143" s="6"/>
      <c r="AN143" s="6"/>
      <c r="AO143" s="6"/>
      <c r="AP143" s="6"/>
      <c r="AQ143" s="6"/>
      <c r="AR143" s="6"/>
      <c r="AS143" s="6"/>
    </row>
    <row r="144" spans="1:45" ht="31.5" hidden="1" x14ac:dyDescent="0.25">
      <c r="A144" s="33" t="s">
        <v>46</v>
      </c>
      <c r="B144" s="42">
        <v>645</v>
      </c>
      <c r="C144" s="33" t="s">
        <v>53</v>
      </c>
      <c r="D144" s="33" t="s">
        <v>1354</v>
      </c>
      <c r="E144" s="33" t="s">
        <v>1355</v>
      </c>
      <c r="F144" s="43" t="s">
        <v>1350</v>
      </c>
      <c r="G144" s="33" t="s">
        <v>1356</v>
      </c>
      <c r="H144" s="33" t="s">
        <v>1357</v>
      </c>
      <c r="I144" s="33" t="s">
        <v>261</v>
      </c>
      <c r="J144" s="62" t="s">
        <v>1358</v>
      </c>
      <c r="K144" s="33" t="s">
        <v>43</v>
      </c>
      <c r="L144" s="33" t="s">
        <v>1361</v>
      </c>
      <c r="M144" s="63">
        <v>3117329551</v>
      </c>
      <c r="N144" s="63">
        <v>7186340</v>
      </c>
      <c r="O144" s="63">
        <v>15000000</v>
      </c>
      <c r="P144" s="59">
        <v>8000000</v>
      </c>
      <c r="Q144" s="44">
        <f t="shared" si="1"/>
        <v>3147515891</v>
      </c>
      <c r="R144" s="65">
        <v>3117329551</v>
      </c>
      <c r="S144" s="48">
        <v>7186340</v>
      </c>
      <c r="T144" s="44">
        <v>15000000</v>
      </c>
      <c r="U144" s="48">
        <v>8000000</v>
      </c>
      <c r="V144" s="32"/>
      <c r="W144" s="49"/>
      <c r="X144" s="49">
        <f t="shared" ref="X144:Z144" si="143">N144-S144</f>
        <v>0</v>
      </c>
      <c r="Y144" s="49">
        <f t="shared" si="143"/>
        <v>0</v>
      </c>
      <c r="Z144" s="49">
        <f t="shared" si="143"/>
        <v>0</v>
      </c>
      <c r="AA144" s="54"/>
      <c r="AB144" s="54"/>
      <c r="AC144" s="2">
        <f t="shared" si="3"/>
        <v>2</v>
      </c>
      <c r="AD144" s="6"/>
      <c r="AE144" s="6"/>
      <c r="AF144" s="6"/>
      <c r="AG144" s="6"/>
      <c r="AH144" s="6"/>
      <c r="AI144" s="6"/>
      <c r="AJ144" s="6"/>
      <c r="AK144" s="6"/>
      <c r="AL144" s="6"/>
      <c r="AM144" s="6"/>
      <c r="AN144" s="6"/>
      <c r="AO144" s="6"/>
      <c r="AP144" s="6"/>
      <c r="AQ144" s="6"/>
      <c r="AR144" s="6"/>
      <c r="AS144" s="6"/>
    </row>
    <row r="145" spans="1:45" ht="63" hidden="1" x14ac:dyDescent="0.25">
      <c r="A145" s="33" t="s">
        <v>60</v>
      </c>
      <c r="B145" s="42">
        <v>568</v>
      </c>
      <c r="C145" s="33" t="s">
        <v>498</v>
      </c>
      <c r="D145" s="33" t="s">
        <v>1367</v>
      </c>
      <c r="E145" s="32"/>
      <c r="F145" s="43" t="s">
        <v>1368</v>
      </c>
      <c r="G145" s="33" t="s">
        <v>1371</v>
      </c>
      <c r="H145" s="32"/>
      <c r="I145" s="32"/>
      <c r="J145" s="62" t="s">
        <v>1373</v>
      </c>
      <c r="K145" s="33" t="s">
        <v>43</v>
      </c>
      <c r="L145" s="33" t="s">
        <v>1374</v>
      </c>
      <c r="M145" s="63">
        <v>3684148720</v>
      </c>
      <c r="N145" s="45"/>
      <c r="O145" s="63">
        <v>15000000</v>
      </c>
      <c r="P145" s="59">
        <v>72000000</v>
      </c>
      <c r="Q145" s="44">
        <f t="shared" si="1"/>
        <v>3771148720</v>
      </c>
      <c r="R145" s="65">
        <v>3684148720</v>
      </c>
      <c r="S145" s="32"/>
      <c r="T145" s="44">
        <v>15000000</v>
      </c>
      <c r="U145" s="65">
        <v>72000000</v>
      </c>
      <c r="V145" s="32"/>
      <c r="W145" s="49"/>
      <c r="X145" s="49">
        <f t="shared" ref="X145:Z145" si="144">N145-S145</f>
        <v>0</v>
      </c>
      <c r="Y145" s="49">
        <f t="shared" si="144"/>
        <v>0</v>
      </c>
      <c r="Z145" s="49">
        <f t="shared" si="144"/>
        <v>0</v>
      </c>
      <c r="AA145" s="54"/>
      <c r="AB145" s="54"/>
      <c r="AC145" s="2">
        <f t="shared" si="3"/>
        <v>2</v>
      </c>
      <c r="AD145" s="6"/>
      <c r="AE145" s="6"/>
      <c r="AF145" s="6"/>
      <c r="AG145" s="6"/>
      <c r="AH145" s="6"/>
      <c r="AI145" s="6"/>
      <c r="AJ145" s="6"/>
      <c r="AK145" s="6"/>
      <c r="AL145" s="6"/>
      <c r="AM145" s="6"/>
      <c r="AN145" s="6"/>
      <c r="AO145" s="6"/>
      <c r="AP145" s="6"/>
      <c r="AQ145" s="6"/>
      <c r="AR145" s="6"/>
      <c r="AS145" s="6"/>
    </row>
    <row r="146" spans="1:45" ht="63" hidden="1" x14ac:dyDescent="0.25">
      <c r="A146" s="33" t="s">
        <v>46</v>
      </c>
      <c r="B146" s="42">
        <v>622</v>
      </c>
      <c r="C146" s="33" t="s">
        <v>53</v>
      </c>
      <c r="D146" s="33" t="s">
        <v>1376</v>
      </c>
      <c r="E146" s="32"/>
      <c r="F146" s="43" t="s">
        <v>1377</v>
      </c>
      <c r="G146" s="33" t="s">
        <v>1378</v>
      </c>
      <c r="H146" s="32"/>
      <c r="I146" s="33" t="s">
        <v>261</v>
      </c>
      <c r="J146" s="62" t="s">
        <v>1379</v>
      </c>
      <c r="K146" s="33" t="s">
        <v>43</v>
      </c>
      <c r="L146" s="33" t="s">
        <v>1380</v>
      </c>
      <c r="M146" s="63">
        <v>3463769620</v>
      </c>
      <c r="N146" s="45"/>
      <c r="O146" s="63">
        <v>15000000</v>
      </c>
      <c r="P146" s="59">
        <v>72000000</v>
      </c>
      <c r="Q146" s="44">
        <f t="shared" si="1"/>
        <v>3550769620</v>
      </c>
      <c r="R146" s="65">
        <v>3463769620</v>
      </c>
      <c r="S146" s="32"/>
      <c r="T146" s="45">
        <v>15000000</v>
      </c>
      <c r="U146" s="65">
        <v>72000000</v>
      </c>
      <c r="V146" s="32"/>
      <c r="W146" s="49"/>
      <c r="X146" s="49">
        <f t="shared" ref="X146:Z146" si="145">N146-S146</f>
        <v>0</v>
      </c>
      <c r="Y146" s="49">
        <f t="shared" si="145"/>
        <v>0</v>
      </c>
      <c r="Z146" s="49">
        <f t="shared" si="145"/>
        <v>0</v>
      </c>
      <c r="AA146" s="54"/>
      <c r="AB146" s="54"/>
      <c r="AC146" s="2">
        <f t="shared" si="3"/>
        <v>2</v>
      </c>
      <c r="AD146" s="6"/>
      <c r="AE146" s="6"/>
      <c r="AF146" s="6"/>
      <c r="AG146" s="6"/>
      <c r="AH146" s="6"/>
      <c r="AI146" s="6"/>
      <c r="AJ146" s="6"/>
      <c r="AK146" s="6"/>
      <c r="AL146" s="6"/>
      <c r="AM146" s="6"/>
      <c r="AN146" s="6"/>
      <c r="AO146" s="6"/>
      <c r="AP146" s="6"/>
      <c r="AQ146" s="6"/>
      <c r="AR146" s="6"/>
      <c r="AS146" s="6"/>
    </row>
    <row r="147" spans="1:45" ht="31.5" x14ac:dyDescent="0.25">
      <c r="A147" s="33" t="s">
        <v>60</v>
      </c>
      <c r="B147" s="42">
        <v>140</v>
      </c>
      <c r="C147" s="33" t="s">
        <v>581</v>
      </c>
      <c r="D147" s="33" t="s">
        <v>1182</v>
      </c>
      <c r="E147" s="33"/>
      <c r="F147" s="43" t="s">
        <v>1186</v>
      </c>
      <c r="G147" s="33" t="s">
        <v>1183</v>
      </c>
      <c r="H147" s="33" t="s">
        <v>913</v>
      </c>
      <c r="I147" s="33"/>
      <c r="J147" s="43" t="s">
        <v>1184</v>
      </c>
      <c r="K147" s="33" t="s">
        <v>43</v>
      </c>
      <c r="L147" s="33" t="s">
        <v>1185</v>
      </c>
      <c r="M147" s="44">
        <v>3156816400</v>
      </c>
      <c r="N147" s="45"/>
      <c r="O147" s="44">
        <v>15000000</v>
      </c>
      <c r="P147" s="46">
        <v>18000000</v>
      </c>
      <c r="Q147" s="44">
        <f t="shared" si="1"/>
        <v>3189816400</v>
      </c>
      <c r="R147" s="48">
        <v>3156816400</v>
      </c>
      <c r="S147" s="32"/>
      <c r="T147" s="44">
        <v>15000000</v>
      </c>
      <c r="U147" s="33"/>
      <c r="V147" s="32"/>
      <c r="W147" s="49"/>
      <c r="X147" s="49">
        <f t="shared" ref="X147:Z147" si="146">N147-S147</f>
        <v>0</v>
      </c>
      <c r="Y147" s="49">
        <f t="shared" si="146"/>
        <v>0</v>
      </c>
      <c r="Z147" s="52">
        <f t="shared" si="146"/>
        <v>18000000</v>
      </c>
      <c r="AA147" s="54"/>
      <c r="AB147" s="43"/>
      <c r="AC147" s="6">
        <f t="shared" si="3"/>
        <v>2</v>
      </c>
      <c r="AD147" s="6"/>
      <c r="AE147" s="6"/>
      <c r="AF147" s="6"/>
      <c r="AG147" s="6"/>
      <c r="AH147" s="6"/>
      <c r="AI147" s="6"/>
      <c r="AJ147" s="6"/>
      <c r="AK147" s="6"/>
      <c r="AL147" s="6"/>
      <c r="AM147" s="6"/>
      <c r="AN147" s="6"/>
      <c r="AO147" s="6"/>
      <c r="AP147" s="6"/>
      <c r="AQ147" s="6"/>
      <c r="AR147" s="6"/>
      <c r="AS147" s="6"/>
    </row>
    <row r="148" spans="1:45" ht="31.5" x14ac:dyDescent="0.3">
      <c r="A148" s="43" t="s">
        <v>60</v>
      </c>
      <c r="B148" s="42">
        <v>591</v>
      </c>
      <c r="C148" s="33" t="s">
        <v>498</v>
      </c>
      <c r="D148" s="33" t="s">
        <v>1393</v>
      </c>
      <c r="E148" s="33" t="s">
        <v>1395</v>
      </c>
      <c r="F148" s="33" t="s">
        <v>1186</v>
      </c>
      <c r="G148" s="33" t="s">
        <v>1396</v>
      </c>
      <c r="H148" s="33" t="s">
        <v>1397</v>
      </c>
      <c r="I148" s="33"/>
      <c r="J148" s="33" t="s">
        <v>1398</v>
      </c>
      <c r="K148" s="33" t="s">
        <v>43</v>
      </c>
      <c r="L148" s="33" t="s">
        <v>1399</v>
      </c>
      <c r="M148" s="63">
        <v>1856869939</v>
      </c>
      <c r="N148" s="63">
        <v>461717485</v>
      </c>
      <c r="O148" s="63">
        <v>15000000</v>
      </c>
      <c r="P148" s="46">
        <v>8000000</v>
      </c>
      <c r="Q148" s="44">
        <f t="shared" si="1"/>
        <v>2341587424</v>
      </c>
      <c r="R148" s="49">
        <v>1856869939</v>
      </c>
      <c r="S148" s="49">
        <v>461717485</v>
      </c>
      <c r="T148" s="44">
        <v>15000000</v>
      </c>
      <c r="U148" s="33"/>
      <c r="V148" s="32"/>
      <c r="W148" s="49"/>
      <c r="X148" s="49">
        <f t="shared" ref="X148:Z148" si="147">N148-S148</f>
        <v>0</v>
      </c>
      <c r="Y148" s="49">
        <f t="shared" si="147"/>
        <v>0</v>
      </c>
      <c r="Z148" s="52">
        <f t="shared" si="147"/>
        <v>8000000</v>
      </c>
      <c r="AA148" s="98"/>
      <c r="AB148" s="43"/>
      <c r="AC148" s="6">
        <f t="shared" si="3"/>
        <v>2</v>
      </c>
      <c r="AD148" s="6"/>
      <c r="AE148" s="6"/>
      <c r="AF148" s="6"/>
      <c r="AG148" s="6"/>
      <c r="AH148" s="6"/>
      <c r="AI148" s="6"/>
      <c r="AJ148" s="6"/>
      <c r="AK148" s="6"/>
      <c r="AL148" s="6"/>
      <c r="AM148" s="6"/>
      <c r="AN148" s="6"/>
      <c r="AO148" s="6"/>
      <c r="AP148" s="6"/>
      <c r="AQ148" s="6"/>
      <c r="AR148" s="6"/>
      <c r="AS148" s="6"/>
    </row>
    <row r="149" spans="1:45" ht="31.5" hidden="1" x14ac:dyDescent="0.25">
      <c r="A149" s="33" t="s">
        <v>52</v>
      </c>
      <c r="B149" s="42">
        <v>700</v>
      </c>
      <c r="C149" s="33" t="s">
        <v>67</v>
      </c>
      <c r="D149" s="33" t="s">
        <v>1408</v>
      </c>
      <c r="E149" s="32"/>
      <c r="F149" s="43" t="s">
        <v>1186</v>
      </c>
      <c r="G149" s="33" t="s">
        <v>1410</v>
      </c>
      <c r="H149" s="32"/>
      <c r="I149" s="32"/>
      <c r="J149" s="62" t="s">
        <v>1411</v>
      </c>
      <c r="K149" s="33" t="s">
        <v>43</v>
      </c>
      <c r="L149" s="33" t="s">
        <v>1412</v>
      </c>
      <c r="M149" s="63">
        <v>776854950</v>
      </c>
      <c r="N149" s="45"/>
      <c r="O149" s="63">
        <v>15000000</v>
      </c>
      <c r="P149" s="59">
        <v>8000000</v>
      </c>
      <c r="Q149" s="44">
        <f t="shared" si="1"/>
        <v>799854950</v>
      </c>
      <c r="R149" s="65">
        <v>776854950</v>
      </c>
      <c r="S149" s="32"/>
      <c r="T149" s="63">
        <v>15000000</v>
      </c>
      <c r="U149" s="65">
        <v>8000000</v>
      </c>
      <c r="V149" s="32"/>
      <c r="W149" s="49"/>
      <c r="X149" s="49">
        <f t="shared" ref="X149:Z149" si="148">N149-S149</f>
        <v>0</v>
      </c>
      <c r="Y149" s="49">
        <f t="shared" si="148"/>
        <v>0</v>
      </c>
      <c r="Z149" s="49">
        <f t="shared" si="148"/>
        <v>0</v>
      </c>
      <c r="AA149" s="54"/>
      <c r="AB149" s="54"/>
      <c r="AC149" s="2">
        <f t="shared" si="3"/>
        <v>2</v>
      </c>
      <c r="AD149" s="6"/>
      <c r="AE149" s="6"/>
      <c r="AF149" s="6"/>
      <c r="AG149" s="6"/>
      <c r="AH149" s="6"/>
      <c r="AI149" s="6"/>
      <c r="AJ149" s="6"/>
      <c r="AK149" s="6"/>
      <c r="AL149" s="6"/>
      <c r="AM149" s="6"/>
      <c r="AN149" s="6"/>
      <c r="AO149" s="6"/>
      <c r="AP149" s="6"/>
      <c r="AQ149" s="6"/>
      <c r="AR149" s="6"/>
      <c r="AS149" s="6"/>
    </row>
    <row r="150" spans="1:45" ht="63" hidden="1" x14ac:dyDescent="0.25">
      <c r="A150" s="33" t="s">
        <v>275</v>
      </c>
      <c r="B150" s="42">
        <v>725</v>
      </c>
      <c r="C150" s="33" t="s">
        <v>67</v>
      </c>
      <c r="D150" s="33" t="s">
        <v>1419</v>
      </c>
      <c r="E150" s="32"/>
      <c r="F150" s="43" t="s">
        <v>1420</v>
      </c>
      <c r="G150" s="33" t="s">
        <v>1421</v>
      </c>
      <c r="H150" s="32"/>
      <c r="I150" s="32"/>
      <c r="J150" s="62" t="s">
        <v>747</v>
      </c>
      <c r="K150" s="33" t="s">
        <v>43</v>
      </c>
      <c r="L150" s="33" t="s">
        <v>1422</v>
      </c>
      <c r="M150" s="63">
        <v>33238029</v>
      </c>
      <c r="N150" s="45"/>
      <c r="O150" s="63">
        <v>15000000</v>
      </c>
      <c r="P150" s="59">
        <v>108000000</v>
      </c>
      <c r="Q150" s="44">
        <f t="shared" si="1"/>
        <v>156238029</v>
      </c>
      <c r="R150" s="65">
        <v>33238029</v>
      </c>
      <c r="S150" s="32"/>
      <c r="T150" s="63">
        <v>15000000</v>
      </c>
      <c r="U150" s="65">
        <v>108000000</v>
      </c>
      <c r="V150" s="32"/>
      <c r="W150" s="49"/>
      <c r="X150" s="49">
        <f t="shared" ref="X150:Z150" si="149">N150-S150</f>
        <v>0</v>
      </c>
      <c r="Y150" s="49">
        <f t="shared" si="149"/>
        <v>0</v>
      </c>
      <c r="Z150" s="49">
        <f t="shared" si="149"/>
        <v>0</v>
      </c>
      <c r="AA150" s="54"/>
      <c r="AB150" s="54"/>
      <c r="AC150" s="2">
        <f t="shared" si="3"/>
        <v>2</v>
      </c>
      <c r="AD150" s="6"/>
      <c r="AE150" s="6"/>
      <c r="AF150" s="6"/>
      <c r="AG150" s="6"/>
      <c r="AH150" s="6"/>
      <c r="AI150" s="6"/>
      <c r="AJ150" s="6"/>
      <c r="AK150" s="6"/>
      <c r="AL150" s="6"/>
      <c r="AM150" s="6"/>
      <c r="AN150" s="6"/>
      <c r="AO150" s="6"/>
      <c r="AP150" s="6"/>
      <c r="AQ150" s="6"/>
      <c r="AR150" s="6"/>
      <c r="AS150" s="6"/>
    </row>
    <row r="151" spans="1:45" ht="63" hidden="1" x14ac:dyDescent="0.25">
      <c r="A151" s="33" t="s">
        <v>275</v>
      </c>
      <c r="B151" s="42">
        <v>728</v>
      </c>
      <c r="C151" s="33" t="s">
        <v>67</v>
      </c>
      <c r="D151" s="33" t="s">
        <v>1427</v>
      </c>
      <c r="E151" s="32"/>
      <c r="F151" s="43" t="s">
        <v>1420</v>
      </c>
      <c r="G151" s="33" t="s">
        <v>1428</v>
      </c>
      <c r="H151" s="32"/>
      <c r="I151" s="32"/>
      <c r="J151" s="62" t="s">
        <v>1429</v>
      </c>
      <c r="K151" s="33" t="s">
        <v>43</v>
      </c>
      <c r="L151" s="33" t="s">
        <v>1430</v>
      </c>
      <c r="M151" s="63">
        <v>804477970</v>
      </c>
      <c r="N151" s="45"/>
      <c r="O151" s="63">
        <v>15000000</v>
      </c>
      <c r="P151" s="59">
        <v>72000000</v>
      </c>
      <c r="Q151" s="44">
        <f t="shared" si="1"/>
        <v>891477970</v>
      </c>
      <c r="R151" s="65">
        <v>804477970</v>
      </c>
      <c r="S151" s="32"/>
      <c r="T151" s="63">
        <v>15000000</v>
      </c>
      <c r="U151" s="65">
        <v>72000000</v>
      </c>
      <c r="V151" s="32"/>
      <c r="W151" s="49"/>
      <c r="X151" s="49">
        <f t="shared" ref="X151:Z151" si="150">N151-S151</f>
        <v>0</v>
      </c>
      <c r="Y151" s="49">
        <f t="shared" si="150"/>
        <v>0</v>
      </c>
      <c r="Z151" s="49">
        <f t="shared" si="150"/>
        <v>0</v>
      </c>
      <c r="AA151" s="54"/>
      <c r="AB151" s="54"/>
      <c r="AC151" s="2">
        <f t="shared" si="3"/>
        <v>2</v>
      </c>
      <c r="AD151" s="6"/>
      <c r="AE151" s="6"/>
      <c r="AF151" s="6"/>
      <c r="AG151" s="6"/>
      <c r="AH151" s="6"/>
      <c r="AI151" s="6"/>
      <c r="AJ151" s="6"/>
      <c r="AK151" s="6"/>
      <c r="AL151" s="6"/>
      <c r="AM151" s="6"/>
      <c r="AN151" s="6"/>
      <c r="AO151" s="6"/>
      <c r="AP151" s="6"/>
      <c r="AQ151" s="6"/>
      <c r="AR151" s="6"/>
      <c r="AS151" s="6"/>
    </row>
    <row r="152" spans="1:45" ht="78.75" hidden="1" x14ac:dyDescent="0.25">
      <c r="A152" s="33" t="s">
        <v>275</v>
      </c>
      <c r="B152" s="42">
        <v>684</v>
      </c>
      <c r="C152" s="33" t="s">
        <v>67</v>
      </c>
      <c r="D152" s="33" t="s">
        <v>1431</v>
      </c>
      <c r="E152" s="32"/>
      <c r="F152" s="43" t="s">
        <v>1432</v>
      </c>
      <c r="G152" s="33" t="s">
        <v>1433</v>
      </c>
      <c r="H152" s="32"/>
      <c r="I152" s="32"/>
      <c r="J152" s="62" t="s">
        <v>1434</v>
      </c>
      <c r="K152" s="33" t="s">
        <v>43</v>
      </c>
      <c r="L152" s="33" t="s">
        <v>1435</v>
      </c>
      <c r="M152" s="63">
        <v>731347144</v>
      </c>
      <c r="N152" s="45"/>
      <c r="O152" s="63">
        <v>15000000</v>
      </c>
      <c r="P152" s="59">
        <v>72000000</v>
      </c>
      <c r="Q152" s="44">
        <f t="shared" si="1"/>
        <v>818347144</v>
      </c>
      <c r="R152" s="65">
        <v>731347144</v>
      </c>
      <c r="S152" s="32"/>
      <c r="T152" s="63">
        <v>15000000</v>
      </c>
      <c r="U152" s="65">
        <v>72000000</v>
      </c>
      <c r="V152" s="32"/>
      <c r="W152" s="49"/>
      <c r="X152" s="49">
        <f t="shared" ref="X152:Z152" si="151">N152-S152</f>
        <v>0</v>
      </c>
      <c r="Y152" s="49">
        <f t="shared" si="151"/>
        <v>0</v>
      </c>
      <c r="Z152" s="49">
        <f t="shared" si="151"/>
        <v>0</v>
      </c>
      <c r="AA152" s="54"/>
      <c r="AB152" s="54"/>
      <c r="AC152" s="2">
        <f t="shared" si="3"/>
        <v>2</v>
      </c>
      <c r="AD152" s="6"/>
      <c r="AE152" s="6"/>
      <c r="AF152" s="6"/>
      <c r="AG152" s="6"/>
      <c r="AH152" s="6"/>
      <c r="AI152" s="6"/>
      <c r="AJ152" s="6"/>
      <c r="AK152" s="6"/>
      <c r="AL152" s="6"/>
      <c r="AM152" s="6"/>
      <c r="AN152" s="6"/>
      <c r="AO152" s="6"/>
      <c r="AP152" s="6"/>
      <c r="AQ152" s="6"/>
      <c r="AR152" s="6"/>
      <c r="AS152" s="6"/>
    </row>
    <row r="153" spans="1:45" ht="47.25" hidden="1" x14ac:dyDescent="0.25">
      <c r="A153" s="33" t="s">
        <v>60</v>
      </c>
      <c r="B153" s="42">
        <v>800</v>
      </c>
      <c r="C153" s="33" t="s">
        <v>74</v>
      </c>
      <c r="D153" s="33" t="s">
        <v>1442</v>
      </c>
      <c r="E153" s="32"/>
      <c r="F153" s="43" t="s">
        <v>1443</v>
      </c>
      <c r="G153" s="33" t="s">
        <v>1444</v>
      </c>
      <c r="H153" s="33" t="s">
        <v>1445</v>
      </c>
      <c r="I153" s="32"/>
      <c r="J153" s="62" t="s">
        <v>1446</v>
      </c>
      <c r="K153" s="33" t="s">
        <v>43</v>
      </c>
      <c r="L153" s="33" t="s">
        <v>1447</v>
      </c>
      <c r="M153" s="63">
        <v>1848889516</v>
      </c>
      <c r="N153" s="45"/>
      <c r="O153" s="63">
        <v>15000000</v>
      </c>
      <c r="P153" s="59">
        <v>16000000</v>
      </c>
      <c r="Q153" s="44">
        <f t="shared" si="1"/>
        <v>1879889516</v>
      </c>
      <c r="R153" s="65">
        <v>1848889516</v>
      </c>
      <c r="S153" s="32"/>
      <c r="T153" s="44">
        <v>15000000</v>
      </c>
      <c r="U153" s="48">
        <v>16000000</v>
      </c>
      <c r="V153" s="32"/>
      <c r="W153" s="49"/>
      <c r="X153" s="49">
        <f t="shared" ref="X153:Z153" si="152">N153-S153</f>
        <v>0</v>
      </c>
      <c r="Y153" s="49">
        <f t="shared" si="152"/>
        <v>0</v>
      </c>
      <c r="Z153" s="49">
        <f t="shared" si="152"/>
        <v>0</v>
      </c>
      <c r="AA153" s="54"/>
      <c r="AB153" s="54"/>
      <c r="AC153" s="2">
        <f t="shared" si="3"/>
        <v>2</v>
      </c>
      <c r="AD153" s="6"/>
      <c r="AE153" s="6"/>
      <c r="AF153" s="6"/>
      <c r="AG153" s="6"/>
      <c r="AH153" s="6"/>
      <c r="AI153" s="6"/>
      <c r="AJ153" s="6"/>
      <c r="AK153" s="6"/>
      <c r="AL153" s="6"/>
      <c r="AM153" s="6"/>
      <c r="AN153" s="6"/>
      <c r="AO153" s="6"/>
      <c r="AP153" s="6"/>
      <c r="AQ153" s="6"/>
      <c r="AR153" s="6"/>
      <c r="AS153" s="6"/>
    </row>
    <row r="154" spans="1:45" ht="60.75" hidden="1" x14ac:dyDescent="0.25">
      <c r="A154" s="33" t="s">
        <v>35</v>
      </c>
      <c r="B154" s="42">
        <v>848</v>
      </c>
      <c r="C154" s="33" t="s">
        <v>89</v>
      </c>
      <c r="D154" s="33" t="s">
        <v>1452</v>
      </c>
      <c r="E154" s="33" t="s">
        <v>1453</v>
      </c>
      <c r="F154" s="43" t="s">
        <v>1443</v>
      </c>
      <c r="G154" s="33" t="s">
        <v>1454</v>
      </c>
      <c r="H154" s="33" t="s">
        <v>1455</v>
      </c>
      <c r="I154" s="32"/>
      <c r="J154" s="62" t="s">
        <v>1456</v>
      </c>
      <c r="K154" s="33" t="s">
        <v>43</v>
      </c>
      <c r="L154" s="33" t="s">
        <v>1447</v>
      </c>
      <c r="M154" s="63">
        <v>2057610960</v>
      </c>
      <c r="N154" s="63">
        <v>313086065</v>
      </c>
      <c r="O154" s="63">
        <v>15000000</v>
      </c>
      <c r="P154" s="59">
        <v>8000000</v>
      </c>
      <c r="Q154" s="44">
        <f t="shared" si="1"/>
        <v>2393697025</v>
      </c>
      <c r="R154" s="65">
        <v>2057610960</v>
      </c>
      <c r="S154" s="65">
        <v>313086065</v>
      </c>
      <c r="T154" s="44">
        <v>15000000</v>
      </c>
      <c r="U154" s="65">
        <v>8000000</v>
      </c>
      <c r="V154" s="32"/>
      <c r="W154" s="49"/>
      <c r="X154" s="49">
        <f t="shared" ref="X154:Z154" si="153">N154-S154</f>
        <v>0</v>
      </c>
      <c r="Y154" s="49">
        <f t="shared" si="153"/>
        <v>0</v>
      </c>
      <c r="Z154" s="49">
        <f t="shared" si="153"/>
        <v>0</v>
      </c>
      <c r="AA154" s="54"/>
      <c r="AB154" s="54"/>
      <c r="AC154" s="2">
        <f t="shared" si="3"/>
        <v>2</v>
      </c>
      <c r="AD154" s="6"/>
      <c r="AE154" s="6"/>
      <c r="AF154" s="6"/>
      <c r="AG154" s="6"/>
      <c r="AH154" s="6"/>
      <c r="AI154" s="6"/>
      <c r="AJ154" s="6"/>
      <c r="AK154" s="6"/>
      <c r="AL154" s="6"/>
      <c r="AM154" s="6"/>
      <c r="AN154" s="6"/>
      <c r="AO154" s="6"/>
      <c r="AP154" s="6"/>
      <c r="AQ154" s="6"/>
      <c r="AR154" s="6"/>
      <c r="AS154" s="6"/>
    </row>
    <row r="155" spans="1:45" ht="63" hidden="1" x14ac:dyDescent="0.25">
      <c r="A155" s="33" t="s">
        <v>52</v>
      </c>
      <c r="B155" s="42">
        <v>240</v>
      </c>
      <c r="C155" s="33" t="s">
        <v>1136</v>
      </c>
      <c r="D155" s="33" t="s">
        <v>1461</v>
      </c>
      <c r="E155" s="32"/>
      <c r="F155" s="43" t="s">
        <v>1462</v>
      </c>
      <c r="G155" s="33" t="s">
        <v>1463</v>
      </c>
      <c r="H155" s="32"/>
      <c r="I155" s="32"/>
      <c r="J155" s="33" t="s">
        <v>1464</v>
      </c>
      <c r="K155" s="33" t="s">
        <v>43</v>
      </c>
      <c r="L155" s="33" t="s">
        <v>1465</v>
      </c>
      <c r="M155" s="44">
        <v>3280061542</v>
      </c>
      <c r="N155" s="45"/>
      <c r="O155" s="44">
        <v>15000000</v>
      </c>
      <c r="P155" s="59">
        <v>90000000</v>
      </c>
      <c r="Q155" s="44">
        <f t="shared" si="1"/>
        <v>3385061542</v>
      </c>
      <c r="R155" s="48">
        <v>3280061542</v>
      </c>
      <c r="S155" s="32"/>
      <c r="T155" s="44">
        <v>15000000</v>
      </c>
      <c r="U155" s="48">
        <v>90000000</v>
      </c>
      <c r="V155" s="32"/>
      <c r="W155" s="49"/>
      <c r="X155" s="49">
        <f t="shared" ref="X155:Z155" si="154">N155-S155</f>
        <v>0</v>
      </c>
      <c r="Y155" s="49">
        <f t="shared" si="154"/>
        <v>0</v>
      </c>
      <c r="Z155" s="49">
        <f t="shared" si="154"/>
        <v>0</v>
      </c>
      <c r="AA155" s="54"/>
      <c r="AB155" s="54"/>
      <c r="AC155" s="2">
        <f t="shared" si="3"/>
        <v>2</v>
      </c>
      <c r="AD155" s="6"/>
      <c r="AE155" s="6"/>
      <c r="AF155" s="6"/>
      <c r="AG155" s="6"/>
      <c r="AH155" s="6"/>
      <c r="AI155" s="6"/>
      <c r="AJ155" s="6"/>
      <c r="AK155" s="6"/>
      <c r="AL155" s="6"/>
      <c r="AM155" s="6"/>
      <c r="AN155" s="6"/>
      <c r="AO155" s="6"/>
      <c r="AP155" s="6"/>
      <c r="AQ155" s="6"/>
      <c r="AR155" s="6"/>
      <c r="AS155" s="6"/>
    </row>
    <row r="156" spans="1:45" ht="63" hidden="1" x14ac:dyDescent="0.25">
      <c r="A156" s="33" t="s">
        <v>60</v>
      </c>
      <c r="B156" s="42">
        <v>543</v>
      </c>
      <c r="C156" s="33" t="s">
        <v>966</v>
      </c>
      <c r="D156" s="33" t="s">
        <v>1471</v>
      </c>
      <c r="E156" s="32"/>
      <c r="F156" s="43" t="s">
        <v>1462</v>
      </c>
      <c r="G156" s="33" t="s">
        <v>1473</v>
      </c>
      <c r="H156" s="32"/>
      <c r="I156" s="32"/>
      <c r="J156" s="62" t="s">
        <v>1475</v>
      </c>
      <c r="K156" s="33" t="s">
        <v>43</v>
      </c>
      <c r="L156" s="33" t="s">
        <v>1477</v>
      </c>
      <c r="M156" s="63">
        <v>3019503424</v>
      </c>
      <c r="N156" s="45"/>
      <c r="O156" s="63">
        <v>15000000</v>
      </c>
      <c r="P156" s="59">
        <v>240000000</v>
      </c>
      <c r="Q156" s="44">
        <f t="shared" si="1"/>
        <v>3274503424</v>
      </c>
      <c r="R156" s="65">
        <v>3019503424</v>
      </c>
      <c r="S156" s="32"/>
      <c r="T156" s="44">
        <v>15000000</v>
      </c>
      <c r="U156" s="48">
        <v>240000000</v>
      </c>
      <c r="V156" s="32"/>
      <c r="W156" s="49"/>
      <c r="X156" s="49">
        <f t="shared" ref="X156:Z156" si="155">N156-S156</f>
        <v>0</v>
      </c>
      <c r="Y156" s="49">
        <f t="shared" si="155"/>
        <v>0</v>
      </c>
      <c r="Z156" s="49">
        <f t="shared" si="155"/>
        <v>0</v>
      </c>
      <c r="AA156" s="54"/>
      <c r="AB156" s="54"/>
      <c r="AC156" s="2">
        <f t="shared" si="3"/>
        <v>2</v>
      </c>
      <c r="AD156" s="6"/>
      <c r="AE156" s="6"/>
      <c r="AF156" s="6"/>
      <c r="AG156" s="6"/>
      <c r="AH156" s="6"/>
      <c r="AI156" s="6"/>
      <c r="AJ156" s="6"/>
      <c r="AK156" s="6"/>
      <c r="AL156" s="6"/>
      <c r="AM156" s="6"/>
      <c r="AN156" s="6"/>
      <c r="AO156" s="6"/>
      <c r="AP156" s="6"/>
      <c r="AQ156" s="6"/>
      <c r="AR156" s="6"/>
      <c r="AS156" s="6"/>
    </row>
    <row r="157" spans="1:45" ht="63" hidden="1" x14ac:dyDescent="0.25">
      <c r="A157" s="33" t="s">
        <v>35</v>
      </c>
      <c r="B157" s="42">
        <v>701</v>
      </c>
      <c r="C157" s="33" t="s">
        <v>67</v>
      </c>
      <c r="D157" s="33" t="s">
        <v>1484</v>
      </c>
      <c r="E157" s="32"/>
      <c r="F157" s="43" t="s">
        <v>1462</v>
      </c>
      <c r="G157" s="33" t="s">
        <v>1485</v>
      </c>
      <c r="H157" s="32"/>
      <c r="I157" s="32"/>
      <c r="J157" s="62" t="s">
        <v>1486</v>
      </c>
      <c r="K157" s="33" t="s">
        <v>43</v>
      </c>
      <c r="L157" s="33" t="s">
        <v>1487</v>
      </c>
      <c r="M157" s="63">
        <v>1219499284</v>
      </c>
      <c r="N157" s="45"/>
      <c r="O157" s="63">
        <v>15000000</v>
      </c>
      <c r="P157" s="59">
        <v>88000000</v>
      </c>
      <c r="Q157" s="44">
        <f t="shared" si="1"/>
        <v>1322499284</v>
      </c>
      <c r="R157" s="65">
        <v>1219499284</v>
      </c>
      <c r="S157" s="32"/>
      <c r="T157" s="44">
        <v>15000000</v>
      </c>
      <c r="U157" s="65">
        <v>88000000</v>
      </c>
      <c r="V157" s="32"/>
      <c r="W157" s="49"/>
      <c r="X157" s="49">
        <f t="shared" ref="X157:Z157" si="156">N157-S157</f>
        <v>0</v>
      </c>
      <c r="Y157" s="49">
        <f t="shared" si="156"/>
        <v>0</v>
      </c>
      <c r="Z157" s="49">
        <f t="shared" si="156"/>
        <v>0</v>
      </c>
      <c r="AA157" s="54"/>
      <c r="AB157" s="54"/>
      <c r="AC157" s="2">
        <f t="shared" si="3"/>
        <v>2</v>
      </c>
      <c r="AD157" s="6"/>
      <c r="AE157" s="6"/>
      <c r="AF157" s="6"/>
      <c r="AG157" s="6"/>
      <c r="AH157" s="6"/>
      <c r="AI157" s="6"/>
      <c r="AJ157" s="6"/>
      <c r="AK157" s="6"/>
      <c r="AL157" s="6"/>
      <c r="AM157" s="6"/>
      <c r="AN157" s="6"/>
      <c r="AO157" s="6"/>
      <c r="AP157" s="6"/>
      <c r="AQ157" s="6"/>
      <c r="AR157" s="6"/>
      <c r="AS157" s="6"/>
    </row>
    <row r="158" spans="1:45" ht="31.5" hidden="1" x14ac:dyDescent="0.25">
      <c r="A158" s="33" t="s">
        <v>52</v>
      </c>
      <c r="B158" s="42">
        <v>489</v>
      </c>
      <c r="C158" s="33" t="s">
        <v>124</v>
      </c>
      <c r="D158" s="33" t="s">
        <v>1492</v>
      </c>
      <c r="E158" s="33" t="s">
        <v>1493</v>
      </c>
      <c r="F158" s="43" t="s">
        <v>1494</v>
      </c>
      <c r="G158" s="33" t="s">
        <v>1495</v>
      </c>
      <c r="H158" s="32"/>
      <c r="I158" s="32"/>
      <c r="J158" s="33" t="s">
        <v>1496</v>
      </c>
      <c r="K158" s="33" t="s">
        <v>43</v>
      </c>
      <c r="L158" s="33" t="s">
        <v>1497</v>
      </c>
      <c r="M158" s="44">
        <v>8321720844</v>
      </c>
      <c r="N158" s="44">
        <v>606267120</v>
      </c>
      <c r="O158" s="44">
        <v>15000000</v>
      </c>
      <c r="P158" s="59">
        <v>30000000</v>
      </c>
      <c r="Q158" s="44">
        <f t="shared" si="1"/>
        <v>8972987964</v>
      </c>
      <c r="R158" s="48">
        <v>8321720844</v>
      </c>
      <c r="S158" s="48">
        <v>606267120</v>
      </c>
      <c r="T158" s="44">
        <v>15000000</v>
      </c>
      <c r="U158" s="48">
        <v>30000000</v>
      </c>
      <c r="V158" s="32"/>
      <c r="W158" s="49"/>
      <c r="X158" s="49">
        <f t="shared" ref="X158:Z158" si="157">N158-S158</f>
        <v>0</v>
      </c>
      <c r="Y158" s="49">
        <f t="shared" si="157"/>
        <v>0</v>
      </c>
      <c r="Z158" s="49">
        <f t="shared" si="157"/>
        <v>0</v>
      </c>
      <c r="AA158" s="54"/>
      <c r="AB158" s="54"/>
      <c r="AC158" s="2">
        <f t="shared" si="3"/>
        <v>2</v>
      </c>
      <c r="AD158" s="6"/>
      <c r="AE158" s="6"/>
      <c r="AF158" s="6"/>
      <c r="AG158" s="6"/>
      <c r="AH158" s="6"/>
      <c r="AI158" s="6"/>
      <c r="AJ158" s="6"/>
      <c r="AK158" s="6"/>
      <c r="AL158" s="6"/>
      <c r="AM158" s="6"/>
      <c r="AN158" s="6"/>
      <c r="AO158" s="6"/>
      <c r="AP158" s="6"/>
      <c r="AQ158" s="6"/>
      <c r="AR158" s="6"/>
      <c r="AS158" s="6"/>
    </row>
    <row r="159" spans="1:45" ht="63" hidden="1" x14ac:dyDescent="0.25">
      <c r="A159" s="33" t="s">
        <v>46</v>
      </c>
      <c r="B159" s="42">
        <v>402</v>
      </c>
      <c r="C159" s="33" t="s">
        <v>163</v>
      </c>
      <c r="D159" s="33" t="s">
        <v>1502</v>
      </c>
      <c r="E159" s="32"/>
      <c r="F159" s="43" t="s">
        <v>1503</v>
      </c>
      <c r="G159" s="33" t="s">
        <v>1504</v>
      </c>
      <c r="H159" s="32"/>
      <c r="I159" s="32"/>
      <c r="J159" s="33" t="s">
        <v>1505</v>
      </c>
      <c r="K159" s="33" t="s">
        <v>43</v>
      </c>
      <c r="L159" s="33" t="s">
        <v>242</v>
      </c>
      <c r="M159" s="44">
        <v>1956750750</v>
      </c>
      <c r="N159" s="45"/>
      <c r="O159" s="44">
        <v>15000000</v>
      </c>
      <c r="P159" s="59">
        <v>144000000</v>
      </c>
      <c r="Q159" s="44">
        <f t="shared" si="1"/>
        <v>2115750750</v>
      </c>
      <c r="R159" s="48">
        <v>1956750750</v>
      </c>
      <c r="S159" s="32"/>
      <c r="T159" s="44">
        <v>15000000</v>
      </c>
      <c r="U159" s="48">
        <v>144000000</v>
      </c>
      <c r="V159" s="32"/>
      <c r="W159" s="49"/>
      <c r="X159" s="49">
        <f t="shared" ref="X159:Z159" si="158">N159-S159</f>
        <v>0</v>
      </c>
      <c r="Y159" s="49">
        <f t="shared" si="158"/>
        <v>0</v>
      </c>
      <c r="Z159" s="49">
        <f t="shared" si="158"/>
        <v>0</v>
      </c>
      <c r="AA159" s="54"/>
      <c r="AB159" s="54"/>
      <c r="AC159" s="2">
        <f t="shared" si="3"/>
        <v>2</v>
      </c>
      <c r="AD159" s="6"/>
      <c r="AE159" s="6"/>
      <c r="AF159" s="6"/>
      <c r="AG159" s="6"/>
      <c r="AH159" s="6"/>
      <c r="AI159" s="6"/>
      <c r="AJ159" s="6"/>
      <c r="AK159" s="6"/>
      <c r="AL159" s="6"/>
      <c r="AM159" s="6"/>
      <c r="AN159" s="6"/>
      <c r="AO159" s="6"/>
      <c r="AP159" s="6"/>
      <c r="AQ159" s="6"/>
      <c r="AR159" s="6"/>
      <c r="AS159" s="6"/>
    </row>
    <row r="160" spans="1:45" ht="63" hidden="1" x14ac:dyDescent="0.25">
      <c r="A160" s="33" t="s">
        <v>60</v>
      </c>
      <c r="B160" s="42">
        <v>586</v>
      </c>
      <c r="C160" s="33" t="s">
        <v>498</v>
      </c>
      <c r="D160" s="33" t="s">
        <v>1510</v>
      </c>
      <c r="E160" s="32"/>
      <c r="F160" s="43" t="s">
        <v>1503</v>
      </c>
      <c r="G160" s="33" t="s">
        <v>1511</v>
      </c>
      <c r="H160" s="32"/>
      <c r="I160" s="32"/>
      <c r="J160" s="62" t="s">
        <v>1512</v>
      </c>
      <c r="K160" s="33" t="s">
        <v>43</v>
      </c>
      <c r="L160" s="33" t="s">
        <v>1513</v>
      </c>
      <c r="M160" s="63">
        <v>3912494400</v>
      </c>
      <c r="N160" s="45"/>
      <c r="O160" s="63">
        <v>15000000</v>
      </c>
      <c r="P160" s="59">
        <v>48000000</v>
      </c>
      <c r="Q160" s="44">
        <f t="shared" si="1"/>
        <v>3975494400</v>
      </c>
      <c r="R160" s="65">
        <v>3912494400</v>
      </c>
      <c r="S160" s="32"/>
      <c r="T160" s="44">
        <v>15000000</v>
      </c>
      <c r="U160" s="65">
        <v>48000000</v>
      </c>
      <c r="V160" s="32"/>
      <c r="W160" s="49"/>
      <c r="X160" s="49">
        <f t="shared" ref="X160:Z160" si="159">N160-S160</f>
        <v>0</v>
      </c>
      <c r="Y160" s="49">
        <f t="shared" si="159"/>
        <v>0</v>
      </c>
      <c r="Z160" s="49">
        <f t="shared" si="159"/>
        <v>0</v>
      </c>
      <c r="AA160" s="54"/>
      <c r="AB160" s="54"/>
      <c r="AC160" s="2">
        <f t="shared" si="3"/>
        <v>2</v>
      </c>
      <c r="AD160" s="6"/>
      <c r="AE160" s="6"/>
      <c r="AF160" s="6"/>
      <c r="AG160" s="6"/>
      <c r="AH160" s="6"/>
      <c r="AI160" s="6"/>
      <c r="AJ160" s="6"/>
      <c r="AK160" s="6"/>
      <c r="AL160" s="6"/>
      <c r="AM160" s="6"/>
      <c r="AN160" s="6"/>
      <c r="AO160" s="6"/>
      <c r="AP160" s="6"/>
      <c r="AQ160" s="6"/>
      <c r="AR160" s="6"/>
      <c r="AS160" s="6"/>
    </row>
    <row r="161" spans="1:45" ht="63" hidden="1" x14ac:dyDescent="0.25">
      <c r="A161" s="33" t="s">
        <v>60</v>
      </c>
      <c r="B161" s="42">
        <v>690</v>
      </c>
      <c r="C161" s="33" t="s">
        <v>67</v>
      </c>
      <c r="D161" s="33" t="s">
        <v>1516</v>
      </c>
      <c r="E161" s="32"/>
      <c r="F161" s="43" t="s">
        <v>1503</v>
      </c>
      <c r="G161" s="33" t="s">
        <v>1517</v>
      </c>
      <c r="H161" s="32"/>
      <c r="I161" s="32"/>
      <c r="J161" s="62" t="s">
        <v>1518</v>
      </c>
      <c r="K161" s="33" t="s">
        <v>43</v>
      </c>
      <c r="L161" s="33" t="s">
        <v>1519</v>
      </c>
      <c r="M161" s="63">
        <v>1095920500</v>
      </c>
      <c r="N161" s="45"/>
      <c r="O161" s="63">
        <v>15000000</v>
      </c>
      <c r="P161" s="59">
        <v>90000000</v>
      </c>
      <c r="Q161" s="44">
        <f t="shared" si="1"/>
        <v>1200920500</v>
      </c>
      <c r="R161" s="65">
        <v>1095920500</v>
      </c>
      <c r="S161" s="32"/>
      <c r="T161" s="44">
        <v>15000000</v>
      </c>
      <c r="U161" s="65">
        <v>90000000</v>
      </c>
      <c r="V161" s="32"/>
      <c r="W161" s="49"/>
      <c r="X161" s="49">
        <f t="shared" ref="X161:Z161" si="160">N161-S161</f>
        <v>0</v>
      </c>
      <c r="Y161" s="49">
        <f t="shared" si="160"/>
        <v>0</v>
      </c>
      <c r="Z161" s="49">
        <f t="shared" si="160"/>
        <v>0</v>
      </c>
      <c r="AA161" s="54"/>
      <c r="AB161" s="54"/>
      <c r="AC161" s="2">
        <f t="shared" si="3"/>
        <v>2</v>
      </c>
      <c r="AD161" s="6"/>
      <c r="AE161" s="6"/>
      <c r="AF161" s="6"/>
      <c r="AG161" s="6"/>
      <c r="AH161" s="6"/>
      <c r="AI161" s="6"/>
      <c r="AJ161" s="6"/>
      <c r="AK161" s="6"/>
      <c r="AL161" s="6"/>
      <c r="AM161" s="6"/>
      <c r="AN161" s="6"/>
      <c r="AO161" s="6"/>
      <c r="AP161" s="6"/>
      <c r="AQ161" s="6"/>
      <c r="AR161" s="6"/>
      <c r="AS161" s="6"/>
    </row>
    <row r="162" spans="1:45" ht="63" hidden="1" x14ac:dyDescent="0.25">
      <c r="A162" s="33" t="s">
        <v>88</v>
      </c>
      <c r="B162" s="42">
        <v>717</v>
      </c>
      <c r="C162" s="33" t="s">
        <v>67</v>
      </c>
      <c r="D162" s="33" t="s">
        <v>1524</v>
      </c>
      <c r="E162" s="33" t="s">
        <v>1525</v>
      </c>
      <c r="F162" s="43" t="s">
        <v>1526</v>
      </c>
      <c r="G162" s="33" t="s">
        <v>1527</v>
      </c>
      <c r="H162" s="33" t="s">
        <v>1528</v>
      </c>
      <c r="I162" s="32"/>
      <c r="J162" s="62" t="s">
        <v>1529</v>
      </c>
      <c r="K162" s="33" t="s">
        <v>43</v>
      </c>
      <c r="L162" s="33" t="s">
        <v>1530</v>
      </c>
      <c r="M162" s="63">
        <v>1085076464</v>
      </c>
      <c r="N162" s="63">
        <v>254396436</v>
      </c>
      <c r="O162" s="63">
        <v>15000000</v>
      </c>
      <c r="P162" s="59">
        <v>72000000</v>
      </c>
      <c r="Q162" s="44">
        <f t="shared" si="1"/>
        <v>1426472900</v>
      </c>
      <c r="R162" s="52">
        <v>1085076464</v>
      </c>
      <c r="S162" s="48">
        <v>254396436</v>
      </c>
      <c r="T162" s="44">
        <v>15000000</v>
      </c>
      <c r="U162" s="48">
        <v>72000000</v>
      </c>
      <c r="V162" s="32"/>
      <c r="W162" s="49"/>
      <c r="X162" s="49">
        <f t="shared" ref="X162:Z162" si="161">N162-S162</f>
        <v>0</v>
      </c>
      <c r="Y162" s="49">
        <f t="shared" si="161"/>
        <v>0</v>
      </c>
      <c r="Z162" s="49">
        <f t="shared" si="161"/>
        <v>0</v>
      </c>
      <c r="AA162" s="54"/>
      <c r="AB162" s="54"/>
      <c r="AC162" s="2">
        <f t="shared" si="3"/>
        <v>2</v>
      </c>
      <c r="AD162" s="6"/>
      <c r="AE162" s="6"/>
      <c r="AF162" s="6"/>
      <c r="AG162" s="6"/>
      <c r="AH162" s="6"/>
      <c r="AI162" s="6"/>
      <c r="AJ162" s="6"/>
      <c r="AK162" s="6"/>
      <c r="AL162" s="6"/>
      <c r="AM162" s="6"/>
      <c r="AN162" s="6"/>
      <c r="AO162" s="6"/>
      <c r="AP162" s="6"/>
      <c r="AQ162" s="6"/>
      <c r="AR162" s="6"/>
      <c r="AS162" s="6"/>
    </row>
    <row r="163" spans="1:45" ht="94.5" hidden="1" x14ac:dyDescent="0.25">
      <c r="A163" s="33" t="s">
        <v>60</v>
      </c>
      <c r="B163" s="42">
        <v>804</v>
      </c>
      <c r="C163" s="33" t="s">
        <v>74</v>
      </c>
      <c r="D163" s="33" t="s">
        <v>1531</v>
      </c>
      <c r="E163" s="33" t="s">
        <v>1532</v>
      </c>
      <c r="F163" s="43" t="s">
        <v>1526</v>
      </c>
      <c r="G163" s="33" t="s">
        <v>1533</v>
      </c>
      <c r="H163" s="33" t="s">
        <v>1534</v>
      </c>
      <c r="I163" s="32"/>
      <c r="J163" s="62" t="s">
        <v>1535</v>
      </c>
      <c r="K163" s="33" t="s">
        <v>43</v>
      </c>
      <c r="L163" s="33" t="s">
        <v>1536</v>
      </c>
      <c r="M163" s="63">
        <v>5239490644</v>
      </c>
      <c r="N163" s="44">
        <v>630718116</v>
      </c>
      <c r="O163" s="63">
        <v>15000000</v>
      </c>
      <c r="P163" s="59">
        <v>72000000</v>
      </c>
      <c r="Q163" s="44">
        <f t="shared" si="1"/>
        <v>5957208760</v>
      </c>
      <c r="R163" s="52">
        <v>5239490644</v>
      </c>
      <c r="S163" s="48">
        <v>630718116</v>
      </c>
      <c r="T163" s="44">
        <v>15000000</v>
      </c>
      <c r="U163" s="48">
        <v>72000000</v>
      </c>
      <c r="V163" s="32"/>
      <c r="W163" s="49"/>
      <c r="X163" s="49">
        <f t="shared" ref="X163:Z163" si="162">N163-S163</f>
        <v>0</v>
      </c>
      <c r="Y163" s="49">
        <f t="shared" si="162"/>
        <v>0</v>
      </c>
      <c r="Z163" s="49">
        <f t="shared" si="162"/>
        <v>0</v>
      </c>
      <c r="AA163" s="54"/>
      <c r="AB163" s="54"/>
      <c r="AC163" s="2">
        <f t="shared" si="3"/>
        <v>2</v>
      </c>
      <c r="AD163" s="6"/>
      <c r="AE163" s="6"/>
      <c r="AF163" s="6"/>
      <c r="AG163" s="6"/>
      <c r="AH163" s="6"/>
      <c r="AI163" s="6"/>
      <c r="AJ163" s="6"/>
      <c r="AK163" s="6"/>
      <c r="AL163" s="6"/>
      <c r="AM163" s="6"/>
      <c r="AN163" s="6"/>
      <c r="AO163" s="6"/>
      <c r="AP163" s="6"/>
      <c r="AQ163" s="6"/>
      <c r="AR163" s="6"/>
      <c r="AS163" s="6"/>
    </row>
    <row r="164" spans="1:45" ht="40.5" hidden="1" x14ac:dyDescent="0.25">
      <c r="A164" s="33" t="s">
        <v>60</v>
      </c>
      <c r="B164" s="42">
        <v>865</v>
      </c>
      <c r="C164" s="33" t="s">
        <v>297</v>
      </c>
      <c r="D164" s="33" t="s">
        <v>1540</v>
      </c>
      <c r="E164" s="33" t="s">
        <v>1542</v>
      </c>
      <c r="F164" s="43" t="s">
        <v>1543</v>
      </c>
      <c r="G164" s="33" t="s">
        <v>1545</v>
      </c>
      <c r="H164" s="33" t="s">
        <v>1546</v>
      </c>
      <c r="I164" s="32"/>
      <c r="J164" s="62" t="s">
        <v>1547</v>
      </c>
      <c r="K164" s="33" t="s">
        <v>43</v>
      </c>
      <c r="L164" s="33" t="s">
        <v>1548</v>
      </c>
      <c r="M164" s="63">
        <v>7139329719</v>
      </c>
      <c r="N164" s="63">
        <v>1963433700</v>
      </c>
      <c r="O164" s="63">
        <v>15000000</v>
      </c>
      <c r="P164" s="59">
        <v>8000000</v>
      </c>
      <c r="Q164" s="44">
        <f t="shared" si="1"/>
        <v>9125763419</v>
      </c>
      <c r="R164" s="52">
        <v>7139329719</v>
      </c>
      <c r="S164" s="48">
        <v>1963433700</v>
      </c>
      <c r="T164" s="44">
        <v>15000000</v>
      </c>
      <c r="U164" s="48">
        <v>8000000</v>
      </c>
      <c r="V164" s="32"/>
      <c r="W164" s="49"/>
      <c r="X164" s="49">
        <f t="shared" ref="X164:Z164" si="163">N164-S164</f>
        <v>0</v>
      </c>
      <c r="Y164" s="49">
        <f t="shared" si="163"/>
        <v>0</v>
      </c>
      <c r="Z164" s="49">
        <f t="shared" si="163"/>
        <v>0</v>
      </c>
      <c r="AA164" s="54"/>
      <c r="AB164" s="54"/>
      <c r="AC164" s="2">
        <f t="shared" si="3"/>
        <v>2</v>
      </c>
      <c r="AD164" s="6"/>
      <c r="AE164" s="6"/>
      <c r="AF164" s="6"/>
      <c r="AG164" s="6"/>
      <c r="AH164" s="6"/>
      <c r="AI164" s="6"/>
      <c r="AJ164" s="6"/>
      <c r="AK164" s="6"/>
      <c r="AL164" s="6"/>
      <c r="AM164" s="6"/>
      <c r="AN164" s="6"/>
      <c r="AO164" s="6"/>
      <c r="AP164" s="6"/>
      <c r="AQ164" s="6"/>
      <c r="AR164" s="6"/>
      <c r="AS164" s="6"/>
    </row>
    <row r="165" spans="1:45" ht="121.5" hidden="1" x14ac:dyDescent="0.25">
      <c r="A165" s="33" t="s">
        <v>46</v>
      </c>
      <c r="B165" s="42">
        <v>615</v>
      </c>
      <c r="C165" s="33" t="s">
        <v>53</v>
      </c>
      <c r="D165" s="33" t="s">
        <v>1552</v>
      </c>
      <c r="E165" s="33" t="s">
        <v>883</v>
      </c>
      <c r="F165" s="43" t="s">
        <v>1554</v>
      </c>
      <c r="G165" s="33" t="s">
        <v>1555</v>
      </c>
      <c r="H165" s="33" t="s">
        <v>1556</v>
      </c>
      <c r="I165" s="33" t="s">
        <v>261</v>
      </c>
      <c r="J165" s="62" t="s">
        <v>1557</v>
      </c>
      <c r="K165" s="33" t="s">
        <v>43</v>
      </c>
      <c r="L165" s="33" t="s">
        <v>1558</v>
      </c>
      <c r="M165" s="63">
        <v>4270717238</v>
      </c>
      <c r="N165" s="63">
        <v>523546590</v>
      </c>
      <c r="O165" s="63">
        <v>15000000</v>
      </c>
      <c r="P165" s="59">
        <v>216000000</v>
      </c>
      <c r="Q165" s="44">
        <f t="shared" si="1"/>
        <v>5025263828</v>
      </c>
      <c r="R165" s="52">
        <v>4270717238</v>
      </c>
      <c r="S165" s="65">
        <v>523546590</v>
      </c>
      <c r="T165" s="44">
        <v>15000000</v>
      </c>
      <c r="U165" s="65">
        <v>216000000</v>
      </c>
      <c r="V165" s="32"/>
      <c r="W165" s="49"/>
      <c r="X165" s="49">
        <f t="shared" ref="X165:Z165" si="164">N165-S165</f>
        <v>0</v>
      </c>
      <c r="Y165" s="49">
        <f t="shared" si="164"/>
        <v>0</v>
      </c>
      <c r="Z165" s="49">
        <f t="shared" si="164"/>
        <v>0</v>
      </c>
      <c r="AA165" s="54"/>
      <c r="AB165" s="54"/>
      <c r="AC165" s="2">
        <f t="shared" si="3"/>
        <v>2</v>
      </c>
      <c r="AD165" s="6"/>
      <c r="AE165" s="6"/>
      <c r="AF165" s="6"/>
      <c r="AG165" s="6"/>
      <c r="AH165" s="6"/>
      <c r="AI165" s="6"/>
      <c r="AJ165" s="6"/>
      <c r="AK165" s="6"/>
      <c r="AL165" s="6"/>
      <c r="AM165" s="6"/>
      <c r="AN165" s="6"/>
      <c r="AO165" s="6"/>
      <c r="AP165" s="6"/>
      <c r="AQ165" s="6"/>
      <c r="AR165" s="6"/>
      <c r="AS165" s="6"/>
    </row>
    <row r="166" spans="1:45" ht="63" hidden="1" x14ac:dyDescent="0.25">
      <c r="A166" s="33" t="s">
        <v>46</v>
      </c>
      <c r="B166" s="42">
        <v>283</v>
      </c>
      <c r="C166" s="33" t="s">
        <v>37</v>
      </c>
      <c r="D166" s="33" t="s">
        <v>1559</v>
      </c>
      <c r="E166" s="33" t="s">
        <v>1395</v>
      </c>
      <c r="F166" s="43" t="s">
        <v>1561</v>
      </c>
      <c r="G166" s="33" t="s">
        <v>1562</v>
      </c>
      <c r="H166" s="33" t="s">
        <v>1564</v>
      </c>
      <c r="I166" s="32"/>
      <c r="J166" s="33" t="s">
        <v>1566</v>
      </c>
      <c r="K166" s="33" t="s">
        <v>43</v>
      </c>
      <c r="L166" s="33" t="s">
        <v>1568</v>
      </c>
      <c r="M166" s="44">
        <v>2351212760</v>
      </c>
      <c r="N166" s="44">
        <v>533938698</v>
      </c>
      <c r="O166" s="44">
        <v>15000000</v>
      </c>
      <c r="P166" s="59">
        <v>90000000</v>
      </c>
      <c r="Q166" s="44">
        <f t="shared" si="1"/>
        <v>2990151458</v>
      </c>
      <c r="R166" s="48">
        <v>2351212760</v>
      </c>
      <c r="S166" s="48">
        <v>533938698</v>
      </c>
      <c r="T166" s="44">
        <v>15000000</v>
      </c>
      <c r="U166" s="48">
        <v>90000000</v>
      </c>
      <c r="V166" s="32"/>
      <c r="W166" s="49"/>
      <c r="X166" s="49">
        <f t="shared" ref="X166:Z166" si="165">N166-S166</f>
        <v>0</v>
      </c>
      <c r="Y166" s="49">
        <f t="shared" si="165"/>
        <v>0</v>
      </c>
      <c r="Z166" s="49">
        <f t="shared" si="165"/>
        <v>0</v>
      </c>
      <c r="AA166" s="54"/>
      <c r="AB166" s="54"/>
      <c r="AC166" s="2">
        <f t="shared" si="3"/>
        <v>2</v>
      </c>
      <c r="AD166" s="6"/>
      <c r="AE166" s="6"/>
      <c r="AF166" s="6"/>
      <c r="AG166" s="6"/>
      <c r="AH166" s="6"/>
      <c r="AI166" s="6"/>
      <c r="AJ166" s="6"/>
      <c r="AK166" s="6"/>
      <c r="AL166" s="6"/>
      <c r="AM166" s="6"/>
      <c r="AN166" s="6"/>
      <c r="AO166" s="6"/>
      <c r="AP166" s="6"/>
      <c r="AQ166" s="6"/>
      <c r="AR166" s="6"/>
      <c r="AS166" s="6"/>
    </row>
    <row r="167" spans="1:45" ht="63" hidden="1" x14ac:dyDescent="0.25">
      <c r="A167" s="33" t="s">
        <v>88</v>
      </c>
      <c r="B167" s="42">
        <v>819</v>
      </c>
      <c r="C167" s="33" t="s">
        <v>89</v>
      </c>
      <c r="D167" s="33" t="s">
        <v>1572</v>
      </c>
      <c r="E167" s="32"/>
      <c r="F167" s="43" t="s">
        <v>1561</v>
      </c>
      <c r="G167" s="33" t="s">
        <v>1573</v>
      </c>
      <c r="H167" s="32"/>
      <c r="I167" s="32"/>
      <c r="J167" s="62" t="s">
        <v>1575</v>
      </c>
      <c r="K167" s="33" t="s">
        <v>43</v>
      </c>
      <c r="L167" s="33" t="s">
        <v>1576</v>
      </c>
      <c r="M167" s="63">
        <v>1248685600</v>
      </c>
      <c r="N167" s="45"/>
      <c r="O167" s="63">
        <v>15000000</v>
      </c>
      <c r="P167" s="59">
        <v>120000000</v>
      </c>
      <c r="Q167" s="44">
        <f t="shared" si="1"/>
        <v>1383685600</v>
      </c>
      <c r="R167" s="65">
        <v>1248685600</v>
      </c>
      <c r="S167" s="32"/>
      <c r="T167" s="44">
        <v>15000000</v>
      </c>
      <c r="U167" s="65">
        <v>120000000</v>
      </c>
      <c r="V167" s="32"/>
      <c r="W167" s="49"/>
      <c r="X167" s="49">
        <f t="shared" ref="X167:Z167" si="166">N167-S167</f>
        <v>0</v>
      </c>
      <c r="Y167" s="49">
        <f t="shared" si="166"/>
        <v>0</v>
      </c>
      <c r="Z167" s="49">
        <f t="shared" si="166"/>
        <v>0</v>
      </c>
      <c r="AA167" s="54"/>
      <c r="AB167" s="54"/>
      <c r="AC167" s="2">
        <f t="shared" si="3"/>
        <v>2</v>
      </c>
      <c r="AD167" s="6"/>
      <c r="AE167" s="6"/>
      <c r="AF167" s="6"/>
      <c r="AG167" s="6"/>
      <c r="AH167" s="6"/>
      <c r="AI167" s="6"/>
      <c r="AJ167" s="6"/>
      <c r="AK167" s="6"/>
      <c r="AL167" s="6"/>
      <c r="AM167" s="6"/>
      <c r="AN167" s="6"/>
      <c r="AO167" s="6"/>
      <c r="AP167" s="6"/>
      <c r="AQ167" s="6"/>
      <c r="AR167" s="6"/>
      <c r="AS167" s="6"/>
    </row>
    <row r="168" spans="1:45" ht="63" hidden="1" x14ac:dyDescent="0.25">
      <c r="A168" s="33" t="s">
        <v>275</v>
      </c>
      <c r="B168" s="42">
        <v>726</v>
      </c>
      <c r="C168" s="33" t="s">
        <v>67</v>
      </c>
      <c r="D168" s="33" t="s">
        <v>1580</v>
      </c>
      <c r="E168" s="32"/>
      <c r="F168" s="43" t="s">
        <v>1582</v>
      </c>
      <c r="G168" s="33" t="s">
        <v>1584</v>
      </c>
      <c r="H168" s="32"/>
      <c r="I168" s="32"/>
      <c r="J168" s="62" t="s">
        <v>1586</v>
      </c>
      <c r="K168" s="33" t="s">
        <v>43</v>
      </c>
      <c r="L168" s="33" t="s">
        <v>1588</v>
      </c>
      <c r="M168" s="63">
        <v>2218823050</v>
      </c>
      <c r="N168" s="45"/>
      <c r="O168" s="63">
        <v>15000000</v>
      </c>
      <c r="P168" s="59">
        <v>72000000</v>
      </c>
      <c r="Q168" s="44">
        <f t="shared" si="1"/>
        <v>2305823050</v>
      </c>
      <c r="R168" s="65">
        <v>2218823050</v>
      </c>
      <c r="S168" s="32"/>
      <c r="T168" s="44">
        <v>15000000</v>
      </c>
      <c r="U168" s="65">
        <v>72000000</v>
      </c>
      <c r="V168" s="32"/>
      <c r="W168" s="49"/>
      <c r="X168" s="49">
        <f t="shared" ref="X168:Z168" si="167">N168-S168</f>
        <v>0</v>
      </c>
      <c r="Y168" s="49">
        <f t="shared" si="167"/>
        <v>0</v>
      </c>
      <c r="Z168" s="49">
        <f t="shared" si="167"/>
        <v>0</v>
      </c>
      <c r="AA168" s="54"/>
      <c r="AB168" s="54"/>
      <c r="AC168" s="2">
        <f t="shared" si="3"/>
        <v>2</v>
      </c>
      <c r="AD168" s="6"/>
      <c r="AE168" s="6"/>
      <c r="AF168" s="6"/>
      <c r="AG168" s="6"/>
      <c r="AH168" s="6"/>
      <c r="AI168" s="6"/>
      <c r="AJ168" s="6"/>
      <c r="AK168" s="6"/>
      <c r="AL168" s="6"/>
      <c r="AM168" s="6"/>
      <c r="AN168" s="6"/>
      <c r="AO168" s="6"/>
      <c r="AP168" s="6"/>
      <c r="AQ168" s="6"/>
      <c r="AR168" s="6"/>
      <c r="AS168" s="6"/>
    </row>
    <row r="169" spans="1:45" ht="63" hidden="1" x14ac:dyDescent="0.25">
      <c r="A169" s="33" t="s">
        <v>275</v>
      </c>
      <c r="B169" s="42">
        <v>768</v>
      </c>
      <c r="C169" s="33" t="s">
        <v>67</v>
      </c>
      <c r="D169" s="33" t="s">
        <v>1591</v>
      </c>
      <c r="E169" s="33" t="s">
        <v>1592</v>
      </c>
      <c r="F169" s="43" t="s">
        <v>1582</v>
      </c>
      <c r="G169" s="33" t="s">
        <v>1593</v>
      </c>
      <c r="H169" s="33" t="s">
        <v>1594</v>
      </c>
      <c r="I169" s="32"/>
      <c r="J169" s="62" t="s">
        <v>1595</v>
      </c>
      <c r="K169" s="33" t="s">
        <v>43</v>
      </c>
      <c r="L169" s="33" t="s">
        <v>1596</v>
      </c>
      <c r="M169" s="63">
        <v>10000000</v>
      </c>
      <c r="N169" s="77">
        <v>446131840</v>
      </c>
      <c r="O169" s="63">
        <v>15000000</v>
      </c>
      <c r="P169" s="59">
        <v>72000000</v>
      </c>
      <c r="Q169" s="44">
        <f t="shared" si="1"/>
        <v>543131840</v>
      </c>
      <c r="R169" s="99">
        <v>10000000</v>
      </c>
      <c r="S169" s="99">
        <v>446131840</v>
      </c>
      <c r="T169" s="44">
        <v>15000000</v>
      </c>
      <c r="U169" s="99">
        <v>72000000</v>
      </c>
      <c r="V169" s="32"/>
      <c r="W169" s="49"/>
      <c r="X169" s="49">
        <f t="shared" ref="X169:Z169" si="168">N169-S169</f>
        <v>0</v>
      </c>
      <c r="Y169" s="49">
        <f t="shared" si="168"/>
        <v>0</v>
      </c>
      <c r="Z169" s="49">
        <f t="shared" si="168"/>
        <v>0</v>
      </c>
      <c r="AA169" s="54"/>
      <c r="AB169" s="54"/>
      <c r="AC169" s="2">
        <f t="shared" si="3"/>
        <v>2</v>
      </c>
      <c r="AD169" s="6"/>
      <c r="AE169" s="6"/>
      <c r="AF169" s="6"/>
      <c r="AG169" s="6"/>
      <c r="AH169" s="6"/>
      <c r="AI169" s="6"/>
      <c r="AJ169" s="6"/>
      <c r="AK169" s="6"/>
      <c r="AL169" s="6"/>
      <c r="AM169" s="6"/>
      <c r="AN169" s="6"/>
      <c r="AO169" s="6"/>
      <c r="AP169" s="6"/>
      <c r="AQ169" s="6"/>
      <c r="AR169" s="6"/>
      <c r="AS169" s="6"/>
    </row>
    <row r="170" spans="1:45" ht="63" x14ac:dyDescent="0.25">
      <c r="A170" s="33" t="s">
        <v>35</v>
      </c>
      <c r="B170" s="42">
        <v>319</v>
      </c>
      <c r="C170" s="33" t="s">
        <v>37</v>
      </c>
      <c r="D170" s="33" t="s">
        <v>1602</v>
      </c>
      <c r="E170" s="33"/>
      <c r="F170" s="43" t="s">
        <v>1603</v>
      </c>
      <c r="G170" s="33" t="s">
        <v>1604</v>
      </c>
      <c r="H170" s="33"/>
      <c r="I170" s="33"/>
      <c r="J170" s="33" t="s">
        <v>1605</v>
      </c>
      <c r="K170" s="33" t="s">
        <v>43</v>
      </c>
      <c r="L170" s="33" t="s">
        <v>1606</v>
      </c>
      <c r="M170" s="44">
        <v>10000000</v>
      </c>
      <c r="N170" s="45"/>
      <c r="O170" s="44">
        <v>15000000</v>
      </c>
      <c r="P170" s="46">
        <v>72000000</v>
      </c>
      <c r="Q170" s="44">
        <f t="shared" si="1"/>
        <v>97000000</v>
      </c>
      <c r="R170" s="48">
        <v>10000000</v>
      </c>
      <c r="S170" s="32"/>
      <c r="T170" s="44">
        <v>15000000</v>
      </c>
      <c r="U170" s="48">
        <v>24000000</v>
      </c>
      <c r="V170" s="32"/>
      <c r="W170" s="49"/>
      <c r="X170" s="49">
        <f t="shared" ref="X170:Z170" si="169">N170-S170</f>
        <v>0</v>
      </c>
      <c r="Y170" s="49">
        <f t="shared" si="169"/>
        <v>0</v>
      </c>
      <c r="Z170" s="52">
        <f t="shared" si="169"/>
        <v>48000000</v>
      </c>
      <c r="AA170" s="54"/>
      <c r="AB170" s="43"/>
      <c r="AC170" s="6">
        <f t="shared" si="3"/>
        <v>2</v>
      </c>
      <c r="AD170" s="6"/>
      <c r="AE170" s="6"/>
      <c r="AF170" s="6"/>
      <c r="AG170" s="6"/>
      <c r="AH170" s="6"/>
      <c r="AI170" s="6"/>
      <c r="AJ170" s="6"/>
      <c r="AK170" s="6"/>
      <c r="AL170" s="6"/>
      <c r="AM170" s="6"/>
      <c r="AN170" s="6"/>
      <c r="AO170" s="6"/>
      <c r="AP170" s="6"/>
      <c r="AQ170" s="6"/>
      <c r="AR170" s="6"/>
      <c r="AS170" s="6"/>
    </row>
    <row r="171" spans="1:45" ht="63" hidden="1" x14ac:dyDescent="0.25">
      <c r="A171" s="33" t="s">
        <v>52</v>
      </c>
      <c r="B171" s="42">
        <v>696</v>
      </c>
      <c r="C171" s="33" t="s">
        <v>67</v>
      </c>
      <c r="D171" s="33" t="s">
        <v>1610</v>
      </c>
      <c r="E171" s="32"/>
      <c r="F171" s="43" t="s">
        <v>1603</v>
      </c>
      <c r="G171" s="33" t="s">
        <v>1613</v>
      </c>
      <c r="H171" s="32"/>
      <c r="I171" s="32"/>
      <c r="J171" s="62" t="s">
        <v>1614</v>
      </c>
      <c r="K171" s="33" t="s">
        <v>43</v>
      </c>
      <c r="L171" s="33" t="s">
        <v>1615</v>
      </c>
      <c r="M171" s="63">
        <v>1043360216</v>
      </c>
      <c r="N171" s="45"/>
      <c r="O171" s="63">
        <v>15000000</v>
      </c>
      <c r="P171" s="59">
        <v>72000000</v>
      </c>
      <c r="Q171" s="44">
        <f t="shared" si="1"/>
        <v>1130360216</v>
      </c>
      <c r="R171" s="65">
        <v>1043360216</v>
      </c>
      <c r="S171" s="32"/>
      <c r="T171" s="44">
        <v>15000000</v>
      </c>
      <c r="U171" s="65">
        <v>72000000</v>
      </c>
      <c r="V171" s="32"/>
      <c r="W171" s="49"/>
      <c r="X171" s="49">
        <f t="shared" ref="X171:Z171" si="170">N171-S171</f>
        <v>0</v>
      </c>
      <c r="Y171" s="49">
        <f t="shared" si="170"/>
        <v>0</v>
      </c>
      <c r="Z171" s="49">
        <f t="shared" si="170"/>
        <v>0</v>
      </c>
      <c r="AA171" s="54"/>
      <c r="AB171" s="54"/>
      <c r="AC171" s="2">
        <f t="shared" si="3"/>
        <v>2</v>
      </c>
      <c r="AD171" s="6"/>
      <c r="AE171" s="6"/>
      <c r="AF171" s="6"/>
      <c r="AG171" s="6"/>
      <c r="AH171" s="6"/>
      <c r="AI171" s="6"/>
      <c r="AJ171" s="6"/>
      <c r="AK171" s="6"/>
      <c r="AL171" s="6"/>
      <c r="AM171" s="6"/>
      <c r="AN171" s="6"/>
      <c r="AO171" s="6"/>
      <c r="AP171" s="6"/>
      <c r="AQ171" s="6"/>
      <c r="AR171" s="6"/>
      <c r="AS171" s="6"/>
    </row>
    <row r="172" spans="1:45" ht="63" hidden="1" x14ac:dyDescent="0.25">
      <c r="A172" s="33" t="s">
        <v>52</v>
      </c>
      <c r="B172" s="42">
        <v>735</v>
      </c>
      <c r="C172" s="33" t="s">
        <v>67</v>
      </c>
      <c r="D172" s="33" t="s">
        <v>1621</v>
      </c>
      <c r="E172" s="32"/>
      <c r="F172" s="43" t="s">
        <v>1603</v>
      </c>
      <c r="G172" s="33" t="s">
        <v>1622</v>
      </c>
      <c r="H172" s="32"/>
      <c r="I172" s="32"/>
      <c r="J172" s="62" t="s">
        <v>1623</v>
      </c>
      <c r="K172" s="33" t="s">
        <v>43</v>
      </c>
      <c r="L172" s="33" t="s">
        <v>1624</v>
      </c>
      <c r="M172" s="63">
        <v>853559360</v>
      </c>
      <c r="N172" s="45"/>
      <c r="O172" s="63">
        <v>15000000</v>
      </c>
      <c r="P172" s="59">
        <v>90000000</v>
      </c>
      <c r="Q172" s="44">
        <f t="shared" si="1"/>
        <v>958559360</v>
      </c>
      <c r="R172" s="83">
        <v>853559360</v>
      </c>
      <c r="S172" s="32"/>
      <c r="T172" s="63">
        <v>15000000</v>
      </c>
      <c r="U172" s="65">
        <v>90000000</v>
      </c>
      <c r="V172" s="32"/>
      <c r="W172" s="49"/>
      <c r="X172" s="49">
        <f t="shared" ref="X172:Z172" si="171">N172-S172</f>
        <v>0</v>
      </c>
      <c r="Y172" s="49">
        <f t="shared" si="171"/>
        <v>0</v>
      </c>
      <c r="Z172" s="49">
        <f t="shared" si="171"/>
        <v>0</v>
      </c>
      <c r="AA172" s="54"/>
      <c r="AB172" s="54"/>
      <c r="AC172" s="2">
        <f t="shared" si="3"/>
        <v>2</v>
      </c>
      <c r="AD172" s="6"/>
      <c r="AE172" s="6"/>
      <c r="AF172" s="6"/>
      <c r="AG172" s="6"/>
      <c r="AH172" s="6"/>
      <c r="AI172" s="6"/>
      <c r="AJ172" s="6"/>
      <c r="AK172" s="6"/>
      <c r="AL172" s="6"/>
      <c r="AM172" s="6"/>
      <c r="AN172" s="6"/>
      <c r="AO172" s="6"/>
      <c r="AP172" s="6"/>
      <c r="AQ172" s="6"/>
      <c r="AR172" s="6"/>
      <c r="AS172" s="6"/>
    </row>
    <row r="173" spans="1:45" ht="78.75" hidden="1" x14ac:dyDescent="0.25">
      <c r="A173" s="33" t="s">
        <v>60</v>
      </c>
      <c r="B173" s="42">
        <v>295</v>
      </c>
      <c r="C173" s="33" t="s">
        <v>37</v>
      </c>
      <c r="D173" s="33" t="s">
        <v>1629</v>
      </c>
      <c r="E173" s="32"/>
      <c r="F173" s="43" t="s">
        <v>1630</v>
      </c>
      <c r="G173" s="33" t="s">
        <v>1631</v>
      </c>
      <c r="H173" s="32"/>
      <c r="I173" s="32"/>
      <c r="J173" s="33" t="s">
        <v>1632</v>
      </c>
      <c r="K173" s="33" t="s">
        <v>43</v>
      </c>
      <c r="L173" s="33" t="s">
        <v>1633</v>
      </c>
      <c r="M173" s="44">
        <v>10000000</v>
      </c>
      <c r="N173" s="45"/>
      <c r="O173" s="44">
        <v>15000000</v>
      </c>
      <c r="P173" s="59">
        <v>90000000</v>
      </c>
      <c r="Q173" s="44">
        <f t="shared" si="1"/>
        <v>115000000</v>
      </c>
      <c r="R173" s="48">
        <v>10000000</v>
      </c>
      <c r="S173" s="32"/>
      <c r="T173" s="44">
        <v>15000000</v>
      </c>
      <c r="U173" s="48">
        <v>90000000</v>
      </c>
      <c r="V173" s="32"/>
      <c r="W173" s="49"/>
      <c r="X173" s="49">
        <f t="shared" ref="X173:Z173" si="172">N173-S173</f>
        <v>0</v>
      </c>
      <c r="Y173" s="49">
        <f t="shared" si="172"/>
        <v>0</v>
      </c>
      <c r="Z173" s="49">
        <f t="shared" si="172"/>
        <v>0</v>
      </c>
      <c r="AA173" s="54"/>
      <c r="AB173" s="54"/>
      <c r="AC173" s="2">
        <f t="shared" si="3"/>
        <v>2</v>
      </c>
      <c r="AD173" s="6"/>
      <c r="AE173" s="6"/>
      <c r="AF173" s="6"/>
      <c r="AG173" s="6"/>
      <c r="AH173" s="6"/>
      <c r="AI173" s="6"/>
      <c r="AJ173" s="6"/>
      <c r="AK173" s="6"/>
      <c r="AL173" s="6"/>
      <c r="AM173" s="6"/>
      <c r="AN173" s="6"/>
      <c r="AO173" s="6"/>
      <c r="AP173" s="6"/>
      <c r="AQ173" s="6"/>
      <c r="AR173" s="6"/>
      <c r="AS173" s="6"/>
    </row>
    <row r="174" spans="1:45" ht="78.75" hidden="1" x14ac:dyDescent="0.25">
      <c r="A174" s="33" t="s">
        <v>275</v>
      </c>
      <c r="B174" s="42">
        <v>730</v>
      </c>
      <c r="C174" s="33" t="s">
        <v>67</v>
      </c>
      <c r="D174" s="33" t="s">
        <v>1640</v>
      </c>
      <c r="E174" s="32"/>
      <c r="F174" s="43" t="s">
        <v>1630</v>
      </c>
      <c r="G174" s="33" t="s">
        <v>1641</v>
      </c>
      <c r="H174" s="32"/>
      <c r="I174" s="32"/>
      <c r="J174" s="62" t="s">
        <v>1642</v>
      </c>
      <c r="K174" s="33" t="s">
        <v>43</v>
      </c>
      <c r="L174" s="33" t="s">
        <v>1643</v>
      </c>
      <c r="M174" s="63">
        <v>401173485</v>
      </c>
      <c r="N174" s="45"/>
      <c r="O174" s="63">
        <v>15000000</v>
      </c>
      <c r="P174" s="59">
        <v>120000000</v>
      </c>
      <c r="Q174" s="44">
        <f t="shared" si="1"/>
        <v>536173485</v>
      </c>
      <c r="R174" s="65">
        <v>401173485</v>
      </c>
      <c r="S174" s="32"/>
      <c r="T174" s="44">
        <v>15000000</v>
      </c>
      <c r="U174" s="65">
        <v>120000000</v>
      </c>
      <c r="V174" s="32"/>
      <c r="W174" s="49"/>
      <c r="X174" s="49">
        <f t="shared" ref="X174:Z174" si="173">N174-S174</f>
        <v>0</v>
      </c>
      <c r="Y174" s="49">
        <f t="shared" si="173"/>
        <v>0</v>
      </c>
      <c r="Z174" s="49">
        <f t="shared" si="173"/>
        <v>0</v>
      </c>
      <c r="AA174" s="54"/>
      <c r="AB174" s="54"/>
      <c r="AC174" s="2">
        <f t="shared" si="3"/>
        <v>2</v>
      </c>
      <c r="AD174" s="6"/>
      <c r="AE174" s="6"/>
      <c r="AF174" s="6"/>
      <c r="AG174" s="6"/>
      <c r="AH174" s="6"/>
      <c r="AI174" s="6"/>
      <c r="AJ174" s="6"/>
      <c r="AK174" s="6"/>
      <c r="AL174" s="6"/>
      <c r="AM174" s="6"/>
      <c r="AN174" s="6"/>
      <c r="AO174" s="6"/>
      <c r="AP174" s="6"/>
      <c r="AQ174" s="6"/>
      <c r="AR174" s="6"/>
      <c r="AS174" s="6"/>
    </row>
    <row r="175" spans="1:45" ht="78.75" x14ac:dyDescent="0.25">
      <c r="A175" s="33" t="s">
        <v>275</v>
      </c>
      <c r="B175" s="42">
        <v>745</v>
      </c>
      <c r="C175" s="33" t="s">
        <v>67</v>
      </c>
      <c r="D175" s="33" t="s">
        <v>1648</v>
      </c>
      <c r="E175" s="33" t="s">
        <v>1395</v>
      </c>
      <c r="F175" s="43" t="s">
        <v>1630</v>
      </c>
      <c r="G175" s="33" t="s">
        <v>1649</v>
      </c>
      <c r="H175" s="33" t="s">
        <v>1650</v>
      </c>
      <c r="I175" s="33"/>
      <c r="J175" s="33" t="s">
        <v>1651</v>
      </c>
      <c r="K175" s="33" t="s">
        <v>43</v>
      </c>
      <c r="L175" s="33" t="s">
        <v>1652</v>
      </c>
      <c r="M175" s="63">
        <v>1596400307</v>
      </c>
      <c r="N175" s="63">
        <v>333382157</v>
      </c>
      <c r="O175" s="63">
        <v>15000000</v>
      </c>
      <c r="P175" s="46">
        <v>96000000</v>
      </c>
      <c r="Q175" s="44">
        <f t="shared" si="1"/>
        <v>2040782464</v>
      </c>
      <c r="R175" s="65">
        <v>1596400307</v>
      </c>
      <c r="S175" s="65">
        <v>333382157</v>
      </c>
      <c r="T175" s="44">
        <v>15000000</v>
      </c>
      <c r="U175" s="48">
        <v>48000000</v>
      </c>
      <c r="V175" s="32"/>
      <c r="W175" s="49"/>
      <c r="X175" s="49">
        <f t="shared" ref="X175:Z175" si="174">N175-S175</f>
        <v>0</v>
      </c>
      <c r="Y175" s="49">
        <f t="shared" si="174"/>
        <v>0</v>
      </c>
      <c r="Z175" s="52">
        <f t="shared" si="174"/>
        <v>48000000</v>
      </c>
      <c r="AA175" s="54"/>
      <c r="AB175" s="43"/>
      <c r="AC175" s="6">
        <f t="shared" si="3"/>
        <v>2</v>
      </c>
      <c r="AD175" s="6"/>
      <c r="AE175" s="6"/>
      <c r="AF175" s="6"/>
      <c r="AG175" s="6"/>
      <c r="AH175" s="6"/>
      <c r="AI175" s="6"/>
      <c r="AJ175" s="6"/>
      <c r="AK175" s="6"/>
      <c r="AL175" s="6"/>
      <c r="AM175" s="6"/>
      <c r="AN175" s="6"/>
      <c r="AO175" s="6"/>
      <c r="AP175" s="6"/>
      <c r="AQ175" s="6"/>
      <c r="AR175" s="6"/>
      <c r="AS175" s="6"/>
    </row>
    <row r="176" spans="1:45" ht="63" hidden="1" x14ac:dyDescent="0.25">
      <c r="A176" s="33" t="s">
        <v>60</v>
      </c>
      <c r="B176" s="42">
        <v>40</v>
      </c>
      <c r="C176" s="33" t="s">
        <v>363</v>
      </c>
      <c r="D176" s="33" t="s">
        <v>363</v>
      </c>
      <c r="E176" s="32"/>
      <c r="F176" s="43" t="s">
        <v>710</v>
      </c>
      <c r="G176" s="33" t="s">
        <v>393</v>
      </c>
      <c r="H176" s="32"/>
      <c r="I176" s="32"/>
      <c r="J176" s="33" t="s">
        <v>395</v>
      </c>
      <c r="K176" s="33" t="s">
        <v>43</v>
      </c>
      <c r="L176" s="33" t="s">
        <v>396</v>
      </c>
      <c r="M176" s="44">
        <v>10000000</v>
      </c>
      <c r="N176" s="45"/>
      <c r="O176" s="44">
        <v>15000000</v>
      </c>
      <c r="P176" s="59">
        <v>96000000</v>
      </c>
      <c r="Q176" s="44">
        <f t="shared" si="1"/>
        <v>121000000</v>
      </c>
      <c r="R176" s="52">
        <v>10000000</v>
      </c>
      <c r="S176" s="32"/>
      <c r="T176" s="44">
        <v>15000000</v>
      </c>
      <c r="U176" s="48">
        <v>96000000</v>
      </c>
      <c r="V176" s="32"/>
      <c r="W176" s="49"/>
      <c r="X176" s="49">
        <f t="shared" ref="X176:Z176" si="175">N176-S176</f>
        <v>0</v>
      </c>
      <c r="Y176" s="49">
        <f t="shared" si="175"/>
        <v>0</v>
      </c>
      <c r="Z176" s="49">
        <f t="shared" si="175"/>
        <v>0</v>
      </c>
      <c r="AA176" s="54"/>
      <c r="AB176" s="54"/>
      <c r="AC176" s="2">
        <f t="shared" si="3"/>
        <v>2</v>
      </c>
      <c r="AD176" s="6"/>
      <c r="AE176" s="6"/>
      <c r="AF176" s="6"/>
      <c r="AG176" s="6"/>
      <c r="AH176" s="6"/>
      <c r="AI176" s="6"/>
      <c r="AJ176" s="6"/>
      <c r="AK176" s="6"/>
      <c r="AL176" s="6"/>
      <c r="AM176" s="6"/>
      <c r="AN176" s="6"/>
      <c r="AO176" s="6"/>
      <c r="AP176" s="6"/>
      <c r="AQ176" s="6"/>
      <c r="AR176" s="6"/>
      <c r="AS176" s="6"/>
    </row>
    <row r="177" spans="1:45" ht="78.75" x14ac:dyDescent="0.25">
      <c r="A177" s="33" t="s">
        <v>46</v>
      </c>
      <c r="B177" s="42">
        <v>427</v>
      </c>
      <c r="C177" s="33" t="s">
        <v>163</v>
      </c>
      <c r="D177" s="33" t="s">
        <v>1661</v>
      </c>
      <c r="E177" s="33"/>
      <c r="F177" s="43" t="s">
        <v>1662</v>
      </c>
      <c r="G177" s="33" t="s">
        <v>1663</v>
      </c>
      <c r="H177" s="33"/>
      <c r="I177" s="33"/>
      <c r="J177" s="33" t="s">
        <v>1664</v>
      </c>
      <c r="K177" s="33" t="s">
        <v>43</v>
      </c>
      <c r="L177" s="33" t="s">
        <v>1665</v>
      </c>
      <c r="M177" s="44">
        <v>2820833362</v>
      </c>
      <c r="N177" s="45"/>
      <c r="O177" s="44">
        <v>15000000</v>
      </c>
      <c r="P177" s="46">
        <v>96000000</v>
      </c>
      <c r="Q177" s="44">
        <f t="shared" si="1"/>
        <v>2931833362</v>
      </c>
      <c r="R177" s="48">
        <v>2820833362</v>
      </c>
      <c r="S177" s="32"/>
      <c r="T177" s="44">
        <v>15000000</v>
      </c>
      <c r="U177" s="48">
        <v>48000000</v>
      </c>
      <c r="V177" s="32"/>
      <c r="W177" s="49"/>
      <c r="X177" s="49">
        <f t="shared" ref="X177:Z177" si="176">N177-S177</f>
        <v>0</v>
      </c>
      <c r="Y177" s="49">
        <f t="shared" si="176"/>
        <v>0</v>
      </c>
      <c r="Z177" s="52">
        <f t="shared" si="176"/>
        <v>48000000</v>
      </c>
      <c r="AA177" s="54"/>
      <c r="AB177" s="43"/>
      <c r="AC177" s="6">
        <f t="shared" si="3"/>
        <v>2</v>
      </c>
      <c r="AD177" s="6"/>
      <c r="AE177" s="6"/>
      <c r="AF177" s="6"/>
      <c r="AG177" s="6"/>
      <c r="AH177" s="6"/>
      <c r="AI177" s="6"/>
      <c r="AJ177" s="6"/>
      <c r="AK177" s="6"/>
      <c r="AL177" s="6"/>
      <c r="AM177" s="6"/>
      <c r="AN177" s="6"/>
      <c r="AO177" s="6"/>
      <c r="AP177" s="6"/>
      <c r="AQ177" s="6"/>
      <c r="AR177" s="6"/>
      <c r="AS177" s="6"/>
    </row>
    <row r="178" spans="1:45" ht="94.5" hidden="1" x14ac:dyDescent="0.25">
      <c r="A178" s="33" t="s">
        <v>88</v>
      </c>
      <c r="B178" s="42">
        <v>746</v>
      </c>
      <c r="C178" s="33" t="s">
        <v>67</v>
      </c>
      <c r="D178" s="33" t="s">
        <v>1670</v>
      </c>
      <c r="E178" s="32"/>
      <c r="F178" s="43" t="s">
        <v>1671</v>
      </c>
      <c r="G178" s="33" t="s">
        <v>1672</v>
      </c>
      <c r="H178" s="33" t="s">
        <v>1673</v>
      </c>
      <c r="I178" s="32"/>
      <c r="J178" s="62" t="s">
        <v>1674</v>
      </c>
      <c r="K178" s="33" t="s">
        <v>43</v>
      </c>
      <c r="L178" s="33" t="s">
        <v>1675</v>
      </c>
      <c r="M178" s="63">
        <v>748291540</v>
      </c>
      <c r="N178" s="45"/>
      <c r="O178" s="63">
        <v>15000000</v>
      </c>
      <c r="P178" s="59">
        <v>144000000</v>
      </c>
      <c r="Q178" s="44">
        <f t="shared" si="1"/>
        <v>907291540</v>
      </c>
      <c r="R178" s="52">
        <v>748291540</v>
      </c>
      <c r="S178" s="32"/>
      <c r="T178" s="44">
        <v>15000000</v>
      </c>
      <c r="U178" s="48">
        <v>144000000</v>
      </c>
      <c r="V178" s="32"/>
      <c r="W178" s="49"/>
      <c r="X178" s="49">
        <f t="shared" ref="X178:Z178" si="177">N178-S178</f>
        <v>0</v>
      </c>
      <c r="Y178" s="49">
        <f t="shared" si="177"/>
        <v>0</v>
      </c>
      <c r="Z178" s="49">
        <f t="shared" si="177"/>
        <v>0</v>
      </c>
      <c r="AA178" s="54"/>
      <c r="AB178" s="54"/>
      <c r="AC178" s="2">
        <f t="shared" si="3"/>
        <v>2</v>
      </c>
      <c r="AD178" s="6"/>
      <c r="AE178" s="6"/>
      <c r="AF178" s="6"/>
      <c r="AG178" s="6"/>
      <c r="AH178" s="6"/>
      <c r="AI178" s="6"/>
      <c r="AJ178" s="6"/>
      <c r="AK178" s="6"/>
      <c r="AL178" s="6"/>
      <c r="AM178" s="6"/>
      <c r="AN178" s="6"/>
      <c r="AO178" s="6"/>
      <c r="AP178" s="6"/>
      <c r="AQ178" s="6"/>
      <c r="AR178" s="6"/>
      <c r="AS178" s="6"/>
    </row>
    <row r="179" spans="1:45" ht="63" hidden="1" x14ac:dyDescent="0.25">
      <c r="A179" s="33" t="s">
        <v>60</v>
      </c>
      <c r="B179" s="42">
        <v>796</v>
      </c>
      <c r="C179" s="33" t="s">
        <v>74</v>
      </c>
      <c r="D179" s="33" t="s">
        <v>1684</v>
      </c>
      <c r="E179" s="32"/>
      <c r="F179" s="43" t="s">
        <v>1686</v>
      </c>
      <c r="G179" s="33" t="s">
        <v>1687</v>
      </c>
      <c r="H179" s="32"/>
      <c r="I179" s="32"/>
      <c r="J179" s="62" t="s">
        <v>1688</v>
      </c>
      <c r="K179" s="33" t="s">
        <v>43</v>
      </c>
      <c r="L179" s="33" t="s">
        <v>1689</v>
      </c>
      <c r="M179" s="63">
        <v>1479042664</v>
      </c>
      <c r="N179" s="45"/>
      <c r="O179" s="63">
        <v>15000000</v>
      </c>
      <c r="P179" s="59">
        <v>96000000</v>
      </c>
      <c r="Q179" s="44">
        <f t="shared" si="1"/>
        <v>1590042664</v>
      </c>
      <c r="R179" s="65">
        <v>1479042664</v>
      </c>
      <c r="S179" s="32"/>
      <c r="T179" s="44">
        <v>15000000</v>
      </c>
      <c r="U179" s="48">
        <v>96000000</v>
      </c>
      <c r="V179" s="32"/>
      <c r="W179" s="49"/>
      <c r="X179" s="49">
        <f t="shared" ref="X179:Z179" si="178">N179-S179</f>
        <v>0</v>
      </c>
      <c r="Y179" s="49">
        <f t="shared" si="178"/>
        <v>0</v>
      </c>
      <c r="Z179" s="49">
        <f t="shared" si="178"/>
        <v>0</v>
      </c>
      <c r="AA179" s="54"/>
      <c r="AB179" s="54"/>
      <c r="AC179" s="2">
        <f t="shared" si="3"/>
        <v>2</v>
      </c>
      <c r="AD179" s="6"/>
      <c r="AE179" s="6"/>
      <c r="AF179" s="6"/>
      <c r="AG179" s="6"/>
      <c r="AH179" s="6"/>
      <c r="AI179" s="6"/>
      <c r="AJ179" s="6"/>
      <c r="AK179" s="6"/>
      <c r="AL179" s="6"/>
      <c r="AM179" s="6"/>
      <c r="AN179" s="6"/>
      <c r="AO179" s="6"/>
      <c r="AP179" s="6"/>
      <c r="AQ179" s="6"/>
      <c r="AR179" s="6"/>
      <c r="AS179" s="6"/>
    </row>
    <row r="180" spans="1:45" ht="63" hidden="1" x14ac:dyDescent="0.25">
      <c r="A180" s="33" t="s">
        <v>60</v>
      </c>
      <c r="B180" s="42">
        <v>807</v>
      </c>
      <c r="C180" s="33" t="s">
        <v>74</v>
      </c>
      <c r="D180" s="33" t="s">
        <v>1694</v>
      </c>
      <c r="E180" s="33" t="s">
        <v>1695</v>
      </c>
      <c r="F180" s="43" t="s">
        <v>1696</v>
      </c>
      <c r="G180" s="33" t="s">
        <v>1697</v>
      </c>
      <c r="H180" s="32"/>
      <c r="I180" s="32"/>
      <c r="J180" s="62" t="s">
        <v>1698</v>
      </c>
      <c r="K180" s="33" t="s">
        <v>43</v>
      </c>
      <c r="L180" s="33" t="s">
        <v>1699</v>
      </c>
      <c r="M180" s="63">
        <v>1246747708</v>
      </c>
      <c r="N180" s="63">
        <v>193650240</v>
      </c>
      <c r="O180" s="63">
        <v>15000000</v>
      </c>
      <c r="P180" s="59">
        <v>96000000</v>
      </c>
      <c r="Q180" s="44">
        <f t="shared" si="1"/>
        <v>1551397948</v>
      </c>
      <c r="R180" s="52">
        <v>1246747708</v>
      </c>
      <c r="S180" s="48">
        <v>193650240</v>
      </c>
      <c r="T180" s="44">
        <v>15000000</v>
      </c>
      <c r="U180" s="48">
        <v>96000000</v>
      </c>
      <c r="V180" s="32"/>
      <c r="W180" s="49"/>
      <c r="X180" s="49">
        <f t="shared" ref="X180:Z180" si="179">N180-S180</f>
        <v>0</v>
      </c>
      <c r="Y180" s="49">
        <f t="shared" si="179"/>
        <v>0</v>
      </c>
      <c r="Z180" s="49">
        <f t="shared" si="179"/>
        <v>0</v>
      </c>
      <c r="AA180" s="54"/>
      <c r="AB180" s="54"/>
      <c r="AC180" s="2">
        <f t="shared" si="3"/>
        <v>2</v>
      </c>
      <c r="AD180" s="6"/>
      <c r="AE180" s="6"/>
      <c r="AF180" s="6"/>
      <c r="AG180" s="6"/>
      <c r="AH180" s="6"/>
      <c r="AI180" s="6"/>
      <c r="AJ180" s="6"/>
      <c r="AK180" s="6"/>
      <c r="AL180" s="6"/>
      <c r="AM180" s="6"/>
      <c r="AN180" s="6"/>
      <c r="AO180" s="6"/>
      <c r="AP180" s="6"/>
      <c r="AQ180" s="6"/>
      <c r="AR180" s="6"/>
      <c r="AS180" s="6"/>
    </row>
    <row r="181" spans="1:45" ht="63" hidden="1" x14ac:dyDescent="0.25">
      <c r="A181" s="33" t="s">
        <v>35</v>
      </c>
      <c r="B181" s="42">
        <v>859</v>
      </c>
      <c r="C181" s="33" t="s">
        <v>89</v>
      </c>
      <c r="D181" s="33" t="s">
        <v>1706</v>
      </c>
      <c r="E181" s="33" t="s">
        <v>91</v>
      </c>
      <c r="F181" s="43" t="s">
        <v>1707</v>
      </c>
      <c r="G181" s="33" t="s">
        <v>1708</v>
      </c>
      <c r="H181" s="33" t="s">
        <v>1709</v>
      </c>
      <c r="I181" s="32"/>
      <c r="J181" s="62" t="s">
        <v>1710</v>
      </c>
      <c r="K181" s="33" t="s">
        <v>43</v>
      </c>
      <c r="L181" s="33" t="s">
        <v>1711</v>
      </c>
      <c r="M181" s="63">
        <v>758458178</v>
      </c>
      <c r="N181" s="63">
        <v>44608716</v>
      </c>
      <c r="O181" s="63">
        <v>15000000</v>
      </c>
      <c r="P181" s="59">
        <v>264000000</v>
      </c>
      <c r="Q181" s="44">
        <f t="shared" si="1"/>
        <v>1082066894</v>
      </c>
      <c r="R181" s="65">
        <v>758458178</v>
      </c>
      <c r="S181" s="65">
        <v>44608716</v>
      </c>
      <c r="T181" s="44">
        <v>15000000</v>
      </c>
      <c r="U181" s="65">
        <v>264000000</v>
      </c>
      <c r="V181" s="32"/>
      <c r="W181" s="49"/>
      <c r="X181" s="49">
        <f t="shared" ref="X181:Z181" si="180">N181-S181</f>
        <v>0</v>
      </c>
      <c r="Y181" s="49">
        <f t="shared" si="180"/>
        <v>0</v>
      </c>
      <c r="Z181" s="49">
        <f t="shared" si="180"/>
        <v>0</v>
      </c>
      <c r="AA181" s="54"/>
      <c r="AB181" s="54"/>
      <c r="AC181" s="2">
        <f t="shared" si="3"/>
        <v>2</v>
      </c>
      <c r="AD181" s="6"/>
      <c r="AE181" s="6"/>
      <c r="AF181" s="6"/>
      <c r="AG181" s="6"/>
      <c r="AH181" s="6"/>
      <c r="AI181" s="6"/>
      <c r="AJ181" s="6"/>
      <c r="AK181" s="6"/>
      <c r="AL181" s="6"/>
      <c r="AM181" s="6"/>
      <c r="AN181" s="6"/>
      <c r="AO181" s="6"/>
      <c r="AP181" s="6"/>
      <c r="AQ181" s="6"/>
      <c r="AR181" s="6"/>
      <c r="AS181" s="6"/>
    </row>
    <row r="182" spans="1:45" ht="78.75" hidden="1" x14ac:dyDescent="0.25">
      <c r="A182" s="33" t="s">
        <v>60</v>
      </c>
      <c r="B182" s="42">
        <v>806</v>
      </c>
      <c r="C182" s="33" t="s">
        <v>74</v>
      </c>
      <c r="D182" s="33" t="s">
        <v>1714</v>
      </c>
      <c r="E182" s="32"/>
      <c r="F182" s="43" t="s">
        <v>1716</v>
      </c>
      <c r="G182" s="33" t="s">
        <v>1717</v>
      </c>
      <c r="H182" s="32"/>
      <c r="I182" s="32"/>
      <c r="J182" s="62" t="s">
        <v>1719</v>
      </c>
      <c r="K182" s="33" t="s">
        <v>43</v>
      </c>
      <c r="L182" s="33" t="s">
        <v>1720</v>
      </c>
      <c r="M182" s="63">
        <v>1611681135</v>
      </c>
      <c r="N182" s="45"/>
      <c r="O182" s="63">
        <v>15000000</v>
      </c>
      <c r="P182" s="59">
        <v>96000000</v>
      </c>
      <c r="Q182" s="44">
        <f t="shared" si="1"/>
        <v>1722681135</v>
      </c>
      <c r="R182" s="52">
        <v>1611681135</v>
      </c>
      <c r="S182" s="32"/>
      <c r="T182" s="44">
        <v>15000000</v>
      </c>
      <c r="U182" s="48">
        <v>96000000</v>
      </c>
      <c r="V182" s="32"/>
      <c r="W182" s="49"/>
      <c r="X182" s="49">
        <f t="shared" ref="X182:Z182" si="181">N182-S182</f>
        <v>0</v>
      </c>
      <c r="Y182" s="49">
        <f t="shared" si="181"/>
        <v>0</v>
      </c>
      <c r="Z182" s="49">
        <f t="shared" si="181"/>
        <v>0</v>
      </c>
      <c r="AA182" s="54"/>
      <c r="AB182" s="54"/>
      <c r="AC182" s="2">
        <f t="shared" si="3"/>
        <v>2</v>
      </c>
      <c r="AD182" s="6"/>
      <c r="AE182" s="6"/>
      <c r="AF182" s="6"/>
      <c r="AG182" s="6"/>
      <c r="AH182" s="6"/>
      <c r="AI182" s="6"/>
      <c r="AJ182" s="6"/>
      <c r="AK182" s="6"/>
      <c r="AL182" s="6"/>
      <c r="AM182" s="6"/>
      <c r="AN182" s="6"/>
      <c r="AO182" s="6"/>
      <c r="AP182" s="6"/>
      <c r="AQ182" s="6"/>
      <c r="AR182" s="6"/>
      <c r="AS182" s="6"/>
    </row>
    <row r="183" spans="1:45" ht="78.75" x14ac:dyDescent="0.25">
      <c r="A183" s="33" t="s">
        <v>35</v>
      </c>
      <c r="B183" s="42">
        <v>849</v>
      </c>
      <c r="C183" s="33" t="s">
        <v>89</v>
      </c>
      <c r="D183" s="33" t="s">
        <v>1725</v>
      </c>
      <c r="E183" s="33" t="s">
        <v>91</v>
      </c>
      <c r="F183" s="43" t="s">
        <v>1716</v>
      </c>
      <c r="G183" s="33" t="s">
        <v>1726</v>
      </c>
      <c r="H183" s="33" t="s">
        <v>1727</v>
      </c>
      <c r="I183" s="33"/>
      <c r="J183" s="33" t="s">
        <v>1728</v>
      </c>
      <c r="K183" s="33" t="s">
        <v>43</v>
      </c>
      <c r="L183" s="33" t="s">
        <v>1729</v>
      </c>
      <c r="M183" s="63">
        <v>881213560</v>
      </c>
      <c r="N183" s="63">
        <v>58467420</v>
      </c>
      <c r="O183" s="63">
        <v>15000000</v>
      </c>
      <c r="P183" s="46">
        <v>144000000</v>
      </c>
      <c r="Q183" s="44">
        <f t="shared" si="1"/>
        <v>1098680980</v>
      </c>
      <c r="R183" s="65">
        <v>881213560</v>
      </c>
      <c r="S183" s="65">
        <v>58467420</v>
      </c>
      <c r="T183" s="44">
        <v>15000000</v>
      </c>
      <c r="U183" s="48">
        <v>72000000</v>
      </c>
      <c r="V183" s="32"/>
      <c r="W183" s="49"/>
      <c r="X183" s="49">
        <f t="shared" ref="X183:Z183" si="182">N183-S183</f>
        <v>0</v>
      </c>
      <c r="Y183" s="49">
        <f t="shared" si="182"/>
        <v>0</v>
      </c>
      <c r="Z183" s="52">
        <f t="shared" si="182"/>
        <v>72000000</v>
      </c>
      <c r="AA183" s="54"/>
      <c r="AB183" s="43"/>
      <c r="AC183" s="6">
        <f t="shared" si="3"/>
        <v>2</v>
      </c>
      <c r="AD183" s="6"/>
      <c r="AE183" s="6"/>
      <c r="AF183" s="6"/>
      <c r="AG183" s="6"/>
      <c r="AH183" s="6"/>
      <c r="AI183" s="6"/>
      <c r="AJ183" s="6"/>
      <c r="AK183" s="6"/>
      <c r="AL183" s="6"/>
      <c r="AM183" s="6"/>
      <c r="AN183" s="6"/>
      <c r="AO183" s="6"/>
      <c r="AP183" s="6"/>
      <c r="AQ183" s="6"/>
      <c r="AR183" s="6"/>
      <c r="AS183" s="6"/>
    </row>
    <row r="184" spans="1:45" ht="47.25" hidden="1" x14ac:dyDescent="0.25">
      <c r="A184" s="33" t="s">
        <v>46</v>
      </c>
      <c r="B184" s="42">
        <v>309</v>
      </c>
      <c r="C184" s="33" t="s">
        <v>37</v>
      </c>
      <c r="D184" s="33" t="s">
        <v>1734</v>
      </c>
      <c r="E184" s="33" t="s">
        <v>1735</v>
      </c>
      <c r="F184" s="43" t="s">
        <v>1736</v>
      </c>
      <c r="G184" s="33" t="s">
        <v>1737</v>
      </c>
      <c r="H184" s="32"/>
      <c r="I184" s="32"/>
      <c r="J184" s="33" t="s">
        <v>1738</v>
      </c>
      <c r="K184" s="33" t="s">
        <v>43</v>
      </c>
      <c r="L184" s="33" t="s">
        <v>1739</v>
      </c>
      <c r="M184" s="44">
        <v>1344327673</v>
      </c>
      <c r="N184" s="44">
        <v>262193501</v>
      </c>
      <c r="O184" s="44">
        <v>15000000</v>
      </c>
      <c r="P184" s="59">
        <v>16000000</v>
      </c>
      <c r="Q184" s="44">
        <f t="shared" si="1"/>
        <v>1637521174</v>
      </c>
      <c r="R184" s="48">
        <v>1344327673</v>
      </c>
      <c r="S184" s="48">
        <v>262193501</v>
      </c>
      <c r="T184" s="44">
        <v>15000000</v>
      </c>
      <c r="U184" s="48">
        <v>16000000</v>
      </c>
      <c r="V184" s="32"/>
      <c r="W184" s="49"/>
      <c r="X184" s="49">
        <f t="shared" ref="X184:Z184" si="183">N184-S184</f>
        <v>0</v>
      </c>
      <c r="Y184" s="49">
        <f t="shared" si="183"/>
        <v>0</v>
      </c>
      <c r="Z184" s="49">
        <f t="shared" si="183"/>
        <v>0</v>
      </c>
      <c r="AA184" s="54"/>
      <c r="AB184" s="54"/>
      <c r="AC184" s="2">
        <f t="shared" si="3"/>
        <v>2</v>
      </c>
      <c r="AD184" s="6"/>
      <c r="AE184" s="6"/>
      <c r="AF184" s="6"/>
      <c r="AG184" s="6"/>
      <c r="AH184" s="6"/>
      <c r="AI184" s="6"/>
      <c r="AJ184" s="6"/>
      <c r="AK184" s="6"/>
      <c r="AL184" s="6"/>
      <c r="AM184" s="6"/>
      <c r="AN184" s="6"/>
      <c r="AO184" s="6"/>
      <c r="AP184" s="6"/>
      <c r="AQ184" s="6"/>
      <c r="AR184" s="6"/>
      <c r="AS184" s="6"/>
    </row>
    <row r="185" spans="1:45" ht="40.5" hidden="1" x14ac:dyDescent="0.25">
      <c r="A185" s="33" t="s">
        <v>52</v>
      </c>
      <c r="B185" s="42">
        <v>559</v>
      </c>
      <c r="C185" s="33" t="s">
        <v>498</v>
      </c>
      <c r="D185" s="33" t="s">
        <v>1745</v>
      </c>
      <c r="E185" s="32"/>
      <c r="F185" s="43" t="s">
        <v>1736</v>
      </c>
      <c r="G185" s="33" t="s">
        <v>1746</v>
      </c>
      <c r="H185" s="32"/>
      <c r="I185" s="32"/>
      <c r="J185" s="62" t="s">
        <v>1747</v>
      </c>
      <c r="K185" s="33" t="s">
        <v>43</v>
      </c>
      <c r="L185" s="33" t="s">
        <v>1748</v>
      </c>
      <c r="M185" s="63">
        <v>1153919632</v>
      </c>
      <c r="N185" s="45"/>
      <c r="O185" s="63">
        <v>15000000</v>
      </c>
      <c r="P185" s="59">
        <v>8000000</v>
      </c>
      <c r="Q185" s="44">
        <f t="shared" si="1"/>
        <v>1176919632</v>
      </c>
      <c r="R185" s="65">
        <v>1153919632</v>
      </c>
      <c r="S185" s="32"/>
      <c r="T185" s="44">
        <v>15000000</v>
      </c>
      <c r="U185" s="65">
        <v>8000000</v>
      </c>
      <c r="V185" s="32"/>
      <c r="W185" s="49"/>
      <c r="X185" s="49">
        <f t="shared" ref="X185:Z185" si="184">N185-S185</f>
        <v>0</v>
      </c>
      <c r="Y185" s="49">
        <f t="shared" si="184"/>
        <v>0</v>
      </c>
      <c r="Z185" s="49">
        <f t="shared" si="184"/>
        <v>0</v>
      </c>
      <c r="AA185" s="54"/>
      <c r="AB185" s="54"/>
      <c r="AC185" s="2">
        <f t="shared" si="3"/>
        <v>2</v>
      </c>
      <c r="AD185" s="6"/>
      <c r="AE185" s="6"/>
      <c r="AF185" s="6"/>
      <c r="AG185" s="6"/>
      <c r="AH185" s="6"/>
      <c r="AI185" s="6"/>
      <c r="AJ185" s="6"/>
      <c r="AK185" s="6"/>
      <c r="AL185" s="6"/>
      <c r="AM185" s="6"/>
      <c r="AN185" s="6"/>
      <c r="AO185" s="6"/>
      <c r="AP185" s="6"/>
      <c r="AQ185" s="6"/>
      <c r="AR185" s="6"/>
      <c r="AS185" s="6"/>
    </row>
    <row r="186" spans="1:45" ht="31.5" x14ac:dyDescent="0.25">
      <c r="A186" s="33" t="s">
        <v>275</v>
      </c>
      <c r="B186" s="42">
        <v>846</v>
      </c>
      <c r="C186" s="33" t="s">
        <v>89</v>
      </c>
      <c r="D186" s="33" t="s">
        <v>1753</v>
      </c>
      <c r="E186" s="33" t="s">
        <v>883</v>
      </c>
      <c r="F186" s="43" t="s">
        <v>1736</v>
      </c>
      <c r="G186" s="33" t="s">
        <v>1754</v>
      </c>
      <c r="H186" s="33" t="s">
        <v>1755</v>
      </c>
      <c r="I186" s="33"/>
      <c r="J186" s="33" t="s">
        <v>1756</v>
      </c>
      <c r="K186" s="33" t="s">
        <v>43</v>
      </c>
      <c r="L186" s="33" t="s">
        <v>1757</v>
      </c>
      <c r="M186" s="63">
        <v>4605269577</v>
      </c>
      <c r="N186" s="63">
        <v>842764824</v>
      </c>
      <c r="O186" s="63">
        <v>15000000</v>
      </c>
      <c r="P186" s="46">
        <v>10000000</v>
      </c>
      <c r="Q186" s="44">
        <f t="shared" si="1"/>
        <v>5473034401</v>
      </c>
      <c r="R186" s="65">
        <v>4605269577</v>
      </c>
      <c r="S186" s="65">
        <v>842764824</v>
      </c>
      <c r="T186" s="45">
        <v>15000000</v>
      </c>
      <c r="U186" s="33"/>
      <c r="V186" s="32"/>
      <c r="W186" s="49"/>
      <c r="X186" s="49">
        <f t="shared" ref="X186:Z186" si="185">N186-S186</f>
        <v>0</v>
      </c>
      <c r="Y186" s="49">
        <f t="shared" si="185"/>
        <v>0</v>
      </c>
      <c r="Z186" s="52">
        <f t="shared" si="185"/>
        <v>10000000</v>
      </c>
      <c r="AA186" s="54"/>
      <c r="AB186" s="43"/>
      <c r="AC186" s="6">
        <f t="shared" si="3"/>
        <v>2</v>
      </c>
      <c r="AD186" s="6"/>
      <c r="AE186" s="6"/>
      <c r="AF186" s="6"/>
      <c r="AG186" s="6"/>
      <c r="AH186" s="6"/>
      <c r="AI186" s="6"/>
      <c r="AJ186" s="6"/>
      <c r="AK186" s="6"/>
      <c r="AL186" s="6"/>
      <c r="AM186" s="6"/>
      <c r="AN186" s="6"/>
      <c r="AO186" s="6"/>
      <c r="AP186" s="6"/>
      <c r="AQ186" s="6"/>
      <c r="AR186" s="6"/>
      <c r="AS186" s="6"/>
    </row>
    <row r="187" spans="1:45" ht="47.25" hidden="1" x14ac:dyDescent="0.25">
      <c r="A187" s="33" t="s">
        <v>52</v>
      </c>
      <c r="B187" s="42">
        <v>304</v>
      </c>
      <c r="C187" s="33" t="s">
        <v>37</v>
      </c>
      <c r="D187" s="33" t="s">
        <v>1766</v>
      </c>
      <c r="E187" s="33" t="s">
        <v>857</v>
      </c>
      <c r="F187" s="43" t="s">
        <v>1767</v>
      </c>
      <c r="G187" s="33" t="s">
        <v>1769</v>
      </c>
      <c r="H187" s="33" t="s">
        <v>1480</v>
      </c>
      <c r="I187" s="32"/>
      <c r="J187" s="33" t="s">
        <v>1772</v>
      </c>
      <c r="K187" s="33" t="s">
        <v>43</v>
      </c>
      <c r="L187" s="33" t="s">
        <v>1774</v>
      </c>
      <c r="M187" s="44">
        <v>5592906642</v>
      </c>
      <c r="N187" s="44">
        <v>713725056</v>
      </c>
      <c r="O187" s="44">
        <v>15000000</v>
      </c>
      <c r="P187" s="59">
        <v>24000000</v>
      </c>
      <c r="Q187" s="44">
        <f t="shared" si="1"/>
        <v>6345631698</v>
      </c>
      <c r="R187" s="48">
        <v>5592906642</v>
      </c>
      <c r="S187" s="48">
        <v>713725056</v>
      </c>
      <c r="T187" s="44">
        <v>15000000</v>
      </c>
      <c r="U187" s="48">
        <v>24000000</v>
      </c>
      <c r="V187" s="32"/>
      <c r="W187" s="49"/>
      <c r="X187" s="49">
        <f t="shared" ref="X187:Z187" si="186">N187-S187</f>
        <v>0</v>
      </c>
      <c r="Y187" s="49">
        <f t="shared" si="186"/>
        <v>0</v>
      </c>
      <c r="Z187" s="49">
        <f t="shared" si="186"/>
        <v>0</v>
      </c>
      <c r="AA187" s="54"/>
      <c r="AB187" s="54"/>
      <c r="AC187" s="2">
        <f t="shared" si="3"/>
        <v>2</v>
      </c>
      <c r="AD187" s="6"/>
      <c r="AE187" s="6"/>
      <c r="AF187" s="6"/>
      <c r="AG187" s="6"/>
      <c r="AH187" s="6"/>
      <c r="AI187" s="6"/>
      <c r="AJ187" s="6"/>
      <c r="AK187" s="6"/>
      <c r="AL187" s="6"/>
      <c r="AM187" s="6"/>
      <c r="AN187" s="6"/>
      <c r="AO187" s="6"/>
      <c r="AP187" s="6"/>
      <c r="AQ187" s="6"/>
      <c r="AR187" s="6"/>
      <c r="AS187" s="6"/>
    </row>
    <row r="188" spans="1:45" ht="60.75" hidden="1" x14ac:dyDescent="0.25">
      <c r="A188" s="33" t="s">
        <v>88</v>
      </c>
      <c r="B188" s="42">
        <v>826</v>
      </c>
      <c r="C188" s="33" t="s">
        <v>89</v>
      </c>
      <c r="D188" s="33" t="s">
        <v>1785</v>
      </c>
      <c r="E188" s="33" t="s">
        <v>1786</v>
      </c>
      <c r="F188" s="43" t="s">
        <v>1767</v>
      </c>
      <c r="G188" s="33" t="s">
        <v>1787</v>
      </c>
      <c r="H188" s="33" t="s">
        <v>1788</v>
      </c>
      <c r="I188" s="32"/>
      <c r="J188" s="62" t="s">
        <v>1789</v>
      </c>
      <c r="K188" s="33" t="s">
        <v>43</v>
      </c>
      <c r="L188" s="33" t="s">
        <v>1790</v>
      </c>
      <c r="M188" s="63">
        <v>669621130</v>
      </c>
      <c r="N188" s="82">
        <v>1200081192</v>
      </c>
      <c r="O188" s="63">
        <v>15000000</v>
      </c>
      <c r="P188" s="59">
        <v>8000000</v>
      </c>
      <c r="Q188" s="44">
        <f t="shared" si="1"/>
        <v>1892702322</v>
      </c>
      <c r="R188" s="65">
        <v>669621130</v>
      </c>
      <c r="S188" s="65">
        <v>1200081192</v>
      </c>
      <c r="T188" s="44">
        <v>15000000</v>
      </c>
      <c r="U188" s="65">
        <v>8000000</v>
      </c>
      <c r="V188" s="32"/>
      <c r="W188" s="49"/>
      <c r="X188" s="49">
        <f t="shared" ref="X188:Z188" si="187">N188-S188</f>
        <v>0</v>
      </c>
      <c r="Y188" s="49">
        <f t="shared" si="187"/>
        <v>0</v>
      </c>
      <c r="Z188" s="49">
        <f t="shared" si="187"/>
        <v>0</v>
      </c>
      <c r="AA188" s="54"/>
      <c r="AB188" s="54"/>
      <c r="AC188" s="2">
        <f t="shared" si="3"/>
        <v>2</v>
      </c>
      <c r="AD188" s="6"/>
      <c r="AE188" s="6"/>
      <c r="AF188" s="6"/>
      <c r="AG188" s="6"/>
      <c r="AH188" s="6"/>
      <c r="AI188" s="6"/>
      <c r="AJ188" s="6"/>
      <c r="AK188" s="6"/>
      <c r="AL188" s="6"/>
      <c r="AM188" s="6"/>
      <c r="AN188" s="6"/>
      <c r="AO188" s="6"/>
      <c r="AP188" s="6"/>
      <c r="AQ188" s="6"/>
      <c r="AR188" s="6"/>
      <c r="AS188" s="6"/>
    </row>
    <row r="189" spans="1:45" ht="63" hidden="1" x14ac:dyDescent="0.25">
      <c r="A189" s="33" t="s">
        <v>46</v>
      </c>
      <c r="B189" s="42">
        <v>279</v>
      </c>
      <c r="C189" s="33" t="s">
        <v>37</v>
      </c>
      <c r="D189" s="33" t="s">
        <v>1795</v>
      </c>
      <c r="E189" s="32"/>
      <c r="F189" s="43" t="s">
        <v>1796</v>
      </c>
      <c r="G189" s="33" t="s">
        <v>1797</v>
      </c>
      <c r="H189" s="32"/>
      <c r="I189" s="32"/>
      <c r="J189" s="33" t="s">
        <v>1798</v>
      </c>
      <c r="K189" s="33" t="s">
        <v>43</v>
      </c>
      <c r="L189" s="33" t="s">
        <v>1799</v>
      </c>
      <c r="M189" s="44">
        <v>10000000</v>
      </c>
      <c r="N189" s="45"/>
      <c r="O189" s="44">
        <v>15000000</v>
      </c>
      <c r="P189" s="59">
        <v>72000000</v>
      </c>
      <c r="Q189" s="44">
        <f t="shared" si="1"/>
        <v>97000000</v>
      </c>
      <c r="R189" s="52">
        <v>10000000</v>
      </c>
      <c r="S189" s="32"/>
      <c r="T189" s="45">
        <v>15000000</v>
      </c>
      <c r="U189" s="48">
        <v>72000000</v>
      </c>
      <c r="V189" s="32"/>
      <c r="W189" s="49"/>
      <c r="X189" s="49">
        <f t="shared" ref="X189:Z189" si="188">N189-S189</f>
        <v>0</v>
      </c>
      <c r="Y189" s="49">
        <f t="shared" si="188"/>
        <v>0</v>
      </c>
      <c r="Z189" s="49">
        <f t="shared" si="188"/>
        <v>0</v>
      </c>
      <c r="AA189" s="54"/>
      <c r="AB189" s="54"/>
      <c r="AC189" s="2">
        <f t="shared" si="3"/>
        <v>2</v>
      </c>
      <c r="AD189" s="6"/>
      <c r="AE189" s="6"/>
      <c r="AF189" s="6"/>
      <c r="AG189" s="6"/>
      <c r="AH189" s="6"/>
      <c r="AI189" s="6"/>
      <c r="AJ189" s="6"/>
      <c r="AK189" s="6"/>
      <c r="AL189" s="6"/>
      <c r="AM189" s="6"/>
      <c r="AN189" s="6"/>
      <c r="AO189" s="6"/>
      <c r="AP189" s="6"/>
      <c r="AQ189" s="6"/>
      <c r="AR189" s="6"/>
      <c r="AS189" s="6"/>
    </row>
    <row r="190" spans="1:45" ht="63" x14ac:dyDescent="0.25">
      <c r="A190" s="33" t="s">
        <v>275</v>
      </c>
      <c r="B190" s="42">
        <v>644</v>
      </c>
      <c r="C190" s="33" t="s">
        <v>53</v>
      </c>
      <c r="D190" s="33" t="s">
        <v>1808</v>
      </c>
      <c r="E190" s="33"/>
      <c r="F190" s="43" t="s">
        <v>1809</v>
      </c>
      <c r="G190" s="33" t="s">
        <v>1810</v>
      </c>
      <c r="H190" s="33"/>
      <c r="I190" s="33" t="s">
        <v>261</v>
      </c>
      <c r="J190" s="33" t="s">
        <v>1811</v>
      </c>
      <c r="K190" s="33" t="s">
        <v>43</v>
      </c>
      <c r="L190" s="33" t="s">
        <v>1306</v>
      </c>
      <c r="M190" s="63">
        <v>14057391480</v>
      </c>
      <c r="N190" s="45"/>
      <c r="O190" s="63">
        <v>15000000</v>
      </c>
      <c r="P190" s="46">
        <v>72000000</v>
      </c>
      <c r="Q190" s="44">
        <f t="shared" si="1"/>
        <v>14144391480</v>
      </c>
      <c r="R190" s="65">
        <v>14057391480</v>
      </c>
      <c r="S190" s="32"/>
      <c r="T190" s="44">
        <v>15000000</v>
      </c>
      <c r="U190" s="48">
        <v>24000000</v>
      </c>
      <c r="V190" s="32"/>
      <c r="W190" s="49"/>
      <c r="X190" s="49">
        <f t="shared" ref="X190:Z190" si="189">N190-S190</f>
        <v>0</v>
      </c>
      <c r="Y190" s="49">
        <f t="shared" si="189"/>
        <v>0</v>
      </c>
      <c r="Z190" s="52">
        <f t="shared" si="189"/>
        <v>48000000</v>
      </c>
      <c r="AA190" s="54"/>
      <c r="AB190" s="43"/>
      <c r="AC190" s="6">
        <f t="shared" si="3"/>
        <v>2</v>
      </c>
      <c r="AD190" s="6"/>
      <c r="AE190" s="6"/>
      <c r="AF190" s="6"/>
      <c r="AG190" s="6"/>
      <c r="AH190" s="6"/>
      <c r="AI190" s="6"/>
      <c r="AJ190" s="6"/>
      <c r="AK190" s="6"/>
      <c r="AL190" s="6"/>
      <c r="AM190" s="6"/>
      <c r="AN190" s="6"/>
      <c r="AO190" s="6"/>
      <c r="AP190" s="6"/>
      <c r="AQ190" s="6"/>
      <c r="AR190" s="6"/>
      <c r="AS190" s="6"/>
    </row>
    <row r="191" spans="1:45" ht="47.25" hidden="1" x14ac:dyDescent="0.25">
      <c r="A191" s="33" t="s">
        <v>52</v>
      </c>
      <c r="B191" s="42">
        <v>296</v>
      </c>
      <c r="C191" s="33" t="s">
        <v>37</v>
      </c>
      <c r="D191" s="33" t="s">
        <v>1820</v>
      </c>
      <c r="E191" s="33" t="s">
        <v>1821</v>
      </c>
      <c r="F191" s="43" t="s">
        <v>1822</v>
      </c>
      <c r="G191" s="33" t="s">
        <v>1823</v>
      </c>
      <c r="H191" s="33" t="s">
        <v>1824</v>
      </c>
      <c r="I191" s="32"/>
      <c r="J191" s="33" t="s">
        <v>1825</v>
      </c>
      <c r="K191" s="33" t="s">
        <v>43</v>
      </c>
      <c r="L191" s="33" t="s">
        <v>1826</v>
      </c>
      <c r="M191" s="44">
        <v>980624620</v>
      </c>
      <c r="N191" s="44">
        <v>7988680</v>
      </c>
      <c r="O191" s="44">
        <v>15000000</v>
      </c>
      <c r="P191" s="59">
        <v>24000000</v>
      </c>
      <c r="Q191" s="44">
        <f t="shared" si="1"/>
        <v>1027613300</v>
      </c>
      <c r="R191" s="48">
        <v>980624620</v>
      </c>
      <c r="S191" s="48">
        <v>7988680</v>
      </c>
      <c r="T191" s="44">
        <v>15000000</v>
      </c>
      <c r="U191" s="48">
        <v>24000000</v>
      </c>
      <c r="V191" s="32"/>
      <c r="W191" s="49"/>
      <c r="X191" s="49">
        <f t="shared" ref="X191:Z191" si="190">N191-S191</f>
        <v>0</v>
      </c>
      <c r="Y191" s="49">
        <f t="shared" si="190"/>
        <v>0</v>
      </c>
      <c r="Z191" s="49">
        <f t="shared" si="190"/>
        <v>0</v>
      </c>
      <c r="AA191" s="54"/>
      <c r="AB191" s="54"/>
      <c r="AC191" s="2">
        <f t="shared" si="3"/>
        <v>2</v>
      </c>
      <c r="AD191" s="6"/>
      <c r="AE191" s="6"/>
      <c r="AF191" s="6"/>
      <c r="AG191" s="6"/>
      <c r="AH191" s="6"/>
      <c r="AI191" s="6"/>
      <c r="AJ191" s="6"/>
      <c r="AK191" s="6"/>
      <c r="AL191" s="6"/>
      <c r="AM191" s="6"/>
      <c r="AN191" s="6"/>
      <c r="AO191" s="6"/>
      <c r="AP191" s="6"/>
      <c r="AQ191" s="6"/>
      <c r="AR191" s="6"/>
      <c r="AS191" s="6"/>
    </row>
    <row r="192" spans="1:45" ht="40.5" hidden="1" x14ac:dyDescent="0.25">
      <c r="A192" s="33" t="s">
        <v>60</v>
      </c>
      <c r="B192" s="42">
        <v>576</v>
      </c>
      <c r="C192" s="33" t="s">
        <v>498</v>
      </c>
      <c r="D192" s="33" t="s">
        <v>1831</v>
      </c>
      <c r="E192" s="33" t="s">
        <v>784</v>
      </c>
      <c r="F192" s="43" t="s">
        <v>1822</v>
      </c>
      <c r="G192" s="33" t="s">
        <v>1832</v>
      </c>
      <c r="H192" s="32"/>
      <c r="I192" s="32"/>
      <c r="J192" s="62" t="s">
        <v>1833</v>
      </c>
      <c r="K192" s="33" t="s">
        <v>43</v>
      </c>
      <c r="L192" s="33" t="s">
        <v>1834</v>
      </c>
      <c r="M192" s="63">
        <v>490595850</v>
      </c>
      <c r="N192" s="63">
        <v>2336428122</v>
      </c>
      <c r="O192" s="63">
        <v>15000000</v>
      </c>
      <c r="P192" s="59">
        <v>42000000</v>
      </c>
      <c r="Q192" s="44">
        <f t="shared" si="1"/>
        <v>2884023972</v>
      </c>
      <c r="R192" s="65">
        <v>490595850</v>
      </c>
      <c r="S192" s="65">
        <v>2336428122</v>
      </c>
      <c r="T192" s="44">
        <v>15000000</v>
      </c>
      <c r="U192" s="65">
        <v>42000000</v>
      </c>
      <c r="V192" s="32"/>
      <c r="W192" s="49"/>
      <c r="X192" s="49">
        <f t="shared" ref="X192:Z192" si="191">N192-S192</f>
        <v>0</v>
      </c>
      <c r="Y192" s="49">
        <f t="shared" si="191"/>
        <v>0</v>
      </c>
      <c r="Z192" s="49">
        <f t="shared" si="191"/>
        <v>0</v>
      </c>
      <c r="AA192" s="54"/>
      <c r="AB192" s="54"/>
      <c r="AC192" s="2">
        <f t="shared" si="3"/>
        <v>2</v>
      </c>
      <c r="AD192" s="6"/>
      <c r="AE192" s="6"/>
      <c r="AF192" s="6"/>
      <c r="AG192" s="6"/>
      <c r="AH192" s="6"/>
      <c r="AI192" s="6"/>
      <c r="AJ192" s="6"/>
      <c r="AK192" s="6"/>
      <c r="AL192" s="6"/>
      <c r="AM192" s="6"/>
      <c r="AN192" s="6"/>
      <c r="AO192" s="6"/>
      <c r="AP192" s="6"/>
      <c r="AQ192" s="6"/>
      <c r="AR192" s="6"/>
      <c r="AS192" s="6"/>
    </row>
    <row r="193" spans="1:45" ht="47.25" hidden="1" x14ac:dyDescent="0.25">
      <c r="A193" s="33" t="s">
        <v>60</v>
      </c>
      <c r="B193" s="42">
        <v>597</v>
      </c>
      <c r="C193" s="33" t="s">
        <v>498</v>
      </c>
      <c r="D193" s="33" t="s">
        <v>1835</v>
      </c>
      <c r="E193" s="32"/>
      <c r="F193" s="43" t="s">
        <v>1822</v>
      </c>
      <c r="G193" s="33" t="s">
        <v>1836</v>
      </c>
      <c r="H193" s="32"/>
      <c r="I193" s="32"/>
      <c r="J193" s="62" t="s">
        <v>1837</v>
      </c>
      <c r="K193" s="33" t="s">
        <v>43</v>
      </c>
      <c r="L193" s="33" t="s">
        <v>1838</v>
      </c>
      <c r="M193" s="63">
        <v>594243660</v>
      </c>
      <c r="N193" s="45"/>
      <c r="O193" s="63">
        <v>15000000</v>
      </c>
      <c r="P193" s="59">
        <v>60000000</v>
      </c>
      <c r="Q193" s="44">
        <f t="shared" si="1"/>
        <v>669243660</v>
      </c>
      <c r="R193" s="65">
        <v>594243660</v>
      </c>
      <c r="S193" s="32"/>
      <c r="T193" s="44">
        <v>15000000</v>
      </c>
      <c r="U193" s="65">
        <v>60000000</v>
      </c>
      <c r="V193" s="32"/>
      <c r="W193" s="49"/>
      <c r="X193" s="49">
        <f t="shared" ref="X193:Z193" si="192">N193-S193</f>
        <v>0</v>
      </c>
      <c r="Y193" s="49">
        <f t="shared" si="192"/>
        <v>0</v>
      </c>
      <c r="Z193" s="49">
        <f t="shared" si="192"/>
        <v>0</v>
      </c>
      <c r="AA193" s="54"/>
      <c r="AB193" s="54"/>
      <c r="AC193" s="2">
        <f t="shared" si="3"/>
        <v>2</v>
      </c>
      <c r="AD193" s="6"/>
      <c r="AE193" s="6"/>
      <c r="AF193" s="6"/>
      <c r="AG193" s="6"/>
      <c r="AH193" s="6"/>
      <c r="AI193" s="6"/>
      <c r="AJ193" s="6"/>
      <c r="AK193" s="6"/>
      <c r="AL193" s="6"/>
      <c r="AM193" s="6"/>
      <c r="AN193" s="6"/>
      <c r="AO193" s="6"/>
      <c r="AP193" s="6"/>
      <c r="AQ193" s="6"/>
      <c r="AR193" s="6"/>
      <c r="AS193" s="6"/>
    </row>
    <row r="194" spans="1:45" ht="47.25" hidden="1" x14ac:dyDescent="0.25">
      <c r="A194" s="33" t="s">
        <v>88</v>
      </c>
      <c r="B194" s="42">
        <v>762</v>
      </c>
      <c r="C194" s="33" t="s">
        <v>67</v>
      </c>
      <c r="D194" s="33" t="s">
        <v>1846</v>
      </c>
      <c r="E194" s="33"/>
      <c r="F194" s="43" t="s">
        <v>1822</v>
      </c>
      <c r="G194" s="33" t="s">
        <v>1848</v>
      </c>
      <c r="H194" s="33"/>
      <c r="I194" s="33"/>
      <c r="J194" s="33" t="s">
        <v>1849</v>
      </c>
      <c r="K194" s="33" t="s">
        <v>43</v>
      </c>
      <c r="L194" s="33" t="s">
        <v>1850</v>
      </c>
      <c r="M194" s="63">
        <v>2676184080</v>
      </c>
      <c r="N194" s="45"/>
      <c r="O194" s="44">
        <v>15000000</v>
      </c>
      <c r="P194" s="59">
        <v>48000000</v>
      </c>
      <c r="Q194" s="44">
        <f t="shared" si="1"/>
        <v>2739184080</v>
      </c>
      <c r="R194" s="83">
        <v>2676184080</v>
      </c>
      <c r="S194" s="32"/>
      <c r="T194" s="66"/>
      <c r="U194" s="99">
        <v>48000000</v>
      </c>
      <c r="V194" s="32"/>
      <c r="W194" s="49"/>
      <c r="X194" s="49">
        <f t="shared" ref="X194:Z194" si="193">N194-S194</f>
        <v>0</v>
      </c>
      <c r="Y194" s="52">
        <f t="shared" si="193"/>
        <v>15000000</v>
      </c>
      <c r="Z194" s="49">
        <f t="shared" si="193"/>
        <v>0</v>
      </c>
      <c r="AA194" s="54"/>
      <c r="AB194" s="43"/>
      <c r="AC194" s="15">
        <f t="shared" si="3"/>
        <v>2</v>
      </c>
      <c r="AD194" s="15"/>
      <c r="AE194" s="6"/>
      <c r="AF194" s="6"/>
      <c r="AG194" s="6"/>
      <c r="AH194" s="6"/>
      <c r="AI194" s="6"/>
      <c r="AJ194" s="6"/>
      <c r="AK194" s="6"/>
      <c r="AL194" s="6"/>
      <c r="AM194" s="6"/>
      <c r="AN194" s="6"/>
      <c r="AO194" s="6"/>
      <c r="AP194" s="6"/>
      <c r="AQ194" s="6"/>
      <c r="AR194" s="6"/>
      <c r="AS194" s="6"/>
    </row>
    <row r="195" spans="1:45" ht="40.5" hidden="1" x14ac:dyDescent="0.25">
      <c r="A195" s="33" t="s">
        <v>60</v>
      </c>
      <c r="B195" s="42">
        <v>763</v>
      </c>
      <c r="C195" s="33" t="s">
        <v>67</v>
      </c>
      <c r="D195" s="33" t="s">
        <v>1856</v>
      </c>
      <c r="E195" s="32"/>
      <c r="F195" s="43" t="s">
        <v>1822</v>
      </c>
      <c r="G195" s="33" t="s">
        <v>1857</v>
      </c>
      <c r="H195" s="32"/>
      <c r="I195" s="32"/>
      <c r="J195" s="62" t="s">
        <v>1858</v>
      </c>
      <c r="K195" s="33" t="s">
        <v>43</v>
      </c>
      <c r="L195" s="33" t="s">
        <v>1859</v>
      </c>
      <c r="M195" s="63">
        <v>907403290</v>
      </c>
      <c r="N195" s="45"/>
      <c r="O195" s="63">
        <v>15000000</v>
      </c>
      <c r="P195" s="59">
        <v>96000000</v>
      </c>
      <c r="Q195" s="44">
        <f t="shared" si="1"/>
        <v>1018403290</v>
      </c>
      <c r="R195" s="99">
        <v>907403290</v>
      </c>
      <c r="S195" s="32"/>
      <c r="T195" s="44">
        <v>15000000</v>
      </c>
      <c r="U195" s="99">
        <v>96000000</v>
      </c>
      <c r="V195" s="32"/>
      <c r="W195" s="49"/>
      <c r="X195" s="49">
        <f t="shared" ref="X195:Z195" si="194">N195-S195</f>
        <v>0</v>
      </c>
      <c r="Y195" s="49">
        <f t="shared" si="194"/>
        <v>0</v>
      </c>
      <c r="Z195" s="49">
        <f t="shared" si="194"/>
        <v>0</v>
      </c>
      <c r="AA195" s="54"/>
      <c r="AB195" s="54"/>
      <c r="AC195" s="2">
        <f t="shared" si="3"/>
        <v>2</v>
      </c>
      <c r="AD195" s="6"/>
      <c r="AE195" s="6"/>
      <c r="AF195" s="6"/>
      <c r="AG195" s="6"/>
      <c r="AH195" s="6"/>
      <c r="AI195" s="6"/>
      <c r="AJ195" s="6"/>
      <c r="AK195" s="6"/>
      <c r="AL195" s="6"/>
      <c r="AM195" s="6"/>
      <c r="AN195" s="6"/>
      <c r="AO195" s="6"/>
      <c r="AP195" s="6"/>
      <c r="AQ195" s="6"/>
      <c r="AR195" s="6"/>
      <c r="AS195" s="6"/>
    </row>
    <row r="196" spans="1:45" ht="60.75" hidden="1" x14ac:dyDescent="0.25">
      <c r="A196" s="33" t="s">
        <v>52</v>
      </c>
      <c r="B196" s="42">
        <v>790</v>
      </c>
      <c r="C196" s="33" t="s">
        <v>74</v>
      </c>
      <c r="D196" s="33" t="s">
        <v>1864</v>
      </c>
      <c r="E196" s="33" t="s">
        <v>784</v>
      </c>
      <c r="F196" s="43" t="s">
        <v>1822</v>
      </c>
      <c r="G196" s="33" t="s">
        <v>1865</v>
      </c>
      <c r="H196" s="33" t="s">
        <v>1866</v>
      </c>
      <c r="I196" s="33" t="s">
        <v>80</v>
      </c>
      <c r="J196" s="62" t="s">
        <v>1867</v>
      </c>
      <c r="K196" s="33" t="s">
        <v>43</v>
      </c>
      <c r="L196" s="33" t="s">
        <v>789</v>
      </c>
      <c r="M196" s="63">
        <v>10000000</v>
      </c>
      <c r="N196" s="63">
        <v>1756584270</v>
      </c>
      <c r="O196" s="63">
        <v>15000000</v>
      </c>
      <c r="P196" s="59">
        <v>24000000</v>
      </c>
      <c r="Q196" s="44">
        <f t="shared" si="1"/>
        <v>1805584270</v>
      </c>
      <c r="R196" s="65">
        <v>10000000</v>
      </c>
      <c r="S196" s="65">
        <v>1756584270</v>
      </c>
      <c r="T196" s="44">
        <v>15000000</v>
      </c>
      <c r="U196" s="65">
        <v>24000000</v>
      </c>
      <c r="V196" s="32"/>
      <c r="W196" s="49"/>
      <c r="X196" s="49">
        <f t="shared" ref="X196:Z196" si="195">N196-S196</f>
        <v>0</v>
      </c>
      <c r="Y196" s="49">
        <f t="shared" si="195"/>
        <v>0</v>
      </c>
      <c r="Z196" s="49">
        <f t="shared" si="195"/>
        <v>0</v>
      </c>
      <c r="AA196" s="54"/>
      <c r="AB196" s="54"/>
      <c r="AC196" s="2">
        <f t="shared" si="3"/>
        <v>2</v>
      </c>
      <c r="AD196" s="6"/>
      <c r="AE196" s="6"/>
      <c r="AF196" s="6"/>
      <c r="AG196" s="6"/>
      <c r="AH196" s="6"/>
      <c r="AI196" s="6"/>
      <c r="AJ196" s="6"/>
      <c r="AK196" s="6"/>
      <c r="AL196" s="6"/>
      <c r="AM196" s="6"/>
      <c r="AN196" s="6"/>
      <c r="AO196" s="6"/>
      <c r="AP196" s="6"/>
      <c r="AQ196" s="6"/>
      <c r="AR196" s="6"/>
      <c r="AS196" s="6"/>
    </row>
    <row r="197" spans="1:45" ht="31.5" hidden="1" x14ac:dyDescent="0.25">
      <c r="A197" s="33" t="s">
        <v>88</v>
      </c>
      <c r="B197" s="42">
        <v>847</v>
      </c>
      <c r="C197" s="33" t="s">
        <v>89</v>
      </c>
      <c r="D197" s="33" t="s">
        <v>1872</v>
      </c>
      <c r="E197" s="33" t="s">
        <v>784</v>
      </c>
      <c r="F197" s="43" t="s">
        <v>1822</v>
      </c>
      <c r="G197" s="33" t="s">
        <v>1873</v>
      </c>
      <c r="H197" s="33"/>
      <c r="I197" s="33"/>
      <c r="J197" s="33" t="s">
        <v>1874</v>
      </c>
      <c r="K197" s="33" t="s">
        <v>43</v>
      </c>
      <c r="L197" s="33" t="s">
        <v>1875</v>
      </c>
      <c r="M197" s="63">
        <v>2033222254</v>
      </c>
      <c r="N197" s="63">
        <v>396693696</v>
      </c>
      <c r="O197" s="44">
        <v>15000000</v>
      </c>
      <c r="P197" s="59">
        <v>42000000</v>
      </c>
      <c r="Q197" s="44">
        <f t="shared" si="1"/>
        <v>2486915950</v>
      </c>
      <c r="R197" s="65">
        <v>2033222254</v>
      </c>
      <c r="S197" s="65">
        <v>396693696</v>
      </c>
      <c r="T197" s="66"/>
      <c r="U197" s="65">
        <v>42000000</v>
      </c>
      <c r="V197" s="32"/>
      <c r="W197" s="49"/>
      <c r="X197" s="49">
        <f t="shared" ref="X197:Z197" si="196">N197-S197</f>
        <v>0</v>
      </c>
      <c r="Y197" s="52">
        <f t="shared" si="196"/>
        <v>15000000</v>
      </c>
      <c r="Z197" s="49">
        <f t="shared" si="196"/>
        <v>0</v>
      </c>
      <c r="AA197" s="54"/>
      <c r="AB197" s="43"/>
      <c r="AC197" s="15">
        <f t="shared" si="3"/>
        <v>2</v>
      </c>
      <c r="AD197" s="15"/>
      <c r="AE197" s="6"/>
      <c r="AF197" s="6"/>
      <c r="AG197" s="6"/>
      <c r="AH197" s="6"/>
      <c r="AI197" s="6"/>
      <c r="AJ197" s="6"/>
      <c r="AK197" s="6"/>
      <c r="AL197" s="6"/>
      <c r="AM197" s="6"/>
      <c r="AN197" s="6"/>
      <c r="AO197" s="6"/>
      <c r="AP197" s="6"/>
      <c r="AQ197" s="6"/>
      <c r="AR197" s="6"/>
      <c r="AS197" s="6"/>
    </row>
    <row r="198" spans="1:45" ht="40.5" hidden="1" x14ac:dyDescent="0.25">
      <c r="A198" s="33" t="s">
        <v>88</v>
      </c>
      <c r="B198" s="42">
        <v>870</v>
      </c>
      <c r="C198" s="33" t="s">
        <v>297</v>
      </c>
      <c r="D198" s="33" t="s">
        <v>1879</v>
      </c>
      <c r="E198" s="33" t="s">
        <v>1880</v>
      </c>
      <c r="F198" s="43" t="s">
        <v>1822</v>
      </c>
      <c r="G198" s="33" t="s">
        <v>1881</v>
      </c>
      <c r="H198" s="33" t="s">
        <v>1882</v>
      </c>
      <c r="I198" s="32"/>
      <c r="J198" s="62" t="s">
        <v>1883</v>
      </c>
      <c r="K198" s="33" t="s">
        <v>43</v>
      </c>
      <c r="L198" s="33" t="s">
        <v>1884</v>
      </c>
      <c r="M198" s="63">
        <v>1141870600</v>
      </c>
      <c r="N198" s="44">
        <v>10000000</v>
      </c>
      <c r="O198" s="63">
        <v>15000000</v>
      </c>
      <c r="P198" s="59">
        <v>24000000</v>
      </c>
      <c r="Q198" s="44">
        <f t="shared" si="1"/>
        <v>1190870600</v>
      </c>
      <c r="R198" s="65">
        <v>1141870600</v>
      </c>
      <c r="S198" s="49">
        <v>10000000</v>
      </c>
      <c r="T198" s="44">
        <v>15000000</v>
      </c>
      <c r="U198" s="65">
        <v>24000000</v>
      </c>
      <c r="V198" s="32"/>
      <c r="W198" s="49"/>
      <c r="X198" s="49">
        <f t="shared" ref="X198:Z198" si="197">N198-S198</f>
        <v>0</v>
      </c>
      <c r="Y198" s="49">
        <f t="shared" si="197"/>
        <v>0</v>
      </c>
      <c r="Z198" s="49">
        <f t="shared" si="197"/>
        <v>0</v>
      </c>
      <c r="AA198" s="54"/>
      <c r="AB198" s="54"/>
      <c r="AC198" s="2">
        <f t="shared" si="3"/>
        <v>2</v>
      </c>
      <c r="AD198" s="6"/>
      <c r="AE198" s="6"/>
      <c r="AF198" s="6"/>
      <c r="AG198" s="6"/>
      <c r="AH198" s="6"/>
      <c r="AI198" s="6"/>
      <c r="AJ198" s="6"/>
      <c r="AK198" s="6"/>
      <c r="AL198" s="6"/>
      <c r="AM198" s="6"/>
      <c r="AN198" s="6"/>
      <c r="AO198" s="6"/>
      <c r="AP198" s="6"/>
      <c r="AQ198" s="6"/>
      <c r="AR198" s="6"/>
      <c r="AS198" s="6"/>
    </row>
    <row r="199" spans="1:45" ht="31.5" hidden="1" x14ac:dyDescent="0.25">
      <c r="A199" s="33" t="s">
        <v>35</v>
      </c>
      <c r="B199" s="42">
        <v>199</v>
      </c>
      <c r="C199" s="33" t="s">
        <v>1018</v>
      </c>
      <c r="D199" s="33" t="s">
        <v>1679</v>
      </c>
      <c r="E199" s="33" t="s">
        <v>156</v>
      </c>
      <c r="F199" s="43" t="s">
        <v>1685</v>
      </c>
      <c r="G199" s="33" t="s">
        <v>1680</v>
      </c>
      <c r="H199" s="33" t="s">
        <v>1681</v>
      </c>
      <c r="I199" s="32"/>
      <c r="J199" s="33" t="s">
        <v>1682</v>
      </c>
      <c r="K199" s="33" t="s">
        <v>43</v>
      </c>
      <c r="L199" s="33" t="s">
        <v>1683</v>
      </c>
      <c r="M199" s="44">
        <v>11308899100</v>
      </c>
      <c r="N199" s="44">
        <v>243896000</v>
      </c>
      <c r="O199" s="44">
        <v>15000000</v>
      </c>
      <c r="P199" s="59">
        <v>72000000</v>
      </c>
      <c r="Q199" s="44">
        <f t="shared" si="1"/>
        <v>11639795100</v>
      </c>
      <c r="R199" s="48">
        <v>11308899100</v>
      </c>
      <c r="S199" s="48">
        <v>243896000</v>
      </c>
      <c r="T199" s="44">
        <v>15000000</v>
      </c>
      <c r="U199" s="48">
        <v>72000000</v>
      </c>
      <c r="V199" s="32"/>
      <c r="W199" s="49"/>
      <c r="X199" s="49">
        <f t="shared" ref="X199:Z199" si="198">N199-S199</f>
        <v>0</v>
      </c>
      <c r="Y199" s="49">
        <f t="shared" si="198"/>
        <v>0</v>
      </c>
      <c r="Z199" s="49">
        <f t="shared" si="198"/>
        <v>0</v>
      </c>
      <c r="AA199" s="54"/>
      <c r="AB199" s="54"/>
      <c r="AC199" s="2">
        <f t="shared" si="3"/>
        <v>2</v>
      </c>
      <c r="AD199" s="6"/>
      <c r="AE199" s="6"/>
      <c r="AF199" s="6"/>
      <c r="AG199" s="6"/>
      <c r="AH199" s="6"/>
      <c r="AI199" s="6"/>
      <c r="AJ199" s="6"/>
      <c r="AK199" s="6"/>
      <c r="AL199" s="6"/>
      <c r="AM199" s="6"/>
      <c r="AN199" s="6"/>
      <c r="AO199" s="6"/>
      <c r="AP199" s="6"/>
      <c r="AQ199" s="6"/>
      <c r="AR199" s="6"/>
      <c r="AS199" s="6"/>
    </row>
    <row r="200" spans="1:45" ht="47.25" x14ac:dyDescent="0.25">
      <c r="A200" s="33" t="s">
        <v>46</v>
      </c>
      <c r="B200" s="42">
        <v>256</v>
      </c>
      <c r="C200" s="33" t="s">
        <v>1886</v>
      </c>
      <c r="D200" s="33" t="s">
        <v>1888</v>
      </c>
      <c r="E200" s="33"/>
      <c r="F200" s="43" t="s">
        <v>1685</v>
      </c>
      <c r="G200" s="33" t="s">
        <v>1890</v>
      </c>
      <c r="H200" s="33"/>
      <c r="I200" s="33" t="s">
        <v>1892</v>
      </c>
      <c r="J200" s="33" t="s">
        <v>1893</v>
      </c>
      <c r="K200" s="33" t="s">
        <v>43</v>
      </c>
      <c r="L200" s="33" t="s">
        <v>1894</v>
      </c>
      <c r="M200" s="44">
        <v>6294452378</v>
      </c>
      <c r="N200" s="45"/>
      <c r="O200" s="44">
        <v>15000000</v>
      </c>
      <c r="P200" s="46">
        <v>84000000</v>
      </c>
      <c r="Q200" s="44">
        <f t="shared" si="1"/>
        <v>6393452378</v>
      </c>
      <c r="R200" s="48">
        <v>6294452378</v>
      </c>
      <c r="S200" s="32"/>
      <c r="T200" s="44">
        <v>15000000</v>
      </c>
      <c r="U200" s="33"/>
      <c r="V200" s="32"/>
      <c r="W200" s="49"/>
      <c r="X200" s="49">
        <f t="shared" ref="X200:Z200" si="199">N200-S200</f>
        <v>0</v>
      </c>
      <c r="Y200" s="49">
        <f t="shared" si="199"/>
        <v>0</v>
      </c>
      <c r="Z200" s="52">
        <f t="shared" si="199"/>
        <v>84000000</v>
      </c>
      <c r="AA200" s="54"/>
      <c r="AB200" s="43"/>
      <c r="AC200" s="6">
        <f t="shared" si="3"/>
        <v>2</v>
      </c>
      <c r="AD200" s="6"/>
      <c r="AE200" s="6"/>
      <c r="AF200" s="6"/>
      <c r="AG200" s="6"/>
      <c r="AH200" s="6"/>
      <c r="AI200" s="6"/>
      <c r="AJ200" s="6"/>
      <c r="AK200" s="6"/>
      <c r="AL200" s="6"/>
      <c r="AM200" s="6"/>
      <c r="AN200" s="6"/>
      <c r="AO200" s="6"/>
      <c r="AP200" s="6"/>
      <c r="AQ200" s="6"/>
      <c r="AR200" s="6"/>
      <c r="AS200" s="6"/>
    </row>
    <row r="201" spans="1:45" ht="63" x14ac:dyDescent="0.25">
      <c r="A201" s="33" t="s">
        <v>88</v>
      </c>
      <c r="B201" s="42">
        <v>743</v>
      </c>
      <c r="C201" s="33" t="s">
        <v>67</v>
      </c>
      <c r="D201" s="33" t="s">
        <v>1899</v>
      </c>
      <c r="E201" s="33"/>
      <c r="F201" s="43" t="s">
        <v>1900</v>
      </c>
      <c r="G201" s="33" t="s">
        <v>1901</v>
      </c>
      <c r="H201" s="33"/>
      <c r="I201" s="33"/>
      <c r="J201" s="33" t="s">
        <v>1902</v>
      </c>
      <c r="K201" s="33" t="s">
        <v>43</v>
      </c>
      <c r="L201" s="33" t="s">
        <v>1903</v>
      </c>
      <c r="M201" s="63">
        <v>749131120</v>
      </c>
      <c r="N201" s="45"/>
      <c r="O201" s="63">
        <v>15000000</v>
      </c>
      <c r="P201" s="46">
        <v>90000000</v>
      </c>
      <c r="Q201" s="44">
        <f t="shared" si="1"/>
        <v>854131120</v>
      </c>
      <c r="R201" s="65">
        <v>749131120</v>
      </c>
      <c r="S201" s="32"/>
      <c r="T201" s="63">
        <v>15000000</v>
      </c>
      <c r="U201" s="48">
        <v>30000000</v>
      </c>
      <c r="V201" s="32"/>
      <c r="W201" s="49"/>
      <c r="X201" s="49">
        <f t="shared" ref="X201:Z201" si="200">N201-S201</f>
        <v>0</v>
      </c>
      <c r="Y201" s="49">
        <f t="shared" si="200"/>
        <v>0</v>
      </c>
      <c r="Z201" s="52">
        <f t="shared" si="200"/>
        <v>60000000</v>
      </c>
      <c r="AA201" s="54"/>
      <c r="AB201" s="43"/>
      <c r="AC201" s="6">
        <f t="shared" si="3"/>
        <v>2</v>
      </c>
      <c r="AD201" s="6"/>
      <c r="AE201" s="6"/>
      <c r="AF201" s="6"/>
      <c r="AG201" s="6"/>
      <c r="AH201" s="6"/>
      <c r="AI201" s="6"/>
      <c r="AJ201" s="6"/>
      <c r="AK201" s="6"/>
      <c r="AL201" s="6"/>
      <c r="AM201" s="6"/>
      <c r="AN201" s="6"/>
      <c r="AO201" s="6"/>
      <c r="AP201" s="6"/>
      <c r="AQ201" s="6"/>
      <c r="AR201" s="6"/>
      <c r="AS201" s="6"/>
    </row>
    <row r="202" spans="1:45" ht="63" hidden="1" x14ac:dyDescent="0.25">
      <c r="A202" s="33" t="s">
        <v>35</v>
      </c>
      <c r="B202" s="42">
        <v>747</v>
      </c>
      <c r="C202" s="33" t="s">
        <v>67</v>
      </c>
      <c r="D202" s="33" t="s">
        <v>1914</v>
      </c>
      <c r="E202" s="32"/>
      <c r="F202" s="43" t="s">
        <v>1900</v>
      </c>
      <c r="G202" s="33" t="s">
        <v>1915</v>
      </c>
      <c r="H202" s="32"/>
      <c r="I202" s="32"/>
      <c r="J202" s="62" t="s">
        <v>1916</v>
      </c>
      <c r="K202" s="33" t="s">
        <v>43</v>
      </c>
      <c r="L202" s="33" t="s">
        <v>1917</v>
      </c>
      <c r="M202" s="63">
        <v>1886255920</v>
      </c>
      <c r="N202" s="45"/>
      <c r="O202" s="63">
        <v>15000000</v>
      </c>
      <c r="P202" s="59">
        <v>72000000</v>
      </c>
      <c r="Q202" s="44">
        <f t="shared" si="1"/>
        <v>1973255920</v>
      </c>
      <c r="R202" s="65">
        <v>1886255920</v>
      </c>
      <c r="S202" s="32"/>
      <c r="T202" s="44">
        <v>15000000</v>
      </c>
      <c r="U202" s="65">
        <v>72000000</v>
      </c>
      <c r="V202" s="32"/>
      <c r="W202" s="49"/>
      <c r="X202" s="49">
        <f t="shared" ref="X202:Z202" si="201">N202-S202</f>
        <v>0</v>
      </c>
      <c r="Y202" s="49">
        <f t="shared" si="201"/>
        <v>0</v>
      </c>
      <c r="Z202" s="49">
        <f t="shared" si="201"/>
        <v>0</v>
      </c>
      <c r="AA202" s="54"/>
      <c r="AB202" s="54"/>
      <c r="AC202" s="2">
        <f t="shared" si="3"/>
        <v>2</v>
      </c>
      <c r="AD202" s="6"/>
      <c r="AE202" s="6"/>
      <c r="AF202" s="6"/>
      <c r="AG202" s="6"/>
      <c r="AH202" s="6"/>
      <c r="AI202" s="6"/>
      <c r="AJ202" s="6"/>
      <c r="AK202" s="6"/>
      <c r="AL202" s="6"/>
      <c r="AM202" s="6"/>
      <c r="AN202" s="6"/>
      <c r="AO202" s="6"/>
      <c r="AP202" s="6"/>
      <c r="AQ202" s="6"/>
      <c r="AR202" s="6"/>
      <c r="AS202" s="6"/>
    </row>
    <row r="203" spans="1:45" ht="63" hidden="1" x14ac:dyDescent="0.25">
      <c r="A203" s="33" t="s">
        <v>88</v>
      </c>
      <c r="B203" s="42">
        <v>750</v>
      </c>
      <c r="C203" s="33" t="s">
        <v>67</v>
      </c>
      <c r="D203" s="33" t="s">
        <v>1927</v>
      </c>
      <c r="E203" s="32"/>
      <c r="F203" s="43" t="s">
        <v>1900</v>
      </c>
      <c r="G203" s="33" t="s">
        <v>1928</v>
      </c>
      <c r="H203" s="32"/>
      <c r="I203" s="32"/>
      <c r="J203" s="62" t="s">
        <v>1929</v>
      </c>
      <c r="K203" s="33" t="s">
        <v>43</v>
      </c>
      <c r="L203" s="33" t="s">
        <v>1930</v>
      </c>
      <c r="M203" s="63">
        <v>923490256</v>
      </c>
      <c r="N203" s="45"/>
      <c r="O203" s="63">
        <v>15000000</v>
      </c>
      <c r="P203" s="59">
        <v>96000000</v>
      </c>
      <c r="Q203" s="44">
        <f t="shared" si="1"/>
        <v>1034490256</v>
      </c>
      <c r="R203" s="52">
        <v>923490256</v>
      </c>
      <c r="S203" s="32"/>
      <c r="T203" s="44">
        <v>15000000</v>
      </c>
      <c r="U203" s="48">
        <v>96000000</v>
      </c>
      <c r="V203" s="32"/>
      <c r="W203" s="49"/>
      <c r="X203" s="49">
        <f t="shared" ref="X203:Z203" si="202">N203-S203</f>
        <v>0</v>
      </c>
      <c r="Y203" s="49">
        <f t="shared" si="202"/>
        <v>0</v>
      </c>
      <c r="Z203" s="49">
        <f t="shared" si="202"/>
        <v>0</v>
      </c>
      <c r="AA203" s="54"/>
      <c r="AB203" s="54"/>
      <c r="AC203" s="2">
        <f t="shared" si="3"/>
        <v>2</v>
      </c>
      <c r="AD203" s="6"/>
      <c r="AE203" s="6"/>
      <c r="AF203" s="6"/>
      <c r="AG203" s="6"/>
      <c r="AH203" s="6"/>
      <c r="AI203" s="6"/>
      <c r="AJ203" s="6"/>
      <c r="AK203" s="6"/>
      <c r="AL203" s="6"/>
      <c r="AM203" s="6"/>
      <c r="AN203" s="6"/>
      <c r="AO203" s="6"/>
      <c r="AP203" s="6"/>
      <c r="AQ203" s="6"/>
      <c r="AR203" s="6"/>
      <c r="AS203" s="6"/>
    </row>
    <row r="204" spans="1:45" ht="63" hidden="1" x14ac:dyDescent="0.25">
      <c r="A204" s="33" t="s">
        <v>60</v>
      </c>
      <c r="B204" s="42">
        <v>853</v>
      </c>
      <c r="C204" s="33" t="s">
        <v>89</v>
      </c>
      <c r="D204" s="33" t="s">
        <v>1937</v>
      </c>
      <c r="E204" s="33" t="s">
        <v>1939</v>
      </c>
      <c r="F204" s="43" t="s">
        <v>1900</v>
      </c>
      <c r="G204" s="33" t="s">
        <v>1941</v>
      </c>
      <c r="H204" s="33" t="s">
        <v>1942</v>
      </c>
      <c r="I204" s="32"/>
      <c r="J204" s="62" t="s">
        <v>1943</v>
      </c>
      <c r="K204" s="33" t="s">
        <v>43</v>
      </c>
      <c r="L204" s="33" t="s">
        <v>1944</v>
      </c>
      <c r="M204" s="63">
        <v>862843600</v>
      </c>
      <c r="N204" s="63">
        <v>224872200</v>
      </c>
      <c r="O204" s="63">
        <v>15000000</v>
      </c>
      <c r="P204" s="59">
        <v>72000000</v>
      </c>
      <c r="Q204" s="44">
        <f t="shared" si="1"/>
        <v>1174715800</v>
      </c>
      <c r="R204" s="100">
        <v>862843600</v>
      </c>
      <c r="S204" s="65">
        <v>224872200</v>
      </c>
      <c r="T204" s="44">
        <v>15000000</v>
      </c>
      <c r="U204" s="65">
        <v>72000000</v>
      </c>
      <c r="V204" s="32"/>
      <c r="W204" s="49"/>
      <c r="X204" s="49">
        <f t="shared" ref="X204:Z204" si="203">N204-S204</f>
        <v>0</v>
      </c>
      <c r="Y204" s="49">
        <f t="shared" si="203"/>
        <v>0</v>
      </c>
      <c r="Z204" s="49">
        <f t="shared" si="203"/>
        <v>0</v>
      </c>
      <c r="AA204" s="54"/>
      <c r="AB204" s="54"/>
      <c r="AC204" s="2">
        <f t="shared" si="3"/>
        <v>2</v>
      </c>
      <c r="AD204" s="6"/>
      <c r="AE204" s="6"/>
      <c r="AF204" s="6"/>
      <c r="AG204" s="6"/>
      <c r="AH204" s="6"/>
      <c r="AI204" s="6"/>
      <c r="AJ204" s="6"/>
      <c r="AK204" s="6"/>
      <c r="AL204" s="6"/>
      <c r="AM204" s="6"/>
      <c r="AN204" s="6"/>
      <c r="AO204" s="6"/>
      <c r="AP204" s="6"/>
      <c r="AQ204" s="6"/>
      <c r="AR204" s="6"/>
      <c r="AS204" s="6"/>
    </row>
    <row r="205" spans="1:45" ht="18.75" hidden="1" x14ac:dyDescent="0.25">
      <c r="A205" s="55"/>
      <c r="B205" s="60"/>
      <c r="C205" s="60"/>
      <c r="D205" s="55"/>
      <c r="E205" s="60"/>
      <c r="F205" s="55"/>
      <c r="G205" s="61">
        <f>COUNTA(G206:G1089)</f>
        <v>676</v>
      </c>
      <c r="H205" s="60"/>
      <c r="I205" s="61"/>
      <c r="J205" s="60"/>
      <c r="K205" s="60"/>
      <c r="L205" s="60"/>
      <c r="M205" s="61">
        <f t="shared" ref="M205:U205" si="204">COUNTIF(M206:M1089,"&gt;0")</f>
        <v>640</v>
      </c>
      <c r="N205" s="61">
        <f t="shared" si="204"/>
        <v>151</v>
      </c>
      <c r="O205" s="61">
        <f t="shared" si="204"/>
        <v>664</v>
      </c>
      <c r="P205" s="57">
        <f t="shared" si="204"/>
        <v>0</v>
      </c>
      <c r="Q205" s="57">
        <f t="shared" si="204"/>
        <v>667</v>
      </c>
      <c r="R205" s="57">
        <f t="shared" si="204"/>
        <v>600</v>
      </c>
      <c r="S205" s="61">
        <f t="shared" si="204"/>
        <v>138</v>
      </c>
      <c r="T205" s="61">
        <f t="shared" si="204"/>
        <v>565</v>
      </c>
      <c r="U205" s="57">
        <f t="shared" si="204"/>
        <v>0</v>
      </c>
      <c r="V205" s="57">
        <f>COUNT(V206:V1089)</f>
        <v>3</v>
      </c>
      <c r="W205" s="57">
        <f t="shared" ref="W205:Z205" si="205">COUNTIF(W206:W1089,"&gt;0")</f>
        <v>40</v>
      </c>
      <c r="X205" s="61">
        <f t="shared" si="205"/>
        <v>14</v>
      </c>
      <c r="Y205" s="61">
        <f t="shared" si="205"/>
        <v>100</v>
      </c>
      <c r="Z205" s="57">
        <f t="shared" si="205"/>
        <v>0</v>
      </c>
      <c r="AA205" s="61">
        <f>COUNT(AA206:AA1089)</f>
        <v>38</v>
      </c>
      <c r="AB205" s="61"/>
      <c r="AC205" s="72"/>
      <c r="AD205" s="72"/>
      <c r="AE205" s="6"/>
      <c r="AF205" s="6"/>
      <c r="AG205" s="6"/>
      <c r="AH205" s="6"/>
      <c r="AI205" s="6"/>
      <c r="AJ205" s="6"/>
      <c r="AK205" s="6"/>
      <c r="AL205" s="6"/>
      <c r="AM205" s="6"/>
      <c r="AN205" s="6"/>
      <c r="AO205" s="6"/>
      <c r="AP205" s="6"/>
      <c r="AQ205" s="6"/>
      <c r="AR205" s="6"/>
      <c r="AS205" s="6"/>
    </row>
    <row r="206" spans="1:45" ht="47.25" hidden="1" x14ac:dyDescent="0.25">
      <c r="A206" s="33" t="s">
        <v>60</v>
      </c>
      <c r="B206" s="42">
        <v>1</v>
      </c>
      <c r="C206" s="33" t="s">
        <v>61</v>
      </c>
      <c r="D206" s="33" t="s">
        <v>61</v>
      </c>
      <c r="E206" s="33" t="s">
        <v>62</v>
      </c>
      <c r="F206" s="54"/>
      <c r="G206" s="33" t="s">
        <v>63</v>
      </c>
      <c r="H206" s="33" t="s">
        <v>64</v>
      </c>
      <c r="I206" s="32"/>
      <c r="J206" s="33" t="s">
        <v>65</v>
      </c>
      <c r="K206" s="33" t="s">
        <v>43</v>
      </c>
      <c r="L206" s="33" t="s">
        <v>66</v>
      </c>
      <c r="M206" s="44">
        <v>4401325040</v>
      </c>
      <c r="N206" s="44">
        <v>997248000</v>
      </c>
      <c r="O206" s="44">
        <v>7500000</v>
      </c>
      <c r="P206" s="86"/>
      <c r="Q206" s="44">
        <f t="shared" ref="Q206:Q460" si="206">M206+N206+O206+P206</f>
        <v>5406073040</v>
      </c>
      <c r="R206" s="52">
        <v>4401325040</v>
      </c>
      <c r="S206" s="52">
        <v>997248000</v>
      </c>
      <c r="T206" s="44">
        <v>7500000</v>
      </c>
      <c r="U206" s="32"/>
      <c r="V206" s="32"/>
      <c r="W206" s="49"/>
      <c r="X206" s="49">
        <f t="shared" ref="X206:Z206" si="207">N206-S206</f>
        <v>0</v>
      </c>
      <c r="Y206" s="49">
        <f t="shared" si="207"/>
        <v>0</v>
      </c>
      <c r="Z206" s="49">
        <f t="shared" si="207"/>
        <v>0</v>
      </c>
      <c r="AA206" s="54"/>
      <c r="AB206" s="54"/>
      <c r="AC206" s="2">
        <f t="shared" ref="AC206:AC460" si="208">IF(AB206=G206,1,2)</f>
        <v>2</v>
      </c>
      <c r="AD206" s="6"/>
      <c r="AE206" s="6"/>
      <c r="AF206" s="6"/>
      <c r="AG206" s="6"/>
      <c r="AH206" s="6"/>
      <c r="AI206" s="6"/>
      <c r="AJ206" s="6"/>
      <c r="AK206" s="6"/>
      <c r="AL206" s="6"/>
      <c r="AM206" s="6"/>
      <c r="AN206" s="6"/>
      <c r="AO206" s="6"/>
      <c r="AP206" s="6"/>
      <c r="AQ206" s="6"/>
      <c r="AR206" s="6"/>
      <c r="AS206" s="6"/>
    </row>
    <row r="207" spans="1:45" ht="31.5" hidden="1" x14ac:dyDescent="0.25">
      <c r="A207" s="33" t="s">
        <v>83</v>
      </c>
      <c r="B207" s="42">
        <v>2</v>
      </c>
      <c r="C207" s="33" t="s">
        <v>61</v>
      </c>
      <c r="D207" s="33" t="s">
        <v>61</v>
      </c>
      <c r="E207" s="32"/>
      <c r="F207" s="54"/>
      <c r="G207" s="33" t="s">
        <v>84</v>
      </c>
      <c r="H207" s="32"/>
      <c r="I207" s="33" t="s">
        <v>85</v>
      </c>
      <c r="J207" s="33" t="s">
        <v>86</v>
      </c>
      <c r="K207" s="33" t="s">
        <v>43</v>
      </c>
      <c r="L207" s="33" t="s">
        <v>87</v>
      </c>
      <c r="M207" s="44">
        <v>0</v>
      </c>
      <c r="N207" s="45"/>
      <c r="O207" s="66">
        <v>0</v>
      </c>
      <c r="P207" s="86"/>
      <c r="Q207" s="44">
        <f t="shared" si="206"/>
        <v>0</v>
      </c>
      <c r="R207" s="42">
        <v>0</v>
      </c>
      <c r="S207" s="32"/>
      <c r="T207" s="45"/>
      <c r="U207" s="32"/>
      <c r="V207" s="32"/>
      <c r="W207" s="49"/>
      <c r="X207" s="49">
        <f t="shared" ref="X207:Z207" si="209">N207-S207</f>
        <v>0</v>
      </c>
      <c r="Y207" s="49">
        <f t="shared" si="209"/>
        <v>0</v>
      </c>
      <c r="Z207" s="49">
        <f t="shared" si="209"/>
        <v>0</v>
      </c>
      <c r="AA207" s="54"/>
      <c r="AB207" s="54"/>
      <c r="AC207" s="2">
        <f t="shared" si="208"/>
        <v>2</v>
      </c>
      <c r="AD207" s="6"/>
      <c r="AE207" s="6"/>
      <c r="AF207" s="6"/>
      <c r="AG207" s="6"/>
      <c r="AH207" s="6"/>
      <c r="AI207" s="6"/>
      <c r="AJ207" s="6"/>
      <c r="AK207" s="6"/>
      <c r="AL207" s="6"/>
      <c r="AM207" s="6"/>
      <c r="AN207" s="6"/>
      <c r="AO207" s="6"/>
      <c r="AP207" s="6"/>
      <c r="AQ207" s="6"/>
      <c r="AR207" s="6"/>
      <c r="AS207" s="6"/>
    </row>
    <row r="208" spans="1:45" ht="31.5" hidden="1" x14ac:dyDescent="0.25">
      <c r="A208" s="33" t="s">
        <v>60</v>
      </c>
      <c r="B208" s="42">
        <v>3</v>
      </c>
      <c r="C208" s="33" t="s">
        <v>61</v>
      </c>
      <c r="D208" s="33" t="s">
        <v>61</v>
      </c>
      <c r="E208" s="32"/>
      <c r="F208" s="54"/>
      <c r="G208" s="33" t="s">
        <v>97</v>
      </c>
      <c r="H208" s="32"/>
      <c r="I208" s="32"/>
      <c r="J208" s="33" t="s">
        <v>98</v>
      </c>
      <c r="K208" s="33" t="s">
        <v>43</v>
      </c>
      <c r="L208" s="33" t="s">
        <v>99</v>
      </c>
      <c r="M208" s="44">
        <v>3873005</v>
      </c>
      <c r="N208" s="45"/>
      <c r="O208" s="44">
        <v>7500000</v>
      </c>
      <c r="P208" s="86"/>
      <c r="Q208" s="44">
        <f t="shared" si="206"/>
        <v>11373005</v>
      </c>
      <c r="R208" s="52">
        <v>3873005</v>
      </c>
      <c r="S208" s="32"/>
      <c r="T208" s="44">
        <v>7500000</v>
      </c>
      <c r="U208" s="32"/>
      <c r="V208" s="32"/>
      <c r="W208" s="49"/>
      <c r="X208" s="49">
        <f t="shared" ref="X208:Z208" si="210">N208-S208</f>
        <v>0</v>
      </c>
      <c r="Y208" s="49">
        <f t="shared" si="210"/>
        <v>0</v>
      </c>
      <c r="Z208" s="49">
        <f t="shared" si="210"/>
        <v>0</v>
      </c>
      <c r="AA208" s="54"/>
      <c r="AB208" s="54"/>
      <c r="AC208" s="2">
        <f t="shared" si="208"/>
        <v>2</v>
      </c>
      <c r="AD208" s="6"/>
      <c r="AE208" s="6"/>
      <c r="AF208" s="6"/>
      <c r="AG208" s="6"/>
      <c r="AH208" s="6"/>
      <c r="AI208" s="6"/>
      <c r="AJ208" s="6"/>
      <c r="AK208" s="6"/>
      <c r="AL208" s="6"/>
      <c r="AM208" s="6"/>
      <c r="AN208" s="6"/>
      <c r="AO208" s="6"/>
      <c r="AP208" s="6"/>
      <c r="AQ208" s="6"/>
      <c r="AR208" s="6"/>
      <c r="AS208" s="6"/>
    </row>
    <row r="209" spans="1:45" ht="31.5" hidden="1" x14ac:dyDescent="0.25">
      <c r="A209" s="33" t="s">
        <v>60</v>
      </c>
      <c r="B209" s="42">
        <v>4</v>
      </c>
      <c r="C209" s="33" t="s">
        <v>61</v>
      </c>
      <c r="D209" s="33" t="s">
        <v>61</v>
      </c>
      <c r="E209" s="33" t="s">
        <v>100</v>
      </c>
      <c r="F209" s="54"/>
      <c r="G209" s="33" t="s">
        <v>101</v>
      </c>
      <c r="H209" s="33" t="s">
        <v>102</v>
      </c>
      <c r="I209" s="32"/>
      <c r="J209" s="33" t="s">
        <v>103</v>
      </c>
      <c r="K209" s="33" t="s">
        <v>43</v>
      </c>
      <c r="L209" s="33" t="s">
        <v>104</v>
      </c>
      <c r="M209" s="44">
        <v>49303660</v>
      </c>
      <c r="N209" s="44">
        <v>14041440</v>
      </c>
      <c r="O209" s="44">
        <v>7500000</v>
      </c>
      <c r="P209" s="86"/>
      <c r="Q209" s="44">
        <f t="shared" si="206"/>
        <v>70845100</v>
      </c>
      <c r="R209" s="52">
        <v>49303660</v>
      </c>
      <c r="S209" s="48">
        <v>14041440</v>
      </c>
      <c r="T209" s="44">
        <v>7500000</v>
      </c>
      <c r="U209" s="32"/>
      <c r="V209" s="32"/>
      <c r="W209" s="49"/>
      <c r="X209" s="49">
        <f t="shared" ref="X209:Z209" si="211">N209-S209</f>
        <v>0</v>
      </c>
      <c r="Y209" s="49">
        <f t="shared" si="211"/>
        <v>0</v>
      </c>
      <c r="Z209" s="49">
        <f t="shared" si="211"/>
        <v>0</v>
      </c>
      <c r="AA209" s="54"/>
      <c r="AB209" s="54"/>
      <c r="AC209" s="2">
        <f t="shared" si="208"/>
        <v>2</v>
      </c>
      <c r="AD209" s="6"/>
      <c r="AE209" s="6"/>
      <c r="AF209" s="6"/>
      <c r="AG209" s="6"/>
      <c r="AH209" s="6"/>
      <c r="AI209" s="6"/>
      <c r="AJ209" s="6"/>
      <c r="AK209" s="6"/>
      <c r="AL209" s="6"/>
      <c r="AM209" s="6"/>
      <c r="AN209" s="6"/>
      <c r="AO209" s="6"/>
      <c r="AP209" s="6"/>
      <c r="AQ209" s="6"/>
      <c r="AR209" s="6"/>
      <c r="AS209" s="6"/>
    </row>
    <row r="210" spans="1:45" ht="31.5" hidden="1" x14ac:dyDescent="0.25">
      <c r="A210" s="33" t="s">
        <v>83</v>
      </c>
      <c r="B210" s="42">
        <v>5</v>
      </c>
      <c r="C210" s="33" t="s">
        <v>61</v>
      </c>
      <c r="D210" s="33" t="s">
        <v>61</v>
      </c>
      <c r="E210" s="32"/>
      <c r="F210" s="54"/>
      <c r="G210" s="33" t="s">
        <v>112</v>
      </c>
      <c r="H210" s="32"/>
      <c r="I210" s="33" t="s">
        <v>113</v>
      </c>
      <c r="J210" s="33" t="s">
        <v>114</v>
      </c>
      <c r="K210" s="33" t="s">
        <v>43</v>
      </c>
      <c r="L210" s="33" t="s">
        <v>115</v>
      </c>
      <c r="M210" s="44">
        <v>0</v>
      </c>
      <c r="N210" s="45"/>
      <c r="O210" s="66"/>
      <c r="P210" s="86"/>
      <c r="Q210" s="44">
        <f t="shared" si="206"/>
        <v>0</v>
      </c>
      <c r="R210" s="42">
        <v>0</v>
      </c>
      <c r="S210" s="32"/>
      <c r="T210" s="45"/>
      <c r="U210" s="32"/>
      <c r="V210" s="32"/>
      <c r="W210" s="49"/>
      <c r="X210" s="49">
        <f t="shared" ref="X210:Z210" si="212">N210-S210</f>
        <v>0</v>
      </c>
      <c r="Y210" s="49">
        <f t="shared" si="212"/>
        <v>0</v>
      </c>
      <c r="Z210" s="49">
        <f t="shared" si="212"/>
        <v>0</v>
      </c>
      <c r="AA210" s="54"/>
      <c r="AB210" s="54"/>
      <c r="AC210" s="2">
        <f t="shared" si="208"/>
        <v>2</v>
      </c>
      <c r="AD210" s="6"/>
      <c r="AE210" s="6"/>
      <c r="AF210" s="6"/>
      <c r="AG210" s="6"/>
      <c r="AH210" s="6"/>
      <c r="AI210" s="6"/>
      <c r="AJ210" s="6"/>
      <c r="AK210" s="6"/>
      <c r="AL210" s="6"/>
      <c r="AM210" s="6"/>
      <c r="AN210" s="6"/>
      <c r="AO210" s="6"/>
      <c r="AP210" s="6"/>
      <c r="AQ210" s="6"/>
      <c r="AR210" s="6"/>
      <c r="AS210" s="6"/>
    </row>
    <row r="211" spans="1:45" ht="31.5" hidden="1" x14ac:dyDescent="0.25">
      <c r="A211" s="33" t="s">
        <v>60</v>
      </c>
      <c r="B211" s="42">
        <v>6</v>
      </c>
      <c r="C211" s="33" t="s">
        <v>61</v>
      </c>
      <c r="D211" s="33" t="s">
        <v>61</v>
      </c>
      <c r="E211" s="32"/>
      <c r="F211" s="54"/>
      <c r="G211" s="33" t="s">
        <v>121</v>
      </c>
      <c r="H211" s="32"/>
      <c r="I211" s="32"/>
      <c r="J211" s="33" t="s">
        <v>122</v>
      </c>
      <c r="K211" s="33" t="s">
        <v>43</v>
      </c>
      <c r="L211" s="33" t="s">
        <v>123</v>
      </c>
      <c r="M211" s="44">
        <v>0</v>
      </c>
      <c r="N211" s="45"/>
      <c r="O211" s="44">
        <v>7500000</v>
      </c>
      <c r="P211" s="86"/>
      <c r="Q211" s="44">
        <f t="shared" si="206"/>
        <v>7500000</v>
      </c>
      <c r="R211" s="42">
        <v>0</v>
      </c>
      <c r="S211" s="32"/>
      <c r="T211" s="44">
        <v>7500000</v>
      </c>
      <c r="U211" s="32"/>
      <c r="V211" s="32"/>
      <c r="W211" s="49"/>
      <c r="X211" s="49">
        <f t="shared" ref="X211:Z211" si="213">N211-S211</f>
        <v>0</v>
      </c>
      <c r="Y211" s="49">
        <f t="shared" si="213"/>
        <v>0</v>
      </c>
      <c r="Z211" s="49">
        <f t="shared" si="213"/>
        <v>0</v>
      </c>
      <c r="AA211" s="54"/>
      <c r="AB211" s="54"/>
      <c r="AC211" s="2">
        <f t="shared" si="208"/>
        <v>2</v>
      </c>
      <c r="AD211" s="6"/>
      <c r="AE211" s="6"/>
      <c r="AF211" s="6"/>
      <c r="AG211" s="6"/>
      <c r="AH211" s="6"/>
      <c r="AI211" s="6"/>
      <c r="AJ211" s="6"/>
      <c r="AK211" s="6"/>
      <c r="AL211" s="6"/>
      <c r="AM211" s="6"/>
      <c r="AN211" s="6"/>
      <c r="AO211" s="6"/>
      <c r="AP211" s="6"/>
      <c r="AQ211" s="6"/>
      <c r="AR211" s="6"/>
      <c r="AS211" s="6"/>
    </row>
    <row r="212" spans="1:45" ht="31.5" hidden="1" x14ac:dyDescent="0.25">
      <c r="A212" s="33" t="s">
        <v>35</v>
      </c>
      <c r="B212" s="42">
        <v>7</v>
      </c>
      <c r="C212" s="33" t="s">
        <v>61</v>
      </c>
      <c r="D212" s="33" t="s">
        <v>61</v>
      </c>
      <c r="E212" s="32"/>
      <c r="F212" s="54"/>
      <c r="G212" s="33" t="s">
        <v>130</v>
      </c>
      <c r="H212" s="32"/>
      <c r="I212" s="32"/>
      <c r="J212" s="33" t="s">
        <v>131</v>
      </c>
      <c r="K212" s="33" t="s">
        <v>43</v>
      </c>
      <c r="L212" s="33" t="s">
        <v>132</v>
      </c>
      <c r="M212" s="44">
        <v>129028662</v>
      </c>
      <c r="N212" s="45"/>
      <c r="O212" s="44">
        <v>7500000</v>
      </c>
      <c r="P212" s="86"/>
      <c r="Q212" s="44">
        <f t="shared" si="206"/>
        <v>136528662</v>
      </c>
      <c r="R212" s="52">
        <v>129028662</v>
      </c>
      <c r="S212" s="32"/>
      <c r="T212" s="44">
        <v>7500000</v>
      </c>
      <c r="U212" s="32"/>
      <c r="V212" s="32"/>
      <c r="W212" s="49"/>
      <c r="X212" s="49">
        <f t="shared" ref="X212:Z212" si="214">N212-S212</f>
        <v>0</v>
      </c>
      <c r="Y212" s="49">
        <f t="shared" si="214"/>
        <v>0</v>
      </c>
      <c r="Z212" s="49">
        <f t="shared" si="214"/>
        <v>0</v>
      </c>
      <c r="AA212" s="54"/>
      <c r="AB212" s="54"/>
      <c r="AC212" s="2">
        <f t="shared" si="208"/>
        <v>2</v>
      </c>
      <c r="AD212" s="6"/>
      <c r="AE212" s="6"/>
      <c r="AF212" s="6"/>
      <c r="AG212" s="6"/>
      <c r="AH212" s="6"/>
      <c r="AI212" s="6"/>
      <c r="AJ212" s="6"/>
      <c r="AK212" s="6"/>
      <c r="AL212" s="6"/>
      <c r="AM212" s="6"/>
      <c r="AN212" s="6"/>
      <c r="AO212" s="6"/>
      <c r="AP212" s="6"/>
      <c r="AQ212" s="6"/>
      <c r="AR212" s="6"/>
      <c r="AS212" s="6"/>
    </row>
    <row r="213" spans="1:45" ht="31.5" hidden="1" x14ac:dyDescent="0.25">
      <c r="A213" s="33" t="s">
        <v>83</v>
      </c>
      <c r="B213" s="42">
        <v>8</v>
      </c>
      <c r="C213" s="33" t="s">
        <v>61</v>
      </c>
      <c r="D213" s="33" t="s">
        <v>61</v>
      </c>
      <c r="E213" s="32"/>
      <c r="F213" s="54"/>
      <c r="G213" s="33" t="s">
        <v>138</v>
      </c>
      <c r="H213" s="32"/>
      <c r="I213" s="33" t="s">
        <v>113</v>
      </c>
      <c r="J213" s="33" t="s">
        <v>139</v>
      </c>
      <c r="K213" s="33" t="s">
        <v>43</v>
      </c>
      <c r="L213" s="33" t="s">
        <v>140</v>
      </c>
      <c r="M213" s="44">
        <v>0</v>
      </c>
      <c r="N213" s="45"/>
      <c r="O213" s="66"/>
      <c r="P213" s="86"/>
      <c r="Q213" s="44">
        <f t="shared" si="206"/>
        <v>0</v>
      </c>
      <c r="R213" s="42">
        <v>0</v>
      </c>
      <c r="S213" s="32"/>
      <c r="T213" s="45"/>
      <c r="U213" s="32"/>
      <c r="V213" s="32"/>
      <c r="W213" s="49"/>
      <c r="X213" s="49">
        <f t="shared" ref="X213:Z213" si="215">N213-S213</f>
        <v>0</v>
      </c>
      <c r="Y213" s="49">
        <f t="shared" si="215"/>
        <v>0</v>
      </c>
      <c r="Z213" s="49">
        <f t="shared" si="215"/>
        <v>0</v>
      </c>
      <c r="AA213" s="54"/>
      <c r="AB213" s="54"/>
      <c r="AC213" s="2">
        <f t="shared" si="208"/>
        <v>2</v>
      </c>
      <c r="AD213" s="6"/>
      <c r="AE213" s="6"/>
      <c r="AF213" s="6"/>
      <c r="AG213" s="6"/>
      <c r="AH213" s="6"/>
      <c r="AI213" s="6"/>
      <c r="AJ213" s="6"/>
      <c r="AK213" s="6"/>
      <c r="AL213" s="6"/>
      <c r="AM213" s="6"/>
      <c r="AN213" s="6"/>
      <c r="AO213" s="6"/>
      <c r="AP213" s="6"/>
      <c r="AQ213" s="6"/>
      <c r="AR213" s="6"/>
      <c r="AS213" s="6"/>
    </row>
    <row r="214" spans="1:45" ht="31.5" hidden="1" x14ac:dyDescent="0.25">
      <c r="A214" s="33" t="s">
        <v>46</v>
      </c>
      <c r="B214" s="42">
        <v>9</v>
      </c>
      <c r="C214" s="33" t="s">
        <v>141</v>
      </c>
      <c r="D214" s="33" t="s">
        <v>141</v>
      </c>
      <c r="E214" s="32"/>
      <c r="F214" s="54"/>
      <c r="G214" s="33" t="s">
        <v>143</v>
      </c>
      <c r="H214" s="32"/>
      <c r="I214" s="33" t="s">
        <v>145</v>
      </c>
      <c r="J214" s="33" t="s">
        <v>147</v>
      </c>
      <c r="K214" s="33" t="s">
        <v>43</v>
      </c>
      <c r="L214" s="33" t="s">
        <v>149</v>
      </c>
      <c r="M214" s="44">
        <v>5275298400</v>
      </c>
      <c r="N214" s="45"/>
      <c r="O214" s="44">
        <v>15000000</v>
      </c>
      <c r="P214" s="86"/>
      <c r="Q214" s="44">
        <f t="shared" si="206"/>
        <v>5290298400</v>
      </c>
      <c r="R214" s="52">
        <v>5275298400</v>
      </c>
      <c r="S214" s="32"/>
      <c r="T214" s="44">
        <v>15000000</v>
      </c>
      <c r="U214" s="32"/>
      <c r="V214" s="32"/>
      <c r="W214" s="49"/>
      <c r="X214" s="49">
        <f t="shared" ref="X214:Z214" si="216">N214-S214</f>
        <v>0</v>
      </c>
      <c r="Y214" s="49">
        <f t="shared" si="216"/>
        <v>0</v>
      </c>
      <c r="Z214" s="49">
        <f t="shared" si="216"/>
        <v>0</v>
      </c>
      <c r="AA214" s="54"/>
      <c r="AB214" s="54"/>
      <c r="AC214" s="2">
        <f t="shared" si="208"/>
        <v>2</v>
      </c>
      <c r="AD214" s="6"/>
      <c r="AE214" s="6"/>
      <c r="AF214" s="6"/>
      <c r="AG214" s="6"/>
      <c r="AH214" s="6"/>
      <c r="AI214" s="6"/>
      <c r="AJ214" s="6"/>
      <c r="AK214" s="6"/>
      <c r="AL214" s="6"/>
      <c r="AM214" s="6"/>
      <c r="AN214" s="6"/>
      <c r="AO214" s="6"/>
      <c r="AP214" s="6"/>
      <c r="AQ214" s="6"/>
      <c r="AR214" s="6"/>
      <c r="AS214" s="6"/>
    </row>
    <row r="215" spans="1:45" ht="31.5" hidden="1" x14ac:dyDescent="0.25">
      <c r="A215" s="33" t="s">
        <v>83</v>
      </c>
      <c r="B215" s="42">
        <v>10</v>
      </c>
      <c r="C215" s="33" t="s">
        <v>141</v>
      </c>
      <c r="D215" s="33" t="s">
        <v>141</v>
      </c>
      <c r="E215" s="32"/>
      <c r="F215" s="54"/>
      <c r="G215" s="33" t="s">
        <v>151</v>
      </c>
      <c r="H215" s="32"/>
      <c r="I215" s="33" t="s">
        <v>113</v>
      </c>
      <c r="J215" s="33" t="s">
        <v>152</v>
      </c>
      <c r="K215" s="33" t="s">
        <v>43</v>
      </c>
      <c r="L215" s="33" t="s">
        <v>153</v>
      </c>
      <c r="M215" s="44">
        <v>0</v>
      </c>
      <c r="N215" s="45"/>
      <c r="O215" s="66"/>
      <c r="P215" s="86"/>
      <c r="Q215" s="44">
        <f t="shared" si="206"/>
        <v>0</v>
      </c>
      <c r="R215" s="42">
        <v>0</v>
      </c>
      <c r="S215" s="32"/>
      <c r="T215" s="45"/>
      <c r="U215" s="32"/>
      <c r="V215" s="32"/>
      <c r="W215" s="49"/>
      <c r="X215" s="49">
        <f t="shared" ref="X215:Z215" si="217">N215-S215</f>
        <v>0</v>
      </c>
      <c r="Y215" s="49">
        <f t="shared" si="217"/>
        <v>0</v>
      </c>
      <c r="Z215" s="49">
        <f t="shared" si="217"/>
        <v>0</v>
      </c>
      <c r="AA215" s="54"/>
      <c r="AB215" s="54"/>
      <c r="AC215" s="2">
        <f t="shared" si="208"/>
        <v>2</v>
      </c>
      <c r="AD215" s="6"/>
      <c r="AE215" s="6"/>
      <c r="AF215" s="6"/>
      <c r="AG215" s="6"/>
      <c r="AH215" s="6"/>
      <c r="AI215" s="6"/>
      <c r="AJ215" s="6"/>
      <c r="AK215" s="6"/>
      <c r="AL215" s="6"/>
      <c r="AM215" s="6"/>
      <c r="AN215" s="6"/>
      <c r="AO215" s="6"/>
      <c r="AP215" s="6"/>
      <c r="AQ215" s="6"/>
      <c r="AR215" s="6"/>
      <c r="AS215" s="6"/>
    </row>
    <row r="216" spans="1:45" ht="31.5" hidden="1" x14ac:dyDescent="0.25">
      <c r="A216" s="33" t="s">
        <v>52</v>
      </c>
      <c r="B216" s="42">
        <v>11</v>
      </c>
      <c r="C216" s="33" t="s">
        <v>141</v>
      </c>
      <c r="D216" s="33" t="s">
        <v>141</v>
      </c>
      <c r="E216" s="33"/>
      <c r="F216" s="54"/>
      <c r="G216" s="33" t="s">
        <v>160</v>
      </c>
      <c r="H216" s="33"/>
      <c r="I216" s="33"/>
      <c r="J216" s="33" t="s">
        <v>161</v>
      </c>
      <c r="K216" s="33" t="s">
        <v>43</v>
      </c>
      <c r="L216" s="33" t="s">
        <v>162</v>
      </c>
      <c r="M216" s="44">
        <v>2559814110</v>
      </c>
      <c r="N216" s="45"/>
      <c r="O216" s="44">
        <v>7500000</v>
      </c>
      <c r="P216" s="86"/>
      <c r="Q216" s="44">
        <f t="shared" si="206"/>
        <v>2567314110</v>
      </c>
      <c r="R216" s="32"/>
      <c r="S216" s="32"/>
      <c r="T216" s="66"/>
      <c r="U216" s="32"/>
      <c r="V216" s="32"/>
      <c r="W216" s="49">
        <v>2559814110</v>
      </c>
      <c r="X216" s="49">
        <f t="shared" ref="X216:Z216" si="218">N216-S216</f>
        <v>0</v>
      </c>
      <c r="Y216" s="52">
        <f t="shared" si="218"/>
        <v>7500000</v>
      </c>
      <c r="Z216" s="49">
        <f t="shared" si="218"/>
        <v>0</v>
      </c>
      <c r="AA216" s="69">
        <v>2559814110</v>
      </c>
      <c r="AB216" s="43"/>
      <c r="AC216" s="15">
        <f t="shared" si="208"/>
        <v>2</v>
      </c>
      <c r="AD216" s="15"/>
      <c r="AE216" s="6"/>
      <c r="AF216" s="6"/>
      <c r="AG216" s="6"/>
      <c r="AH216" s="6"/>
      <c r="AI216" s="6"/>
      <c r="AJ216" s="6"/>
      <c r="AK216" s="6"/>
      <c r="AL216" s="6"/>
      <c r="AM216" s="6"/>
      <c r="AN216" s="6"/>
      <c r="AO216" s="6"/>
      <c r="AP216" s="6"/>
      <c r="AQ216" s="6"/>
      <c r="AR216" s="6"/>
      <c r="AS216" s="6"/>
    </row>
    <row r="217" spans="1:45" ht="31.5" hidden="1" x14ac:dyDescent="0.25">
      <c r="A217" s="33" t="s">
        <v>52</v>
      </c>
      <c r="B217" s="42">
        <v>12</v>
      </c>
      <c r="C217" s="33" t="s">
        <v>141</v>
      </c>
      <c r="D217" s="33" t="s">
        <v>141</v>
      </c>
      <c r="E217" s="32"/>
      <c r="F217" s="54"/>
      <c r="G217" s="33" t="s">
        <v>169</v>
      </c>
      <c r="H217" s="32"/>
      <c r="I217" s="32"/>
      <c r="J217" s="33" t="s">
        <v>170</v>
      </c>
      <c r="K217" s="33" t="s">
        <v>43</v>
      </c>
      <c r="L217" s="33" t="s">
        <v>171</v>
      </c>
      <c r="M217" s="44">
        <v>60717258</v>
      </c>
      <c r="N217" s="45"/>
      <c r="O217" s="44">
        <v>7500000</v>
      </c>
      <c r="P217" s="86"/>
      <c r="Q217" s="44">
        <f t="shared" si="206"/>
        <v>68217258</v>
      </c>
      <c r="R217" s="48">
        <v>60717258</v>
      </c>
      <c r="S217" s="32"/>
      <c r="T217" s="44">
        <v>7500000</v>
      </c>
      <c r="U217" s="32"/>
      <c r="V217" s="32"/>
      <c r="W217" s="49"/>
      <c r="X217" s="49">
        <f t="shared" ref="X217:Z217" si="219">N217-S217</f>
        <v>0</v>
      </c>
      <c r="Y217" s="49">
        <f t="shared" si="219"/>
        <v>0</v>
      </c>
      <c r="Z217" s="49">
        <f t="shared" si="219"/>
        <v>0</v>
      </c>
      <c r="AA217" s="54"/>
      <c r="AB217" s="54"/>
      <c r="AC217" s="2">
        <f t="shared" si="208"/>
        <v>2</v>
      </c>
      <c r="AD217" s="6"/>
      <c r="AE217" s="6"/>
      <c r="AF217" s="6"/>
      <c r="AG217" s="6"/>
      <c r="AH217" s="6"/>
      <c r="AI217" s="6"/>
      <c r="AJ217" s="6"/>
      <c r="AK217" s="6"/>
      <c r="AL217" s="6"/>
      <c r="AM217" s="6"/>
      <c r="AN217" s="6"/>
      <c r="AO217" s="6"/>
      <c r="AP217" s="6"/>
      <c r="AQ217" s="6"/>
      <c r="AR217" s="6"/>
      <c r="AS217" s="6"/>
    </row>
    <row r="218" spans="1:45" ht="31.5" hidden="1" x14ac:dyDescent="0.25">
      <c r="A218" s="33" t="s">
        <v>52</v>
      </c>
      <c r="B218" s="42">
        <v>13</v>
      </c>
      <c r="C218" s="33" t="s">
        <v>176</v>
      </c>
      <c r="D218" s="33" t="s">
        <v>176</v>
      </c>
      <c r="E218" s="32"/>
      <c r="F218" s="54"/>
      <c r="G218" s="33" t="s">
        <v>177</v>
      </c>
      <c r="H218" s="32"/>
      <c r="I218" s="32"/>
      <c r="J218" s="33" t="s">
        <v>178</v>
      </c>
      <c r="K218" s="33" t="s">
        <v>43</v>
      </c>
      <c r="L218" s="33" t="s">
        <v>179</v>
      </c>
      <c r="M218" s="44">
        <v>1532066300</v>
      </c>
      <c r="N218" s="45"/>
      <c r="O218" s="44">
        <v>7500000</v>
      </c>
      <c r="P218" s="86"/>
      <c r="Q218" s="44">
        <f t="shared" si="206"/>
        <v>1539566300</v>
      </c>
      <c r="R218" s="52">
        <v>1532066300</v>
      </c>
      <c r="S218" s="32"/>
      <c r="T218" s="44">
        <v>7500000</v>
      </c>
      <c r="U218" s="32"/>
      <c r="V218" s="32"/>
      <c r="W218" s="49"/>
      <c r="X218" s="49">
        <f t="shared" ref="X218:Z218" si="220">N218-S218</f>
        <v>0</v>
      </c>
      <c r="Y218" s="49">
        <f t="shared" si="220"/>
        <v>0</v>
      </c>
      <c r="Z218" s="49">
        <f t="shared" si="220"/>
        <v>0</v>
      </c>
      <c r="AA218" s="54"/>
      <c r="AB218" s="54"/>
      <c r="AC218" s="2">
        <f t="shared" si="208"/>
        <v>2</v>
      </c>
      <c r="AD218" s="6"/>
      <c r="AE218" s="6"/>
      <c r="AF218" s="6"/>
      <c r="AG218" s="6"/>
      <c r="AH218" s="6"/>
      <c r="AI218" s="6"/>
      <c r="AJ218" s="6"/>
      <c r="AK218" s="6"/>
      <c r="AL218" s="6"/>
      <c r="AM218" s="6"/>
      <c r="AN218" s="6"/>
      <c r="AO218" s="6"/>
      <c r="AP218" s="6"/>
      <c r="AQ218" s="6"/>
      <c r="AR218" s="6"/>
      <c r="AS218" s="6"/>
    </row>
    <row r="219" spans="1:45" ht="31.5" hidden="1" x14ac:dyDescent="0.25">
      <c r="A219" s="33" t="s">
        <v>52</v>
      </c>
      <c r="B219" s="42">
        <v>14</v>
      </c>
      <c r="C219" s="33" t="s">
        <v>176</v>
      </c>
      <c r="D219" s="33" t="s">
        <v>176</v>
      </c>
      <c r="E219" s="33"/>
      <c r="F219" s="54"/>
      <c r="G219" s="33" t="s">
        <v>180</v>
      </c>
      <c r="H219" s="33"/>
      <c r="I219" s="33"/>
      <c r="J219" s="33" t="s">
        <v>183</v>
      </c>
      <c r="K219" s="33" t="s">
        <v>43</v>
      </c>
      <c r="L219" s="33" t="s">
        <v>185</v>
      </c>
      <c r="M219" s="44">
        <v>1836348912</v>
      </c>
      <c r="N219" s="45"/>
      <c r="O219" s="44">
        <v>7500000</v>
      </c>
      <c r="P219" s="86"/>
      <c r="Q219" s="44">
        <f t="shared" si="206"/>
        <v>1843848912</v>
      </c>
      <c r="R219" s="52">
        <v>1836348912</v>
      </c>
      <c r="S219" s="32"/>
      <c r="T219" s="66"/>
      <c r="U219" s="32"/>
      <c r="V219" s="32"/>
      <c r="W219" s="49"/>
      <c r="X219" s="49">
        <f t="shared" ref="X219:Z219" si="221">N219-S219</f>
        <v>0</v>
      </c>
      <c r="Y219" s="52">
        <f t="shared" si="221"/>
        <v>7500000</v>
      </c>
      <c r="Z219" s="49">
        <f t="shared" si="221"/>
        <v>0</v>
      </c>
      <c r="AA219" s="54"/>
      <c r="AB219" s="43"/>
      <c r="AC219" s="15">
        <f t="shared" si="208"/>
        <v>2</v>
      </c>
      <c r="AD219" s="15"/>
      <c r="AE219" s="6"/>
      <c r="AF219" s="6"/>
      <c r="AG219" s="6"/>
      <c r="AH219" s="6"/>
      <c r="AI219" s="6"/>
      <c r="AJ219" s="6"/>
      <c r="AK219" s="6"/>
      <c r="AL219" s="6"/>
      <c r="AM219" s="6"/>
      <c r="AN219" s="6"/>
      <c r="AO219" s="6"/>
      <c r="AP219" s="6"/>
      <c r="AQ219" s="6"/>
      <c r="AR219" s="6"/>
      <c r="AS219" s="6"/>
    </row>
    <row r="220" spans="1:45" ht="31.5" hidden="1" x14ac:dyDescent="0.25">
      <c r="A220" s="33" t="s">
        <v>52</v>
      </c>
      <c r="B220" s="42">
        <v>15</v>
      </c>
      <c r="C220" s="33" t="s">
        <v>176</v>
      </c>
      <c r="D220" s="33" t="s">
        <v>176</v>
      </c>
      <c r="E220" s="32"/>
      <c r="F220" s="54"/>
      <c r="G220" s="33" t="s">
        <v>187</v>
      </c>
      <c r="H220" s="32"/>
      <c r="I220" s="32"/>
      <c r="J220" s="33" t="s">
        <v>188</v>
      </c>
      <c r="K220" s="33" t="s">
        <v>43</v>
      </c>
      <c r="L220" s="33" t="s">
        <v>189</v>
      </c>
      <c r="M220" s="44">
        <v>662595692</v>
      </c>
      <c r="N220" s="45"/>
      <c r="O220" s="44">
        <v>7500000</v>
      </c>
      <c r="P220" s="86"/>
      <c r="Q220" s="44">
        <f t="shared" si="206"/>
        <v>670095692</v>
      </c>
      <c r="R220" s="52">
        <v>662595692</v>
      </c>
      <c r="S220" s="32"/>
      <c r="T220" s="44">
        <v>7500000</v>
      </c>
      <c r="U220" s="32"/>
      <c r="V220" s="48">
        <v>-195505082</v>
      </c>
      <c r="W220" s="49"/>
      <c r="X220" s="49">
        <f t="shared" ref="X220:Z220" si="222">N220-S220</f>
        <v>0</v>
      </c>
      <c r="Y220" s="49">
        <f t="shared" si="222"/>
        <v>0</v>
      </c>
      <c r="Z220" s="49">
        <f t="shared" si="222"/>
        <v>0</v>
      </c>
      <c r="AA220" s="54"/>
      <c r="AB220" s="54"/>
      <c r="AC220" s="2">
        <f t="shared" si="208"/>
        <v>2</v>
      </c>
      <c r="AD220" s="6"/>
      <c r="AE220" s="6"/>
      <c r="AF220" s="6"/>
      <c r="AG220" s="6"/>
      <c r="AH220" s="6"/>
      <c r="AI220" s="6"/>
      <c r="AJ220" s="6"/>
      <c r="AK220" s="6"/>
      <c r="AL220" s="6"/>
      <c r="AM220" s="6"/>
      <c r="AN220" s="6"/>
      <c r="AO220" s="6"/>
      <c r="AP220" s="6"/>
      <c r="AQ220" s="6"/>
      <c r="AR220" s="6"/>
      <c r="AS220" s="6"/>
    </row>
    <row r="221" spans="1:45" ht="31.5" hidden="1" x14ac:dyDescent="0.25">
      <c r="A221" s="33" t="s">
        <v>35</v>
      </c>
      <c r="B221" s="42">
        <v>16</v>
      </c>
      <c r="C221" s="33" t="s">
        <v>196</v>
      </c>
      <c r="D221" s="33" t="s">
        <v>196</v>
      </c>
      <c r="E221" s="32"/>
      <c r="F221" s="54"/>
      <c r="G221" s="33" t="s">
        <v>197</v>
      </c>
      <c r="H221" s="32"/>
      <c r="I221" s="32"/>
      <c r="J221" s="33" t="s">
        <v>198</v>
      </c>
      <c r="K221" s="33" t="s">
        <v>43</v>
      </c>
      <c r="L221" s="33" t="s">
        <v>199</v>
      </c>
      <c r="M221" s="44">
        <v>13658317884</v>
      </c>
      <c r="N221" s="45"/>
      <c r="O221" s="44">
        <v>7500000</v>
      </c>
      <c r="P221" s="86"/>
      <c r="Q221" s="44">
        <f t="shared" si="206"/>
        <v>13665817884</v>
      </c>
      <c r="R221" s="52">
        <v>13658317884</v>
      </c>
      <c r="S221" s="32"/>
      <c r="T221" s="44">
        <v>7500000</v>
      </c>
      <c r="U221" s="32"/>
      <c r="V221" s="32"/>
      <c r="W221" s="49"/>
      <c r="X221" s="49">
        <f t="shared" ref="X221:Z221" si="223">N221-S221</f>
        <v>0</v>
      </c>
      <c r="Y221" s="49">
        <f t="shared" si="223"/>
        <v>0</v>
      </c>
      <c r="Z221" s="49">
        <f t="shared" si="223"/>
        <v>0</v>
      </c>
      <c r="AA221" s="54"/>
      <c r="AB221" s="54"/>
      <c r="AC221" s="2">
        <f t="shared" si="208"/>
        <v>2</v>
      </c>
      <c r="AD221" s="6"/>
      <c r="AE221" s="6"/>
      <c r="AF221" s="6"/>
      <c r="AG221" s="6"/>
      <c r="AH221" s="6"/>
      <c r="AI221" s="6"/>
      <c r="AJ221" s="6"/>
      <c r="AK221" s="6"/>
      <c r="AL221" s="6"/>
      <c r="AM221" s="6"/>
      <c r="AN221" s="6"/>
      <c r="AO221" s="6"/>
      <c r="AP221" s="6"/>
      <c r="AQ221" s="6"/>
      <c r="AR221" s="6"/>
      <c r="AS221" s="6"/>
    </row>
    <row r="222" spans="1:45" ht="31.5" hidden="1" x14ac:dyDescent="0.25">
      <c r="A222" s="33" t="s">
        <v>60</v>
      </c>
      <c r="B222" s="42">
        <v>17</v>
      </c>
      <c r="C222" s="33" t="s">
        <v>196</v>
      </c>
      <c r="D222" s="33" t="s">
        <v>196</v>
      </c>
      <c r="E222" s="33"/>
      <c r="F222" s="54"/>
      <c r="G222" s="33" t="s">
        <v>204</v>
      </c>
      <c r="H222" s="33"/>
      <c r="I222" s="33"/>
      <c r="J222" s="33" t="s">
        <v>206</v>
      </c>
      <c r="K222" s="33" t="s">
        <v>43</v>
      </c>
      <c r="L222" s="33" t="s">
        <v>207</v>
      </c>
      <c r="M222" s="44">
        <v>1592587200</v>
      </c>
      <c r="N222" s="45"/>
      <c r="O222" s="44">
        <v>7500000</v>
      </c>
      <c r="P222" s="86"/>
      <c r="Q222" s="44">
        <f t="shared" si="206"/>
        <v>1600087200</v>
      </c>
      <c r="R222" s="52">
        <v>1592587200</v>
      </c>
      <c r="S222" s="32"/>
      <c r="T222" s="66"/>
      <c r="U222" s="32"/>
      <c r="V222" s="32"/>
      <c r="W222" s="49"/>
      <c r="X222" s="49">
        <f t="shared" ref="X222:Z222" si="224">N222-S222</f>
        <v>0</v>
      </c>
      <c r="Y222" s="52">
        <f t="shared" si="224"/>
        <v>7500000</v>
      </c>
      <c r="Z222" s="49">
        <f t="shared" si="224"/>
        <v>0</v>
      </c>
      <c r="AA222" s="54"/>
      <c r="AB222" s="43"/>
      <c r="AC222" s="15">
        <f t="shared" si="208"/>
        <v>2</v>
      </c>
      <c r="AD222" s="15"/>
      <c r="AE222" s="6"/>
      <c r="AF222" s="6"/>
      <c r="AG222" s="6"/>
      <c r="AH222" s="6"/>
      <c r="AI222" s="6"/>
      <c r="AJ222" s="6"/>
      <c r="AK222" s="6"/>
      <c r="AL222" s="6"/>
      <c r="AM222" s="6"/>
      <c r="AN222" s="6"/>
      <c r="AO222" s="6"/>
      <c r="AP222" s="6"/>
      <c r="AQ222" s="6"/>
      <c r="AR222" s="6"/>
      <c r="AS222" s="6"/>
    </row>
    <row r="223" spans="1:45" ht="31.5" hidden="1" x14ac:dyDescent="0.25">
      <c r="A223" s="33" t="s">
        <v>83</v>
      </c>
      <c r="B223" s="42">
        <v>18</v>
      </c>
      <c r="C223" s="33" t="s">
        <v>196</v>
      </c>
      <c r="D223" s="33" t="s">
        <v>196</v>
      </c>
      <c r="E223" s="32"/>
      <c r="F223" s="54"/>
      <c r="G223" s="33" t="s">
        <v>213</v>
      </c>
      <c r="H223" s="32"/>
      <c r="I223" s="33" t="s">
        <v>85</v>
      </c>
      <c r="J223" s="33" t="s">
        <v>214</v>
      </c>
      <c r="K223" s="33" t="s">
        <v>43</v>
      </c>
      <c r="L223" s="33" t="s">
        <v>215</v>
      </c>
      <c r="M223" s="44">
        <v>0</v>
      </c>
      <c r="N223" s="45"/>
      <c r="O223" s="66"/>
      <c r="P223" s="86"/>
      <c r="Q223" s="44">
        <f t="shared" si="206"/>
        <v>0</v>
      </c>
      <c r="R223" s="42">
        <v>0</v>
      </c>
      <c r="S223" s="32"/>
      <c r="T223" s="45"/>
      <c r="U223" s="32"/>
      <c r="V223" s="32"/>
      <c r="W223" s="49"/>
      <c r="X223" s="49">
        <f t="shared" ref="X223:Z223" si="225">N223-S223</f>
        <v>0</v>
      </c>
      <c r="Y223" s="49">
        <f t="shared" si="225"/>
        <v>0</v>
      </c>
      <c r="Z223" s="49">
        <f t="shared" si="225"/>
        <v>0</v>
      </c>
      <c r="AA223" s="54"/>
      <c r="AB223" s="54"/>
      <c r="AC223" s="2">
        <f t="shared" si="208"/>
        <v>2</v>
      </c>
      <c r="AD223" s="6"/>
      <c r="AE223" s="6"/>
      <c r="AF223" s="6"/>
      <c r="AG223" s="6"/>
      <c r="AH223" s="6"/>
      <c r="AI223" s="6"/>
      <c r="AJ223" s="6"/>
      <c r="AK223" s="6"/>
      <c r="AL223" s="6"/>
      <c r="AM223" s="6"/>
      <c r="AN223" s="6"/>
      <c r="AO223" s="6"/>
      <c r="AP223" s="6"/>
      <c r="AQ223" s="6"/>
      <c r="AR223" s="6"/>
      <c r="AS223" s="6"/>
    </row>
    <row r="224" spans="1:45" ht="31.5" hidden="1" x14ac:dyDescent="0.25">
      <c r="A224" s="33" t="s">
        <v>35</v>
      </c>
      <c r="B224" s="42">
        <v>19</v>
      </c>
      <c r="C224" s="33" t="s">
        <v>196</v>
      </c>
      <c r="D224" s="33" t="s">
        <v>196</v>
      </c>
      <c r="E224" s="32"/>
      <c r="F224" s="54"/>
      <c r="G224" s="33" t="s">
        <v>217</v>
      </c>
      <c r="H224" s="32"/>
      <c r="I224" s="32"/>
      <c r="J224" s="33" t="s">
        <v>220</v>
      </c>
      <c r="K224" s="33" t="s">
        <v>43</v>
      </c>
      <c r="L224" s="33" t="s">
        <v>222</v>
      </c>
      <c r="M224" s="44">
        <v>4546438698</v>
      </c>
      <c r="N224" s="45"/>
      <c r="O224" s="44">
        <v>15000000</v>
      </c>
      <c r="P224" s="86"/>
      <c r="Q224" s="44">
        <f t="shared" si="206"/>
        <v>4561438698</v>
      </c>
      <c r="R224" s="52">
        <v>4546438698</v>
      </c>
      <c r="S224" s="32"/>
      <c r="T224" s="44">
        <v>15000000</v>
      </c>
      <c r="U224" s="32"/>
      <c r="V224" s="32"/>
      <c r="W224" s="49"/>
      <c r="X224" s="49">
        <f t="shared" ref="X224:Z224" si="226">N224-S224</f>
        <v>0</v>
      </c>
      <c r="Y224" s="49">
        <f t="shared" si="226"/>
        <v>0</v>
      </c>
      <c r="Z224" s="49">
        <f t="shared" si="226"/>
        <v>0</v>
      </c>
      <c r="AA224" s="54"/>
      <c r="AB224" s="54"/>
      <c r="AC224" s="2">
        <f t="shared" si="208"/>
        <v>2</v>
      </c>
      <c r="AD224" s="6"/>
      <c r="AE224" s="6"/>
      <c r="AF224" s="6"/>
      <c r="AG224" s="6"/>
      <c r="AH224" s="6"/>
      <c r="AI224" s="6"/>
      <c r="AJ224" s="6"/>
      <c r="AK224" s="6"/>
      <c r="AL224" s="6"/>
      <c r="AM224" s="6"/>
      <c r="AN224" s="6"/>
      <c r="AO224" s="6"/>
      <c r="AP224" s="6"/>
      <c r="AQ224" s="6"/>
      <c r="AR224" s="6"/>
      <c r="AS224" s="6"/>
    </row>
    <row r="225" spans="1:45" ht="47.25" hidden="1" x14ac:dyDescent="0.25">
      <c r="A225" s="33" t="s">
        <v>83</v>
      </c>
      <c r="B225" s="42">
        <v>20</v>
      </c>
      <c r="C225" s="33" t="s">
        <v>196</v>
      </c>
      <c r="D225" s="33" t="s">
        <v>196</v>
      </c>
      <c r="E225" s="32"/>
      <c r="F225" s="54"/>
      <c r="G225" s="33" t="s">
        <v>224</v>
      </c>
      <c r="H225" s="32"/>
      <c r="I225" s="33" t="s">
        <v>113</v>
      </c>
      <c r="J225" s="33" t="s">
        <v>226</v>
      </c>
      <c r="K225" s="33" t="s">
        <v>43</v>
      </c>
      <c r="L225" s="33" t="s">
        <v>229</v>
      </c>
      <c r="M225" s="44">
        <v>0</v>
      </c>
      <c r="N225" s="45"/>
      <c r="O225" s="66"/>
      <c r="P225" s="86"/>
      <c r="Q225" s="44">
        <f t="shared" si="206"/>
        <v>0</v>
      </c>
      <c r="R225" s="42">
        <v>0</v>
      </c>
      <c r="S225" s="32"/>
      <c r="T225" s="45"/>
      <c r="U225" s="32"/>
      <c r="V225" s="32"/>
      <c r="W225" s="49"/>
      <c r="X225" s="49">
        <f t="shared" ref="X225:Z225" si="227">N225-S225</f>
        <v>0</v>
      </c>
      <c r="Y225" s="49">
        <f t="shared" si="227"/>
        <v>0</v>
      </c>
      <c r="Z225" s="49">
        <f t="shared" si="227"/>
        <v>0</v>
      </c>
      <c r="AA225" s="54"/>
      <c r="AB225" s="54"/>
      <c r="AC225" s="2">
        <f t="shared" si="208"/>
        <v>2</v>
      </c>
      <c r="AD225" s="6"/>
      <c r="AE225" s="6"/>
      <c r="AF225" s="6"/>
      <c r="AG225" s="6"/>
      <c r="AH225" s="6"/>
      <c r="AI225" s="6"/>
      <c r="AJ225" s="6"/>
      <c r="AK225" s="6"/>
      <c r="AL225" s="6"/>
      <c r="AM225" s="6"/>
      <c r="AN225" s="6"/>
      <c r="AO225" s="6"/>
      <c r="AP225" s="6"/>
      <c r="AQ225" s="6"/>
      <c r="AR225" s="6"/>
      <c r="AS225" s="6"/>
    </row>
    <row r="226" spans="1:45" ht="31.5" hidden="1" x14ac:dyDescent="0.25">
      <c r="A226" s="33" t="s">
        <v>60</v>
      </c>
      <c r="B226" s="42">
        <v>21</v>
      </c>
      <c r="C226" s="33" t="s">
        <v>196</v>
      </c>
      <c r="D226" s="33" t="s">
        <v>196</v>
      </c>
      <c r="E226" s="32"/>
      <c r="F226" s="54"/>
      <c r="G226" s="33" t="s">
        <v>234</v>
      </c>
      <c r="H226" s="32"/>
      <c r="I226" s="32"/>
      <c r="J226" s="33" t="s">
        <v>235</v>
      </c>
      <c r="K226" s="33" t="s">
        <v>43</v>
      </c>
      <c r="L226" s="33" t="s">
        <v>237</v>
      </c>
      <c r="M226" s="44">
        <v>402447024</v>
      </c>
      <c r="N226" s="45"/>
      <c r="O226" s="44">
        <v>7500000</v>
      </c>
      <c r="P226" s="86"/>
      <c r="Q226" s="44">
        <f t="shared" si="206"/>
        <v>409947024</v>
      </c>
      <c r="R226" s="52">
        <v>402447024</v>
      </c>
      <c r="S226" s="32"/>
      <c r="T226" s="44">
        <v>7500000</v>
      </c>
      <c r="U226" s="32"/>
      <c r="V226" s="32"/>
      <c r="W226" s="49"/>
      <c r="X226" s="49">
        <f t="shared" ref="X226:Z226" si="228">N226-S226</f>
        <v>0</v>
      </c>
      <c r="Y226" s="49">
        <f t="shared" si="228"/>
        <v>0</v>
      </c>
      <c r="Z226" s="49">
        <f t="shared" si="228"/>
        <v>0</v>
      </c>
      <c r="AA226" s="54"/>
      <c r="AB226" s="54"/>
      <c r="AC226" s="2">
        <f t="shared" si="208"/>
        <v>2</v>
      </c>
      <c r="AD226" s="6"/>
      <c r="AE226" s="6"/>
      <c r="AF226" s="6"/>
      <c r="AG226" s="6"/>
      <c r="AH226" s="6"/>
      <c r="AI226" s="6"/>
      <c r="AJ226" s="6"/>
      <c r="AK226" s="6"/>
      <c r="AL226" s="6"/>
      <c r="AM226" s="6"/>
      <c r="AN226" s="6"/>
      <c r="AO226" s="6"/>
      <c r="AP226" s="6"/>
      <c r="AQ226" s="6"/>
      <c r="AR226" s="6"/>
      <c r="AS226" s="6"/>
    </row>
    <row r="227" spans="1:45" ht="31.5" hidden="1" x14ac:dyDescent="0.25">
      <c r="A227" s="33" t="s">
        <v>83</v>
      </c>
      <c r="B227" s="42">
        <v>22</v>
      </c>
      <c r="C227" s="33" t="s">
        <v>196</v>
      </c>
      <c r="D227" s="33" t="s">
        <v>196</v>
      </c>
      <c r="E227" s="32"/>
      <c r="F227" s="54"/>
      <c r="G227" s="33" t="s">
        <v>247</v>
      </c>
      <c r="H227" s="32"/>
      <c r="I227" s="33" t="s">
        <v>85</v>
      </c>
      <c r="J227" s="33" t="s">
        <v>248</v>
      </c>
      <c r="K227" s="33" t="s">
        <v>43</v>
      </c>
      <c r="L227" s="33" t="s">
        <v>249</v>
      </c>
      <c r="M227" s="44">
        <v>0</v>
      </c>
      <c r="N227" s="45"/>
      <c r="O227" s="66"/>
      <c r="P227" s="86"/>
      <c r="Q227" s="44">
        <f t="shared" si="206"/>
        <v>0</v>
      </c>
      <c r="R227" s="42">
        <v>0</v>
      </c>
      <c r="S227" s="32"/>
      <c r="T227" s="45"/>
      <c r="U227" s="32"/>
      <c r="V227" s="32"/>
      <c r="W227" s="49"/>
      <c r="X227" s="49">
        <f t="shared" ref="X227:Z227" si="229">N227-S227</f>
        <v>0</v>
      </c>
      <c r="Y227" s="49">
        <f t="shared" si="229"/>
        <v>0</v>
      </c>
      <c r="Z227" s="49">
        <f t="shared" si="229"/>
        <v>0</v>
      </c>
      <c r="AA227" s="54"/>
      <c r="AB227" s="54"/>
      <c r="AC227" s="2">
        <f t="shared" si="208"/>
        <v>2</v>
      </c>
      <c r="AD227" s="6"/>
      <c r="AE227" s="6"/>
      <c r="AF227" s="6"/>
      <c r="AG227" s="6"/>
      <c r="AH227" s="6"/>
      <c r="AI227" s="6"/>
      <c r="AJ227" s="6"/>
      <c r="AK227" s="6"/>
      <c r="AL227" s="6"/>
      <c r="AM227" s="6"/>
      <c r="AN227" s="6"/>
      <c r="AO227" s="6"/>
      <c r="AP227" s="6"/>
      <c r="AQ227" s="6"/>
      <c r="AR227" s="6"/>
      <c r="AS227" s="6"/>
    </row>
    <row r="228" spans="1:45" ht="31.5" hidden="1" x14ac:dyDescent="0.25">
      <c r="A228" s="33" t="s">
        <v>52</v>
      </c>
      <c r="B228" s="42">
        <v>23</v>
      </c>
      <c r="C228" s="33" t="s">
        <v>196</v>
      </c>
      <c r="D228" s="33" t="s">
        <v>196</v>
      </c>
      <c r="E228" s="32"/>
      <c r="F228" s="54"/>
      <c r="G228" s="33" t="s">
        <v>255</v>
      </c>
      <c r="H228" s="32"/>
      <c r="I228" s="32"/>
      <c r="J228" s="33" t="s">
        <v>256</v>
      </c>
      <c r="K228" s="33" t="s">
        <v>43</v>
      </c>
      <c r="L228" s="33" t="s">
        <v>257</v>
      </c>
      <c r="M228" s="44">
        <v>655613400</v>
      </c>
      <c r="N228" s="45"/>
      <c r="O228" s="44">
        <v>7500000</v>
      </c>
      <c r="P228" s="86"/>
      <c r="Q228" s="44">
        <f t="shared" si="206"/>
        <v>663113400</v>
      </c>
      <c r="R228" s="52">
        <v>655613400</v>
      </c>
      <c r="S228" s="32"/>
      <c r="T228" s="44">
        <v>7500000</v>
      </c>
      <c r="U228" s="32"/>
      <c r="V228" s="32"/>
      <c r="W228" s="49"/>
      <c r="X228" s="49">
        <f t="shared" ref="X228:Z228" si="230">N228-S228</f>
        <v>0</v>
      </c>
      <c r="Y228" s="49">
        <f t="shared" si="230"/>
        <v>0</v>
      </c>
      <c r="Z228" s="49">
        <f t="shared" si="230"/>
        <v>0</v>
      </c>
      <c r="AA228" s="54"/>
      <c r="AB228" s="54"/>
      <c r="AC228" s="2">
        <f t="shared" si="208"/>
        <v>2</v>
      </c>
      <c r="AD228" s="6"/>
      <c r="AE228" s="6"/>
      <c r="AF228" s="6"/>
      <c r="AG228" s="6"/>
      <c r="AH228" s="6"/>
      <c r="AI228" s="6"/>
      <c r="AJ228" s="6"/>
      <c r="AK228" s="6"/>
      <c r="AL228" s="6"/>
      <c r="AM228" s="6"/>
      <c r="AN228" s="6"/>
      <c r="AO228" s="6"/>
      <c r="AP228" s="6"/>
      <c r="AQ228" s="6"/>
      <c r="AR228" s="6"/>
      <c r="AS228" s="6"/>
    </row>
    <row r="229" spans="1:45" ht="47.25" hidden="1" x14ac:dyDescent="0.25">
      <c r="A229" s="33" t="s">
        <v>83</v>
      </c>
      <c r="B229" s="42">
        <v>24</v>
      </c>
      <c r="C229" s="33" t="s">
        <v>196</v>
      </c>
      <c r="D229" s="33" t="s">
        <v>196</v>
      </c>
      <c r="E229" s="32"/>
      <c r="F229" s="54"/>
      <c r="G229" s="33" t="s">
        <v>264</v>
      </c>
      <c r="H229" s="32"/>
      <c r="I229" s="33" t="s">
        <v>113</v>
      </c>
      <c r="J229" s="33" t="s">
        <v>265</v>
      </c>
      <c r="K229" s="33" t="s">
        <v>43</v>
      </c>
      <c r="L229" s="33" t="s">
        <v>266</v>
      </c>
      <c r="M229" s="44">
        <v>0</v>
      </c>
      <c r="N229" s="45"/>
      <c r="O229" s="66"/>
      <c r="P229" s="86"/>
      <c r="Q229" s="44">
        <f t="shared" si="206"/>
        <v>0</v>
      </c>
      <c r="R229" s="42">
        <v>0</v>
      </c>
      <c r="S229" s="32"/>
      <c r="T229" s="45"/>
      <c r="U229" s="32"/>
      <c r="V229" s="32"/>
      <c r="W229" s="49"/>
      <c r="X229" s="49">
        <f t="shared" ref="X229:Z229" si="231">N229-S229</f>
        <v>0</v>
      </c>
      <c r="Y229" s="49">
        <f t="shared" si="231"/>
        <v>0</v>
      </c>
      <c r="Z229" s="49">
        <f t="shared" si="231"/>
        <v>0</v>
      </c>
      <c r="AA229" s="54"/>
      <c r="AB229" s="54"/>
      <c r="AC229" s="2">
        <f t="shared" si="208"/>
        <v>2</v>
      </c>
      <c r="AD229" s="6"/>
      <c r="AE229" s="6"/>
      <c r="AF229" s="6"/>
      <c r="AG229" s="6"/>
      <c r="AH229" s="6"/>
      <c r="AI229" s="6"/>
      <c r="AJ229" s="6"/>
      <c r="AK229" s="6"/>
      <c r="AL229" s="6"/>
      <c r="AM229" s="6"/>
      <c r="AN229" s="6"/>
      <c r="AO229" s="6"/>
      <c r="AP229" s="6"/>
      <c r="AQ229" s="6"/>
      <c r="AR229" s="6"/>
      <c r="AS229" s="6"/>
    </row>
    <row r="230" spans="1:45" ht="31.5" hidden="1" x14ac:dyDescent="0.25">
      <c r="A230" s="33" t="s">
        <v>60</v>
      </c>
      <c r="B230" s="42">
        <v>25</v>
      </c>
      <c r="C230" s="33" t="s">
        <v>196</v>
      </c>
      <c r="D230" s="33" t="s">
        <v>196</v>
      </c>
      <c r="E230" s="32"/>
      <c r="F230" s="54"/>
      <c r="G230" s="33" t="s">
        <v>272</v>
      </c>
      <c r="H230" s="32"/>
      <c r="I230" s="32"/>
      <c r="J230" s="33" t="s">
        <v>273</v>
      </c>
      <c r="K230" s="33" t="s">
        <v>43</v>
      </c>
      <c r="L230" s="33" t="s">
        <v>274</v>
      </c>
      <c r="M230" s="44">
        <v>1685363872</v>
      </c>
      <c r="N230" s="45"/>
      <c r="O230" s="44">
        <v>15000000</v>
      </c>
      <c r="P230" s="86"/>
      <c r="Q230" s="44">
        <f t="shared" si="206"/>
        <v>1700363872</v>
      </c>
      <c r="R230" s="52">
        <v>1685363872</v>
      </c>
      <c r="S230" s="32"/>
      <c r="T230" s="44">
        <v>15000000</v>
      </c>
      <c r="U230" s="32"/>
      <c r="V230" s="32"/>
      <c r="W230" s="49"/>
      <c r="X230" s="49">
        <f t="shared" ref="X230:Z230" si="232">N230-S230</f>
        <v>0</v>
      </c>
      <c r="Y230" s="49">
        <f t="shared" si="232"/>
        <v>0</v>
      </c>
      <c r="Z230" s="49">
        <f t="shared" si="232"/>
        <v>0</v>
      </c>
      <c r="AA230" s="54"/>
      <c r="AB230" s="54"/>
      <c r="AC230" s="2">
        <f t="shared" si="208"/>
        <v>2</v>
      </c>
      <c r="AD230" s="6"/>
      <c r="AE230" s="6"/>
      <c r="AF230" s="6"/>
      <c r="AG230" s="6"/>
      <c r="AH230" s="6"/>
      <c r="AI230" s="6"/>
      <c r="AJ230" s="6"/>
      <c r="AK230" s="6"/>
      <c r="AL230" s="6"/>
      <c r="AM230" s="6"/>
      <c r="AN230" s="6"/>
      <c r="AO230" s="6"/>
      <c r="AP230" s="6"/>
      <c r="AQ230" s="6"/>
      <c r="AR230" s="6"/>
      <c r="AS230" s="6"/>
    </row>
    <row r="231" spans="1:45" ht="31.5" hidden="1" x14ac:dyDescent="0.25">
      <c r="A231" s="33" t="s">
        <v>83</v>
      </c>
      <c r="B231" s="42">
        <v>26</v>
      </c>
      <c r="C231" s="33" t="s">
        <v>196</v>
      </c>
      <c r="D231" s="33" t="s">
        <v>196</v>
      </c>
      <c r="E231" s="32"/>
      <c r="F231" s="54"/>
      <c r="G231" s="33" t="s">
        <v>277</v>
      </c>
      <c r="H231" s="32"/>
      <c r="I231" s="33" t="s">
        <v>85</v>
      </c>
      <c r="J231" s="33" t="s">
        <v>281</v>
      </c>
      <c r="K231" s="33" t="s">
        <v>43</v>
      </c>
      <c r="L231" s="33" t="s">
        <v>283</v>
      </c>
      <c r="M231" s="44">
        <v>0</v>
      </c>
      <c r="N231" s="45"/>
      <c r="O231" s="66"/>
      <c r="P231" s="86"/>
      <c r="Q231" s="44">
        <f t="shared" si="206"/>
        <v>0</v>
      </c>
      <c r="R231" s="42">
        <v>0</v>
      </c>
      <c r="S231" s="32"/>
      <c r="T231" s="45"/>
      <c r="U231" s="32"/>
      <c r="V231" s="32"/>
      <c r="W231" s="49"/>
      <c r="X231" s="49">
        <f t="shared" ref="X231:Z231" si="233">N231-S231</f>
        <v>0</v>
      </c>
      <c r="Y231" s="49">
        <f t="shared" si="233"/>
        <v>0</v>
      </c>
      <c r="Z231" s="49">
        <f t="shared" si="233"/>
        <v>0</v>
      </c>
      <c r="AA231" s="54"/>
      <c r="AB231" s="54"/>
      <c r="AC231" s="2">
        <f t="shared" si="208"/>
        <v>2</v>
      </c>
      <c r="AD231" s="6"/>
      <c r="AE231" s="6"/>
      <c r="AF231" s="6"/>
      <c r="AG231" s="6"/>
      <c r="AH231" s="6"/>
      <c r="AI231" s="6"/>
      <c r="AJ231" s="6"/>
      <c r="AK231" s="6"/>
      <c r="AL231" s="6"/>
      <c r="AM231" s="6"/>
      <c r="AN231" s="6"/>
      <c r="AO231" s="6"/>
      <c r="AP231" s="6"/>
      <c r="AQ231" s="6"/>
      <c r="AR231" s="6"/>
      <c r="AS231" s="6"/>
    </row>
    <row r="232" spans="1:45" ht="31.5" hidden="1" x14ac:dyDescent="0.25">
      <c r="A232" s="33" t="s">
        <v>83</v>
      </c>
      <c r="B232" s="42">
        <v>27</v>
      </c>
      <c r="C232" s="33" t="s">
        <v>286</v>
      </c>
      <c r="D232" s="33" t="s">
        <v>286</v>
      </c>
      <c r="E232" s="32"/>
      <c r="F232" s="54"/>
      <c r="G232" s="33" t="s">
        <v>287</v>
      </c>
      <c r="H232" s="32"/>
      <c r="I232" s="33" t="s">
        <v>113</v>
      </c>
      <c r="J232" s="33" t="s">
        <v>281</v>
      </c>
      <c r="K232" s="33" t="s">
        <v>43</v>
      </c>
      <c r="L232" s="33" t="s">
        <v>288</v>
      </c>
      <c r="M232" s="44">
        <v>0</v>
      </c>
      <c r="N232" s="45"/>
      <c r="O232" s="66"/>
      <c r="P232" s="86"/>
      <c r="Q232" s="44">
        <f t="shared" si="206"/>
        <v>0</v>
      </c>
      <c r="R232" s="42">
        <v>0</v>
      </c>
      <c r="S232" s="32"/>
      <c r="T232" s="45"/>
      <c r="U232" s="32"/>
      <c r="V232" s="32"/>
      <c r="W232" s="49"/>
      <c r="X232" s="49">
        <f t="shared" ref="X232:Z232" si="234">N232-S232</f>
        <v>0</v>
      </c>
      <c r="Y232" s="49">
        <f t="shared" si="234"/>
        <v>0</v>
      </c>
      <c r="Z232" s="49">
        <f t="shared" si="234"/>
        <v>0</v>
      </c>
      <c r="AA232" s="54"/>
      <c r="AB232" s="54"/>
      <c r="AC232" s="2">
        <f t="shared" si="208"/>
        <v>2</v>
      </c>
      <c r="AD232" s="6"/>
      <c r="AE232" s="6"/>
      <c r="AF232" s="6"/>
      <c r="AG232" s="6"/>
      <c r="AH232" s="6"/>
      <c r="AI232" s="6"/>
      <c r="AJ232" s="6"/>
      <c r="AK232" s="6"/>
      <c r="AL232" s="6"/>
      <c r="AM232" s="6"/>
      <c r="AN232" s="6"/>
      <c r="AO232" s="6"/>
      <c r="AP232" s="6"/>
      <c r="AQ232" s="6"/>
      <c r="AR232" s="6"/>
      <c r="AS232" s="6"/>
    </row>
    <row r="233" spans="1:45" ht="31.5" hidden="1" x14ac:dyDescent="0.25">
      <c r="A233" s="33" t="s">
        <v>35</v>
      </c>
      <c r="B233" s="42">
        <v>28</v>
      </c>
      <c r="C233" s="33" t="s">
        <v>286</v>
      </c>
      <c r="D233" s="33" t="s">
        <v>286</v>
      </c>
      <c r="E233" s="32"/>
      <c r="F233" s="54"/>
      <c r="G233" s="33" t="s">
        <v>294</v>
      </c>
      <c r="H233" s="32"/>
      <c r="I233" s="32"/>
      <c r="J233" s="33" t="s">
        <v>295</v>
      </c>
      <c r="K233" s="33" t="s">
        <v>43</v>
      </c>
      <c r="L233" s="33" t="s">
        <v>296</v>
      </c>
      <c r="M233" s="44">
        <v>5297512200</v>
      </c>
      <c r="N233" s="45"/>
      <c r="O233" s="44">
        <v>7500000</v>
      </c>
      <c r="P233" s="86"/>
      <c r="Q233" s="44">
        <f t="shared" si="206"/>
        <v>5305012200</v>
      </c>
      <c r="R233" s="48">
        <v>5297512200</v>
      </c>
      <c r="S233" s="32"/>
      <c r="T233" s="44">
        <v>7500000</v>
      </c>
      <c r="U233" s="32"/>
      <c r="V233" s="32"/>
      <c r="W233" s="49"/>
      <c r="X233" s="49">
        <f t="shared" ref="X233:Z233" si="235">N233-S233</f>
        <v>0</v>
      </c>
      <c r="Y233" s="49">
        <f t="shared" si="235"/>
        <v>0</v>
      </c>
      <c r="Z233" s="49">
        <f t="shared" si="235"/>
        <v>0</v>
      </c>
      <c r="AA233" s="54"/>
      <c r="AB233" s="54"/>
      <c r="AC233" s="2">
        <f t="shared" si="208"/>
        <v>2</v>
      </c>
      <c r="AD233" s="6"/>
      <c r="AE233" s="6"/>
      <c r="AF233" s="6"/>
      <c r="AG233" s="6"/>
      <c r="AH233" s="6"/>
      <c r="AI233" s="6"/>
      <c r="AJ233" s="6"/>
      <c r="AK233" s="6"/>
      <c r="AL233" s="6"/>
      <c r="AM233" s="6"/>
      <c r="AN233" s="6"/>
      <c r="AO233" s="6"/>
      <c r="AP233" s="6"/>
      <c r="AQ233" s="6"/>
      <c r="AR233" s="6"/>
      <c r="AS233" s="6"/>
    </row>
    <row r="234" spans="1:45" ht="31.5" hidden="1" x14ac:dyDescent="0.25">
      <c r="A234" s="33" t="s">
        <v>46</v>
      </c>
      <c r="B234" s="42">
        <v>29</v>
      </c>
      <c r="C234" s="33" t="s">
        <v>286</v>
      </c>
      <c r="D234" s="33" t="s">
        <v>286</v>
      </c>
      <c r="E234" s="32"/>
      <c r="F234" s="54"/>
      <c r="G234" s="33" t="s">
        <v>299</v>
      </c>
      <c r="H234" s="32"/>
      <c r="I234" s="32"/>
      <c r="J234" s="33" t="s">
        <v>302</v>
      </c>
      <c r="K234" s="33" t="s">
        <v>43</v>
      </c>
      <c r="L234" s="33" t="s">
        <v>303</v>
      </c>
      <c r="M234" s="44">
        <v>3215919560</v>
      </c>
      <c r="N234" s="45"/>
      <c r="O234" s="44">
        <v>7500000</v>
      </c>
      <c r="P234" s="86"/>
      <c r="Q234" s="44">
        <f t="shared" si="206"/>
        <v>3223419560</v>
      </c>
      <c r="R234" s="52">
        <v>3215919560</v>
      </c>
      <c r="S234" s="32"/>
      <c r="T234" s="44">
        <v>7500000</v>
      </c>
      <c r="U234" s="32"/>
      <c r="V234" s="32"/>
      <c r="W234" s="49"/>
      <c r="X234" s="49">
        <f t="shared" ref="X234:Z234" si="236">N234-S234</f>
        <v>0</v>
      </c>
      <c r="Y234" s="49">
        <f t="shared" si="236"/>
        <v>0</v>
      </c>
      <c r="Z234" s="49">
        <f t="shared" si="236"/>
        <v>0</v>
      </c>
      <c r="AA234" s="54"/>
      <c r="AB234" s="54"/>
      <c r="AC234" s="2">
        <f t="shared" si="208"/>
        <v>2</v>
      </c>
      <c r="AD234" s="6"/>
      <c r="AE234" s="6"/>
      <c r="AF234" s="6"/>
      <c r="AG234" s="6"/>
      <c r="AH234" s="6"/>
      <c r="AI234" s="6"/>
      <c r="AJ234" s="6"/>
      <c r="AK234" s="6"/>
      <c r="AL234" s="6"/>
      <c r="AM234" s="6"/>
      <c r="AN234" s="6"/>
      <c r="AO234" s="6"/>
      <c r="AP234" s="6"/>
      <c r="AQ234" s="6"/>
      <c r="AR234" s="6"/>
      <c r="AS234" s="6"/>
    </row>
    <row r="235" spans="1:45" ht="31.5" hidden="1" x14ac:dyDescent="0.25">
      <c r="A235" s="33" t="s">
        <v>35</v>
      </c>
      <c r="B235" s="42">
        <v>30</v>
      </c>
      <c r="C235" s="33" t="s">
        <v>286</v>
      </c>
      <c r="D235" s="33" t="s">
        <v>286</v>
      </c>
      <c r="E235" s="32"/>
      <c r="F235" s="54"/>
      <c r="G235" s="33" t="s">
        <v>306</v>
      </c>
      <c r="H235" s="32"/>
      <c r="I235" s="32"/>
      <c r="J235" s="33" t="s">
        <v>307</v>
      </c>
      <c r="K235" s="33" t="s">
        <v>43</v>
      </c>
      <c r="L235" s="33" t="s">
        <v>308</v>
      </c>
      <c r="M235" s="44">
        <v>4662504</v>
      </c>
      <c r="N235" s="45"/>
      <c r="O235" s="44">
        <v>7500000</v>
      </c>
      <c r="P235" s="86"/>
      <c r="Q235" s="44">
        <f t="shared" si="206"/>
        <v>12162504</v>
      </c>
      <c r="R235" s="48">
        <v>4662504</v>
      </c>
      <c r="S235" s="32"/>
      <c r="T235" s="44">
        <v>7500000</v>
      </c>
      <c r="U235" s="32"/>
      <c r="V235" s="32"/>
      <c r="W235" s="49"/>
      <c r="X235" s="49">
        <f t="shared" ref="X235:Z235" si="237">N235-S235</f>
        <v>0</v>
      </c>
      <c r="Y235" s="49">
        <f t="shared" si="237"/>
        <v>0</v>
      </c>
      <c r="Z235" s="49">
        <f t="shared" si="237"/>
        <v>0</v>
      </c>
      <c r="AA235" s="54"/>
      <c r="AB235" s="54"/>
      <c r="AC235" s="2">
        <f t="shared" si="208"/>
        <v>2</v>
      </c>
      <c r="AD235" s="6"/>
      <c r="AE235" s="6"/>
      <c r="AF235" s="6"/>
      <c r="AG235" s="6"/>
      <c r="AH235" s="6"/>
      <c r="AI235" s="6"/>
      <c r="AJ235" s="6"/>
      <c r="AK235" s="6"/>
      <c r="AL235" s="6"/>
      <c r="AM235" s="6"/>
      <c r="AN235" s="6"/>
      <c r="AO235" s="6"/>
      <c r="AP235" s="6"/>
      <c r="AQ235" s="6"/>
      <c r="AR235" s="6"/>
      <c r="AS235" s="6"/>
    </row>
    <row r="236" spans="1:45" ht="31.5" hidden="1" x14ac:dyDescent="0.25">
      <c r="A236" s="33" t="s">
        <v>46</v>
      </c>
      <c r="B236" s="42">
        <v>31</v>
      </c>
      <c r="C236" s="33" t="s">
        <v>286</v>
      </c>
      <c r="D236" s="33" t="s">
        <v>286</v>
      </c>
      <c r="E236" s="32"/>
      <c r="F236" s="54"/>
      <c r="G236" s="33" t="s">
        <v>314</v>
      </c>
      <c r="H236" s="32"/>
      <c r="I236" s="32"/>
      <c r="J236" s="33" t="s">
        <v>315</v>
      </c>
      <c r="K236" s="33" t="s">
        <v>43</v>
      </c>
      <c r="L236" s="33" t="s">
        <v>316</v>
      </c>
      <c r="M236" s="44">
        <v>1731644540</v>
      </c>
      <c r="N236" s="45"/>
      <c r="O236" s="44">
        <v>15000000</v>
      </c>
      <c r="P236" s="86"/>
      <c r="Q236" s="44">
        <f t="shared" si="206"/>
        <v>1746644540</v>
      </c>
      <c r="R236" s="48">
        <v>1731644540</v>
      </c>
      <c r="S236" s="32"/>
      <c r="T236" s="44">
        <v>15000000</v>
      </c>
      <c r="U236" s="32"/>
      <c r="V236" s="32"/>
      <c r="W236" s="49"/>
      <c r="X236" s="49">
        <f t="shared" ref="X236:Z236" si="238">N236-S236</f>
        <v>0</v>
      </c>
      <c r="Y236" s="49">
        <f t="shared" si="238"/>
        <v>0</v>
      </c>
      <c r="Z236" s="49">
        <f t="shared" si="238"/>
        <v>0</v>
      </c>
      <c r="AA236" s="54"/>
      <c r="AB236" s="54"/>
      <c r="AC236" s="2">
        <f t="shared" si="208"/>
        <v>2</v>
      </c>
      <c r="AD236" s="6"/>
      <c r="AE236" s="6"/>
      <c r="AF236" s="6"/>
      <c r="AG236" s="6"/>
      <c r="AH236" s="6"/>
      <c r="AI236" s="6"/>
      <c r="AJ236" s="6"/>
      <c r="AK236" s="6"/>
      <c r="AL236" s="6"/>
      <c r="AM236" s="6"/>
      <c r="AN236" s="6"/>
      <c r="AO236" s="6"/>
      <c r="AP236" s="6"/>
      <c r="AQ236" s="6"/>
      <c r="AR236" s="6"/>
      <c r="AS236" s="6"/>
    </row>
    <row r="237" spans="1:45" ht="31.5" hidden="1" x14ac:dyDescent="0.25">
      <c r="A237" s="33" t="s">
        <v>35</v>
      </c>
      <c r="B237" s="42">
        <v>32</v>
      </c>
      <c r="C237" s="33" t="s">
        <v>286</v>
      </c>
      <c r="D237" s="33" t="s">
        <v>286</v>
      </c>
      <c r="E237" s="33"/>
      <c r="F237" s="54"/>
      <c r="G237" s="33" t="s">
        <v>324</v>
      </c>
      <c r="H237" s="33"/>
      <c r="I237" s="33"/>
      <c r="J237" s="33" t="s">
        <v>325</v>
      </c>
      <c r="K237" s="33" t="s">
        <v>43</v>
      </c>
      <c r="L237" s="33" t="s">
        <v>326</v>
      </c>
      <c r="M237" s="44">
        <v>0</v>
      </c>
      <c r="N237" s="45"/>
      <c r="O237" s="44">
        <v>7500000</v>
      </c>
      <c r="P237" s="86"/>
      <c r="Q237" s="44">
        <f t="shared" si="206"/>
        <v>7500000</v>
      </c>
      <c r="R237" s="42">
        <v>0</v>
      </c>
      <c r="S237" s="32"/>
      <c r="T237" s="66"/>
      <c r="U237" s="32"/>
      <c r="V237" s="32"/>
      <c r="W237" s="49"/>
      <c r="X237" s="49">
        <f t="shared" ref="X237:Z237" si="239">N237-S237</f>
        <v>0</v>
      </c>
      <c r="Y237" s="52">
        <f t="shared" si="239"/>
        <v>7500000</v>
      </c>
      <c r="Z237" s="49">
        <f t="shared" si="239"/>
        <v>0</v>
      </c>
      <c r="AA237" s="54"/>
      <c r="AB237" s="43"/>
      <c r="AC237" s="15">
        <f t="shared" si="208"/>
        <v>2</v>
      </c>
      <c r="AD237" s="15"/>
      <c r="AE237" s="6"/>
      <c r="AF237" s="6"/>
      <c r="AG237" s="6"/>
      <c r="AH237" s="6"/>
      <c r="AI237" s="6"/>
      <c r="AJ237" s="6"/>
      <c r="AK237" s="6"/>
      <c r="AL237" s="6"/>
      <c r="AM237" s="6"/>
      <c r="AN237" s="6"/>
      <c r="AO237" s="6"/>
      <c r="AP237" s="6"/>
      <c r="AQ237" s="6"/>
      <c r="AR237" s="6"/>
      <c r="AS237" s="6"/>
    </row>
    <row r="238" spans="1:45" ht="31.5" hidden="1" x14ac:dyDescent="0.25">
      <c r="A238" s="33" t="s">
        <v>83</v>
      </c>
      <c r="B238" s="42">
        <v>33</v>
      </c>
      <c r="C238" s="33" t="s">
        <v>286</v>
      </c>
      <c r="D238" s="33" t="s">
        <v>286</v>
      </c>
      <c r="E238" s="32"/>
      <c r="F238" s="54"/>
      <c r="G238" s="33" t="s">
        <v>333</v>
      </c>
      <c r="H238" s="32"/>
      <c r="I238" s="32"/>
      <c r="J238" s="33" t="s">
        <v>334</v>
      </c>
      <c r="K238" s="33" t="s">
        <v>43</v>
      </c>
      <c r="L238" s="33" t="s">
        <v>335</v>
      </c>
      <c r="M238" s="44">
        <v>0</v>
      </c>
      <c r="N238" s="45"/>
      <c r="O238" s="44">
        <v>7500000</v>
      </c>
      <c r="P238" s="86"/>
      <c r="Q238" s="44">
        <f t="shared" si="206"/>
        <v>7500000</v>
      </c>
      <c r="R238" s="42">
        <v>0</v>
      </c>
      <c r="S238" s="32"/>
      <c r="T238" s="44">
        <v>7500000</v>
      </c>
      <c r="U238" s="32"/>
      <c r="V238" s="32"/>
      <c r="W238" s="49"/>
      <c r="X238" s="49">
        <f t="shared" ref="X238:Z238" si="240">N238-S238</f>
        <v>0</v>
      </c>
      <c r="Y238" s="49">
        <f t="shared" si="240"/>
        <v>0</v>
      </c>
      <c r="Z238" s="49">
        <f t="shared" si="240"/>
        <v>0</v>
      </c>
      <c r="AA238" s="54"/>
      <c r="AB238" s="54"/>
      <c r="AC238" s="2">
        <f t="shared" si="208"/>
        <v>2</v>
      </c>
      <c r="AD238" s="6"/>
      <c r="AE238" s="6"/>
      <c r="AF238" s="6"/>
      <c r="AG238" s="6"/>
      <c r="AH238" s="6"/>
      <c r="AI238" s="6"/>
      <c r="AJ238" s="6"/>
      <c r="AK238" s="6"/>
      <c r="AL238" s="6"/>
      <c r="AM238" s="6"/>
      <c r="AN238" s="6"/>
      <c r="AO238" s="6"/>
      <c r="AP238" s="6"/>
      <c r="AQ238" s="6"/>
      <c r="AR238" s="6"/>
      <c r="AS238" s="6"/>
    </row>
    <row r="239" spans="1:45" ht="31.5" hidden="1" x14ac:dyDescent="0.25">
      <c r="A239" s="33" t="s">
        <v>52</v>
      </c>
      <c r="B239" s="42">
        <v>34</v>
      </c>
      <c r="C239" s="33" t="s">
        <v>286</v>
      </c>
      <c r="D239" s="33" t="s">
        <v>286</v>
      </c>
      <c r="E239" s="32"/>
      <c r="F239" s="54"/>
      <c r="G239" s="33" t="s">
        <v>337</v>
      </c>
      <c r="H239" s="32"/>
      <c r="I239" s="32"/>
      <c r="J239" s="33" t="s">
        <v>338</v>
      </c>
      <c r="K239" s="33" t="s">
        <v>43</v>
      </c>
      <c r="L239" s="33" t="s">
        <v>339</v>
      </c>
      <c r="M239" s="44">
        <v>772775010</v>
      </c>
      <c r="N239" s="45"/>
      <c r="O239" s="44">
        <v>7500000</v>
      </c>
      <c r="P239" s="86"/>
      <c r="Q239" s="44">
        <f t="shared" si="206"/>
        <v>780275010</v>
      </c>
      <c r="R239" s="48">
        <v>772775010</v>
      </c>
      <c r="S239" s="32"/>
      <c r="T239" s="44">
        <v>7500000</v>
      </c>
      <c r="U239" s="32"/>
      <c r="V239" s="32"/>
      <c r="W239" s="49"/>
      <c r="X239" s="49">
        <f t="shared" ref="X239:Z239" si="241">N239-S239</f>
        <v>0</v>
      </c>
      <c r="Y239" s="49">
        <f t="shared" si="241"/>
        <v>0</v>
      </c>
      <c r="Z239" s="49">
        <f t="shared" si="241"/>
        <v>0</v>
      </c>
      <c r="AA239" s="54"/>
      <c r="AB239" s="54"/>
      <c r="AC239" s="2">
        <f t="shared" si="208"/>
        <v>2</v>
      </c>
      <c r="AD239" s="6"/>
      <c r="AE239" s="6"/>
      <c r="AF239" s="6"/>
      <c r="AG239" s="6"/>
      <c r="AH239" s="6"/>
      <c r="AI239" s="6"/>
      <c r="AJ239" s="6"/>
      <c r="AK239" s="6"/>
      <c r="AL239" s="6"/>
      <c r="AM239" s="6"/>
      <c r="AN239" s="6"/>
      <c r="AO239" s="6"/>
      <c r="AP239" s="6"/>
      <c r="AQ239" s="6"/>
      <c r="AR239" s="6"/>
      <c r="AS239" s="6"/>
    </row>
    <row r="240" spans="1:45" ht="31.5" hidden="1" x14ac:dyDescent="0.25">
      <c r="A240" s="33" t="s">
        <v>52</v>
      </c>
      <c r="B240" s="42">
        <v>35</v>
      </c>
      <c r="C240" s="33" t="s">
        <v>286</v>
      </c>
      <c r="D240" s="33" t="s">
        <v>286</v>
      </c>
      <c r="E240" s="32"/>
      <c r="F240" s="54"/>
      <c r="G240" s="33" t="s">
        <v>345</v>
      </c>
      <c r="H240" s="32"/>
      <c r="I240" s="33" t="s">
        <v>346</v>
      </c>
      <c r="J240" s="33" t="s">
        <v>352</v>
      </c>
      <c r="K240" s="33" t="s">
        <v>43</v>
      </c>
      <c r="L240" s="33" t="s">
        <v>353</v>
      </c>
      <c r="M240" s="44">
        <v>5472774600</v>
      </c>
      <c r="N240" s="45"/>
      <c r="O240" s="44">
        <v>15000000</v>
      </c>
      <c r="P240" s="86"/>
      <c r="Q240" s="44">
        <f t="shared" si="206"/>
        <v>5487774600</v>
      </c>
      <c r="R240" s="48">
        <v>5472774600</v>
      </c>
      <c r="S240" s="32"/>
      <c r="T240" s="44">
        <v>15000000</v>
      </c>
      <c r="U240" s="32"/>
      <c r="V240" s="32"/>
      <c r="W240" s="49"/>
      <c r="X240" s="49">
        <f t="shared" ref="X240:Z240" si="242">N240-S240</f>
        <v>0</v>
      </c>
      <c r="Y240" s="49">
        <f t="shared" si="242"/>
        <v>0</v>
      </c>
      <c r="Z240" s="49">
        <f t="shared" si="242"/>
        <v>0</v>
      </c>
      <c r="AA240" s="54"/>
      <c r="AB240" s="54"/>
      <c r="AC240" s="2">
        <f t="shared" si="208"/>
        <v>2</v>
      </c>
      <c r="AD240" s="6"/>
      <c r="AE240" s="6"/>
      <c r="AF240" s="6"/>
      <c r="AG240" s="6"/>
      <c r="AH240" s="6"/>
      <c r="AI240" s="6"/>
      <c r="AJ240" s="6"/>
      <c r="AK240" s="6"/>
      <c r="AL240" s="6"/>
      <c r="AM240" s="6"/>
      <c r="AN240" s="6"/>
      <c r="AO240" s="6"/>
      <c r="AP240" s="6"/>
      <c r="AQ240" s="6"/>
      <c r="AR240" s="6"/>
      <c r="AS240" s="6"/>
    </row>
    <row r="241" spans="1:45" ht="31.5" hidden="1" x14ac:dyDescent="0.25">
      <c r="A241" s="33" t="s">
        <v>52</v>
      </c>
      <c r="B241" s="42">
        <v>36</v>
      </c>
      <c r="C241" s="33" t="s">
        <v>286</v>
      </c>
      <c r="D241" s="33" t="s">
        <v>286</v>
      </c>
      <c r="E241" s="32"/>
      <c r="F241" s="54"/>
      <c r="G241" s="33" t="s">
        <v>354</v>
      </c>
      <c r="H241" s="32"/>
      <c r="I241" s="32"/>
      <c r="J241" s="33" t="s">
        <v>355</v>
      </c>
      <c r="K241" s="33" t="s">
        <v>43</v>
      </c>
      <c r="L241" s="33" t="s">
        <v>357</v>
      </c>
      <c r="M241" s="44">
        <v>792875600</v>
      </c>
      <c r="N241" s="45"/>
      <c r="O241" s="44">
        <v>7500000</v>
      </c>
      <c r="P241" s="86"/>
      <c r="Q241" s="44">
        <f t="shared" si="206"/>
        <v>800375600</v>
      </c>
      <c r="R241" s="48">
        <v>792875600</v>
      </c>
      <c r="S241" s="32"/>
      <c r="T241" s="44">
        <v>7500000</v>
      </c>
      <c r="U241" s="32"/>
      <c r="V241" s="32"/>
      <c r="W241" s="49"/>
      <c r="X241" s="49">
        <f t="shared" ref="X241:Z241" si="243">N241-S241</f>
        <v>0</v>
      </c>
      <c r="Y241" s="49">
        <f t="shared" si="243"/>
        <v>0</v>
      </c>
      <c r="Z241" s="49">
        <f t="shared" si="243"/>
        <v>0</v>
      </c>
      <c r="AA241" s="54"/>
      <c r="AB241" s="54"/>
      <c r="AC241" s="2">
        <f t="shared" si="208"/>
        <v>2</v>
      </c>
      <c r="AD241" s="6"/>
      <c r="AE241" s="6"/>
      <c r="AF241" s="6"/>
      <c r="AG241" s="6"/>
      <c r="AH241" s="6"/>
      <c r="AI241" s="6"/>
      <c r="AJ241" s="6"/>
      <c r="AK241" s="6"/>
      <c r="AL241" s="6"/>
      <c r="AM241" s="6"/>
      <c r="AN241" s="6"/>
      <c r="AO241" s="6"/>
      <c r="AP241" s="6"/>
      <c r="AQ241" s="6"/>
      <c r="AR241" s="6"/>
      <c r="AS241" s="6"/>
    </row>
    <row r="242" spans="1:45" ht="31.5" hidden="1" x14ac:dyDescent="0.25">
      <c r="A242" s="33" t="s">
        <v>35</v>
      </c>
      <c r="B242" s="42">
        <v>37</v>
      </c>
      <c r="C242" s="33" t="s">
        <v>363</v>
      </c>
      <c r="D242" s="33" t="s">
        <v>363</v>
      </c>
      <c r="E242" s="32"/>
      <c r="F242" s="54"/>
      <c r="G242" s="33" t="s">
        <v>364</v>
      </c>
      <c r="H242" s="32"/>
      <c r="I242" s="32"/>
      <c r="J242" s="33" t="s">
        <v>365</v>
      </c>
      <c r="K242" s="33" t="s">
        <v>43</v>
      </c>
      <c r="L242" s="33" t="s">
        <v>366</v>
      </c>
      <c r="M242" s="44">
        <v>423059200</v>
      </c>
      <c r="N242" s="45"/>
      <c r="O242" s="44">
        <v>7500000</v>
      </c>
      <c r="P242" s="86"/>
      <c r="Q242" s="44">
        <f t="shared" si="206"/>
        <v>430559200</v>
      </c>
      <c r="R242" s="52">
        <v>423059200</v>
      </c>
      <c r="S242" s="32"/>
      <c r="T242" s="44">
        <v>7500000</v>
      </c>
      <c r="U242" s="32"/>
      <c r="V242" s="32"/>
      <c r="W242" s="49"/>
      <c r="X242" s="49">
        <f t="shared" ref="X242:Z242" si="244">N242-S242</f>
        <v>0</v>
      </c>
      <c r="Y242" s="49">
        <f t="shared" si="244"/>
        <v>0</v>
      </c>
      <c r="Z242" s="49">
        <f t="shared" si="244"/>
        <v>0</v>
      </c>
      <c r="AA242" s="54"/>
      <c r="AB242" s="54"/>
      <c r="AC242" s="2">
        <f t="shared" si="208"/>
        <v>2</v>
      </c>
      <c r="AD242" s="6"/>
      <c r="AE242" s="6"/>
      <c r="AF242" s="6"/>
      <c r="AG242" s="6"/>
      <c r="AH242" s="6"/>
      <c r="AI242" s="6"/>
      <c r="AJ242" s="6"/>
      <c r="AK242" s="6"/>
      <c r="AL242" s="6"/>
      <c r="AM242" s="6"/>
      <c r="AN242" s="6"/>
      <c r="AO242" s="6"/>
      <c r="AP242" s="6"/>
      <c r="AQ242" s="6"/>
      <c r="AR242" s="6"/>
      <c r="AS242" s="6"/>
    </row>
    <row r="243" spans="1:45" ht="31.5" hidden="1" x14ac:dyDescent="0.25">
      <c r="A243" s="33" t="s">
        <v>60</v>
      </c>
      <c r="B243" s="42">
        <v>38</v>
      </c>
      <c r="C243" s="33" t="s">
        <v>363</v>
      </c>
      <c r="D243" s="33" t="s">
        <v>363</v>
      </c>
      <c r="E243" s="32"/>
      <c r="F243" s="54"/>
      <c r="G243" s="33" t="s">
        <v>373</v>
      </c>
      <c r="H243" s="32"/>
      <c r="I243" s="32"/>
      <c r="J243" s="33" t="s">
        <v>374</v>
      </c>
      <c r="K243" s="33" t="s">
        <v>43</v>
      </c>
      <c r="L243" s="33" t="s">
        <v>375</v>
      </c>
      <c r="M243" s="44">
        <v>2853192406</v>
      </c>
      <c r="N243" s="45"/>
      <c r="O243" s="44">
        <v>7500000</v>
      </c>
      <c r="P243" s="86"/>
      <c r="Q243" s="44">
        <f t="shared" si="206"/>
        <v>2860692406</v>
      </c>
      <c r="R243" s="52">
        <v>2853192406</v>
      </c>
      <c r="S243" s="32"/>
      <c r="T243" s="44">
        <v>7500000</v>
      </c>
      <c r="U243" s="32"/>
      <c r="V243" s="32"/>
      <c r="W243" s="49"/>
      <c r="X243" s="49">
        <f t="shared" ref="X243:Z243" si="245">N243-S243</f>
        <v>0</v>
      </c>
      <c r="Y243" s="49">
        <f t="shared" si="245"/>
        <v>0</v>
      </c>
      <c r="Z243" s="49">
        <f t="shared" si="245"/>
        <v>0</v>
      </c>
      <c r="AA243" s="54"/>
      <c r="AB243" s="54"/>
      <c r="AC243" s="2">
        <f t="shared" si="208"/>
        <v>2</v>
      </c>
      <c r="AD243" s="6"/>
      <c r="AE243" s="6"/>
      <c r="AF243" s="6"/>
      <c r="AG243" s="6"/>
      <c r="AH243" s="6"/>
      <c r="AI243" s="6"/>
      <c r="AJ243" s="6"/>
      <c r="AK243" s="6"/>
      <c r="AL243" s="6"/>
      <c r="AM243" s="6"/>
      <c r="AN243" s="6"/>
      <c r="AO243" s="6"/>
      <c r="AP243" s="6"/>
      <c r="AQ243" s="6"/>
      <c r="AR243" s="6"/>
      <c r="AS243" s="6"/>
    </row>
    <row r="244" spans="1:45" ht="62.25" hidden="1" customHeight="1" x14ac:dyDescent="0.25">
      <c r="A244" s="33" t="s">
        <v>35</v>
      </c>
      <c r="B244" s="42">
        <v>39</v>
      </c>
      <c r="C244" s="33" t="s">
        <v>363</v>
      </c>
      <c r="D244" s="33" t="s">
        <v>363</v>
      </c>
      <c r="E244" s="32"/>
      <c r="F244" s="54"/>
      <c r="G244" s="33" t="s">
        <v>382</v>
      </c>
      <c r="H244" s="32"/>
      <c r="I244" s="32"/>
      <c r="J244" s="33" t="s">
        <v>384</v>
      </c>
      <c r="K244" s="33" t="s">
        <v>43</v>
      </c>
      <c r="L244" s="33" t="s">
        <v>385</v>
      </c>
      <c r="M244" s="44">
        <v>4069311354</v>
      </c>
      <c r="N244" s="45"/>
      <c r="O244" s="44">
        <v>15000000</v>
      </c>
      <c r="P244" s="86"/>
      <c r="Q244" s="44">
        <f t="shared" si="206"/>
        <v>4084311354</v>
      </c>
      <c r="R244" s="52">
        <v>4069311354</v>
      </c>
      <c r="S244" s="32"/>
      <c r="T244" s="44">
        <v>15000000</v>
      </c>
      <c r="U244" s="32"/>
      <c r="V244" s="32"/>
      <c r="W244" s="49"/>
      <c r="X244" s="49">
        <f t="shared" ref="X244:Z244" si="246">N244-S244</f>
        <v>0</v>
      </c>
      <c r="Y244" s="49">
        <f t="shared" si="246"/>
        <v>0</v>
      </c>
      <c r="Z244" s="49">
        <f t="shared" si="246"/>
        <v>0</v>
      </c>
      <c r="AA244" s="54"/>
      <c r="AB244" s="54"/>
      <c r="AC244" s="2">
        <f t="shared" si="208"/>
        <v>2</v>
      </c>
      <c r="AD244" s="6"/>
      <c r="AE244" s="6"/>
      <c r="AF244" s="6"/>
      <c r="AG244" s="6"/>
      <c r="AH244" s="6"/>
      <c r="AI244" s="6"/>
      <c r="AJ244" s="6"/>
      <c r="AK244" s="6"/>
      <c r="AL244" s="6"/>
      <c r="AM244" s="6"/>
      <c r="AN244" s="6"/>
      <c r="AO244" s="6"/>
      <c r="AP244" s="6"/>
      <c r="AQ244" s="6"/>
      <c r="AR244" s="6"/>
      <c r="AS244" s="6"/>
    </row>
    <row r="245" spans="1:45" ht="31.5" hidden="1" x14ac:dyDescent="0.25">
      <c r="A245" s="33" t="s">
        <v>60</v>
      </c>
      <c r="B245" s="42">
        <v>41</v>
      </c>
      <c r="C245" s="33" t="s">
        <v>363</v>
      </c>
      <c r="D245" s="33" t="s">
        <v>363</v>
      </c>
      <c r="E245" s="33" t="s">
        <v>409</v>
      </c>
      <c r="F245" s="54"/>
      <c r="G245" s="33" t="s">
        <v>410</v>
      </c>
      <c r="H245" s="33" t="s">
        <v>411</v>
      </c>
      <c r="I245" s="33"/>
      <c r="J245" s="33" t="s">
        <v>412</v>
      </c>
      <c r="K245" s="33" t="s">
        <v>43</v>
      </c>
      <c r="L245" s="33" t="s">
        <v>413</v>
      </c>
      <c r="M245" s="44">
        <v>273809190</v>
      </c>
      <c r="N245" s="44">
        <v>25360128</v>
      </c>
      <c r="O245" s="44">
        <v>7500000</v>
      </c>
      <c r="P245" s="86"/>
      <c r="Q245" s="44">
        <f t="shared" si="206"/>
        <v>306669318</v>
      </c>
      <c r="R245" s="52">
        <v>273809190</v>
      </c>
      <c r="S245" s="33"/>
      <c r="T245" s="66"/>
      <c r="U245" s="32"/>
      <c r="V245" s="32"/>
      <c r="W245" s="49"/>
      <c r="X245" s="52">
        <f t="shared" ref="X245:Z245" si="247">N245-S245</f>
        <v>25360128</v>
      </c>
      <c r="Y245" s="52">
        <f t="shared" si="247"/>
        <v>7500000</v>
      </c>
      <c r="Z245" s="49">
        <f t="shared" si="247"/>
        <v>0</v>
      </c>
      <c r="AA245" s="43"/>
      <c r="AB245" s="43"/>
      <c r="AC245" s="15">
        <f t="shared" si="208"/>
        <v>2</v>
      </c>
      <c r="AD245" s="15"/>
      <c r="AE245" s="6"/>
      <c r="AF245" s="6"/>
      <c r="AG245" s="6"/>
      <c r="AH245" s="6"/>
      <c r="AI245" s="6"/>
      <c r="AJ245" s="6"/>
      <c r="AK245" s="6"/>
      <c r="AL245" s="6"/>
      <c r="AM245" s="6"/>
      <c r="AN245" s="6"/>
      <c r="AO245" s="6"/>
      <c r="AP245" s="6"/>
      <c r="AQ245" s="6"/>
      <c r="AR245" s="6"/>
      <c r="AS245" s="6"/>
    </row>
    <row r="246" spans="1:45" ht="31.5" hidden="1" x14ac:dyDescent="0.25">
      <c r="A246" s="33" t="s">
        <v>52</v>
      </c>
      <c r="B246" s="42">
        <v>42</v>
      </c>
      <c r="C246" s="33" t="s">
        <v>363</v>
      </c>
      <c r="D246" s="33" t="s">
        <v>363</v>
      </c>
      <c r="E246" s="32"/>
      <c r="F246" s="54"/>
      <c r="G246" s="33" t="s">
        <v>420</v>
      </c>
      <c r="H246" s="32"/>
      <c r="I246" s="32"/>
      <c r="J246" s="33" t="s">
        <v>421</v>
      </c>
      <c r="K246" s="33" t="s">
        <v>43</v>
      </c>
      <c r="L246" s="33" t="s">
        <v>422</v>
      </c>
      <c r="M246" s="44">
        <v>0</v>
      </c>
      <c r="N246" s="45"/>
      <c r="O246" s="44">
        <v>7500000</v>
      </c>
      <c r="P246" s="86"/>
      <c r="Q246" s="44">
        <f t="shared" si="206"/>
        <v>7500000</v>
      </c>
      <c r="R246" s="42">
        <v>0</v>
      </c>
      <c r="S246" s="32"/>
      <c r="T246" s="44">
        <v>7500000</v>
      </c>
      <c r="U246" s="32"/>
      <c r="V246" s="32"/>
      <c r="W246" s="49"/>
      <c r="X246" s="49">
        <f t="shared" ref="X246:Z246" si="248">N246-S246</f>
        <v>0</v>
      </c>
      <c r="Y246" s="49">
        <f t="shared" si="248"/>
        <v>0</v>
      </c>
      <c r="Z246" s="49">
        <f t="shared" si="248"/>
        <v>0</v>
      </c>
      <c r="AA246" s="54"/>
      <c r="AB246" s="54"/>
      <c r="AC246" s="2">
        <f t="shared" si="208"/>
        <v>2</v>
      </c>
      <c r="AD246" s="6"/>
      <c r="AE246" s="6"/>
      <c r="AF246" s="6"/>
      <c r="AG246" s="6"/>
      <c r="AH246" s="6"/>
      <c r="AI246" s="6"/>
      <c r="AJ246" s="6"/>
      <c r="AK246" s="6"/>
      <c r="AL246" s="6"/>
      <c r="AM246" s="6"/>
      <c r="AN246" s="6"/>
      <c r="AO246" s="6"/>
      <c r="AP246" s="6"/>
      <c r="AQ246" s="6"/>
      <c r="AR246" s="6"/>
      <c r="AS246" s="6"/>
    </row>
    <row r="247" spans="1:45" ht="31.5" hidden="1" x14ac:dyDescent="0.25">
      <c r="A247" s="33" t="s">
        <v>46</v>
      </c>
      <c r="B247" s="42">
        <v>43</v>
      </c>
      <c r="C247" s="33" t="s">
        <v>363</v>
      </c>
      <c r="D247" s="33" t="s">
        <v>363</v>
      </c>
      <c r="E247" s="33" t="s">
        <v>409</v>
      </c>
      <c r="F247" s="54"/>
      <c r="G247" s="33" t="s">
        <v>430</v>
      </c>
      <c r="H247" s="33" t="s">
        <v>431</v>
      </c>
      <c r="I247" s="32"/>
      <c r="J247" s="33" t="s">
        <v>432</v>
      </c>
      <c r="K247" s="33" t="s">
        <v>43</v>
      </c>
      <c r="L247" s="33" t="s">
        <v>433</v>
      </c>
      <c r="M247" s="44">
        <v>1937908151</v>
      </c>
      <c r="N247" s="44">
        <v>423068659</v>
      </c>
      <c r="O247" s="44">
        <v>7500000</v>
      </c>
      <c r="P247" s="86"/>
      <c r="Q247" s="44">
        <f t="shared" si="206"/>
        <v>2368476810</v>
      </c>
      <c r="R247" s="52">
        <v>1937908151</v>
      </c>
      <c r="S247" s="48">
        <v>423068659</v>
      </c>
      <c r="T247" s="44">
        <v>7500000</v>
      </c>
      <c r="U247" s="32"/>
      <c r="V247" s="32"/>
      <c r="W247" s="49"/>
      <c r="X247" s="49">
        <f t="shared" ref="X247:Z247" si="249">N247-S247</f>
        <v>0</v>
      </c>
      <c r="Y247" s="49">
        <f t="shared" si="249"/>
        <v>0</v>
      </c>
      <c r="Z247" s="49">
        <f t="shared" si="249"/>
        <v>0</v>
      </c>
      <c r="AA247" s="54"/>
      <c r="AB247" s="54"/>
      <c r="AC247" s="2">
        <f t="shared" si="208"/>
        <v>2</v>
      </c>
      <c r="AD247" s="6"/>
      <c r="AE247" s="6"/>
      <c r="AF247" s="6"/>
      <c r="AG247" s="6"/>
      <c r="AH247" s="6"/>
      <c r="AI247" s="6"/>
      <c r="AJ247" s="6"/>
      <c r="AK247" s="6"/>
      <c r="AL247" s="6"/>
      <c r="AM247" s="6"/>
      <c r="AN247" s="6"/>
      <c r="AO247" s="6"/>
      <c r="AP247" s="6"/>
      <c r="AQ247" s="6"/>
      <c r="AR247" s="6"/>
      <c r="AS247" s="6"/>
    </row>
    <row r="248" spans="1:45" ht="78.75" hidden="1" x14ac:dyDescent="0.25">
      <c r="A248" s="33" t="s">
        <v>35</v>
      </c>
      <c r="B248" s="42">
        <v>44</v>
      </c>
      <c r="C248" s="33" t="s">
        <v>363</v>
      </c>
      <c r="D248" s="33" t="s">
        <v>438</v>
      </c>
      <c r="E248" s="32"/>
      <c r="F248" s="54"/>
      <c r="G248" s="33" t="s">
        <v>439</v>
      </c>
      <c r="H248" s="32"/>
      <c r="I248" s="33" t="s">
        <v>85</v>
      </c>
      <c r="J248" s="33" t="s">
        <v>440</v>
      </c>
      <c r="K248" s="33" t="s">
        <v>43</v>
      </c>
      <c r="L248" s="33" t="s">
        <v>441</v>
      </c>
      <c r="M248" s="44">
        <v>2962663956</v>
      </c>
      <c r="N248" s="45"/>
      <c r="O248" s="44">
        <v>7500000</v>
      </c>
      <c r="P248" s="86"/>
      <c r="Q248" s="44">
        <f t="shared" si="206"/>
        <v>2970163956</v>
      </c>
      <c r="R248" s="52">
        <v>2962663956</v>
      </c>
      <c r="S248" s="32"/>
      <c r="T248" s="44">
        <v>7500000</v>
      </c>
      <c r="U248" s="32"/>
      <c r="V248" s="32"/>
      <c r="W248" s="49"/>
      <c r="X248" s="49">
        <f t="shared" ref="X248:Z248" si="250">N248-S248</f>
        <v>0</v>
      </c>
      <c r="Y248" s="49">
        <f t="shared" si="250"/>
        <v>0</v>
      </c>
      <c r="Z248" s="49">
        <f t="shared" si="250"/>
        <v>0</v>
      </c>
      <c r="AA248" s="54"/>
      <c r="AB248" s="54"/>
      <c r="AC248" s="2">
        <f t="shared" si="208"/>
        <v>2</v>
      </c>
      <c r="AD248" s="6"/>
      <c r="AE248" s="6"/>
      <c r="AF248" s="6"/>
      <c r="AG248" s="6"/>
      <c r="AH248" s="6"/>
      <c r="AI248" s="6"/>
      <c r="AJ248" s="6"/>
      <c r="AK248" s="6"/>
      <c r="AL248" s="6"/>
      <c r="AM248" s="6"/>
      <c r="AN248" s="6"/>
      <c r="AO248" s="6"/>
      <c r="AP248" s="6"/>
      <c r="AQ248" s="6"/>
      <c r="AR248" s="6"/>
      <c r="AS248" s="6"/>
    </row>
    <row r="249" spans="1:45" ht="31.5" hidden="1" x14ac:dyDescent="0.25">
      <c r="A249" s="33" t="s">
        <v>52</v>
      </c>
      <c r="B249" s="42">
        <v>45</v>
      </c>
      <c r="C249" s="33" t="s">
        <v>363</v>
      </c>
      <c r="D249" s="33" t="s">
        <v>363</v>
      </c>
      <c r="E249" s="32"/>
      <c r="F249" s="54"/>
      <c r="G249" s="33" t="s">
        <v>442</v>
      </c>
      <c r="H249" s="32"/>
      <c r="I249" s="32"/>
      <c r="J249" s="33" t="s">
        <v>443</v>
      </c>
      <c r="K249" s="33" t="s">
        <v>43</v>
      </c>
      <c r="L249" s="33" t="s">
        <v>445</v>
      </c>
      <c r="M249" s="44">
        <v>2457405327</v>
      </c>
      <c r="N249" s="45"/>
      <c r="O249" s="44">
        <v>15000000</v>
      </c>
      <c r="P249" s="86"/>
      <c r="Q249" s="44">
        <f t="shared" si="206"/>
        <v>2472405327</v>
      </c>
      <c r="R249" s="52">
        <v>2457405327</v>
      </c>
      <c r="S249" s="32"/>
      <c r="T249" s="44">
        <v>15000000</v>
      </c>
      <c r="U249" s="32"/>
      <c r="V249" s="32"/>
      <c r="W249" s="49"/>
      <c r="X249" s="49">
        <f t="shared" ref="X249:Z249" si="251">N249-S249</f>
        <v>0</v>
      </c>
      <c r="Y249" s="49">
        <f t="shared" si="251"/>
        <v>0</v>
      </c>
      <c r="Z249" s="49">
        <f t="shared" si="251"/>
        <v>0</v>
      </c>
      <c r="AA249" s="54"/>
      <c r="AB249" s="54"/>
      <c r="AC249" s="2">
        <f t="shared" si="208"/>
        <v>2</v>
      </c>
      <c r="AD249" s="6"/>
      <c r="AE249" s="6"/>
      <c r="AF249" s="6"/>
      <c r="AG249" s="6"/>
      <c r="AH249" s="6"/>
      <c r="AI249" s="6"/>
      <c r="AJ249" s="6"/>
      <c r="AK249" s="6"/>
      <c r="AL249" s="6"/>
      <c r="AM249" s="6"/>
      <c r="AN249" s="6"/>
      <c r="AO249" s="6"/>
      <c r="AP249" s="6"/>
      <c r="AQ249" s="6"/>
      <c r="AR249" s="6"/>
      <c r="AS249" s="6"/>
    </row>
    <row r="250" spans="1:45" ht="31.5" hidden="1" x14ac:dyDescent="0.25">
      <c r="A250" s="33" t="s">
        <v>35</v>
      </c>
      <c r="B250" s="42">
        <v>46</v>
      </c>
      <c r="C250" s="33" t="s">
        <v>363</v>
      </c>
      <c r="D250" s="33" t="s">
        <v>363</v>
      </c>
      <c r="E250" s="33" t="s">
        <v>450</v>
      </c>
      <c r="F250" s="54"/>
      <c r="G250" s="33" t="s">
        <v>451</v>
      </c>
      <c r="H250" s="33" t="s">
        <v>452</v>
      </c>
      <c r="I250" s="32"/>
      <c r="J250" s="33" t="s">
        <v>453</v>
      </c>
      <c r="K250" s="33" t="s">
        <v>43</v>
      </c>
      <c r="L250" s="33" t="s">
        <v>454</v>
      </c>
      <c r="M250" s="44">
        <v>2149999856</v>
      </c>
      <c r="N250" s="44">
        <v>166472064</v>
      </c>
      <c r="O250" s="44">
        <v>7500000</v>
      </c>
      <c r="P250" s="86"/>
      <c r="Q250" s="44">
        <f t="shared" si="206"/>
        <v>2323971920</v>
      </c>
      <c r="R250" s="52">
        <v>2149999856</v>
      </c>
      <c r="S250" s="48">
        <v>166472064</v>
      </c>
      <c r="T250" s="44">
        <v>7500000</v>
      </c>
      <c r="U250" s="32"/>
      <c r="V250" s="32"/>
      <c r="W250" s="49"/>
      <c r="X250" s="49">
        <f t="shared" ref="X250:Z250" si="252">N250-S250</f>
        <v>0</v>
      </c>
      <c r="Y250" s="49">
        <f t="shared" si="252"/>
        <v>0</v>
      </c>
      <c r="Z250" s="49">
        <f t="shared" si="252"/>
        <v>0</v>
      </c>
      <c r="AA250" s="54"/>
      <c r="AB250" s="54"/>
      <c r="AC250" s="2">
        <f t="shared" si="208"/>
        <v>2</v>
      </c>
      <c r="AD250" s="6"/>
      <c r="AE250" s="6"/>
      <c r="AF250" s="6"/>
      <c r="AG250" s="6"/>
      <c r="AH250" s="6"/>
      <c r="AI250" s="6"/>
      <c r="AJ250" s="6"/>
      <c r="AK250" s="6"/>
      <c r="AL250" s="6"/>
      <c r="AM250" s="6"/>
      <c r="AN250" s="6"/>
      <c r="AO250" s="6"/>
      <c r="AP250" s="6"/>
      <c r="AQ250" s="6"/>
      <c r="AR250" s="6"/>
      <c r="AS250" s="6"/>
    </row>
    <row r="251" spans="1:45" ht="31.5" hidden="1" x14ac:dyDescent="0.25">
      <c r="A251" s="33" t="s">
        <v>35</v>
      </c>
      <c r="B251" s="42">
        <v>48</v>
      </c>
      <c r="C251" s="33" t="s">
        <v>363</v>
      </c>
      <c r="D251" s="33" t="s">
        <v>363</v>
      </c>
      <c r="E251" s="33" t="s">
        <v>469</v>
      </c>
      <c r="F251" s="54"/>
      <c r="G251" s="33" t="s">
        <v>470</v>
      </c>
      <c r="H251" s="33" t="s">
        <v>471</v>
      </c>
      <c r="I251" s="33" t="s">
        <v>472</v>
      </c>
      <c r="J251" s="33" t="s">
        <v>473</v>
      </c>
      <c r="K251" s="33" t="s">
        <v>43</v>
      </c>
      <c r="L251" s="33" t="s">
        <v>474</v>
      </c>
      <c r="M251" s="44">
        <v>1487841100</v>
      </c>
      <c r="N251" s="44">
        <v>327633600</v>
      </c>
      <c r="O251" s="44">
        <v>15000000</v>
      </c>
      <c r="P251" s="86"/>
      <c r="Q251" s="44">
        <f t="shared" si="206"/>
        <v>1830474700</v>
      </c>
      <c r="R251" s="52">
        <v>1487841100</v>
      </c>
      <c r="S251" s="49">
        <v>327633600</v>
      </c>
      <c r="T251" s="44">
        <v>15000000</v>
      </c>
      <c r="U251" s="32"/>
      <c r="V251" s="32"/>
      <c r="W251" s="49"/>
      <c r="X251" s="49">
        <f t="shared" ref="X251:Z251" si="253">N251-S251</f>
        <v>0</v>
      </c>
      <c r="Y251" s="49">
        <f t="shared" si="253"/>
        <v>0</v>
      </c>
      <c r="Z251" s="49">
        <f t="shared" si="253"/>
        <v>0</v>
      </c>
      <c r="AA251" s="54"/>
      <c r="AB251" s="54"/>
      <c r="AC251" s="2">
        <f t="shared" si="208"/>
        <v>2</v>
      </c>
      <c r="AD251" s="6"/>
      <c r="AE251" s="6"/>
      <c r="AF251" s="6"/>
      <c r="AG251" s="6"/>
      <c r="AH251" s="6"/>
      <c r="AI251" s="6"/>
      <c r="AJ251" s="6"/>
      <c r="AK251" s="6"/>
      <c r="AL251" s="6"/>
      <c r="AM251" s="6"/>
      <c r="AN251" s="6"/>
      <c r="AO251" s="6"/>
      <c r="AP251" s="6"/>
      <c r="AQ251" s="6"/>
      <c r="AR251" s="6"/>
      <c r="AS251" s="6"/>
    </row>
    <row r="252" spans="1:45" ht="31.5" hidden="1" x14ac:dyDescent="0.25">
      <c r="A252" s="33" t="s">
        <v>60</v>
      </c>
      <c r="B252" s="42">
        <v>49</v>
      </c>
      <c r="C252" s="33" t="s">
        <v>363</v>
      </c>
      <c r="D252" s="33" t="s">
        <v>363</v>
      </c>
      <c r="E252" s="32"/>
      <c r="F252" s="54"/>
      <c r="G252" s="33" t="s">
        <v>475</v>
      </c>
      <c r="H252" s="32"/>
      <c r="I252" s="32"/>
      <c r="J252" s="33" t="s">
        <v>476</v>
      </c>
      <c r="K252" s="33" t="s">
        <v>43</v>
      </c>
      <c r="L252" s="33" t="s">
        <v>477</v>
      </c>
      <c r="M252" s="44">
        <v>555745056</v>
      </c>
      <c r="N252" s="45"/>
      <c r="O252" s="44">
        <v>7500000</v>
      </c>
      <c r="P252" s="86"/>
      <c r="Q252" s="44">
        <f t="shared" si="206"/>
        <v>563245056</v>
      </c>
      <c r="R252" s="52">
        <v>555745056</v>
      </c>
      <c r="S252" s="32"/>
      <c r="T252" s="44">
        <v>7500000</v>
      </c>
      <c r="U252" s="32"/>
      <c r="V252" s="32"/>
      <c r="W252" s="49"/>
      <c r="X252" s="49">
        <f t="shared" ref="X252:Z252" si="254">N252-S252</f>
        <v>0</v>
      </c>
      <c r="Y252" s="49">
        <f t="shared" si="254"/>
        <v>0</v>
      </c>
      <c r="Z252" s="49">
        <f t="shared" si="254"/>
        <v>0</v>
      </c>
      <c r="AA252" s="54"/>
      <c r="AB252" s="54"/>
      <c r="AC252" s="2">
        <f t="shared" si="208"/>
        <v>2</v>
      </c>
      <c r="AD252" s="6"/>
      <c r="AE252" s="6"/>
      <c r="AF252" s="6"/>
      <c r="AG252" s="6"/>
      <c r="AH252" s="6"/>
      <c r="AI252" s="6"/>
      <c r="AJ252" s="6"/>
      <c r="AK252" s="6"/>
      <c r="AL252" s="6"/>
      <c r="AM252" s="6"/>
      <c r="AN252" s="6"/>
      <c r="AO252" s="6"/>
      <c r="AP252" s="6"/>
      <c r="AQ252" s="6"/>
      <c r="AR252" s="6"/>
      <c r="AS252" s="6"/>
    </row>
    <row r="253" spans="1:45" ht="62.25" hidden="1" customHeight="1" x14ac:dyDescent="0.25">
      <c r="A253" s="33" t="s">
        <v>46</v>
      </c>
      <c r="B253" s="42">
        <v>50</v>
      </c>
      <c r="C253" s="33" t="s">
        <v>363</v>
      </c>
      <c r="D253" s="33" t="s">
        <v>363</v>
      </c>
      <c r="E253" s="32"/>
      <c r="F253" s="54"/>
      <c r="G253" s="33" t="s">
        <v>478</v>
      </c>
      <c r="H253" s="32"/>
      <c r="I253" s="32"/>
      <c r="J253" s="33" t="s">
        <v>479</v>
      </c>
      <c r="K253" s="33" t="s">
        <v>43</v>
      </c>
      <c r="L253" s="33" t="s">
        <v>274</v>
      </c>
      <c r="M253" s="44">
        <v>10000000</v>
      </c>
      <c r="N253" s="45"/>
      <c r="O253" s="44">
        <v>15000000</v>
      </c>
      <c r="P253" s="86"/>
      <c r="Q253" s="44">
        <f t="shared" si="206"/>
        <v>25000000</v>
      </c>
      <c r="R253" s="52">
        <v>10000000</v>
      </c>
      <c r="S253" s="32"/>
      <c r="T253" s="44">
        <v>15000000</v>
      </c>
      <c r="U253" s="32"/>
      <c r="V253" s="32"/>
      <c r="W253" s="49"/>
      <c r="X253" s="49">
        <f t="shared" ref="X253:Z253" si="255">N253-S253</f>
        <v>0</v>
      </c>
      <c r="Y253" s="49">
        <f t="shared" si="255"/>
        <v>0</v>
      </c>
      <c r="Z253" s="49">
        <f t="shared" si="255"/>
        <v>0</v>
      </c>
      <c r="AA253" s="54"/>
      <c r="AB253" s="54"/>
      <c r="AC253" s="2">
        <f t="shared" si="208"/>
        <v>2</v>
      </c>
      <c r="AD253" s="6"/>
      <c r="AE253" s="6"/>
      <c r="AF253" s="6"/>
      <c r="AG253" s="6"/>
      <c r="AH253" s="6"/>
      <c r="AI253" s="6"/>
      <c r="AJ253" s="6"/>
      <c r="AK253" s="6"/>
      <c r="AL253" s="6"/>
      <c r="AM253" s="6"/>
      <c r="AN253" s="6"/>
      <c r="AO253" s="6"/>
      <c r="AP253" s="6"/>
      <c r="AQ253" s="6"/>
      <c r="AR253" s="6"/>
      <c r="AS253" s="6"/>
    </row>
    <row r="254" spans="1:45" ht="31.5" hidden="1" x14ac:dyDescent="0.25">
      <c r="A254" s="33" t="s">
        <v>46</v>
      </c>
      <c r="B254" s="42">
        <v>51</v>
      </c>
      <c r="C254" s="33" t="s">
        <v>363</v>
      </c>
      <c r="D254" s="33" t="s">
        <v>363</v>
      </c>
      <c r="E254" s="32"/>
      <c r="F254" s="54"/>
      <c r="G254" s="33" t="s">
        <v>486</v>
      </c>
      <c r="H254" s="32"/>
      <c r="I254" s="33" t="s">
        <v>487</v>
      </c>
      <c r="J254" s="33" t="s">
        <v>488</v>
      </c>
      <c r="K254" s="33" t="s">
        <v>43</v>
      </c>
      <c r="L254" s="33" t="s">
        <v>489</v>
      </c>
      <c r="M254" s="44">
        <v>3606786776</v>
      </c>
      <c r="N254" s="45"/>
      <c r="O254" s="44">
        <v>15000000</v>
      </c>
      <c r="P254" s="86"/>
      <c r="Q254" s="44">
        <f t="shared" si="206"/>
        <v>3621786776</v>
      </c>
      <c r="R254" s="52">
        <v>3606786776</v>
      </c>
      <c r="S254" s="32"/>
      <c r="T254" s="44">
        <v>15000000</v>
      </c>
      <c r="U254" s="32"/>
      <c r="V254" s="32"/>
      <c r="W254" s="49"/>
      <c r="X254" s="49">
        <f t="shared" ref="X254:Z254" si="256">N254-S254</f>
        <v>0</v>
      </c>
      <c r="Y254" s="49">
        <f t="shared" si="256"/>
        <v>0</v>
      </c>
      <c r="Z254" s="49">
        <f t="shared" si="256"/>
        <v>0</v>
      </c>
      <c r="AA254" s="54"/>
      <c r="AB254" s="54"/>
      <c r="AC254" s="2">
        <f t="shared" si="208"/>
        <v>2</v>
      </c>
      <c r="AD254" s="6"/>
      <c r="AE254" s="6"/>
      <c r="AF254" s="6"/>
      <c r="AG254" s="6"/>
      <c r="AH254" s="6"/>
      <c r="AI254" s="6"/>
      <c r="AJ254" s="6"/>
      <c r="AK254" s="6"/>
      <c r="AL254" s="6"/>
      <c r="AM254" s="6"/>
      <c r="AN254" s="6"/>
      <c r="AO254" s="6"/>
      <c r="AP254" s="6"/>
      <c r="AQ254" s="6"/>
      <c r="AR254" s="6"/>
      <c r="AS254" s="6"/>
    </row>
    <row r="255" spans="1:45" ht="31.5" hidden="1" x14ac:dyDescent="0.25">
      <c r="A255" s="33" t="s">
        <v>46</v>
      </c>
      <c r="B255" s="42">
        <v>52</v>
      </c>
      <c r="C255" s="33" t="s">
        <v>363</v>
      </c>
      <c r="D255" s="33" t="s">
        <v>363</v>
      </c>
      <c r="E255" s="33" t="s">
        <v>889</v>
      </c>
      <c r="F255" s="54"/>
      <c r="G255" s="33" t="s">
        <v>490</v>
      </c>
      <c r="H255" s="33" t="s">
        <v>890</v>
      </c>
      <c r="I255" s="32"/>
      <c r="J255" s="33" t="s">
        <v>492</v>
      </c>
      <c r="K255" s="33" t="s">
        <v>43</v>
      </c>
      <c r="L255" s="33" t="s">
        <v>493</v>
      </c>
      <c r="M255" s="44">
        <v>355657340</v>
      </c>
      <c r="N255" s="66">
        <v>80851500</v>
      </c>
      <c r="O255" s="44">
        <v>7500000</v>
      </c>
      <c r="P255" s="86"/>
      <c r="Q255" s="44">
        <f t="shared" si="206"/>
        <v>444008840</v>
      </c>
      <c r="R255" s="52">
        <v>355657340</v>
      </c>
      <c r="S255" s="33"/>
      <c r="T255" s="44">
        <v>7500000</v>
      </c>
      <c r="U255" s="32"/>
      <c r="V255" s="32"/>
      <c r="W255" s="49"/>
      <c r="X255" s="52">
        <f t="shared" ref="X255:Z255" si="257">N255-S255</f>
        <v>80851500</v>
      </c>
      <c r="Y255" s="49">
        <f t="shared" si="257"/>
        <v>0</v>
      </c>
      <c r="Z255" s="49">
        <f t="shared" si="257"/>
        <v>0</v>
      </c>
      <c r="AA255" s="43"/>
      <c r="AB255" s="43"/>
      <c r="AC255" s="6">
        <f t="shared" si="208"/>
        <v>2</v>
      </c>
      <c r="AD255" s="6"/>
      <c r="AE255" s="6"/>
      <c r="AF255" s="6"/>
      <c r="AG255" s="6"/>
      <c r="AH255" s="6"/>
      <c r="AI255" s="6"/>
      <c r="AJ255" s="6"/>
      <c r="AK255" s="6"/>
      <c r="AL255" s="6"/>
      <c r="AM255" s="6"/>
      <c r="AN255" s="6"/>
      <c r="AO255" s="6"/>
      <c r="AP255" s="6"/>
      <c r="AQ255" s="6"/>
      <c r="AR255" s="6"/>
      <c r="AS255" s="6"/>
    </row>
    <row r="256" spans="1:45" ht="31.5" hidden="1" x14ac:dyDescent="0.25">
      <c r="A256" s="33" t="s">
        <v>52</v>
      </c>
      <c r="B256" s="42">
        <v>53</v>
      </c>
      <c r="C256" s="33" t="s">
        <v>142</v>
      </c>
      <c r="D256" s="33" t="s">
        <v>142</v>
      </c>
      <c r="E256" s="32"/>
      <c r="F256" s="54"/>
      <c r="G256" s="33" t="s">
        <v>495</v>
      </c>
      <c r="H256" s="32"/>
      <c r="I256" s="32"/>
      <c r="J256" s="33" t="s">
        <v>496</v>
      </c>
      <c r="K256" s="33" t="s">
        <v>43</v>
      </c>
      <c r="L256" s="33" t="s">
        <v>497</v>
      </c>
      <c r="M256" s="44">
        <v>7557570900</v>
      </c>
      <c r="N256" s="45"/>
      <c r="O256" s="44">
        <v>7500000</v>
      </c>
      <c r="P256" s="86"/>
      <c r="Q256" s="44">
        <f t="shared" si="206"/>
        <v>7565070900</v>
      </c>
      <c r="R256" s="52">
        <v>7557570900</v>
      </c>
      <c r="S256" s="32"/>
      <c r="T256" s="44">
        <v>7500000</v>
      </c>
      <c r="U256" s="32"/>
      <c r="V256" s="32"/>
      <c r="W256" s="49"/>
      <c r="X256" s="49">
        <f t="shared" ref="X256:Z256" si="258">N256-S256</f>
        <v>0</v>
      </c>
      <c r="Y256" s="49">
        <f t="shared" si="258"/>
        <v>0</v>
      </c>
      <c r="Z256" s="49">
        <f t="shared" si="258"/>
        <v>0</v>
      </c>
      <c r="AA256" s="54"/>
      <c r="AB256" s="54"/>
      <c r="AC256" s="2">
        <f t="shared" si="208"/>
        <v>2</v>
      </c>
      <c r="AD256" s="6"/>
      <c r="AE256" s="6"/>
      <c r="AF256" s="6"/>
      <c r="AG256" s="6"/>
      <c r="AH256" s="6"/>
      <c r="AI256" s="6"/>
      <c r="AJ256" s="6"/>
      <c r="AK256" s="6"/>
      <c r="AL256" s="6"/>
      <c r="AM256" s="6"/>
      <c r="AN256" s="6"/>
      <c r="AO256" s="6"/>
      <c r="AP256" s="6"/>
      <c r="AQ256" s="6"/>
      <c r="AR256" s="6"/>
      <c r="AS256" s="6"/>
    </row>
    <row r="257" spans="1:45" ht="31.5" hidden="1" x14ac:dyDescent="0.25">
      <c r="A257" s="33" t="s">
        <v>35</v>
      </c>
      <c r="B257" s="42">
        <v>54</v>
      </c>
      <c r="C257" s="33" t="s">
        <v>142</v>
      </c>
      <c r="D257" s="33" t="s">
        <v>142</v>
      </c>
      <c r="E257" s="32"/>
      <c r="F257" s="54"/>
      <c r="G257" s="33" t="s">
        <v>503</v>
      </c>
      <c r="H257" s="32"/>
      <c r="I257" s="32"/>
      <c r="J257" s="33" t="s">
        <v>505</v>
      </c>
      <c r="K257" s="33" t="s">
        <v>43</v>
      </c>
      <c r="L257" s="33" t="s">
        <v>506</v>
      </c>
      <c r="M257" s="44">
        <v>0</v>
      </c>
      <c r="N257" s="45"/>
      <c r="O257" s="44">
        <v>7500000</v>
      </c>
      <c r="P257" s="86"/>
      <c r="Q257" s="44">
        <f t="shared" si="206"/>
        <v>7500000</v>
      </c>
      <c r="R257" s="42">
        <v>0</v>
      </c>
      <c r="S257" s="32"/>
      <c r="T257" s="44">
        <v>7500000</v>
      </c>
      <c r="U257" s="32"/>
      <c r="V257" s="32"/>
      <c r="W257" s="49"/>
      <c r="X257" s="49">
        <f t="shared" ref="X257:Z257" si="259">N257-S257</f>
        <v>0</v>
      </c>
      <c r="Y257" s="49">
        <f t="shared" si="259"/>
        <v>0</v>
      </c>
      <c r="Z257" s="49">
        <f t="shared" si="259"/>
        <v>0</v>
      </c>
      <c r="AA257" s="54"/>
      <c r="AB257" s="54"/>
      <c r="AC257" s="2">
        <f t="shared" si="208"/>
        <v>2</v>
      </c>
      <c r="AD257" s="6"/>
      <c r="AE257" s="6"/>
      <c r="AF257" s="6"/>
      <c r="AG257" s="6"/>
      <c r="AH257" s="6"/>
      <c r="AI257" s="6"/>
      <c r="AJ257" s="6"/>
      <c r="AK257" s="6"/>
      <c r="AL257" s="6"/>
      <c r="AM257" s="6"/>
      <c r="AN257" s="6"/>
      <c r="AO257" s="6"/>
      <c r="AP257" s="6"/>
      <c r="AQ257" s="6"/>
      <c r="AR257" s="6"/>
      <c r="AS257" s="6"/>
    </row>
    <row r="258" spans="1:45" ht="31.5" hidden="1" x14ac:dyDescent="0.25">
      <c r="A258" s="33" t="s">
        <v>35</v>
      </c>
      <c r="B258" s="42">
        <v>55</v>
      </c>
      <c r="C258" s="33" t="s">
        <v>142</v>
      </c>
      <c r="D258" s="33" t="s">
        <v>142</v>
      </c>
      <c r="E258" s="33" t="s">
        <v>508</v>
      </c>
      <c r="F258" s="54"/>
      <c r="G258" s="33" t="s">
        <v>509</v>
      </c>
      <c r="H258" s="33" t="s">
        <v>510</v>
      </c>
      <c r="I258" s="32"/>
      <c r="J258" s="33" t="s">
        <v>511</v>
      </c>
      <c r="K258" s="33" t="s">
        <v>43</v>
      </c>
      <c r="L258" s="33" t="s">
        <v>512</v>
      </c>
      <c r="M258" s="44">
        <v>9203203092</v>
      </c>
      <c r="N258" s="44">
        <v>177091834</v>
      </c>
      <c r="O258" s="44">
        <v>15000000</v>
      </c>
      <c r="P258" s="86"/>
      <c r="Q258" s="44">
        <f t="shared" si="206"/>
        <v>9395294926</v>
      </c>
      <c r="R258" s="52">
        <v>9203203092</v>
      </c>
      <c r="S258" s="48">
        <v>177091834</v>
      </c>
      <c r="T258" s="44">
        <v>15000000</v>
      </c>
      <c r="U258" s="32"/>
      <c r="V258" s="32"/>
      <c r="W258" s="49"/>
      <c r="X258" s="49">
        <f t="shared" ref="X258:Z258" si="260">N258-S258</f>
        <v>0</v>
      </c>
      <c r="Y258" s="49">
        <f t="shared" si="260"/>
        <v>0</v>
      </c>
      <c r="Z258" s="49">
        <f t="shared" si="260"/>
        <v>0</v>
      </c>
      <c r="AA258" s="54"/>
      <c r="AB258" s="54"/>
      <c r="AC258" s="2">
        <f t="shared" si="208"/>
        <v>2</v>
      </c>
      <c r="AD258" s="6"/>
      <c r="AE258" s="6"/>
      <c r="AF258" s="6"/>
      <c r="AG258" s="6"/>
      <c r="AH258" s="6"/>
      <c r="AI258" s="6"/>
      <c r="AJ258" s="6"/>
      <c r="AK258" s="6"/>
      <c r="AL258" s="6"/>
      <c r="AM258" s="6"/>
      <c r="AN258" s="6"/>
      <c r="AO258" s="6"/>
      <c r="AP258" s="6"/>
      <c r="AQ258" s="6"/>
      <c r="AR258" s="6"/>
      <c r="AS258" s="6"/>
    </row>
    <row r="259" spans="1:45" ht="31.5" hidden="1" x14ac:dyDescent="0.25">
      <c r="A259" s="33" t="s">
        <v>52</v>
      </c>
      <c r="B259" s="42">
        <v>56</v>
      </c>
      <c r="C259" s="33" t="s">
        <v>142</v>
      </c>
      <c r="D259" s="33" t="s">
        <v>142</v>
      </c>
      <c r="E259" s="33"/>
      <c r="F259" s="54"/>
      <c r="G259" s="33" t="s">
        <v>520</v>
      </c>
      <c r="H259" s="33"/>
      <c r="I259" s="33"/>
      <c r="J259" s="33" t="s">
        <v>521</v>
      </c>
      <c r="K259" s="33" t="s">
        <v>43</v>
      </c>
      <c r="L259" s="33" t="s">
        <v>522</v>
      </c>
      <c r="M259" s="44">
        <v>436279800</v>
      </c>
      <c r="N259" s="45"/>
      <c r="O259" s="44">
        <v>7500000</v>
      </c>
      <c r="P259" s="86"/>
      <c r="Q259" s="44">
        <f t="shared" si="206"/>
        <v>443779800</v>
      </c>
      <c r="R259" s="52">
        <v>436279800</v>
      </c>
      <c r="S259" s="32"/>
      <c r="T259" s="66"/>
      <c r="U259" s="32"/>
      <c r="V259" s="32"/>
      <c r="W259" s="49"/>
      <c r="X259" s="49">
        <f t="shared" ref="X259:Z259" si="261">N259-S259</f>
        <v>0</v>
      </c>
      <c r="Y259" s="52">
        <f t="shared" si="261"/>
        <v>7500000</v>
      </c>
      <c r="Z259" s="49">
        <f t="shared" si="261"/>
        <v>0</v>
      </c>
      <c r="AA259" s="54"/>
      <c r="AB259" s="43"/>
      <c r="AC259" s="15">
        <f t="shared" si="208"/>
        <v>2</v>
      </c>
      <c r="AD259" s="15"/>
      <c r="AE259" s="6"/>
      <c r="AF259" s="6"/>
      <c r="AG259" s="6"/>
      <c r="AH259" s="6"/>
      <c r="AI259" s="6"/>
      <c r="AJ259" s="6"/>
      <c r="AK259" s="6"/>
      <c r="AL259" s="6"/>
      <c r="AM259" s="6"/>
      <c r="AN259" s="6"/>
      <c r="AO259" s="6"/>
      <c r="AP259" s="6"/>
      <c r="AQ259" s="6"/>
      <c r="AR259" s="6"/>
      <c r="AS259" s="6"/>
    </row>
    <row r="260" spans="1:45" ht="31.5" hidden="1" x14ac:dyDescent="0.25">
      <c r="A260" s="33" t="s">
        <v>60</v>
      </c>
      <c r="B260" s="42">
        <v>57</v>
      </c>
      <c r="C260" s="33" t="s">
        <v>142</v>
      </c>
      <c r="D260" s="33" t="s">
        <v>142</v>
      </c>
      <c r="E260" s="32"/>
      <c r="F260" s="54"/>
      <c r="G260" s="33" t="s">
        <v>523</v>
      </c>
      <c r="H260" s="32"/>
      <c r="I260" s="32"/>
      <c r="J260" s="33" t="s">
        <v>524</v>
      </c>
      <c r="K260" s="33" t="s">
        <v>43</v>
      </c>
      <c r="L260" s="33" t="s">
        <v>525</v>
      </c>
      <c r="M260" s="44">
        <v>343735600</v>
      </c>
      <c r="N260" s="45"/>
      <c r="O260" s="44">
        <v>7500000</v>
      </c>
      <c r="P260" s="86"/>
      <c r="Q260" s="44">
        <f t="shared" si="206"/>
        <v>351235600</v>
      </c>
      <c r="R260" s="52">
        <v>343735600</v>
      </c>
      <c r="S260" s="32"/>
      <c r="T260" s="44">
        <v>7500000</v>
      </c>
      <c r="U260" s="32"/>
      <c r="V260" s="32"/>
      <c r="W260" s="49"/>
      <c r="X260" s="49">
        <f t="shared" ref="X260:Z260" si="262">N260-S260</f>
        <v>0</v>
      </c>
      <c r="Y260" s="49">
        <f t="shared" si="262"/>
        <v>0</v>
      </c>
      <c r="Z260" s="49">
        <f t="shared" si="262"/>
        <v>0</v>
      </c>
      <c r="AA260" s="54"/>
      <c r="AB260" s="54"/>
      <c r="AC260" s="2">
        <f t="shared" si="208"/>
        <v>2</v>
      </c>
      <c r="AD260" s="6"/>
      <c r="AE260" s="6"/>
      <c r="AF260" s="6"/>
      <c r="AG260" s="6"/>
      <c r="AH260" s="6"/>
      <c r="AI260" s="6"/>
      <c r="AJ260" s="6"/>
      <c r="AK260" s="6"/>
      <c r="AL260" s="6"/>
      <c r="AM260" s="6"/>
      <c r="AN260" s="6"/>
      <c r="AO260" s="6"/>
      <c r="AP260" s="6"/>
      <c r="AQ260" s="6"/>
      <c r="AR260" s="6"/>
      <c r="AS260" s="6"/>
    </row>
    <row r="261" spans="1:45" ht="31.5" hidden="1" x14ac:dyDescent="0.25">
      <c r="A261" s="33" t="s">
        <v>46</v>
      </c>
      <c r="B261" s="42">
        <v>58</v>
      </c>
      <c r="C261" s="33" t="s">
        <v>142</v>
      </c>
      <c r="D261" s="33" t="s">
        <v>142</v>
      </c>
      <c r="E261" s="32"/>
      <c r="F261" s="54"/>
      <c r="G261" s="33" t="s">
        <v>533</v>
      </c>
      <c r="H261" s="32"/>
      <c r="I261" s="32"/>
      <c r="J261" s="33" t="s">
        <v>534</v>
      </c>
      <c r="K261" s="33" t="s">
        <v>43</v>
      </c>
      <c r="L261" s="33" t="s">
        <v>535</v>
      </c>
      <c r="M261" s="44">
        <v>102008431</v>
      </c>
      <c r="N261" s="45"/>
      <c r="O261" s="44">
        <v>7500000</v>
      </c>
      <c r="P261" s="86"/>
      <c r="Q261" s="44">
        <f t="shared" si="206"/>
        <v>109508431</v>
      </c>
      <c r="R261" s="52">
        <v>102008431</v>
      </c>
      <c r="S261" s="32"/>
      <c r="T261" s="44">
        <v>7500000</v>
      </c>
      <c r="U261" s="32"/>
      <c r="V261" s="32"/>
      <c r="W261" s="49"/>
      <c r="X261" s="49">
        <f t="shared" ref="X261:Z261" si="263">N261-S261</f>
        <v>0</v>
      </c>
      <c r="Y261" s="49">
        <f t="shared" si="263"/>
        <v>0</v>
      </c>
      <c r="Z261" s="49">
        <f t="shared" si="263"/>
        <v>0</v>
      </c>
      <c r="AA261" s="54"/>
      <c r="AB261" s="54"/>
      <c r="AC261" s="2">
        <f t="shared" si="208"/>
        <v>2</v>
      </c>
      <c r="AD261" s="6"/>
      <c r="AE261" s="6"/>
      <c r="AF261" s="6"/>
      <c r="AG261" s="6"/>
      <c r="AH261" s="6"/>
      <c r="AI261" s="6"/>
      <c r="AJ261" s="6"/>
      <c r="AK261" s="6"/>
      <c r="AL261" s="6"/>
      <c r="AM261" s="6"/>
      <c r="AN261" s="6"/>
      <c r="AO261" s="6"/>
      <c r="AP261" s="6"/>
      <c r="AQ261" s="6"/>
      <c r="AR261" s="6"/>
      <c r="AS261" s="6"/>
    </row>
    <row r="262" spans="1:45" ht="31.5" hidden="1" x14ac:dyDescent="0.25">
      <c r="A262" s="33" t="s">
        <v>46</v>
      </c>
      <c r="B262" s="42">
        <v>59</v>
      </c>
      <c r="C262" s="33" t="s">
        <v>142</v>
      </c>
      <c r="D262" s="33" t="s">
        <v>142</v>
      </c>
      <c r="E262" s="32"/>
      <c r="F262" s="54"/>
      <c r="G262" s="33" t="s">
        <v>536</v>
      </c>
      <c r="H262" s="32"/>
      <c r="I262" s="32"/>
      <c r="J262" s="33" t="s">
        <v>537</v>
      </c>
      <c r="K262" s="33" t="s">
        <v>43</v>
      </c>
      <c r="L262" s="33" t="s">
        <v>538</v>
      </c>
      <c r="M262" s="44">
        <v>357575520</v>
      </c>
      <c r="N262" s="45"/>
      <c r="O262" s="44">
        <v>7500000</v>
      </c>
      <c r="P262" s="86"/>
      <c r="Q262" s="44">
        <f t="shared" si="206"/>
        <v>365075520</v>
      </c>
      <c r="R262" s="52">
        <v>357575520</v>
      </c>
      <c r="S262" s="32"/>
      <c r="T262" s="44">
        <v>7500000</v>
      </c>
      <c r="U262" s="32"/>
      <c r="V262" s="32"/>
      <c r="W262" s="49"/>
      <c r="X262" s="49">
        <f t="shared" ref="X262:Z262" si="264">N262-S262</f>
        <v>0</v>
      </c>
      <c r="Y262" s="49">
        <f t="shared" si="264"/>
        <v>0</v>
      </c>
      <c r="Z262" s="49">
        <f t="shared" si="264"/>
        <v>0</v>
      </c>
      <c r="AA262" s="54"/>
      <c r="AB262" s="54"/>
      <c r="AC262" s="2">
        <f t="shared" si="208"/>
        <v>2</v>
      </c>
      <c r="AD262" s="6"/>
      <c r="AE262" s="6"/>
      <c r="AF262" s="6"/>
      <c r="AG262" s="6"/>
      <c r="AH262" s="6"/>
      <c r="AI262" s="6"/>
      <c r="AJ262" s="6"/>
      <c r="AK262" s="6"/>
      <c r="AL262" s="6"/>
      <c r="AM262" s="6"/>
      <c r="AN262" s="6"/>
      <c r="AO262" s="6"/>
      <c r="AP262" s="6"/>
      <c r="AQ262" s="6"/>
      <c r="AR262" s="6"/>
      <c r="AS262" s="6"/>
    </row>
    <row r="263" spans="1:45" ht="31.5" hidden="1" x14ac:dyDescent="0.25">
      <c r="A263" s="33" t="s">
        <v>46</v>
      </c>
      <c r="B263" s="42">
        <v>60</v>
      </c>
      <c r="C263" s="33" t="s">
        <v>142</v>
      </c>
      <c r="D263" s="33" t="s">
        <v>142</v>
      </c>
      <c r="E263" s="33" t="s">
        <v>450</v>
      </c>
      <c r="F263" s="54"/>
      <c r="G263" s="33" t="s">
        <v>545</v>
      </c>
      <c r="H263" s="33" t="s">
        <v>546</v>
      </c>
      <c r="I263" s="32"/>
      <c r="J263" s="33" t="s">
        <v>547</v>
      </c>
      <c r="K263" s="33" t="s">
        <v>43</v>
      </c>
      <c r="L263" s="33" t="s">
        <v>548</v>
      </c>
      <c r="M263" s="44">
        <v>2000913996</v>
      </c>
      <c r="N263" s="44">
        <v>13394304</v>
      </c>
      <c r="O263" s="44">
        <v>7500000</v>
      </c>
      <c r="P263" s="86"/>
      <c r="Q263" s="44">
        <f t="shared" si="206"/>
        <v>2021808300</v>
      </c>
      <c r="R263" s="52">
        <v>2000913996</v>
      </c>
      <c r="S263" s="48">
        <v>13394304</v>
      </c>
      <c r="T263" s="44">
        <v>7500000</v>
      </c>
      <c r="U263" s="32"/>
      <c r="V263" s="32"/>
      <c r="W263" s="49"/>
      <c r="X263" s="49">
        <f t="shared" ref="X263:Z263" si="265">N263-S263</f>
        <v>0</v>
      </c>
      <c r="Y263" s="49">
        <f t="shared" si="265"/>
        <v>0</v>
      </c>
      <c r="Z263" s="49">
        <f t="shared" si="265"/>
        <v>0</v>
      </c>
      <c r="AA263" s="54"/>
      <c r="AB263" s="54"/>
      <c r="AC263" s="2">
        <f t="shared" si="208"/>
        <v>2</v>
      </c>
      <c r="AD263" s="6"/>
      <c r="AE263" s="6"/>
      <c r="AF263" s="6"/>
      <c r="AG263" s="6"/>
      <c r="AH263" s="6"/>
      <c r="AI263" s="6"/>
      <c r="AJ263" s="6"/>
      <c r="AK263" s="6"/>
      <c r="AL263" s="6"/>
      <c r="AM263" s="6"/>
      <c r="AN263" s="6"/>
      <c r="AO263" s="6"/>
      <c r="AP263" s="6"/>
      <c r="AQ263" s="6"/>
      <c r="AR263" s="6"/>
      <c r="AS263" s="6"/>
    </row>
    <row r="264" spans="1:45" ht="31.5" hidden="1" x14ac:dyDescent="0.25">
      <c r="A264" s="33" t="s">
        <v>52</v>
      </c>
      <c r="B264" s="42">
        <v>61</v>
      </c>
      <c r="C264" s="33" t="s">
        <v>142</v>
      </c>
      <c r="D264" s="33" t="s">
        <v>142</v>
      </c>
      <c r="E264" s="32"/>
      <c r="F264" s="54"/>
      <c r="G264" s="33" t="s">
        <v>554</v>
      </c>
      <c r="H264" s="32"/>
      <c r="I264" s="32"/>
      <c r="J264" s="33" t="s">
        <v>555</v>
      </c>
      <c r="K264" s="33" t="s">
        <v>43</v>
      </c>
      <c r="L264" s="33" t="s">
        <v>556</v>
      </c>
      <c r="M264" s="44">
        <v>11400194400</v>
      </c>
      <c r="N264" s="45"/>
      <c r="O264" s="44">
        <v>7500000</v>
      </c>
      <c r="P264" s="86"/>
      <c r="Q264" s="44">
        <f t="shared" si="206"/>
        <v>11407694400</v>
      </c>
      <c r="R264" s="52">
        <v>11400194400</v>
      </c>
      <c r="S264" s="32"/>
      <c r="T264" s="44">
        <v>7500000</v>
      </c>
      <c r="U264" s="32"/>
      <c r="V264" s="32"/>
      <c r="W264" s="49"/>
      <c r="X264" s="49">
        <f t="shared" ref="X264:Z264" si="266">N264-S264</f>
        <v>0</v>
      </c>
      <c r="Y264" s="49">
        <f t="shared" si="266"/>
        <v>0</v>
      </c>
      <c r="Z264" s="49">
        <f t="shared" si="266"/>
        <v>0</v>
      </c>
      <c r="AA264" s="54"/>
      <c r="AB264" s="54"/>
      <c r="AC264" s="2">
        <f t="shared" si="208"/>
        <v>2</v>
      </c>
      <c r="AD264" s="6"/>
      <c r="AE264" s="6"/>
      <c r="AF264" s="6"/>
      <c r="AG264" s="6"/>
      <c r="AH264" s="6"/>
      <c r="AI264" s="6"/>
      <c r="AJ264" s="6"/>
      <c r="AK264" s="6"/>
      <c r="AL264" s="6"/>
      <c r="AM264" s="6"/>
      <c r="AN264" s="6"/>
      <c r="AO264" s="6"/>
      <c r="AP264" s="6"/>
      <c r="AQ264" s="6"/>
      <c r="AR264" s="6"/>
      <c r="AS264" s="6"/>
    </row>
    <row r="265" spans="1:45" ht="31.5" hidden="1" x14ac:dyDescent="0.25">
      <c r="A265" s="33" t="s">
        <v>60</v>
      </c>
      <c r="B265" s="42">
        <v>62</v>
      </c>
      <c r="C265" s="33" t="s">
        <v>142</v>
      </c>
      <c r="D265" s="33" t="s">
        <v>142</v>
      </c>
      <c r="E265" s="32"/>
      <c r="F265" s="54"/>
      <c r="G265" s="33" t="s">
        <v>563</v>
      </c>
      <c r="H265" s="32"/>
      <c r="I265" s="32"/>
      <c r="J265" s="33" t="s">
        <v>564</v>
      </c>
      <c r="K265" s="33" t="s">
        <v>43</v>
      </c>
      <c r="L265" s="33" t="s">
        <v>565</v>
      </c>
      <c r="M265" s="44">
        <v>859537200</v>
      </c>
      <c r="N265" s="45"/>
      <c r="O265" s="44">
        <v>7500000</v>
      </c>
      <c r="P265" s="86"/>
      <c r="Q265" s="44">
        <f t="shared" si="206"/>
        <v>867037200</v>
      </c>
      <c r="R265" s="52">
        <v>859537200</v>
      </c>
      <c r="S265" s="32"/>
      <c r="T265" s="44">
        <v>7500000</v>
      </c>
      <c r="U265" s="32"/>
      <c r="V265" s="32"/>
      <c r="W265" s="49"/>
      <c r="X265" s="49">
        <f t="shared" ref="X265:Z265" si="267">N265-S265</f>
        <v>0</v>
      </c>
      <c r="Y265" s="49">
        <f t="shared" si="267"/>
        <v>0</v>
      </c>
      <c r="Z265" s="49">
        <f t="shared" si="267"/>
        <v>0</v>
      </c>
      <c r="AA265" s="54"/>
      <c r="AB265" s="54"/>
      <c r="AC265" s="2">
        <f t="shared" si="208"/>
        <v>2</v>
      </c>
      <c r="AD265" s="6"/>
      <c r="AE265" s="6"/>
      <c r="AF265" s="6"/>
      <c r="AG265" s="6"/>
      <c r="AH265" s="6"/>
      <c r="AI265" s="6"/>
      <c r="AJ265" s="6"/>
      <c r="AK265" s="6"/>
      <c r="AL265" s="6"/>
      <c r="AM265" s="6"/>
      <c r="AN265" s="6"/>
      <c r="AO265" s="6"/>
      <c r="AP265" s="6"/>
      <c r="AQ265" s="6"/>
      <c r="AR265" s="6"/>
      <c r="AS265" s="6"/>
    </row>
    <row r="266" spans="1:45" ht="31.5" hidden="1" x14ac:dyDescent="0.25">
      <c r="A266" s="33" t="s">
        <v>35</v>
      </c>
      <c r="B266" s="42">
        <v>63</v>
      </c>
      <c r="C266" s="33" t="s">
        <v>142</v>
      </c>
      <c r="D266" s="33" t="s">
        <v>142</v>
      </c>
      <c r="E266" s="33"/>
      <c r="F266" s="54"/>
      <c r="G266" s="33" t="s">
        <v>572</v>
      </c>
      <c r="H266" s="33"/>
      <c r="I266" s="33"/>
      <c r="J266" s="33" t="s">
        <v>573</v>
      </c>
      <c r="K266" s="33" t="s">
        <v>43</v>
      </c>
      <c r="L266" s="33" t="s">
        <v>574</v>
      </c>
      <c r="M266" s="44">
        <v>0</v>
      </c>
      <c r="N266" s="45"/>
      <c r="O266" s="44">
        <v>7500000</v>
      </c>
      <c r="P266" s="86"/>
      <c r="Q266" s="44">
        <f t="shared" si="206"/>
        <v>7500000</v>
      </c>
      <c r="R266" s="42">
        <v>0</v>
      </c>
      <c r="S266" s="32"/>
      <c r="T266" s="66"/>
      <c r="U266" s="32"/>
      <c r="V266" s="32"/>
      <c r="W266" s="49"/>
      <c r="X266" s="49">
        <f t="shared" ref="X266:Z266" si="268">N266-S266</f>
        <v>0</v>
      </c>
      <c r="Y266" s="52">
        <f t="shared" si="268"/>
        <v>7500000</v>
      </c>
      <c r="Z266" s="49">
        <f t="shared" si="268"/>
        <v>0</v>
      </c>
      <c r="AA266" s="54"/>
      <c r="AB266" s="43"/>
      <c r="AC266" s="15">
        <f t="shared" si="208"/>
        <v>2</v>
      </c>
      <c r="AD266" s="15"/>
      <c r="AE266" s="6"/>
      <c r="AF266" s="6"/>
      <c r="AG266" s="6"/>
      <c r="AH266" s="6"/>
      <c r="AI266" s="6"/>
      <c r="AJ266" s="6"/>
      <c r="AK266" s="6"/>
      <c r="AL266" s="6"/>
      <c r="AM266" s="6"/>
      <c r="AN266" s="6"/>
      <c r="AO266" s="6"/>
      <c r="AP266" s="6"/>
      <c r="AQ266" s="6"/>
      <c r="AR266" s="6"/>
      <c r="AS266" s="6"/>
    </row>
    <row r="267" spans="1:45" ht="31.5" hidden="1" x14ac:dyDescent="0.25">
      <c r="A267" s="33" t="s">
        <v>35</v>
      </c>
      <c r="B267" s="42">
        <v>64</v>
      </c>
      <c r="C267" s="33" t="s">
        <v>142</v>
      </c>
      <c r="D267" s="33" t="s">
        <v>142</v>
      </c>
      <c r="E267" s="32"/>
      <c r="F267" s="54"/>
      <c r="G267" s="33" t="s">
        <v>575</v>
      </c>
      <c r="H267" s="32"/>
      <c r="I267" s="32"/>
      <c r="J267" s="33" t="s">
        <v>576</v>
      </c>
      <c r="K267" s="33" t="s">
        <v>43</v>
      </c>
      <c r="L267" s="33" t="s">
        <v>577</v>
      </c>
      <c r="M267" s="44">
        <v>47859600</v>
      </c>
      <c r="N267" s="45"/>
      <c r="O267" s="44">
        <v>7500000</v>
      </c>
      <c r="P267" s="86"/>
      <c r="Q267" s="44">
        <f t="shared" si="206"/>
        <v>55359600</v>
      </c>
      <c r="R267" s="52">
        <v>47859600</v>
      </c>
      <c r="S267" s="32"/>
      <c r="T267" s="44">
        <v>7500000</v>
      </c>
      <c r="U267" s="32"/>
      <c r="V267" s="32"/>
      <c r="W267" s="49"/>
      <c r="X267" s="49">
        <f t="shared" ref="X267:Z267" si="269">N267-S267</f>
        <v>0</v>
      </c>
      <c r="Y267" s="49">
        <f t="shared" si="269"/>
        <v>0</v>
      </c>
      <c r="Z267" s="49">
        <f t="shared" si="269"/>
        <v>0</v>
      </c>
      <c r="AA267" s="54"/>
      <c r="AB267" s="54"/>
      <c r="AC267" s="2">
        <f t="shared" si="208"/>
        <v>2</v>
      </c>
      <c r="AD267" s="6"/>
      <c r="AE267" s="6"/>
      <c r="AF267" s="6"/>
      <c r="AG267" s="6"/>
      <c r="AH267" s="6"/>
      <c r="AI267" s="6"/>
      <c r="AJ267" s="6"/>
      <c r="AK267" s="6"/>
      <c r="AL267" s="6"/>
      <c r="AM267" s="6"/>
      <c r="AN267" s="6"/>
      <c r="AO267" s="6"/>
      <c r="AP267" s="6"/>
      <c r="AQ267" s="6"/>
      <c r="AR267" s="6"/>
      <c r="AS267" s="6"/>
    </row>
    <row r="268" spans="1:45" ht="31.5" hidden="1" x14ac:dyDescent="0.25">
      <c r="A268" s="33" t="s">
        <v>83</v>
      </c>
      <c r="B268" s="42">
        <v>65</v>
      </c>
      <c r="C268" s="33" t="s">
        <v>142</v>
      </c>
      <c r="D268" s="33" t="s">
        <v>142</v>
      </c>
      <c r="E268" s="32"/>
      <c r="F268" s="54"/>
      <c r="G268" s="33" t="s">
        <v>578</v>
      </c>
      <c r="H268" s="32"/>
      <c r="I268" s="33" t="s">
        <v>85</v>
      </c>
      <c r="J268" s="33" t="s">
        <v>579</v>
      </c>
      <c r="K268" s="33" t="s">
        <v>43</v>
      </c>
      <c r="L268" s="33" t="s">
        <v>580</v>
      </c>
      <c r="M268" s="44">
        <v>0</v>
      </c>
      <c r="N268" s="45"/>
      <c r="O268" s="66"/>
      <c r="P268" s="86"/>
      <c r="Q268" s="44">
        <f t="shared" si="206"/>
        <v>0</v>
      </c>
      <c r="R268" s="42">
        <v>0</v>
      </c>
      <c r="S268" s="32"/>
      <c r="T268" s="45"/>
      <c r="U268" s="32"/>
      <c r="V268" s="32"/>
      <c r="W268" s="49"/>
      <c r="X268" s="49">
        <f t="shared" ref="X268:Z268" si="270">N268-S268</f>
        <v>0</v>
      </c>
      <c r="Y268" s="49">
        <f t="shared" si="270"/>
        <v>0</v>
      </c>
      <c r="Z268" s="49">
        <f t="shared" si="270"/>
        <v>0</v>
      </c>
      <c r="AA268" s="54"/>
      <c r="AB268" s="54"/>
      <c r="AC268" s="2">
        <f t="shared" si="208"/>
        <v>2</v>
      </c>
      <c r="AD268" s="6"/>
      <c r="AE268" s="6"/>
      <c r="AF268" s="6"/>
      <c r="AG268" s="6"/>
      <c r="AH268" s="6"/>
      <c r="AI268" s="6"/>
      <c r="AJ268" s="6"/>
      <c r="AK268" s="6"/>
      <c r="AL268" s="6"/>
      <c r="AM268" s="6"/>
      <c r="AN268" s="6"/>
      <c r="AO268" s="6"/>
      <c r="AP268" s="6"/>
      <c r="AQ268" s="6"/>
      <c r="AR268" s="6"/>
      <c r="AS268" s="6"/>
    </row>
    <row r="269" spans="1:45" ht="31.5" hidden="1" x14ac:dyDescent="0.25">
      <c r="A269" s="33" t="s">
        <v>60</v>
      </c>
      <c r="B269" s="42">
        <v>66</v>
      </c>
      <c r="C269" s="33" t="s">
        <v>142</v>
      </c>
      <c r="D269" s="33" t="s">
        <v>142</v>
      </c>
      <c r="E269" s="32"/>
      <c r="F269" s="54"/>
      <c r="G269" s="33" t="s">
        <v>589</v>
      </c>
      <c r="H269" s="32"/>
      <c r="I269" s="32"/>
      <c r="J269" s="33" t="s">
        <v>590</v>
      </c>
      <c r="K269" s="33" t="s">
        <v>43</v>
      </c>
      <c r="L269" s="33" t="s">
        <v>591</v>
      </c>
      <c r="M269" s="44">
        <v>440907010</v>
      </c>
      <c r="N269" s="45"/>
      <c r="O269" s="44">
        <v>7500000</v>
      </c>
      <c r="P269" s="86"/>
      <c r="Q269" s="44">
        <f t="shared" si="206"/>
        <v>448407010</v>
      </c>
      <c r="R269" s="52">
        <v>440907010</v>
      </c>
      <c r="S269" s="32"/>
      <c r="T269" s="44">
        <v>7500000</v>
      </c>
      <c r="U269" s="32"/>
      <c r="V269" s="32"/>
      <c r="W269" s="49"/>
      <c r="X269" s="49">
        <f t="shared" ref="X269:Z269" si="271">N269-S269</f>
        <v>0</v>
      </c>
      <c r="Y269" s="49">
        <f t="shared" si="271"/>
        <v>0</v>
      </c>
      <c r="Z269" s="49">
        <f t="shared" si="271"/>
        <v>0</v>
      </c>
      <c r="AA269" s="54"/>
      <c r="AB269" s="54"/>
      <c r="AC269" s="2">
        <f t="shared" si="208"/>
        <v>2</v>
      </c>
      <c r="AD269" s="6"/>
      <c r="AE269" s="6"/>
      <c r="AF269" s="6"/>
      <c r="AG269" s="6"/>
      <c r="AH269" s="6"/>
      <c r="AI269" s="6"/>
      <c r="AJ269" s="6"/>
      <c r="AK269" s="6"/>
      <c r="AL269" s="6"/>
      <c r="AM269" s="6"/>
      <c r="AN269" s="6"/>
      <c r="AO269" s="6"/>
      <c r="AP269" s="6"/>
      <c r="AQ269" s="6"/>
      <c r="AR269" s="6"/>
      <c r="AS269" s="6"/>
    </row>
    <row r="270" spans="1:45" ht="31.5" hidden="1" x14ac:dyDescent="0.25">
      <c r="A270" s="33" t="s">
        <v>52</v>
      </c>
      <c r="B270" s="42">
        <v>67</v>
      </c>
      <c r="C270" s="33" t="s">
        <v>142</v>
      </c>
      <c r="D270" s="33" t="s">
        <v>142</v>
      </c>
      <c r="E270" s="33" t="s">
        <v>409</v>
      </c>
      <c r="F270" s="54"/>
      <c r="G270" s="33" t="s">
        <v>592</v>
      </c>
      <c r="H270" s="33" t="s">
        <v>593</v>
      </c>
      <c r="I270" s="32"/>
      <c r="J270" s="33" t="s">
        <v>594</v>
      </c>
      <c r="K270" s="33" t="s">
        <v>43</v>
      </c>
      <c r="L270" s="33" t="s">
        <v>595</v>
      </c>
      <c r="M270" s="44">
        <v>880761416</v>
      </c>
      <c r="N270" s="44">
        <v>111348888</v>
      </c>
      <c r="O270" s="44">
        <v>15000000</v>
      </c>
      <c r="P270" s="86"/>
      <c r="Q270" s="44">
        <f t="shared" si="206"/>
        <v>1007110304</v>
      </c>
      <c r="R270" s="52">
        <v>880761416</v>
      </c>
      <c r="S270" s="48">
        <v>111348888</v>
      </c>
      <c r="T270" s="44">
        <v>15000000</v>
      </c>
      <c r="U270" s="32"/>
      <c r="V270" s="32"/>
      <c r="W270" s="49"/>
      <c r="X270" s="49">
        <f t="shared" ref="X270:Z270" si="272">N270-S270</f>
        <v>0</v>
      </c>
      <c r="Y270" s="49">
        <f t="shared" si="272"/>
        <v>0</v>
      </c>
      <c r="Z270" s="49">
        <f t="shared" si="272"/>
        <v>0</v>
      </c>
      <c r="AA270" s="54"/>
      <c r="AB270" s="54"/>
      <c r="AC270" s="2">
        <f t="shared" si="208"/>
        <v>2</v>
      </c>
      <c r="AD270" s="6"/>
      <c r="AE270" s="6"/>
      <c r="AF270" s="6"/>
      <c r="AG270" s="6"/>
      <c r="AH270" s="6"/>
      <c r="AI270" s="6"/>
      <c r="AJ270" s="6"/>
      <c r="AK270" s="6"/>
      <c r="AL270" s="6"/>
      <c r="AM270" s="6"/>
      <c r="AN270" s="6"/>
      <c r="AO270" s="6"/>
      <c r="AP270" s="6"/>
      <c r="AQ270" s="6"/>
      <c r="AR270" s="6"/>
      <c r="AS270" s="6"/>
    </row>
    <row r="271" spans="1:45" ht="31.5" hidden="1" x14ac:dyDescent="0.25">
      <c r="A271" s="33" t="s">
        <v>46</v>
      </c>
      <c r="B271" s="42">
        <v>68</v>
      </c>
      <c r="C271" s="33" t="s">
        <v>142</v>
      </c>
      <c r="D271" s="33" t="s">
        <v>142</v>
      </c>
      <c r="E271" s="32"/>
      <c r="F271" s="54"/>
      <c r="G271" s="33" t="s">
        <v>599</v>
      </c>
      <c r="H271" s="32"/>
      <c r="I271" s="33" t="s">
        <v>601</v>
      </c>
      <c r="J271" s="33" t="s">
        <v>602</v>
      </c>
      <c r="K271" s="33" t="s">
        <v>43</v>
      </c>
      <c r="L271" s="33" t="s">
        <v>603</v>
      </c>
      <c r="M271" s="44">
        <v>3692631136</v>
      </c>
      <c r="N271" s="45"/>
      <c r="O271" s="44">
        <v>15000000</v>
      </c>
      <c r="P271" s="86"/>
      <c r="Q271" s="44">
        <f t="shared" si="206"/>
        <v>3707631136</v>
      </c>
      <c r="R271" s="52">
        <v>3692631136</v>
      </c>
      <c r="S271" s="32"/>
      <c r="T271" s="44">
        <v>15000000</v>
      </c>
      <c r="U271" s="32"/>
      <c r="V271" s="32"/>
      <c r="W271" s="49"/>
      <c r="X271" s="49">
        <f t="shared" ref="X271:Z271" si="273">N271-S271</f>
        <v>0</v>
      </c>
      <c r="Y271" s="49">
        <f t="shared" si="273"/>
        <v>0</v>
      </c>
      <c r="Z271" s="49">
        <f t="shared" si="273"/>
        <v>0</v>
      </c>
      <c r="AA271" s="54"/>
      <c r="AB271" s="54"/>
      <c r="AC271" s="2">
        <f t="shared" si="208"/>
        <v>2</v>
      </c>
      <c r="AD271" s="6"/>
      <c r="AE271" s="6"/>
      <c r="AF271" s="6"/>
      <c r="AG271" s="6"/>
      <c r="AH271" s="6"/>
      <c r="AI271" s="6"/>
      <c r="AJ271" s="6"/>
      <c r="AK271" s="6"/>
      <c r="AL271" s="6"/>
      <c r="AM271" s="6"/>
      <c r="AN271" s="6"/>
      <c r="AO271" s="6"/>
      <c r="AP271" s="6"/>
      <c r="AQ271" s="6"/>
      <c r="AR271" s="6"/>
      <c r="AS271" s="6"/>
    </row>
    <row r="272" spans="1:45" ht="94.5" hidden="1" x14ac:dyDescent="0.25">
      <c r="A272" s="33" t="s">
        <v>46</v>
      </c>
      <c r="B272" s="42">
        <v>69</v>
      </c>
      <c r="C272" s="33" t="s">
        <v>142</v>
      </c>
      <c r="D272" s="33" t="s">
        <v>142</v>
      </c>
      <c r="E272" s="33" t="s">
        <v>604</v>
      </c>
      <c r="F272" s="54"/>
      <c r="G272" s="33" t="s">
        <v>606</v>
      </c>
      <c r="H272" s="33" t="s">
        <v>608</v>
      </c>
      <c r="I272" s="32"/>
      <c r="J272" s="33" t="s">
        <v>612</v>
      </c>
      <c r="K272" s="33" t="s">
        <v>43</v>
      </c>
      <c r="L272" s="33" t="s">
        <v>614</v>
      </c>
      <c r="M272" s="44">
        <v>10741645000</v>
      </c>
      <c r="N272" s="44">
        <v>2472792800</v>
      </c>
      <c r="O272" s="80">
        <v>15000000</v>
      </c>
      <c r="P272" s="86"/>
      <c r="Q272" s="44">
        <f t="shared" si="206"/>
        <v>13229437800</v>
      </c>
      <c r="R272" s="52">
        <v>10741645000</v>
      </c>
      <c r="S272" s="48">
        <v>2472792800</v>
      </c>
      <c r="T272" s="80">
        <v>15000000</v>
      </c>
      <c r="U272" s="32"/>
      <c r="V272" s="32"/>
      <c r="W272" s="49"/>
      <c r="X272" s="49">
        <f t="shared" ref="X272:Z272" si="274">N272-S272</f>
        <v>0</v>
      </c>
      <c r="Y272" s="49">
        <f t="shared" si="274"/>
        <v>0</v>
      </c>
      <c r="Z272" s="49">
        <f t="shared" si="274"/>
        <v>0</v>
      </c>
      <c r="AA272" s="54"/>
      <c r="AB272" s="54"/>
      <c r="AC272" s="2">
        <f t="shared" si="208"/>
        <v>2</v>
      </c>
      <c r="AD272" s="6"/>
      <c r="AE272" s="6"/>
      <c r="AF272" s="6"/>
      <c r="AG272" s="6"/>
      <c r="AH272" s="6"/>
      <c r="AI272" s="6"/>
      <c r="AJ272" s="6"/>
      <c r="AK272" s="6"/>
      <c r="AL272" s="6"/>
      <c r="AM272" s="6"/>
      <c r="AN272" s="6"/>
      <c r="AO272" s="6"/>
      <c r="AP272" s="6"/>
      <c r="AQ272" s="6"/>
      <c r="AR272" s="6"/>
      <c r="AS272" s="6"/>
    </row>
    <row r="273" spans="1:45" ht="31.5" hidden="1" x14ac:dyDescent="0.25">
      <c r="A273" s="33" t="s">
        <v>46</v>
      </c>
      <c r="B273" s="42">
        <v>71</v>
      </c>
      <c r="C273" s="33" t="s">
        <v>630</v>
      </c>
      <c r="D273" s="33" t="s">
        <v>630</v>
      </c>
      <c r="E273" s="32"/>
      <c r="F273" s="54"/>
      <c r="G273" s="33" t="s">
        <v>631</v>
      </c>
      <c r="H273" s="32"/>
      <c r="I273" s="32"/>
      <c r="J273" s="33" t="s">
        <v>632</v>
      </c>
      <c r="K273" s="33" t="s">
        <v>43</v>
      </c>
      <c r="L273" s="33" t="s">
        <v>633</v>
      </c>
      <c r="M273" s="44">
        <v>4963312906</v>
      </c>
      <c r="N273" s="45"/>
      <c r="O273" s="44">
        <v>7500000</v>
      </c>
      <c r="P273" s="86"/>
      <c r="Q273" s="44">
        <f t="shared" si="206"/>
        <v>4970812906</v>
      </c>
      <c r="R273" s="48">
        <v>4963312906</v>
      </c>
      <c r="S273" s="32"/>
      <c r="T273" s="44">
        <v>7500000</v>
      </c>
      <c r="U273" s="32"/>
      <c r="V273" s="32"/>
      <c r="W273" s="49"/>
      <c r="X273" s="49">
        <f t="shared" ref="X273:Z273" si="275">N273-S273</f>
        <v>0</v>
      </c>
      <c r="Y273" s="49">
        <f t="shared" si="275"/>
        <v>0</v>
      </c>
      <c r="Z273" s="49">
        <f t="shared" si="275"/>
        <v>0</v>
      </c>
      <c r="AA273" s="54"/>
      <c r="AB273" s="54"/>
      <c r="AC273" s="2">
        <f t="shared" si="208"/>
        <v>2</v>
      </c>
      <c r="AD273" s="6"/>
      <c r="AE273" s="6"/>
      <c r="AF273" s="6"/>
      <c r="AG273" s="6"/>
      <c r="AH273" s="6"/>
      <c r="AI273" s="6"/>
      <c r="AJ273" s="6"/>
      <c r="AK273" s="6"/>
      <c r="AL273" s="6"/>
      <c r="AM273" s="6"/>
      <c r="AN273" s="6"/>
      <c r="AO273" s="6"/>
      <c r="AP273" s="6"/>
      <c r="AQ273" s="6"/>
      <c r="AR273" s="6"/>
      <c r="AS273" s="6"/>
    </row>
    <row r="274" spans="1:45" ht="62.25" hidden="1" customHeight="1" x14ac:dyDescent="0.25">
      <c r="A274" s="33" t="s">
        <v>46</v>
      </c>
      <c r="B274" s="42">
        <v>72</v>
      </c>
      <c r="C274" s="33" t="s">
        <v>630</v>
      </c>
      <c r="D274" s="33" t="s">
        <v>630</v>
      </c>
      <c r="E274" s="32"/>
      <c r="F274" s="54"/>
      <c r="G274" s="33" t="s">
        <v>639</v>
      </c>
      <c r="H274" s="32"/>
      <c r="I274" s="32"/>
      <c r="J274" s="33" t="s">
        <v>640</v>
      </c>
      <c r="K274" s="33" t="s">
        <v>43</v>
      </c>
      <c r="L274" s="33" t="s">
        <v>641</v>
      </c>
      <c r="M274" s="44">
        <v>456501640</v>
      </c>
      <c r="N274" s="45"/>
      <c r="O274" s="44">
        <v>7500000</v>
      </c>
      <c r="P274" s="86"/>
      <c r="Q274" s="44">
        <f t="shared" si="206"/>
        <v>464001640</v>
      </c>
      <c r="R274" s="48">
        <v>456501640</v>
      </c>
      <c r="S274" s="32"/>
      <c r="T274" s="44">
        <v>7500000</v>
      </c>
      <c r="U274" s="32"/>
      <c r="V274" s="32"/>
      <c r="W274" s="49"/>
      <c r="X274" s="49">
        <f t="shared" ref="X274:Z274" si="276">N274-S274</f>
        <v>0</v>
      </c>
      <c r="Y274" s="49">
        <f t="shared" si="276"/>
        <v>0</v>
      </c>
      <c r="Z274" s="49">
        <f t="shared" si="276"/>
        <v>0</v>
      </c>
      <c r="AA274" s="54"/>
      <c r="AB274" s="54"/>
      <c r="AC274" s="2">
        <f t="shared" si="208"/>
        <v>2</v>
      </c>
      <c r="AD274" s="6"/>
      <c r="AE274" s="6"/>
      <c r="AF274" s="6"/>
      <c r="AG274" s="6"/>
      <c r="AH274" s="6"/>
      <c r="AI274" s="6"/>
      <c r="AJ274" s="6"/>
      <c r="AK274" s="6"/>
      <c r="AL274" s="6"/>
      <c r="AM274" s="6"/>
      <c r="AN274" s="6"/>
      <c r="AO274" s="6"/>
      <c r="AP274" s="6"/>
      <c r="AQ274" s="6"/>
      <c r="AR274" s="6"/>
      <c r="AS274" s="6"/>
    </row>
    <row r="275" spans="1:45" ht="31.5" hidden="1" x14ac:dyDescent="0.25">
      <c r="A275" s="33" t="s">
        <v>60</v>
      </c>
      <c r="B275" s="42">
        <v>73</v>
      </c>
      <c r="C275" s="33" t="s">
        <v>630</v>
      </c>
      <c r="D275" s="33" t="s">
        <v>630</v>
      </c>
      <c r="E275" s="32"/>
      <c r="F275" s="54"/>
      <c r="G275" s="33" t="s">
        <v>648</v>
      </c>
      <c r="H275" s="32"/>
      <c r="I275" s="32"/>
      <c r="J275" s="33" t="s">
        <v>650</v>
      </c>
      <c r="K275" s="33" t="s">
        <v>43</v>
      </c>
      <c r="L275" s="33" t="s">
        <v>651</v>
      </c>
      <c r="M275" s="44">
        <v>1758077820</v>
      </c>
      <c r="N275" s="45"/>
      <c r="O275" s="44">
        <v>7500000</v>
      </c>
      <c r="P275" s="86"/>
      <c r="Q275" s="44">
        <f t="shared" si="206"/>
        <v>1765577820</v>
      </c>
      <c r="R275" s="52">
        <v>1758077820</v>
      </c>
      <c r="S275" s="32"/>
      <c r="T275" s="44">
        <v>7500000</v>
      </c>
      <c r="U275" s="32"/>
      <c r="V275" s="32"/>
      <c r="W275" s="49"/>
      <c r="X275" s="49">
        <f t="shared" ref="X275:Z275" si="277">N275-S275</f>
        <v>0</v>
      </c>
      <c r="Y275" s="49">
        <f t="shared" si="277"/>
        <v>0</v>
      </c>
      <c r="Z275" s="49">
        <f t="shared" si="277"/>
        <v>0</v>
      </c>
      <c r="AA275" s="54"/>
      <c r="AB275" s="54"/>
      <c r="AC275" s="2">
        <f t="shared" si="208"/>
        <v>2</v>
      </c>
      <c r="AD275" s="6"/>
      <c r="AE275" s="6"/>
      <c r="AF275" s="6"/>
      <c r="AG275" s="6"/>
      <c r="AH275" s="6"/>
      <c r="AI275" s="6"/>
      <c r="AJ275" s="6"/>
      <c r="AK275" s="6"/>
      <c r="AL275" s="6"/>
      <c r="AM275" s="6"/>
      <c r="AN275" s="6"/>
      <c r="AO275" s="6"/>
      <c r="AP275" s="6"/>
      <c r="AQ275" s="6"/>
      <c r="AR275" s="6"/>
      <c r="AS275" s="6"/>
    </row>
    <row r="276" spans="1:45" ht="31.5" hidden="1" x14ac:dyDescent="0.25">
      <c r="A276" s="33" t="s">
        <v>60</v>
      </c>
      <c r="B276" s="42">
        <v>74</v>
      </c>
      <c r="C276" s="33" t="s">
        <v>630</v>
      </c>
      <c r="D276" s="33" t="s">
        <v>630</v>
      </c>
      <c r="E276" s="32"/>
      <c r="F276" s="54"/>
      <c r="G276" s="33" t="s">
        <v>652</v>
      </c>
      <c r="H276" s="32"/>
      <c r="I276" s="32"/>
      <c r="J276" s="33" t="s">
        <v>653</v>
      </c>
      <c r="K276" s="33" t="s">
        <v>43</v>
      </c>
      <c r="L276" s="33" t="s">
        <v>654</v>
      </c>
      <c r="M276" s="44">
        <v>383790570</v>
      </c>
      <c r="N276" s="45"/>
      <c r="O276" s="44">
        <v>7500000</v>
      </c>
      <c r="P276" s="86"/>
      <c r="Q276" s="44">
        <f t="shared" si="206"/>
        <v>391290570</v>
      </c>
      <c r="R276" s="52">
        <v>383790570</v>
      </c>
      <c r="S276" s="32"/>
      <c r="T276" s="44">
        <v>7500000</v>
      </c>
      <c r="U276" s="32"/>
      <c r="V276" s="32"/>
      <c r="W276" s="49"/>
      <c r="X276" s="49">
        <f t="shared" ref="X276:Z276" si="278">N276-S276</f>
        <v>0</v>
      </c>
      <c r="Y276" s="49">
        <f t="shared" si="278"/>
        <v>0</v>
      </c>
      <c r="Z276" s="49">
        <f t="shared" si="278"/>
        <v>0</v>
      </c>
      <c r="AA276" s="54"/>
      <c r="AB276" s="54"/>
      <c r="AC276" s="2">
        <f t="shared" si="208"/>
        <v>2</v>
      </c>
      <c r="AD276" s="6"/>
      <c r="AE276" s="6"/>
      <c r="AF276" s="6"/>
      <c r="AG276" s="6"/>
      <c r="AH276" s="6"/>
      <c r="AI276" s="6"/>
      <c r="AJ276" s="6"/>
      <c r="AK276" s="6"/>
      <c r="AL276" s="6"/>
      <c r="AM276" s="6"/>
      <c r="AN276" s="6"/>
      <c r="AO276" s="6"/>
      <c r="AP276" s="6"/>
      <c r="AQ276" s="6"/>
      <c r="AR276" s="6"/>
      <c r="AS276" s="6"/>
    </row>
    <row r="277" spans="1:45" ht="31.5" hidden="1" x14ac:dyDescent="0.25">
      <c r="A277" s="33" t="s">
        <v>46</v>
      </c>
      <c r="B277" s="42">
        <v>75</v>
      </c>
      <c r="C277" s="33" t="s">
        <v>630</v>
      </c>
      <c r="D277" s="33" t="s">
        <v>630</v>
      </c>
      <c r="E277" s="32"/>
      <c r="F277" s="54"/>
      <c r="G277" s="33" t="s">
        <v>660</v>
      </c>
      <c r="H277" s="32"/>
      <c r="I277" s="32"/>
      <c r="J277" s="33" t="s">
        <v>662</v>
      </c>
      <c r="K277" s="33" t="s">
        <v>43</v>
      </c>
      <c r="L277" s="33" t="s">
        <v>664</v>
      </c>
      <c r="M277" s="44">
        <v>284423790</v>
      </c>
      <c r="N277" s="45"/>
      <c r="O277" s="44">
        <v>7500000</v>
      </c>
      <c r="P277" s="86"/>
      <c r="Q277" s="44">
        <f t="shared" si="206"/>
        <v>291923790</v>
      </c>
      <c r="R277" s="48">
        <v>284423790</v>
      </c>
      <c r="S277" s="32"/>
      <c r="T277" s="44">
        <v>7500000</v>
      </c>
      <c r="U277" s="32"/>
      <c r="V277" s="32"/>
      <c r="W277" s="49"/>
      <c r="X277" s="49">
        <f t="shared" ref="X277:Z277" si="279">N277-S277</f>
        <v>0</v>
      </c>
      <c r="Y277" s="49">
        <f t="shared" si="279"/>
        <v>0</v>
      </c>
      <c r="Z277" s="49">
        <f t="shared" si="279"/>
        <v>0</v>
      </c>
      <c r="AA277" s="54"/>
      <c r="AB277" s="54"/>
      <c r="AC277" s="2">
        <f t="shared" si="208"/>
        <v>2</v>
      </c>
      <c r="AD277" s="6"/>
      <c r="AE277" s="6"/>
      <c r="AF277" s="6"/>
      <c r="AG277" s="6"/>
      <c r="AH277" s="6"/>
      <c r="AI277" s="6"/>
      <c r="AJ277" s="6"/>
      <c r="AK277" s="6"/>
      <c r="AL277" s="6"/>
      <c r="AM277" s="6"/>
      <c r="AN277" s="6"/>
      <c r="AO277" s="6"/>
      <c r="AP277" s="6"/>
      <c r="AQ277" s="6"/>
      <c r="AR277" s="6"/>
      <c r="AS277" s="6"/>
    </row>
    <row r="278" spans="1:45" ht="31.5" hidden="1" x14ac:dyDescent="0.25">
      <c r="A278" s="33" t="s">
        <v>46</v>
      </c>
      <c r="B278" s="42">
        <v>76</v>
      </c>
      <c r="C278" s="33" t="s">
        <v>630</v>
      </c>
      <c r="D278" s="33" t="s">
        <v>630</v>
      </c>
      <c r="E278" s="32"/>
      <c r="F278" s="54"/>
      <c r="G278" s="33" t="s">
        <v>665</v>
      </c>
      <c r="H278" s="32"/>
      <c r="I278" s="32"/>
      <c r="J278" s="33" t="s">
        <v>666</v>
      </c>
      <c r="K278" s="33" t="s">
        <v>43</v>
      </c>
      <c r="L278" s="33" t="s">
        <v>667</v>
      </c>
      <c r="M278" s="44">
        <v>169129920</v>
      </c>
      <c r="N278" s="45"/>
      <c r="O278" s="44">
        <v>7500000</v>
      </c>
      <c r="P278" s="86"/>
      <c r="Q278" s="44">
        <f t="shared" si="206"/>
        <v>176629920</v>
      </c>
      <c r="R278" s="79">
        <v>169129920</v>
      </c>
      <c r="S278" s="32"/>
      <c r="T278" s="44">
        <v>7500000</v>
      </c>
      <c r="U278" s="32"/>
      <c r="V278" s="32"/>
      <c r="W278" s="49"/>
      <c r="X278" s="49">
        <f t="shared" ref="X278:Z278" si="280">N278-S278</f>
        <v>0</v>
      </c>
      <c r="Y278" s="49">
        <f t="shared" si="280"/>
        <v>0</v>
      </c>
      <c r="Z278" s="49">
        <f t="shared" si="280"/>
        <v>0</v>
      </c>
      <c r="AA278" s="54"/>
      <c r="AB278" s="54"/>
      <c r="AC278" s="2">
        <f t="shared" si="208"/>
        <v>2</v>
      </c>
      <c r="AD278" s="6"/>
      <c r="AE278" s="6"/>
      <c r="AF278" s="6"/>
      <c r="AG278" s="6"/>
      <c r="AH278" s="6"/>
      <c r="AI278" s="6"/>
      <c r="AJ278" s="6"/>
      <c r="AK278" s="6"/>
      <c r="AL278" s="6"/>
      <c r="AM278" s="6"/>
      <c r="AN278" s="6"/>
      <c r="AO278" s="6"/>
      <c r="AP278" s="6"/>
      <c r="AQ278" s="6"/>
      <c r="AR278" s="6"/>
      <c r="AS278" s="6"/>
    </row>
    <row r="279" spans="1:45" ht="31.5" hidden="1" x14ac:dyDescent="0.25">
      <c r="A279" s="33" t="s">
        <v>52</v>
      </c>
      <c r="B279" s="42">
        <v>77</v>
      </c>
      <c r="C279" s="33" t="s">
        <v>630</v>
      </c>
      <c r="D279" s="33" t="s">
        <v>630</v>
      </c>
      <c r="E279" s="32"/>
      <c r="F279" s="54"/>
      <c r="G279" s="33" t="s">
        <v>668</v>
      </c>
      <c r="H279" s="32"/>
      <c r="I279" s="32"/>
      <c r="J279" s="33" t="s">
        <v>669</v>
      </c>
      <c r="K279" s="33" t="s">
        <v>43</v>
      </c>
      <c r="L279" s="33" t="s">
        <v>670</v>
      </c>
      <c r="M279" s="44">
        <v>256763700</v>
      </c>
      <c r="N279" s="45"/>
      <c r="O279" s="44">
        <v>7500000</v>
      </c>
      <c r="P279" s="86"/>
      <c r="Q279" s="44">
        <f t="shared" si="206"/>
        <v>264263700</v>
      </c>
      <c r="R279" s="48">
        <v>256763700</v>
      </c>
      <c r="S279" s="32"/>
      <c r="T279" s="44">
        <v>7500000</v>
      </c>
      <c r="U279" s="32"/>
      <c r="V279" s="32"/>
      <c r="W279" s="49"/>
      <c r="X279" s="49">
        <f t="shared" ref="X279:Z279" si="281">N279-S279</f>
        <v>0</v>
      </c>
      <c r="Y279" s="49">
        <f t="shared" si="281"/>
        <v>0</v>
      </c>
      <c r="Z279" s="49">
        <f t="shared" si="281"/>
        <v>0</v>
      </c>
      <c r="AA279" s="54"/>
      <c r="AB279" s="54"/>
      <c r="AC279" s="2">
        <f t="shared" si="208"/>
        <v>2</v>
      </c>
      <c r="AD279" s="6"/>
      <c r="AE279" s="6"/>
      <c r="AF279" s="6"/>
      <c r="AG279" s="6"/>
      <c r="AH279" s="6"/>
      <c r="AI279" s="6"/>
      <c r="AJ279" s="6"/>
      <c r="AK279" s="6"/>
      <c r="AL279" s="6"/>
      <c r="AM279" s="6"/>
      <c r="AN279" s="6"/>
      <c r="AO279" s="6"/>
      <c r="AP279" s="6"/>
      <c r="AQ279" s="6"/>
      <c r="AR279" s="6"/>
      <c r="AS279" s="6"/>
    </row>
    <row r="280" spans="1:45" ht="31.5" hidden="1" x14ac:dyDescent="0.25">
      <c r="A280" s="33" t="s">
        <v>52</v>
      </c>
      <c r="B280" s="42">
        <v>78</v>
      </c>
      <c r="C280" s="33" t="s">
        <v>630</v>
      </c>
      <c r="D280" s="33" t="s">
        <v>630</v>
      </c>
      <c r="E280" s="32"/>
      <c r="F280" s="54"/>
      <c r="G280" s="33" t="s">
        <v>676</v>
      </c>
      <c r="H280" s="32"/>
      <c r="I280" s="32"/>
      <c r="J280" s="33" t="s">
        <v>677</v>
      </c>
      <c r="K280" s="33" t="s">
        <v>43</v>
      </c>
      <c r="L280" s="33" t="s">
        <v>678</v>
      </c>
      <c r="M280" s="44">
        <v>422510140</v>
      </c>
      <c r="N280" s="45"/>
      <c r="O280" s="44">
        <v>7500000</v>
      </c>
      <c r="P280" s="86"/>
      <c r="Q280" s="44">
        <f t="shared" si="206"/>
        <v>430010140</v>
      </c>
      <c r="R280" s="48">
        <v>422510140</v>
      </c>
      <c r="S280" s="32"/>
      <c r="T280" s="44">
        <v>7500000</v>
      </c>
      <c r="U280" s="32"/>
      <c r="V280" s="32"/>
      <c r="W280" s="49"/>
      <c r="X280" s="49">
        <f t="shared" ref="X280:Z280" si="282">N280-S280</f>
        <v>0</v>
      </c>
      <c r="Y280" s="49">
        <f t="shared" si="282"/>
        <v>0</v>
      </c>
      <c r="Z280" s="49">
        <f t="shared" si="282"/>
        <v>0</v>
      </c>
      <c r="AA280" s="54"/>
      <c r="AB280" s="54"/>
      <c r="AC280" s="2">
        <f t="shared" si="208"/>
        <v>2</v>
      </c>
      <c r="AD280" s="6"/>
      <c r="AE280" s="6"/>
      <c r="AF280" s="6"/>
      <c r="AG280" s="6"/>
      <c r="AH280" s="6"/>
      <c r="AI280" s="6"/>
      <c r="AJ280" s="6"/>
      <c r="AK280" s="6"/>
      <c r="AL280" s="6"/>
      <c r="AM280" s="6"/>
      <c r="AN280" s="6"/>
      <c r="AO280" s="6"/>
      <c r="AP280" s="6"/>
      <c r="AQ280" s="6"/>
      <c r="AR280" s="6"/>
      <c r="AS280" s="6"/>
    </row>
    <row r="281" spans="1:45" ht="108.75" hidden="1" customHeight="1" x14ac:dyDescent="0.25">
      <c r="A281" s="33" t="s">
        <v>46</v>
      </c>
      <c r="B281" s="42">
        <v>79</v>
      </c>
      <c r="C281" s="33" t="s">
        <v>630</v>
      </c>
      <c r="D281" s="33" t="s">
        <v>630</v>
      </c>
      <c r="E281" s="32"/>
      <c r="F281" s="54"/>
      <c r="G281" s="33" t="s">
        <v>683</v>
      </c>
      <c r="H281" s="33" t="s">
        <v>684</v>
      </c>
      <c r="I281" s="32"/>
      <c r="J281" s="33" t="s">
        <v>685</v>
      </c>
      <c r="K281" s="33" t="s">
        <v>43</v>
      </c>
      <c r="L281" s="33" t="s">
        <v>686</v>
      </c>
      <c r="M281" s="44">
        <v>3622960192</v>
      </c>
      <c r="N281" s="45"/>
      <c r="O281" s="44">
        <v>15000000</v>
      </c>
      <c r="P281" s="86"/>
      <c r="Q281" s="44">
        <f t="shared" si="206"/>
        <v>3637960192</v>
      </c>
      <c r="R281" s="48">
        <v>3622960192</v>
      </c>
      <c r="S281" s="32"/>
      <c r="T281" s="44">
        <v>15000000</v>
      </c>
      <c r="U281" s="32"/>
      <c r="V281" s="32"/>
      <c r="W281" s="49"/>
      <c r="X281" s="49">
        <f t="shared" ref="X281:Z281" si="283">N281-S281</f>
        <v>0</v>
      </c>
      <c r="Y281" s="49">
        <f t="shared" si="283"/>
        <v>0</v>
      </c>
      <c r="Z281" s="49">
        <f t="shared" si="283"/>
        <v>0</v>
      </c>
      <c r="AA281" s="54"/>
      <c r="AB281" s="54"/>
      <c r="AC281" s="2">
        <f t="shared" si="208"/>
        <v>2</v>
      </c>
      <c r="AD281" s="6"/>
      <c r="AE281" s="6"/>
      <c r="AF281" s="6"/>
      <c r="AG281" s="6"/>
      <c r="AH281" s="6"/>
      <c r="AI281" s="6"/>
      <c r="AJ281" s="6"/>
      <c r="AK281" s="6"/>
      <c r="AL281" s="6"/>
      <c r="AM281" s="6"/>
      <c r="AN281" s="6"/>
      <c r="AO281" s="6"/>
      <c r="AP281" s="6"/>
      <c r="AQ281" s="6"/>
      <c r="AR281" s="6"/>
      <c r="AS281" s="6"/>
    </row>
    <row r="282" spans="1:45" ht="46.5" hidden="1" customHeight="1" x14ac:dyDescent="0.25">
      <c r="A282" s="33" t="s">
        <v>60</v>
      </c>
      <c r="B282" s="42">
        <v>80</v>
      </c>
      <c r="C282" s="33" t="s">
        <v>655</v>
      </c>
      <c r="D282" s="33" t="s">
        <v>655</v>
      </c>
      <c r="E282" s="32"/>
      <c r="F282" s="54"/>
      <c r="G282" s="33" t="s">
        <v>692</v>
      </c>
      <c r="H282" s="32"/>
      <c r="I282" s="32"/>
      <c r="J282" s="33" t="s">
        <v>693</v>
      </c>
      <c r="K282" s="33" t="s">
        <v>43</v>
      </c>
      <c r="L282" s="33" t="s">
        <v>694</v>
      </c>
      <c r="M282" s="44">
        <v>416448900</v>
      </c>
      <c r="N282" s="45"/>
      <c r="O282" s="44">
        <v>7500000</v>
      </c>
      <c r="P282" s="86"/>
      <c r="Q282" s="44">
        <f t="shared" si="206"/>
        <v>423948900</v>
      </c>
      <c r="R282" s="48">
        <v>416448900</v>
      </c>
      <c r="S282" s="32"/>
      <c r="T282" s="44">
        <v>7500000</v>
      </c>
      <c r="U282" s="32"/>
      <c r="V282" s="32"/>
      <c r="W282" s="49"/>
      <c r="X282" s="49">
        <f t="shared" ref="X282:Z282" si="284">N282-S282</f>
        <v>0</v>
      </c>
      <c r="Y282" s="49">
        <f t="shared" si="284"/>
        <v>0</v>
      </c>
      <c r="Z282" s="49">
        <f t="shared" si="284"/>
        <v>0</v>
      </c>
      <c r="AA282" s="54"/>
      <c r="AB282" s="54"/>
      <c r="AC282" s="2">
        <f t="shared" si="208"/>
        <v>2</v>
      </c>
      <c r="AD282" s="6"/>
      <c r="AE282" s="6"/>
      <c r="AF282" s="6"/>
      <c r="AG282" s="6"/>
      <c r="AH282" s="6"/>
      <c r="AI282" s="6"/>
      <c r="AJ282" s="6"/>
      <c r="AK282" s="6"/>
      <c r="AL282" s="6"/>
      <c r="AM282" s="6"/>
      <c r="AN282" s="6"/>
      <c r="AO282" s="6"/>
      <c r="AP282" s="6"/>
      <c r="AQ282" s="6"/>
      <c r="AR282" s="6"/>
      <c r="AS282" s="6"/>
    </row>
    <row r="283" spans="1:45" ht="62.25" hidden="1" customHeight="1" x14ac:dyDescent="0.25">
      <c r="A283" s="33" t="s">
        <v>60</v>
      </c>
      <c r="B283" s="42">
        <v>81</v>
      </c>
      <c r="C283" s="33" t="s">
        <v>655</v>
      </c>
      <c r="D283" s="33" t="s">
        <v>655</v>
      </c>
      <c r="E283" s="32"/>
      <c r="F283" s="54"/>
      <c r="G283" s="33" t="s">
        <v>699</v>
      </c>
      <c r="H283" s="32"/>
      <c r="I283" s="32"/>
      <c r="J283" s="33" t="s">
        <v>700</v>
      </c>
      <c r="K283" s="33" t="s">
        <v>43</v>
      </c>
      <c r="L283" s="33" t="s">
        <v>701</v>
      </c>
      <c r="M283" s="44">
        <v>31993200</v>
      </c>
      <c r="N283" s="45"/>
      <c r="O283" s="44">
        <v>7500000</v>
      </c>
      <c r="P283" s="86"/>
      <c r="Q283" s="44">
        <f t="shared" si="206"/>
        <v>39493200</v>
      </c>
      <c r="R283" s="48">
        <v>31993200</v>
      </c>
      <c r="S283" s="32"/>
      <c r="T283" s="44">
        <v>7500000</v>
      </c>
      <c r="U283" s="32"/>
      <c r="V283" s="32"/>
      <c r="W283" s="49"/>
      <c r="X283" s="49">
        <f t="shared" ref="X283:Z283" si="285">N283-S283</f>
        <v>0</v>
      </c>
      <c r="Y283" s="49">
        <f t="shared" si="285"/>
        <v>0</v>
      </c>
      <c r="Z283" s="49">
        <f t="shared" si="285"/>
        <v>0</v>
      </c>
      <c r="AA283" s="54"/>
      <c r="AB283" s="54"/>
      <c r="AC283" s="2">
        <f t="shared" si="208"/>
        <v>2</v>
      </c>
      <c r="AD283" s="6"/>
      <c r="AE283" s="6"/>
      <c r="AF283" s="6"/>
      <c r="AG283" s="6"/>
      <c r="AH283" s="6"/>
      <c r="AI283" s="6"/>
      <c r="AJ283" s="6"/>
      <c r="AK283" s="6"/>
      <c r="AL283" s="6"/>
      <c r="AM283" s="6"/>
      <c r="AN283" s="6"/>
      <c r="AO283" s="6"/>
      <c r="AP283" s="6"/>
      <c r="AQ283" s="6"/>
      <c r="AR283" s="6"/>
      <c r="AS283" s="6"/>
    </row>
    <row r="284" spans="1:45" ht="31.5" hidden="1" x14ac:dyDescent="0.25">
      <c r="A284" s="33" t="s">
        <v>46</v>
      </c>
      <c r="B284" s="42">
        <v>82</v>
      </c>
      <c r="C284" s="33" t="s">
        <v>655</v>
      </c>
      <c r="D284" s="33" t="s">
        <v>655</v>
      </c>
      <c r="E284" s="33" t="s">
        <v>450</v>
      </c>
      <c r="F284" s="54"/>
      <c r="G284" s="33" t="s">
        <v>702</v>
      </c>
      <c r="H284" s="33" t="s">
        <v>703</v>
      </c>
      <c r="I284" s="32"/>
      <c r="J284" s="33" t="s">
        <v>704</v>
      </c>
      <c r="K284" s="33" t="s">
        <v>43</v>
      </c>
      <c r="L284" s="33" t="s">
        <v>705</v>
      </c>
      <c r="M284" s="44">
        <v>202213000</v>
      </c>
      <c r="N284" s="44">
        <v>38269440</v>
      </c>
      <c r="O284" s="44">
        <v>7500000</v>
      </c>
      <c r="P284" s="86"/>
      <c r="Q284" s="44">
        <f t="shared" si="206"/>
        <v>247982440</v>
      </c>
      <c r="R284" s="48">
        <v>202213000</v>
      </c>
      <c r="S284" s="48">
        <v>38269440</v>
      </c>
      <c r="T284" s="44">
        <v>7500000</v>
      </c>
      <c r="U284" s="32"/>
      <c r="V284" s="32"/>
      <c r="W284" s="49"/>
      <c r="X284" s="49">
        <f t="shared" ref="X284:Z284" si="286">N284-S284</f>
        <v>0</v>
      </c>
      <c r="Y284" s="49">
        <f t="shared" si="286"/>
        <v>0</v>
      </c>
      <c r="Z284" s="49">
        <f t="shared" si="286"/>
        <v>0</v>
      </c>
      <c r="AA284" s="54"/>
      <c r="AB284" s="54"/>
      <c r="AC284" s="2">
        <f t="shared" si="208"/>
        <v>2</v>
      </c>
      <c r="AD284" s="6"/>
      <c r="AE284" s="6"/>
      <c r="AF284" s="6"/>
      <c r="AG284" s="6"/>
      <c r="AH284" s="6"/>
      <c r="AI284" s="6"/>
      <c r="AJ284" s="6"/>
      <c r="AK284" s="6"/>
      <c r="AL284" s="6"/>
      <c r="AM284" s="6"/>
      <c r="AN284" s="6"/>
      <c r="AO284" s="6"/>
      <c r="AP284" s="6"/>
      <c r="AQ284" s="6"/>
      <c r="AR284" s="6"/>
      <c r="AS284" s="6"/>
    </row>
    <row r="285" spans="1:45" ht="31.5" hidden="1" x14ac:dyDescent="0.25">
      <c r="A285" s="33" t="s">
        <v>46</v>
      </c>
      <c r="B285" s="42">
        <v>84</v>
      </c>
      <c r="C285" s="33" t="s">
        <v>655</v>
      </c>
      <c r="D285" s="33" t="s">
        <v>655</v>
      </c>
      <c r="E285" s="33"/>
      <c r="F285" s="54"/>
      <c r="G285" s="33" t="s">
        <v>727</v>
      </c>
      <c r="H285" s="33"/>
      <c r="I285" s="33"/>
      <c r="J285" s="33" t="s">
        <v>728</v>
      </c>
      <c r="K285" s="33" t="s">
        <v>43</v>
      </c>
      <c r="L285" s="33" t="s">
        <v>729</v>
      </c>
      <c r="M285" s="44">
        <v>5438544033</v>
      </c>
      <c r="N285" s="45"/>
      <c r="O285" s="44">
        <v>15000000</v>
      </c>
      <c r="P285" s="86"/>
      <c r="Q285" s="44">
        <f t="shared" si="206"/>
        <v>5453544033</v>
      </c>
      <c r="R285" s="48">
        <v>5438544033</v>
      </c>
      <c r="S285" s="32"/>
      <c r="T285" s="66"/>
      <c r="U285" s="32"/>
      <c r="V285" s="32"/>
      <c r="W285" s="49"/>
      <c r="X285" s="49">
        <f t="shared" ref="X285:Z285" si="287">N285-S285</f>
        <v>0</v>
      </c>
      <c r="Y285" s="52">
        <f t="shared" si="287"/>
        <v>15000000</v>
      </c>
      <c r="Z285" s="49">
        <f t="shared" si="287"/>
        <v>0</v>
      </c>
      <c r="AA285" s="54"/>
      <c r="AB285" s="43"/>
      <c r="AC285" s="15">
        <f t="shared" si="208"/>
        <v>2</v>
      </c>
      <c r="AD285" s="15"/>
      <c r="AE285" s="6"/>
      <c r="AF285" s="6"/>
      <c r="AG285" s="6"/>
      <c r="AH285" s="6"/>
      <c r="AI285" s="6"/>
      <c r="AJ285" s="6"/>
      <c r="AK285" s="6"/>
      <c r="AL285" s="6"/>
      <c r="AM285" s="6"/>
      <c r="AN285" s="6"/>
      <c r="AO285" s="6"/>
      <c r="AP285" s="6"/>
      <c r="AQ285" s="6"/>
      <c r="AR285" s="6"/>
      <c r="AS285" s="6"/>
    </row>
    <row r="286" spans="1:45" ht="31.5" hidden="1" x14ac:dyDescent="0.25">
      <c r="A286" s="33" t="s">
        <v>52</v>
      </c>
      <c r="B286" s="42">
        <v>85</v>
      </c>
      <c r="C286" s="33" t="s">
        <v>655</v>
      </c>
      <c r="D286" s="33" t="s">
        <v>655</v>
      </c>
      <c r="E286" s="32"/>
      <c r="F286" s="54"/>
      <c r="G286" s="33" t="s">
        <v>736</v>
      </c>
      <c r="H286" s="32"/>
      <c r="I286" s="32"/>
      <c r="J286" s="33" t="s">
        <v>737</v>
      </c>
      <c r="K286" s="33" t="s">
        <v>43</v>
      </c>
      <c r="L286" s="33" t="s">
        <v>738</v>
      </c>
      <c r="M286" s="44">
        <v>3102018212</v>
      </c>
      <c r="N286" s="45"/>
      <c r="O286" s="44">
        <v>7500000</v>
      </c>
      <c r="P286" s="86"/>
      <c r="Q286" s="44">
        <f t="shared" si="206"/>
        <v>3109518212</v>
      </c>
      <c r="R286" s="48">
        <v>3102018212</v>
      </c>
      <c r="S286" s="32"/>
      <c r="T286" s="44">
        <v>7500000</v>
      </c>
      <c r="U286" s="32"/>
      <c r="V286" s="32"/>
      <c r="W286" s="49"/>
      <c r="X286" s="49">
        <f t="shared" ref="X286:Z286" si="288">N286-S286</f>
        <v>0</v>
      </c>
      <c r="Y286" s="49">
        <f t="shared" si="288"/>
        <v>0</v>
      </c>
      <c r="Z286" s="49">
        <f t="shared" si="288"/>
        <v>0</v>
      </c>
      <c r="AA286" s="54"/>
      <c r="AB286" s="54"/>
      <c r="AC286" s="2">
        <f t="shared" si="208"/>
        <v>2</v>
      </c>
      <c r="AD286" s="6"/>
      <c r="AE286" s="6"/>
      <c r="AF286" s="6"/>
      <c r="AG286" s="6"/>
      <c r="AH286" s="6"/>
      <c r="AI286" s="6"/>
      <c r="AJ286" s="6"/>
      <c r="AK286" s="6"/>
      <c r="AL286" s="6"/>
      <c r="AM286" s="6"/>
      <c r="AN286" s="6"/>
      <c r="AO286" s="6"/>
      <c r="AP286" s="6"/>
      <c r="AQ286" s="6"/>
      <c r="AR286" s="6"/>
      <c r="AS286" s="6"/>
    </row>
    <row r="287" spans="1:45" ht="62.25" hidden="1" customHeight="1" x14ac:dyDescent="0.25">
      <c r="A287" s="33" t="s">
        <v>46</v>
      </c>
      <c r="B287" s="42">
        <v>86</v>
      </c>
      <c r="C287" s="33" t="s">
        <v>655</v>
      </c>
      <c r="D287" s="33" t="s">
        <v>655</v>
      </c>
      <c r="E287" s="32"/>
      <c r="F287" s="54"/>
      <c r="G287" s="33" t="s">
        <v>746</v>
      </c>
      <c r="H287" s="32"/>
      <c r="I287" s="32"/>
      <c r="J287" s="33" t="s">
        <v>747</v>
      </c>
      <c r="K287" s="33" t="s">
        <v>43</v>
      </c>
      <c r="L287" s="33" t="s">
        <v>748</v>
      </c>
      <c r="M287" s="44">
        <v>3208417628</v>
      </c>
      <c r="N287" s="45"/>
      <c r="O287" s="44">
        <v>15000000</v>
      </c>
      <c r="P287" s="86"/>
      <c r="Q287" s="44">
        <f t="shared" si="206"/>
        <v>3223417628</v>
      </c>
      <c r="R287" s="52">
        <v>3208417628</v>
      </c>
      <c r="S287" s="32"/>
      <c r="T287" s="44">
        <v>15000000</v>
      </c>
      <c r="U287" s="32"/>
      <c r="V287" s="32"/>
      <c r="W287" s="49"/>
      <c r="X287" s="49">
        <f t="shared" ref="X287:Z287" si="289">N287-S287</f>
        <v>0</v>
      </c>
      <c r="Y287" s="49">
        <f t="shared" si="289"/>
        <v>0</v>
      </c>
      <c r="Z287" s="49">
        <f t="shared" si="289"/>
        <v>0</v>
      </c>
      <c r="AA287" s="54"/>
      <c r="AB287" s="54"/>
      <c r="AC287" s="2">
        <f t="shared" si="208"/>
        <v>2</v>
      </c>
      <c r="AD287" s="6"/>
      <c r="AE287" s="6"/>
      <c r="AF287" s="6"/>
      <c r="AG287" s="6"/>
      <c r="AH287" s="6"/>
      <c r="AI287" s="6"/>
      <c r="AJ287" s="6"/>
      <c r="AK287" s="6"/>
      <c r="AL287" s="6"/>
      <c r="AM287" s="6"/>
      <c r="AN287" s="6"/>
      <c r="AO287" s="6"/>
      <c r="AP287" s="6"/>
      <c r="AQ287" s="6"/>
      <c r="AR287" s="6"/>
      <c r="AS287" s="6"/>
    </row>
    <row r="288" spans="1:45" ht="31.5" hidden="1" x14ac:dyDescent="0.25">
      <c r="A288" s="33" t="s">
        <v>52</v>
      </c>
      <c r="B288" s="42">
        <v>87</v>
      </c>
      <c r="C288" s="33" t="s">
        <v>655</v>
      </c>
      <c r="D288" s="33" t="s">
        <v>655</v>
      </c>
      <c r="E288" s="32"/>
      <c r="F288" s="54"/>
      <c r="G288" s="33" t="s">
        <v>753</v>
      </c>
      <c r="H288" s="32"/>
      <c r="I288" s="32"/>
      <c r="J288" s="33" t="s">
        <v>755</v>
      </c>
      <c r="K288" s="33" t="s">
        <v>43</v>
      </c>
      <c r="L288" s="33" t="s">
        <v>758</v>
      </c>
      <c r="M288" s="44">
        <v>127625600</v>
      </c>
      <c r="N288" s="45"/>
      <c r="O288" s="44">
        <v>7500000</v>
      </c>
      <c r="P288" s="86"/>
      <c r="Q288" s="44">
        <f t="shared" si="206"/>
        <v>135125600</v>
      </c>
      <c r="R288" s="48">
        <v>127625600</v>
      </c>
      <c r="S288" s="32"/>
      <c r="T288" s="44">
        <v>7500000</v>
      </c>
      <c r="U288" s="32"/>
      <c r="V288" s="32"/>
      <c r="W288" s="49"/>
      <c r="X288" s="49">
        <f t="shared" ref="X288:Z288" si="290">N288-S288</f>
        <v>0</v>
      </c>
      <c r="Y288" s="49">
        <f t="shared" si="290"/>
        <v>0</v>
      </c>
      <c r="Z288" s="49">
        <f t="shared" si="290"/>
        <v>0</v>
      </c>
      <c r="AA288" s="54"/>
      <c r="AB288" s="54"/>
      <c r="AC288" s="2">
        <f t="shared" si="208"/>
        <v>2</v>
      </c>
      <c r="AD288" s="6"/>
      <c r="AE288" s="6"/>
      <c r="AF288" s="6"/>
      <c r="AG288" s="6"/>
      <c r="AH288" s="6"/>
      <c r="AI288" s="6"/>
      <c r="AJ288" s="6"/>
      <c r="AK288" s="6"/>
      <c r="AL288" s="6"/>
      <c r="AM288" s="6"/>
      <c r="AN288" s="6"/>
      <c r="AO288" s="6"/>
      <c r="AP288" s="6"/>
      <c r="AQ288" s="6"/>
      <c r="AR288" s="6"/>
      <c r="AS288" s="6"/>
    </row>
    <row r="289" spans="1:45" ht="31.5" hidden="1" x14ac:dyDescent="0.25">
      <c r="A289" s="33" t="s">
        <v>52</v>
      </c>
      <c r="B289" s="42">
        <v>88</v>
      </c>
      <c r="C289" s="33" t="s">
        <v>655</v>
      </c>
      <c r="D289" s="33" t="s">
        <v>655</v>
      </c>
      <c r="E289" s="32"/>
      <c r="F289" s="54"/>
      <c r="G289" s="33" t="s">
        <v>765</v>
      </c>
      <c r="H289" s="32"/>
      <c r="I289" s="32"/>
      <c r="J289" s="33" t="s">
        <v>766</v>
      </c>
      <c r="K289" s="33" t="s">
        <v>43</v>
      </c>
      <c r="L289" s="33" t="s">
        <v>767</v>
      </c>
      <c r="M289" s="44">
        <v>6198579980</v>
      </c>
      <c r="N289" s="45"/>
      <c r="O289" s="44">
        <v>7500000</v>
      </c>
      <c r="P289" s="86"/>
      <c r="Q289" s="44">
        <f t="shared" si="206"/>
        <v>6206079980</v>
      </c>
      <c r="R289" s="48">
        <v>6198579980</v>
      </c>
      <c r="S289" s="32"/>
      <c r="T289" s="44">
        <v>7500000</v>
      </c>
      <c r="U289" s="32"/>
      <c r="V289" s="32"/>
      <c r="W289" s="49"/>
      <c r="X289" s="49">
        <f t="shared" ref="X289:Z289" si="291">N289-S289</f>
        <v>0</v>
      </c>
      <c r="Y289" s="49">
        <f t="shared" si="291"/>
        <v>0</v>
      </c>
      <c r="Z289" s="49">
        <f t="shared" si="291"/>
        <v>0</v>
      </c>
      <c r="AA289" s="54"/>
      <c r="AB289" s="54"/>
      <c r="AC289" s="2">
        <f t="shared" si="208"/>
        <v>2</v>
      </c>
      <c r="AD289" s="6"/>
      <c r="AE289" s="6"/>
      <c r="AF289" s="6"/>
      <c r="AG289" s="6"/>
      <c r="AH289" s="6"/>
      <c r="AI289" s="6"/>
      <c r="AJ289" s="6"/>
      <c r="AK289" s="6"/>
      <c r="AL289" s="6"/>
      <c r="AM289" s="6"/>
      <c r="AN289" s="6"/>
      <c r="AO289" s="6"/>
      <c r="AP289" s="6"/>
      <c r="AQ289" s="6"/>
      <c r="AR289" s="6"/>
      <c r="AS289" s="6"/>
    </row>
    <row r="290" spans="1:45" ht="31.5" hidden="1" x14ac:dyDescent="0.25">
      <c r="A290" s="33" t="s">
        <v>46</v>
      </c>
      <c r="B290" s="42">
        <v>89</v>
      </c>
      <c r="C290" s="33" t="s">
        <v>655</v>
      </c>
      <c r="D290" s="33" t="s">
        <v>655</v>
      </c>
      <c r="E290" s="32"/>
      <c r="F290" s="54"/>
      <c r="G290" s="33" t="s">
        <v>768</v>
      </c>
      <c r="H290" s="32"/>
      <c r="I290" s="32"/>
      <c r="J290" s="33" t="s">
        <v>769</v>
      </c>
      <c r="K290" s="33" t="s">
        <v>43</v>
      </c>
      <c r="L290" s="33" t="s">
        <v>770</v>
      </c>
      <c r="M290" s="44">
        <v>775743160</v>
      </c>
      <c r="N290" s="45"/>
      <c r="O290" s="44">
        <v>7500000</v>
      </c>
      <c r="P290" s="86"/>
      <c r="Q290" s="44">
        <f t="shared" si="206"/>
        <v>783243160</v>
      </c>
      <c r="R290" s="52">
        <v>775743160</v>
      </c>
      <c r="S290" s="32"/>
      <c r="T290" s="44">
        <v>7500000</v>
      </c>
      <c r="U290" s="32"/>
      <c r="V290" s="32"/>
      <c r="W290" s="49"/>
      <c r="X290" s="49">
        <f t="shared" ref="X290:Z290" si="292">N290-S290</f>
        <v>0</v>
      </c>
      <c r="Y290" s="49">
        <f t="shared" si="292"/>
        <v>0</v>
      </c>
      <c r="Z290" s="49">
        <f t="shared" si="292"/>
        <v>0</v>
      </c>
      <c r="AA290" s="54"/>
      <c r="AB290" s="54"/>
      <c r="AC290" s="2">
        <f t="shared" si="208"/>
        <v>2</v>
      </c>
      <c r="AD290" s="6"/>
      <c r="AE290" s="6"/>
      <c r="AF290" s="6"/>
      <c r="AG290" s="6"/>
      <c r="AH290" s="6"/>
      <c r="AI290" s="6"/>
      <c r="AJ290" s="6"/>
      <c r="AK290" s="6"/>
      <c r="AL290" s="6"/>
      <c r="AM290" s="6"/>
      <c r="AN290" s="6"/>
      <c r="AO290" s="6"/>
      <c r="AP290" s="6"/>
      <c r="AQ290" s="6"/>
      <c r="AR290" s="6"/>
      <c r="AS290" s="6"/>
    </row>
    <row r="291" spans="1:45" ht="31.5" hidden="1" x14ac:dyDescent="0.25">
      <c r="A291" s="33" t="s">
        <v>35</v>
      </c>
      <c r="B291" s="42">
        <v>90</v>
      </c>
      <c r="C291" s="33" t="s">
        <v>777</v>
      </c>
      <c r="D291" s="33" t="s">
        <v>777</v>
      </c>
      <c r="E291" s="32"/>
      <c r="F291" s="54"/>
      <c r="G291" s="33" t="s">
        <v>778</v>
      </c>
      <c r="H291" s="32"/>
      <c r="I291" s="32"/>
      <c r="J291" s="33" t="s">
        <v>779</v>
      </c>
      <c r="K291" s="33" t="s">
        <v>43</v>
      </c>
      <c r="L291" s="33" t="s">
        <v>780</v>
      </c>
      <c r="M291" s="44">
        <v>260376114</v>
      </c>
      <c r="N291" s="45"/>
      <c r="O291" s="44">
        <v>7500000</v>
      </c>
      <c r="P291" s="86"/>
      <c r="Q291" s="44">
        <f t="shared" si="206"/>
        <v>267876114</v>
      </c>
      <c r="R291" s="52">
        <v>260376114</v>
      </c>
      <c r="S291" s="32"/>
      <c r="T291" s="44">
        <v>7500000</v>
      </c>
      <c r="U291" s="32"/>
      <c r="V291" s="32"/>
      <c r="W291" s="49"/>
      <c r="X291" s="49">
        <f t="shared" ref="X291:Z291" si="293">N291-S291</f>
        <v>0</v>
      </c>
      <c r="Y291" s="49">
        <f t="shared" si="293"/>
        <v>0</v>
      </c>
      <c r="Z291" s="49">
        <f t="shared" si="293"/>
        <v>0</v>
      </c>
      <c r="AA291" s="54"/>
      <c r="AB291" s="54"/>
      <c r="AC291" s="2">
        <f t="shared" si="208"/>
        <v>2</v>
      </c>
      <c r="AD291" s="6"/>
      <c r="AE291" s="6"/>
      <c r="AF291" s="6"/>
      <c r="AG291" s="6"/>
      <c r="AH291" s="6"/>
      <c r="AI291" s="6"/>
      <c r="AJ291" s="6"/>
      <c r="AK291" s="6"/>
      <c r="AL291" s="6"/>
      <c r="AM291" s="6"/>
      <c r="AN291" s="6"/>
      <c r="AO291" s="6"/>
      <c r="AP291" s="6"/>
      <c r="AQ291" s="6"/>
      <c r="AR291" s="6"/>
      <c r="AS291" s="6"/>
    </row>
    <row r="292" spans="1:45" ht="63" hidden="1" x14ac:dyDescent="0.25">
      <c r="A292" s="33" t="s">
        <v>46</v>
      </c>
      <c r="B292" s="42">
        <v>91</v>
      </c>
      <c r="C292" s="33" t="s">
        <v>777</v>
      </c>
      <c r="D292" s="33" t="s">
        <v>777</v>
      </c>
      <c r="E292" s="32"/>
      <c r="F292" s="54"/>
      <c r="G292" s="33" t="s">
        <v>781</v>
      </c>
      <c r="H292" s="32"/>
      <c r="I292" s="32"/>
      <c r="J292" s="33" t="s">
        <v>782</v>
      </c>
      <c r="K292" s="33" t="s">
        <v>43</v>
      </c>
      <c r="L292" s="33" t="s">
        <v>787</v>
      </c>
      <c r="M292" s="44">
        <v>6896806936</v>
      </c>
      <c r="N292" s="45"/>
      <c r="O292" s="44">
        <v>15000000</v>
      </c>
      <c r="P292" s="86"/>
      <c r="Q292" s="44">
        <f t="shared" si="206"/>
        <v>6911806936</v>
      </c>
      <c r="R292" s="48">
        <v>6896806936</v>
      </c>
      <c r="S292" s="32"/>
      <c r="T292" s="44">
        <v>15000000</v>
      </c>
      <c r="U292" s="32"/>
      <c r="V292" s="32"/>
      <c r="W292" s="49"/>
      <c r="X292" s="49">
        <f t="shared" ref="X292:Z292" si="294">N292-S292</f>
        <v>0</v>
      </c>
      <c r="Y292" s="49">
        <f t="shared" si="294"/>
        <v>0</v>
      </c>
      <c r="Z292" s="49">
        <f t="shared" si="294"/>
        <v>0</v>
      </c>
      <c r="AA292" s="54"/>
      <c r="AB292" s="54"/>
      <c r="AC292" s="2">
        <f t="shared" si="208"/>
        <v>2</v>
      </c>
      <c r="AD292" s="6"/>
      <c r="AE292" s="6"/>
      <c r="AF292" s="6"/>
      <c r="AG292" s="6"/>
      <c r="AH292" s="6"/>
      <c r="AI292" s="6"/>
      <c r="AJ292" s="6"/>
      <c r="AK292" s="6"/>
      <c r="AL292" s="6"/>
      <c r="AM292" s="6"/>
      <c r="AN292" s="6"/>
      <c r="AO292" s="6"/>
      <c r="AP292" s="6"/>
      <c r="AQ292" s="6"/>
      <c r="AR292" s="6"/>
      <c r="AS292" s="6"/>
    </row>
    <row r="293" spans="1:45" ht="47.25" hidden="1" x14ac:dyDescent="0.25">
      <c r="A293" s="33" t="s">
        <v>60</v>
      </c>
      <c r="B293" s="42">
        <v>92</v>
      </c>
      <c r="C293" s="33" t="s">
        <v>777</v>
      </c>
      <c r="D293" s="33" t="s">
        <v>777</v>
      </c>
      <c r="E293" s="32"/>
      <c r="F293" s="54"/>
      <c r="G293" s="33" t="s">
        <v>790</v>
      </c>
      <c r="H293" s="32"/>
      <c r="I293" s="32"/>
      <c r="J293" s="33" t="s">
        <v>791</v>
      </c>
      <c r="K293" s="33" t="s">
        <v>43</v>
      </c>
      <c r="L293" s="33" t="s">
        <v>792</v>
      </c>
      <c r="M293" s="44">
        <v>12013126452</v>
      </c>
      <c r="N293" s="45"/>
      <c r="O293" s="44">
        <v>15000000</v>
      </c>
      <c r="P293" s="86"/>
      <c r="Q293" s="44">
        <f t="shared" si="206"/>
        <v>12028126452</v>
      </c>
      <c r="R293" s="48">
        <v>12013126452</v>
      </c>
      <c r="S293" s="32"/>
      <c r="T293" s="44">
        <v>15000000</v>
      </c>
      <c r="U293" s="32"/>
      <c r="V293" s="32"/>
      <c r="W293" s="49"/>
      <c r="X293" s="49">
        <f t="shared" ref="X293:Z293" si="295">N293-S293</f>
        <v>0</v>
      </c>
      <c r="Y293" s="49">
        <f t="shared" si="295"/>
        <v>0</v>
      </c>
      <c r="Z293" s="49">
        <f t="shared" si="295"/>
        <v>0</v>
      </c>
      <c r="AA293" s="54"/>
      <c r="AB293" s="54"/>
      <c r="AC293" s="2">
        <f t="shared" si="208"/>
        <v>2</v>
      </c>
      <c r="AD293" s="6"/>
      <c r="AE293" s="6"/>
      <c r="AF293" s="6"/>
      <c r="AG293" s="6"/>
      <c r="AH293" s="6"/>
      <c r="AI293" s="6"/>
      <c r="AJ293" s="6"/>
      <c r="AK293" s="6"/>
      <c r="AL293" s="6"/>
      <c r="AM293" s="6"/>
      <c r="AN293" s="6"/>
      <c r="AO293" s="6"/>
      <c r="AP293" s="6"/>
      <c r="AQ293" s="6"/>
      <c r="AR293" s="6"/>
      <c r="AS293" s="6"/>
    </row>
    <row r="294" spans="1:45" ht="31.5" hidden="1" x14ac:dyDescent="0.25">
      <c r="A294" s="33" t="s">
        <v>46</v>
      </c>
      <c r="B294" s="42">
        <v>93</v>
      </c>
      <c r="C294" s="33" t="s">
        <v>777</v>
      </c>
      <c r="D294" s="33" t="s">
        <v>777</v>
      </c>
      <c r="E294" s="33"/>
      <c r="F294" s="54"/>
      <c r="G294" s="33" t="s">
        <v>799</v>
      </c>
      <c r="H294" s="33"/>
      <c r="I294" s="33"/>
      <c r="J294" s="33" t="s">
        <v>800</v>
      </c>
      <c r="K294" s="33" t="s">
        <v>43</v>
      </c>
      <c r="L294" s="33" t="s">
        <v>801</v>
      </c>
      <c r="M294" s="44">
        <v>36040032</v>
      </c>
      <c r="N294" s="45"/>
      <c r="O294" s="44">
        <v>7500000</v>
      </c>
      <c r="P294" s="86"/>
      <c r="Q294" s="44">
        <f t="shared" si="206"/>
        <v>43540032</v>
      </c>
      <c r="R294" s="32"/>
      <c r="S294" s="32"/>
      <c r="T294" s="66"/>
      <c r="U294" s="32"/>
      <c r="V294" s="32"/>
      <c r="W294" s="49">
        <v>36040032</v>
      </c>
      <c r="X294" s="49">
        <f t="shared" ref="X294:Z294" si="296">N294-S294</f>
        <v>0</v>
      </c>
      <c r="Y294" s="52">
        <f t="shared" si="296"/>
        <v>7500000</v>
      </c>
      <c r="Z294" s="49">
        <f t="shared" si="296"/>
        <v>0</v>
      </c>
      <c r="AA294" s="73">
        <v>36040032</v>
      </c>
      <c r="AB294" s="43"/>
      <c r="AC294" s="15">
        <f t="shared" si="208"/>
        <v>2</v>
      </c>
      <c r="AD294" s="15"/>
      <c r="AE294" s="6"/>
      <c r="AF294" s="6"/>
      <c r="AG294" s="6"/>
      <c r="AH294" s="6"/>
      <c r="AI294" s="6"/>
      <c r="AJ294" s="6"/>
      <c r="AK294" s="6"/>
      <c r="AL294" s="6"/>
      <c r="AM294" s="6"/>
      <c r="AN294" s="6"/>
      <c r="AO294" s="6"/>
      <c r="AP294" s="6"/>
      <c r="AQ294" s="6"/>
      <c r="AR294" s="6"/>
      <c r="AS294" s="6"/>
    </row>
    <row r="295" spans="1:45" ht="31.5" hidden="1" x14ac:dyDescent="0.25">
      <c r="A295" s="33" t="s">
        <v>46</v>
      </c>
      <c r="B295" s="42">
        <v>94</v>
      </c>
      <c r="C295" s="33" t="s">
        <v>777</v>
      </c>
      <c r="D295" s="33" t="s">
        <v>777</v>
      </c>
      <c r="E295" s="32"/>
      <c r="F295" s="54"/>
      <c r="G295" s="33" t="s">
        <v>802</v>
      </c>
      <c r="H295" s="32"/>
      <c r="I295" s="32"/>
      <c r="J295" s="33" t="s">
        <v>803</v>
      </c>
      <c r="K295" s="33" t="s">
        <v>43</v>
      </c>
      <c r="L295" s="33" t="s">
        <v>804</v>
      </c>
      <c r="M295" s="44">
        <v>204521740</v>
      </c>
      <c r="N295" s="45"/>
      <c r="O295" s="44">
        <v>7500000</v>
      </c>
      <c r="P295" s="86"/>
      <c r="Q295" s="44">
        <f t="shared" si="206"/>
        <v>212021740</v>
      </c>
      <c r="R295" s="52">
        <v>204521740</v>
      </c>
      <c r="S295" s="32"/>
      <c r="T295" s="44">
        <v>7500000</v>
      </c>
      <c r="U295" s="32"/>
      <c r="V295" s="32"/>
      <c r="W295" s="49"/>
      <c r="X295" s="49">
        <f t="shared" ref="X295:Z295" si="297">N295-S295</f>
        <v>0</v>
      </c>
      <c r="Y295" s="49">
        <f t="shared" si="297"/>
        <v>0</v>
      </c>
      <c r="Z295" s="49">
        <f t="shared" si="297"/>
        <v>0</v>
      </c>
      <c r="AA295" s="54"/>
      <c r="AB295" s="54"/>
      <c r="AC295" s="2">
        <f t="shared" si="208"/>
        <v>2</v>
      </c>
      <c r="AD295" s="6"/>
      <c r="AE295" s="6"/>
      <c r="AF295" s="6"/>
      <c r="AG295" s="6"/>
      <c r="AH295" s="6"/>
      <c r="AI295" s="6"/>
      <c r="AJ295" s="6"/>
      <c r="AK295" s="6"/>
      <c r="AL295" s="6"/>
      <c r="AM295" s="6"/>
      <c r="AN295" s="6"/>
      <c r="AO295" s="6"/>
      <c r="AP295" s="6"/>
      <c r="AQ295" s="6"/>
      <c r="AR295" s="6"/>
      <c r="AS295" s="6"/>
    </row>
    <row r="296" spans="1:45" ht="31.5" hidden="1" x14ac:dyDescent="0.25">
      <c r="A296" s="33" t="s">
        <v>46</v>
      </c>
      <c r="B296" s="42">
        <v>95</v>
      </c>
      <c r="C296" s="33" t="s">
        <v>777</v>
      </c>
      <c r="D296" s="33" t="s">
        <v>777</v>
      </c>
      <c r="E296" s="32"/>
      <c r="F296" s="54"/>
      <c r="G296" s="33" t="s">
        <v>812</v>
      </c>
      <c r="H296" s="32"/>
      <c r="I296" s="32"/>
      <c r="J296" s="33" t="s">
        <v>813</v>
      </c>
      <c r="K296" s="33" t="s">
        <v>43</v>
      </c>
      <c r="L296" s="33" t="s">
        <v>814</v>
      </c>
      <c r="M296" s="44">
        <v>174193488</v>
      </c>
      <c r="N296" s="45"/>
      <c r="O296" s="44">
        <v>7500000</v>
      </c>
      <c r="P296" s="86"/>
      <c r="Q296" s="44">
        <f t="shared" si="206"/>
        <v>181693488</v>
      </c>
      <c r="R296" s="52">
        <v>174193488</v>
      </c>
      <c r="S296" s="32"/>
      <c r="T296" s="44">
        <v>7500000</v>
      </c>
      <c r="U296" s="32"/>
      <c r="V296" s="32"/>
      <c r="W296" s="49"/>
      <c r="X296" s="49">
        <f t="shared" ref="X296:Z296" si="298">N296-S296</f>
        <v>0</v>
      </c>
      <c r="Y296" s="49">
        <f t="shared" si="298"/>
        <v>0</v>
      </c>
      <c r="Z296" s="49">
        <f t="shared" si="298"/>
        <v>0</v>
      </c>
      <c r="AA296" s="54"/>
      <c r="AB296" s="54"/>
      <c r="AC296" s="2">
        <f t="shared" si="208"/>
        <v>2</v>
      </c>
      <c r="AD296" s="6"/>
      <c r="AE296" s="6"/>
      <c r="AF296" s="6"/>
      <c r="AG296" s="6"/>
      <c r="AH296" s="6"/>
      <c r="AI296" s="6"/>
      <c r="AJ296" s="6"/>
      <c r="AK296" s="6"/>
      <c r="AL296" s="6"/>
      <c r="AM296" s="6"/>
      <c r="AN296" s="6"/>
      <c r="AO296" s="6"/>
      <c r="AP296" s="6"/>
      <c r="AQ296" s="6"/>
      <c r="AR296" s="6"/>
      <c r="AS296" s="6"/>
    </row>
    <row r="297" spans="1:45" ht="31.5" hidden="1" x14ac:dyDescent="0.25">
      <c r="A297" s="33" t="s">
        <v>60</v>
      </c>
      <c r="B297" s="42">
        <v>96</v>
      </c>
      <c r="C297" s="33" t="s">
        <v>777</v>
      </c>
      <c r="D297" s="33" t="s">
        <v>777</v>
      </c>
      <c r="E297" s="32"/>
      <c r="F297" s="54"/>
      <c r="G297" s="33" t="s">
        <v>815</v>
      </c>
      <c r="H297" s="32"/>
      <c r="I297" s="32"/>
      <c r="J297" s="33" t="s">
        <v>816</v>
      </c>
      <c r="K297" s="33" t="s">
        <v>43</v>
      </c>
      <c r="L297" s="33" t="s">
        <v>817</v>
      </c>
      <c r="M297" s="44">
        <v>561134642</v>
      </c>
      <c r="N297" s="45"/>
      <c r="O297" s="44">
        <v>7500000</v>
      </c>
      <c r="P297" s="86"/>
      <c r="Q297" s="44">
        <f t="shared" si="206"/>
        <v>568634642</v>
      </c>
      <c r="R297" s="48">
        <v>561134642</v>
      </c>
      <c r="S297" s="32"/>
      <c r="T297" s="44">
        <v>7500000</v>
      </c>
      <c r="U297" s="32"/>
      <c r="V297" s="32"/>
      <c r="W297" s="49"/>
      <c r="X297" s="49">
        <f t="shared" ref="X297:Z297" si="299">N297-S297</f>
        <v>0</v>
      </c>
      <c r="Y297" s="49">
        <f t="shared" si="299"/>
        <v>0</v>
      </c>
      <c r="Z297" s="49">
        <f t="shared" si="299"/>
        <v>0</v>
      </c>
      <c r="AA297" s="54"/>
      <c r="AB297" s="54"/>
      <c r="AC297" s="2">
        <f t="shared" si="208"/>
        <v>2</v>
      </c>
      <c r="AD297" s="6"/>
      <c r="AE297" s="6"/>
      <c r="AF297" s="6"/>
      <c r="AG297" s="6"/>
      <c r="AH297" s="6"/>
      <c r="AI297" s="6"/>
      <c r="AJ297" s="6"/>
      <c r="AK297" s="6"/>
      <c r="AL297" s="6"/>
      <c r="AM297" s="6"/>
      <c r="AN297" s="6"/>
      <c r="AO297" s="6"/>
      <c r="AP297" s="6"/>
      <c r="AQ297" s="6"/>
      <c r="AR297" s="6"/>
      <c r="AS297" s="6"/>
    </row>
    <row r="298" spans="1:45" ht="31.5" hidden="1" x14ac:dyDescent="0.25">
      <c r="A298" s="33" t="s">
        <v>52</v>
      </c>
      <c r="B298" s="42">
        <v>97</v>
      </c>
      <c r="C298" s="33" t="s">
        <v>777</v>
      </c>
      <c r="D298" s="33" t="s">
        <v>777</v>
      </c>
      <c r="E298" s="32"/>
      <c r="F298" s="54"/>
      <c r="G298" s="33" t="s">
        <v>819</v>
      </c>
      <c r="H298" s="32"/>
      <c r="I298" s="32"/>
      <c r="J298" s="33" t="s">
        <v>820</v>
      </c>
      <c r="K298" s="33" t="s">
        <v>43</v>
      </c>
      <c r="L298" s="33" t="s">
        <v>822</v>
      </c>
      <c r="M298" s="44">
        <v>5030906224</v>
      </c>
      <c r="N298" s="45"/>
      <c r="O298" s="44">
        <v>15000000</v>
      </c>
      <c r="P298" s="86"/>
      <c r="Q298" s="44">
        <f t="shared" si="206"/>
        <v>5045906224</v>
      </c>
      <c r="R298" s="48">
        <v>5030906224</v>
      </c>
      <c r="S298" s="32"/>
      <c r="T298" s="44">
        <v>15000000</v>
      </c>
      <c r="U298" s="32"/>
      <c r="V298" s="32"/>
      <c r="W298" s="49"/>
      <c r="X298" s="49">
        <f t="shared" ref="X298:Z298" si="300">N298-S298</f>
        <v>0</v>
      </c>
      <c r="Y298" s="49">
        <f t="shared" si="300"/>
        <v>0</v>
      </c>
      <c r="Z298" s="49">
        <f t="shared" si="300"/>
        <v>0</v>
      </c>
      <c r="AA298" s="54"/>
      <c r="AB298" s="54"/>
      <c r="AC298" s="2">
        <f t="shared" si="208"/>
        <v>2</v>
      </c>
      <c r="AD298" s="6"/>
      <c r="AE298" s="6"/>
      <c r="AF298" s="6"/>
      <c r="AG298" s="6"/>
      <c r="AH298" s="6"/>
      <c r="AI298" s="6"/>
      <c r="AJ298" s="6"/>
      <c r="AK298" s="6"/>
      <c r="AL298" s="6"/>
      <c r="AM298" s="6"/>
      <c r="AN298" s="6"/>
      <c r="AO298" s="6"/>
      <c r="AP298" s="6"/>
      <c r="AQ298" s="6"/>
      <c r="AR298" s="6"/>
      <c r="AS298" s="6"/>
    </row>
    <row r="299" spans="1:45" ht="78" hidden="1" customHeight="1" x14ac:dyDescent="0.25">
      <c r="A299" s="33" t="s">
        <v>35</v>
      </c>
      <c r="B299" s="42">
        <v>98</v>
      </c>
      <c r="C299" s="33" t="s">
        <v>828</v>
      </c>
      <c r="D299" s="33" t="s">
        <v>828</v>
      </c>
      <c r="E299" s="32"/>
      <c r="F299" s="54"/>
      <c r="G299" s="33" t="s">
        <v>829</v>
      </c>
      <c r="H299" s="32"/>
      <c r="I299" s="32"/>
      <c r="J299" s="33" t="s">
        <v>830</v>
      </c>
      <c r="K299" s="33" t="s">
        <v>43</v>
      </c>
      <c r="L299" s="33" t="s">
        <v>831</v>
      </c>
      <c r="M299" s="44">
        <v>5668407622</v>
      </c>
      <c r="N299" s="45"/>
      <c r="O299" s="44">
        <v>15000000</v>
      </c>
      <c r="P299" s="86"/>
      <c r="Q299" s="44">
        <f t="shared" si="206"/>
        <v>5683407622</v>
      </c>
      <c r="R299" s="52">
        <v>5668407622</v>
      </c>
      <c r="S299" s="32"/>
      <c r="T299" s="44">
        <v>15000000</v>
      </c>
      <c r="U299" s="32"/>
      <c r="V299" s="32"/>
      <c r="W299" s="49"/>
      <c r="X299" s="49">
        <f t="shared" ref="X299:Z299" si="301">N299-S299</f>
        <v>0</v>
      </c>
      <c r="Y299" s="49">
        <f t="shared" si="301"/>
        <v>0</v>
      </c>
      <c r="Z299" s="49">
        <f t="shared" si="301"/>
        <v>0</v>
      </c>
      <c r="AA299" s="54"/>
      <c r="AB299" s="54"/>
      <c r="AC299" s="2">
        <f t="shared" si="208"/>
        <v>2</v>
      </c>
      <c r="AD299" s="6"/>
      <c r="AE299" s="6"/>
      <c r="AF299" s="6"/>
      <c r="AG299" s="6"/>
      <c r="AH299" s="6"/>
      <c r="AI299" s="6"/>
      <c r="AJ299" s="6"/>
      <c r="AK299" s="6"/>
      <c r="AL299" s="6"/>
      <c r="AM299" s="6"/>
      <c r="AN299" s="6"/>
      <c r="AO299" s="6"/>
      <c r="AP299" s="6"/>
      <c r="AQ299" s="6"/>
      <c r="AR299" s="6"/>
      <c r="AS299" s="6"/>
    </row>
    <row r="300" spans="1:45" ht="31.5" hidden="1" x14ac:dyDescent="0.25">
      <c r="A300" s="33" t="s">
        <v>60</v>
      </c>
      <c r="B300" s="42">
        <v>99</v>
      </c>
      <c r="C300" s="33" t="s">
        <v>828</v>
      </c>
      <c r="D300" s="33" t="s">
        <v>828</v>
      </c>
      <c r="E300" s="32"/>
      <c r="F300" s="54"/>
      <c r="G300" s="33" t="s">
        <v>833</v>
      </c>
      <c r="H300" s="32"/>
      <c r="I300" s="32"/>
      <c r="J300" s="33" t="s">
        <v>835</v>
      </c>
      <c r="K300" s="33" t="s">
        <v>43</v>
      </c>
      <c r="L300" s="33" t="s">
        <v>837</v>
      </c>
      <c r="M300" s="44">
        <v>3310083600</v>
      </c>
      <c r="N300" s="45"/>
      <c r="O300" s="44">
        <v>7500000</v>
      </c>
      <c r="P300" s="86"/>
      <c r="Q300" s="44">
        <f t="shared" si="206"/>
        <v>3317583600</v>
      </c>
      <c r="R300" s="52">
        <v>3310083600</v>
      </c>
      <c r="S300" s="32"/>
      <c r="T300" s="45">
        <v>7500000</v>
      </c>
      <c r="U300" s="32"/>
      <c r="V300" s="32"/>
      <c r="W300" s="49"/>
      <c r="X300" s="49">
        <f t="shared" ref="X300:Z300" si="302">N300-S300</f>
        <v>0</v>
      </c>
      <c r="Y300" s="49">
        <f t="shared" si="302"/>
        <v>0</v>
      </c>
      <c r="Z300" s="49">
        <f t="shared" si="302"/>
        <v>0</v>
      </c>
      <c r="AA300" s="54"/>
      <c r="AB300" s="54"/>
      <c r="AC300" s="2">
        <f t="shared" si="208"/>
        <v>2</v>
      </c>
      <c r="AD300" s="6"/>
      <c r="AE300" s="6"/>
      <c r="AF300" s="6"/>
      <c r="AG300" s="6"/>
      <c r="AH300" s="6"/>
      <c r="AI300" s="6"/>
      <c r="AJ300" s="6"/>
      <c r="AK300" s="6"/>
      <c r="AL300" s="6"/>
      <c r="AM300" s="6"/>
      <c r="AN300" s="6"/>
      <c r="AO300" s="6"/>
      <c r="AP300" s="6"/>
      <c r="AQ300" s="6"/>
      <c r="AR300" s="6"/>
      <c r="AS300" s="6"/>
    </row>
    <row r="301" spans="1:45" ht="31.5" hidden="1" x14ac:dyDescent="0.25">
      <c r="A301" s="33" t="s">
        <v>46</v>
      </c>
      <c r="B301" s="42">
        <v>100</v>
      </c>
      <c r="C301" s="33" t="s">
        <v>828</v>
      </c>
      <c r="D301" s="33" t="s">
        <v>828</v>
      </c>
      <c r="E301" s="32"/>
      <c r="F301" s="54"/>
      <c r="G301" s="33" t="s">
        <v>839</v>
      </c>
      <c r="H301" s="32"/>
      <c r="I301" s="32"/>
      <c r="J301" s="33" t="s">
        <v>840</v>
      </c>
      <c r="K301" s="33" t="s">
        <v>43</v>
      </c>
      <c r="L301" s="33" t="s">
        <v>841</v>
      </c>
      <c r="M301" s="44">
        <v>1175040216</v>
      </c>
      <c r="N301" s="45"/>
      <c r="O301" s="44">
        <v>7500000</v>
      </c>
      <c r="P301" s="86"/>
      <c r="Q301" s="44">
        <f t="shared" si="206"/>
        <v>1182540216</v>
      </c>
      <c r="R301" s="48">
        <v>1175040216</v>
      </c>
      <c r="S301" s="32"/>
      <c r="T301" s="44">
        <v>7500000</v>
      </c>
      <c r="U301" s="32"/>
      <c r="V301" s="32"/>
      <c r="W301" s="49"/>
      <c r="X301" s="49">
        <f t="shared" ref="X301:Z301" si="303">N301-S301</f>
        <v>0</v>
      </c>
      <c r="Y301" s="49">
        <f t="shared" si="303"/>
        <v>0</v>
      </c>
      <c r="Z301" s="49">
        <f t="shared" si="303"/>
        <v>0</v>
      </c>
      <c r="AA301" s="54"/>
      <c r="AB301" s="54"/>
      <c r="AC301" s="2">
        <f t="shared" si="208"/>
        <v>2</v>
      </c>
      <c r="AD301" s="6"/>
      <c r="AE301" s="6"/>
      <c r="AF301" s="6"/>
      <c r="AG301" s="6"/>
      <c r="AH301" s="6"/>
      <c r="AI301" s="6"/>
      <c r="AJ301" s="6"/>
      <c r="AK301" s="6"/>
      <c r="AL301" s="6"/>
      <c r="AM301" s="6"/>
      <c r="AN301" s="6"/>
      <c r="AO301" s="6"/>
      <c r="AP301" s="6"/>
      <c r="AQ301" s="6"/>
      <c r="AR301" s="6"/>
      <c r="AS301" s="6"/>
    </row>
    <row r="302" spans="1:45" ht="31.5" hidden="1" x14ac:dyDescent="0.25">
      <c r="A302" s="33" t="s">
        <v>52</v>
      </c>
      <c r="B302" s="42">
        <v>101</v>
      </c>
      <c r="C302" s="33" t="s">
        <v>828</v>
      </c>
      <c r="D302" s="33" t="s">
        <v>828</v>
      </c>
      <c r="E302" s="32"/>
      <c r="F302" s="54"/>
      <c r="G302" s="33" t="s">
        <v>846</v>
      </c>
      <c r="H302" s="32"/>
      <c r="I302" s="32"/>
      <c r="J302" s="33" t="s">
        <v>847</v>
      </c>
      <c r="K302" s="33" t="s">
        <v>43</v>
      </c>
      <c r="L302" s="33" t="s">
        <v>675</v>
      </c>
      <c r="M302" s="44">
        <v>284424800</v>
      </c>
      <c r="N302" s="45"/>
      <c r="O302" s="44">
        <v>7500000</v>
      </c>
      <c r="P302" s="86"/>
      <c r="Q302" s="44">
        <f t="shared" si="206"/>
        <v>291924800</v>
      </c>
      <c r="R302" s="48">
        <v>284424800</v>
      </c>
      <c r="S302" s="32"/>
      <c r="T302" s="44">
        <v>7500000</v>
      </c>
      <c r="U302" s="32"/>
      <c r="V302" s="32"/>
      <c r="W302" s="49"/>
      <c r="X302" s="49">
        <f t="shared" ref="X302:Z302" si="304">N302-S302</f>
        <v>0</v>
      </c>
      <c r="Y302" s="49">
        <f t="shared" si="304"/>
        <v>0</v>
      </c>
      <c r="Z302" s="49">
        <f t="shared" si="304"/>
        <v>0</v>
      </c>
      <c r="AA302" s="54"/>
      <c r="AB302" s="54"/>
      <c r="AC302" s="2">
        <f t="shared" si="208"/>
        <v>2</v>
      </c>
      <c r="AD302" s="6"/>
      <c r="AE302" s="6"/>
      <c r="AF302" s="6"/>
      <c r="AG302" s="6"/>
      <c r="AH302" s="6"/>
      <c r="AI302" s="6"/>
      <c r="AJ302" s="6"/>
      <c r="AK302" s="6"/>
      <c r="AL302" s="6"/>
      <c r="AM302" s="6"/>
      <c r="AN302" s="6"/>
      <c r="AO302" s="6"/>
      <c r="AP302" s="6"/>
      <c r="AQ302" s="6"/>
      <c r="AR302" s="6"/>
      <c r="AS302" s="6"/>
    </row>
    <row r="303" spans="1:45" ht="31.5" hidden="1" x14ac:dyDescent="0.25">
      <c r="A303" s="33" t="s">
        <v>46</v>
      </c>
      <c r="B303" s="42">
        <v>102</v>
      </c>
      <c r="C303" s="33" t="s">
        <v>828</v>
      </c>
      <c r="D303" s="33" t="s">
        <v>828</v>
      </c>
      <c r="E303" s="32"/>
      <c r="F303" s="54"/>
      <c r="G303" s="33" t="s">
        <v>849</v>
      </c>
      <c r="H303" s="32"/>
      <c r="I303" s="32"/>
      <c r="J303" s="33" t="s">
        <v>850</v>
      </c>
      <c r="K303" s="33" t="s">
        <v>43</v>
      </c>
      <c r="L303" s="33" t="s">
        <v>851</v>
      </c>
      <c r="M303" s="44">
        <v>3150363430</v>
      </c>
      <c r="N303" s="45"/>
      <c r="O303" s="44">
        <v>15000000</v>
      </c>
      <c r="P303" s="86"/>
      <c r="Q303" s="44">
        <f t="shared" si="206"/>
        <v>3165363430</v>
      </c>
      <c r="R303" s="48">
        <v>3150363430</v>
      </c>
      <c r="S303" s="32"/>
      <c r="T303" s="44">
        <v>15000000</v>
      </c>
      <c r="U303" s="32"/>
      <c r="V303" s="32"/>
      <c r="W303" s="49"/>
      <c r="X303" s="49">
        <f t="shared" ref="X303:Z303" si="305">N303-S303</f>
        <v>0</v>
      </c>
      <c r="Y303" s="49">
        <f t="shared" si="305"/>
        <v>0</v>
      </c>
      <c r="Z303" s="49">
        <f t="shared" si="305"/>
        <v>0</v>
      </c>
      <c r="AA303" s="54"/>
      <c r="AB303" s="54"/>
      <c r="AC303" s="2">
        <f t="shared" si="208"/>
        <v>2</v>
      </c>
      <c r="AD303" s="6"/>
      <c r="AE303" s="6"/>
      <c r="AF303" s="6"/>
      <c r="AG303" s="6"/>
      <c r="AH303" s="6"/>
      <c r="AI303" s="6"/>
      <c r="AJ303" s="6"/>
      <c r="AK303" s="6"/>
      <c r="AL303" s="6"/>
      <c r="AM303" s="6"/>
      <c r="AN303" s="6"/>
      <c r="AO303" s="6"/>
      <c r="AP303" s="6"/>
      <c r="AQ303" s="6"/>
      <c r="AR303" s="6"/>
      <c r="AS303" s="6"/>
    </row>
    <row r="304" spans="1:45" ht="47.25" hidden="1" x14ac:dyDescent="0.25">
      <c r="A304" s="33" t="s">
        <v>46</v>
      </c>
      <c r="B304" s="42">
        <v>103</v>
      </c>
      <c r="C304" s="33" t="s">
        <v>828</v>
      </c>
      <c r="D304" s="33" t="s">
        <v>828</v>
      </c>
      <c r="E304" s="33" t="s">
        <v>857</v>
      </c>
      <c r="F304" s="54"/>
      <c r="G304" s="33" t="s">
        <v>858</v>
      </c>
      <c r="H304" s="33" t="s">
        <v>859</v>
      </c>
      <c r="I304" s="32"/>
      <c r="J304" s="33" t="s">
        <v>860</v>
      </c>
      <c r="K304" s="33" t="s">
        <v>43</v>
      </c>
      <c r="L304" s="33" t="s">
        <v>861</v>
      </c>
      <c r="M304" s="44">
        <v>1346007746</v>
      </c>
      <c r="N304" s="44">
        <v>80365824</v>
      </c>
      <c r="O304" s="44">
        <v>15000000</v>
      </c>
      <c r="P304" s="86"/>
      <c r="Q304" s="44">
        <f t="shared" si="206"/>
        <v>1441373570</v>
      </c>
      <c r="R304" s="48">
        <v>1346007746</v>
      </c>
      <c r="S304" s="48">
        <v>80365824</v>
      </c>
      <c r="T304" s="44">
        <v>15000000</v>
      </c>
      <c r="U304" s="32"/>
      <c r="V304" s="32"/>
      <c r="W304" s="49"/>
      <c r="X304" s="49">
        <f t="shared" ref="X304:Z304" si="306">N304-S304</f>
        <v>0</v>
      </c>
      <c r="Y304" s="49">
        <f t="shared" si="306"/>
        <v>0</v>
      </c>
      <c r="Z304" s="49">
        <f t="shared" si="306"/>
        <v>0</v>
      </c>
      <c r="AA304" s="54"/>
      <c r="AB304" s="54"/>
      <c r="AC304" s="2">
        <f t="shared" si="208"/>
        <v>2</v>
      </c>
      <c r="AD304" s="6"/>
      <c r="AE304" s="6"/>
      <c r="AF304" s="6"/>
      <c r="AG304" s="6"/>
      <c r="AH304" s="6"/>
      <c r="AI304" s="6"/>
      <c r="AJ304" s="6"/>
      <c r="AK304" s="6"/>
      <c r="AL304" s="6"/>
      <c r="AM304" s="6"/>
      <c r="AN304" s="6"/>
      <c r="AO304" s="6"/>
      <c r="AP304" s="6"/>
      <c r="AQ304" s="6"/>
      <c r="AR304" s="6"/>
      <c r="AS304" s="6"/>
    </row>
    <row r="305" spans="1:45" ht="31.5" hidden="1" x14ac:dyDescent="0.25">
      <c r="A305" s="33" t="s">
        <v>46</v>
      </c>
      <c r="B305" s="42">
        <v>105</v>
      </c>
      <c r="C305" s="33" t="s">
        <v>828</v>
      </c>
      <c r="D305" s="33" t="s">
        <v>828</v>
      </c>
      <c r="E305" s="33" t="s">
        <v>450</v>
      </c>
      <c r="F305" s="54"/>
      <c r="G305" s="33" t="s">
        <v>873</v>
      </c>
      <c r="H305" s="33" t="s">
        <v>874</v>
      </c>
      <c r="I305" s="32"/>
      <c r="J305" s="33" t="s">
        <v>876</v>
      </c>
      <c r="K305" s="33" t="s">
        <v>43</v>
      </c>
      <c r="L305" s="33" t="s">
        <v>878</v>
      </c>
      <c r="M305" s="44">
        <v>897636048</v>
      </c>
      <c r="N305" s="44">
        <v>250664832</v>
      </c>
      <c r="O305" s="44">
        <v>7500000</v>
      </c>
      <c r="P305" s="86"/>
      <c r="Q305" s="44">
        <f t="shared" si="206"/>
        <v>1155800880</v>
      </c>
      <c r="R305" s="48">
        <v>897636048</v>
      </c>
      <c r="S305" s="48">
        <v>250664832</v>
      </c>
      <c r="T305" s="44">
        <v>7500000</v>
      </c>
      <c r="U305" s="32"/>
      <c r="V305" s="32"/>
      <c r="W305" s="49"/>
      <c r="X305" s="49">
        <f t="shared" ref="X305:Z305" si="307">N305-S305</f>
        <v>0</v>
      </c>
      <c r="Y305" s="49">
        <f t="shared" si="307"/>
        <v>0</v>
      </c>
      <c r="Z305" s="49">
        <f t="shared" si="307"/>
        <v>0</v>
      </c>
      <c r="AA305" s="54"/>
      <c r="AB305" s="54"/>
      <c r="AC305" s="2">
        <f t="shared" si="208"/>
        <v>2</v>
      </c>
      <c r="AD305" s="6"/>
      <c r="AE305" s="6"/>
      <c r="AF305" s="6"/>
      <c r="AG305" s="6"/>
      <c r="AH305" s="6"/>
      <c r="AI305" s="6"/>
      <c r="AJ305" s="6"/>
      <c r="AK305" s="6"/>
      <c r="AL305" s="6"/>
      <c r="AM305" s="6"/>
      <c r="AN305" s="6"/>
      <c r="AO305" s="6"/>
      <c r="AP305" s="6"/>
      <c r="AQ305" s="6"/>
      <c r="AR305" s="6"/>
      <c r="AS305" s="6"/>
    </row>
    <row r="306" spans="1:45" ht="31.5" hidden="1" x14ac:dyDescent="0.25">
      <c r="A306" s="33" t="s">
        <v>52</v>
      </c>
      <c r="B306" s="42">
        <v>106</v>
      </c>
      <c r="C306" s="33" t="s">
        <v>828</v>
      </c>
      <c r="D306" s="33" t="s">
        <v>828</v>
      </c>
      <c r="E306" s="32"/>
      <c r="F306" s="54"/>
      <c r="G306" s="33" t="s">
        <v>891</v>
      </c>
      <c r="H306" s="32"/>
      <c r="I306" s="32"/>
      <c r="J306" s="33" t="s">
        <v>892</v>
      </c>
      <c r="K306" s="33" t="s">
        <v>43</v>
      </c>
      <c r="L306" s="33" t="s">
        <v>893</v>
      </c>
      <c r="M306" s="44">
        <v>4231623100</v>
      </c>
      <c r="N306" s="45"/>
      <c r="O306" s="44">
        <v>7500000</v>
      </c>
      <c r="P306" s="86"/>
      <c r="Q306" s="44">
        <f t="shared" si="206"/>
        <v>4239123100</v>
      </c>
      <c r="R306" s="48">
        <v>4231623100</v>
      </c>
      <c r="S306" s="32"/>
      <c r="T306" s="44">
        <v>7500000</v>
      </c>
      <c r="U306" s="32"/>
      <c r="V306" s="32"/>
      <c r="W306" s="49"/>
      <c r="X306" s="49">
        <f t="shared" ref="X306:Z306" si="308">N306-S306</f>
        <v>0</v>
      </c>
      <c r="Y306" s="49">
        <f t="shared" si="308"/>
        <v>0</v>
      </c>
      <c r="Z306" s="49">
        <f t="shared" si="308"/>
        <v>0</v>
      </c>
      <c r="AA306" s="54"/>
      <c r="AB306" s="54"/>
      <c r="AC306" s="2">
        <f t="shared" si="208"/>
        <v>2</v>
      </c>
      <c r="AD306" s="6"/>
      <c r="AE306" s="6"/>
      <c r="AF306" s="6"/>
      <c r="AG306" s="6"/>
      <c r="AH306" s="6"/>
      <c r="AI306" s="6"/>
      <c r="AJ306" s="6"/>
      <c r="AK306" s="6"/>
      <c r="AL306" s="6"/>
      <c r="AM306" s="6"/>
      <c r="AN306" s="6"/>
      <c r="AO306" s="6"/>
      <c r="AP306" s="6"/>
      <c r="AQ306" s="6"/>
      <c r="AR306" s="6"/>
      <c r="AS306" s="6"/>
    </row>
    <row r="307" spans="1:45" ht="31.5" hidden="1" x14ac:dyDescent="0.25">
      <c r="A307" s="33" t="s">
        <v>60</v>
      </c>
      <c r="B307" s="42">
        <v>107</v>
      </c>
      <c r="C307" s="33" t="s">
        <v>828</v>
      </c>
      <c r="D307" s="33" t="s">
        <v>828</v>
      </c>
      <c r="E307" s="33" t="s">
        <v>156</v>
      </c>
      <c r="F307" s="54"/>
      <c r="G307" s="33" t="s">
        <v>901</v>
      </c>
      <c r="H307" s="33" t="s">
        <v>902</v>
      </c>
      <c r="I307" s="32"/>
      <c r="J307" s="33" t="s">
        <v>903</v>
      </c>
      <c r="K307" s="33" t="s">
        <v>43</v>
      </c>
      <c r="L307" s="33" t="s">
        <v>904</v>
      </c>
      <c r="M307" s="44">
        <v>10867091933</v>
      </c>
      <c r="N307" s="44">
        <v>156002688</v>
      </c>
      <c r="O307" s="44">
        <v>15000000</v>
      </c>
      <c r="P307" s="86"/>
      <c r="Q307" s="44">
        <f t="shared" si="206"/>
        <v>11038094621</v>
      </c>
      <c r="R307" s="48">
        <v>10867091933</v>
      </c>
      <c r="S307" s="48">
        <v>156002688</v>
      </c>
      <c r="T307" s="44">
        <v>15000000</v>
      </c>
      <c r="U307" s="32"/>
      <c r="V307" s="32"/>
      <c r="W307" s="49"/>
      <c r="X307" s="49">
        <f t="shared" ref="X307:Z307" si="309">N307-S307</f>
        <v>0</v>
      </c>
      <c r="Y307" s="49">
        <f t="shared" si="309"/>
        <v>0</v>
      </c>
      <c r="Z307" s="49">
        <f t="shared" si="309"/>
        <v>0</v>
      </c>
      <c r="AA307" s="54"/>
      <c r="AB307" s="54"/>
      <c r="AC307" s="2">
        <f t="shared" si="208"/>
        <v>2</v>
      </c>
      <c r="AD307" s="6"/>
      <c r="AE307" s="6"/>
      <c r="AF307" s="6"/>
      <c r="AG307" s="6"/>
      <c r="AH307" s="6"/>
      <c r="AI307" s="6"/>
      <c r="AJ307" s="6"/>
      <c r="AK307" s="6"/>
      <c r="AL307" s="6"/>
      <c r="AM307" s="6"/>
      <c r="AN307" s="6"/>
      <c r="AO307" s="6"/>
      <c r="AP307" s="6"/>
      <c r="AQ307" s="6"/>
      <c r="AR307" s="6"/>
      <c r="AS307" s="6"/>
    </row>
    <row r="308" spans="1:45" ht="63" hidden="1" x14ac:dyDescent="0.25">
      <c r="A308" s="33" t="s">
        <v>46</v>
      </c>
      <c r="B308" s="42">
        <v>108</v>
      </c>
      <c r="C308" s="33" t="s">
        <v>828</v>
      </c>
      <c r="D308" s="33" t="s">
        <v>828</v>
      </c>
      <c r="E308" s="32"/>
      <c r="F308" s="54"/>
      <c r="G308" s="33" t="s">
        <v>912</v>
      </c>
      <c r="H308" s="33" t="s">
        <v>913</v>
      </c>
      <c r="I308" s="32"/>
      <c r="J308" s="33" t="s">
        <v>914</v>
      </c>
      <c r="K308" s="33" t="s">
        <v>43</v>
      </c>
      <c r="L308" s="33" t="s">
        <v>915</v>
      </c>
      <c r="M308" s="44">
        <v>724953680</v>
      </c>
      <c r="N308" s="45"/>
      <c r="O308" s="44">
        <v>7500000</v>
      </c>
      <c r="P308" s="86"/>
      <c r="Q308" s="44">
        <f t="shared" si="206"/>
        <v>732453680</v>
      </c>
      <c r="R308" s="48">
        <v>724953680</v>
      </c>
      <c r="S308" s="32"/>
      <c r="T308" s="44">
        <v>7500000</v>
      </c>
      <c r="U308" s="32"/>
      <c r="V308" s="32"/>
      <c r="W308" s="49"/>
      <c r="X308" s="49">
        <f t="shared" ref="X308:Z308" si="310">N308-S308</f>
        <v>0</v>
      </c>
      <c r="Y308" s="49">
        <f t="shared" si="310"/>
        <v>0</v>
      </c>
      <c r="Z308" s="49">
        <f t="shared" si="310"/>
        <v>0</v>
      </c>
      <c r="AA308" s="54"/>
      <c r="AB308" s="54"/>
      <c r="AC308" s="2">
        <f t="shared" si="208"/>
        <v>2</v>
      </c>
      <c r="AD308" s="6"/>
      <c r="AE308" s="6"/>
      <c r="AF308" s="6"/>
      <c r="AG308" s="6"/>
      <c r="AH308" s="6"/>
      <c r="AI308" s="6"/>
      <c r="AJ308" s="6"/>
      <c r="AK308" s="6"/>
      <c r="AL308" s="6"/>
      <c r="AM308" s="6"/>
      <c r="AN308" s="6"/>
      <c r="AO308" s="6"/>
      <c r="AP308" s="6"/>
      <c r="AQ308" s="6"/>
      <c r="AR308" s="6"/>
      <c r="AS308" s="6"/>
    </row>
    <row r="309" spans="1:45" ht="31.5" hidden="1" x14ac:dyDescent="0.25">
      <c r="A309" s="33" t="s">
        <v>60</v>
      </c>
      <c r="B309" s="42">
        <v>109</v>
      </c>
      <c r="C309" s="33" t="s">
        <v>916</v>
      </c>
      <c r="D309" s="33" t="s">
        <v>916</v>
      </c>
      <c r="E309" s="32"/>
      <c r="F309" s="54"/>
      <c r="G309" s="33" t="s">
        <v>920</v>
      </c>
      <c r="H309" s="33" t="s">
        <v>724</v>
      </c>
      <c r="I309" s="32"/>
      <c r="J309" s="33" t="s">
        <v>923</v>
      </c>
      <c r="K309" s="33" t="s">
        <v>43</v>
      </c>
      <c r="L309" s="33" t="s">
        <v>924</v>
      </c>
      <c r="M309" s="44">
        <v>181108800</v>
      </c>
      <c r="N309" s="45"/>
      <c r="O309" s="44">
        <v>7500000</v>
      </c>
      <c r="P309" s="86"/>
      <c r="Q309" s="44">
        <f t="shared" si="206"/>
        <v>188608800</v>
      </c>
      <c r="R309" s="48">
        <v>181108800</v>
      </c>
      <c r="S309" s="32"/>
      <c r="T309" s="44">
        <v>7500000</v>
      </c>
      <c r="U309" s="32"/>
      <c r="V309" s="32"/>
      <c r="W309" s="49"/>
      <c r="X309" s="49">
        <f t="shared" ref="X309:Z309" si="311">N309-S309</f>
        <v>0</v>
      </c>
      <c r="Y309" s="49">
        <f t="shared" si="311"/>
        <v>0</v>
      </c>
      <c r="Z309" s="49">
        <f t="shared" si="311"/>
        <v>0</v>
      </c>
      <c r="AA309" s="54"/>
      <c r="AB309" s="54"/>
      <c r="AC309" s="2">
        <f t="shared" si="208"/>
        <v>2</v>
      </c>
      <c r="AD309" s="6"/>
      <c r="AE309" s="6"/>
      <c r="AF309" s="6"/>
      <c r="AG309" s="6"/>
      <c r="AH309" s="6"/>
      <c r="AI309" s="6"/>
      <c r="AJ309" s="6"/>
      <c r="AK309" s="6"/>
      <c r="AL309" s="6"/>
      <c r="AM309" s="6"/>
      <c r="AN309" s="6"/>
      <c r="AO309" s="6"/>
      <c r="AP309" s="6"/>
      <c r="AQ309" s="6"/>
      <c r="AR309" s="6"/>
      <c r="AS309" s="6"/>
    </row>
    <row r="310" spans="1:45" ht="31.5" hidden="1" x14ac:dyDescent="0.25">
      <c r="A310" s="33" t="s">
        <v>52</v>
      </c>
      <c r="B310" s="42">
        <v>110</v>
      </c>
      <c r="C310" s="33" t="s">
        <v>916</v>
      </c>
      <c r="D310" s="33" t="s">
        <v>916</v>
      </c>
      <c r="E310" s="33" t="s">
        <v>409</v>
      </c>
      <c r="F310" s="54"/>
      <c r="G310" s="33" t="s">
        <v>930</v>
      </c>
      <c r="H310" s="33" t="s">
        <v>931</v>
      </c>
      <c r="I310" s="32"/>
      <c r="J310" s="33" t="s">
        <v>932</v>
      </c>
      <c r="K310" s="33" t="s">
        <v>43</v>
      </c>
      <c r="L310" s="33" t="s">
        <v>933</v>
      </c>
      <c r="M310" s="44">
        <v>175354039</v>
      </c>
      <c r="N310" s="44">
        <v>21563136</v>
      </c>
      <c r="O310" s="44">
        <v>7500000</v>
      </c>
      <c r="P310" s="86"/>
      <c r="Q310" s="44">
        <f t="shared" si="206"/>
        <v>204417175</v>
      </c>
      <c r="R310" s="48">
        <v>175354039</v>
      </c>
      <c r="S310" s="48">
        <v>21563136</v>
      </c>
      <c r="T310" s="44">
        <v>7500000</v>
      </c>
      <c r="U310" s="32"/>
      <c r="V310" s="32"/>
      <c r="W310" s="49"/>
      <c r="X310" s="49">
        <f t="shared" ref="X310:Z310" si="312">N310-S310</f>
        <v>0</v>
      </c>
      <c r="Y310" s="49">
        <f t="shared" si="312"/>
        <v>0</v>
      </c>
      <c r="Z310" s="49">
        <f t="shared" si="312"/>
        <v>0</v>
      </c>
      <c r="AA310" s="54"/>
      <c r="AB310" s="54"/>
      <c r="AC310" s="2">
        <f t="shared" si="208"/>
        <v>2</v>
      </c>
      <c r="AD310" s="6"/>
      <c r="AE310" s="6"/>
      <c r="AF310" s="6"/>
      <c r="AG310" s="6"/>
      <c r="AH310" s="6"/>
      <c r="AI310" s="6"/>
      <c r="AJ310" s="6"/>
      <c r="AK310" s="6"/>
      <c r="AL310" s="6"/>
      <c r="AM310" s="6"/>
      <c r="AN310" s="6"/>
      <c r="AO310" s="6"/>
      <c r="AP310" s="6"/>
      <c r="AQ310" s="6"/>
      <c r="AR310" s="6"/>
      <c r="AS310" s="6"/>
    </row>
    <row r="311" spans="1:45" ht="31.5" hidden="1" x14ac:dyDescent="0.25">
      <c r="A311" s="33" t="s">
        <v>46</v>
      </c>
      <c r="B311" s="42">
        <v>111</v>
      </c>
      <c r="C311" s="33" t="s">
        <v>916</v>
      </c>
      <c r="D311" s="33" t="s">
        <v>916</v>
      </c>
      <c r="E311" s="33"/>
      <c r="F311" s="54"/>
      <c r="G311" s="33" t="s">
        <v>940</v>
      </c>
      <c r="H311" s="33"/>
      <c r="I311" s="33"/>
      <c r="J311" s="33" t="s">
        <v>941</v>
      </c>
      <c r="K311" s="33" t="s">
        <v>43</v>
      </c>
      <c r="L311" s="33" t="s">
        <v>942</v>
      </c>
      <c r="M311" s="44">
        <v>4822077237</v>
      </c>
      <c r="N311" s="45"/>
      <c r="O311" s="44">
        <v>7500000</v>
      </c>
      <c r="P311" s="86"/>
      <c r="Q311" s="44">
        <f t="shared" si="206"/>
        <v>4829577237</v>
      </c>
      <c r="R311" s="48">
        <v>4822077237</v>
      </c>
      <c r="S311" s="32"/>
      <c r="T311" s="66"/>
      <c r="U311" s="32"/>
      <c r="V311" s="32"/>
      <c r="W311" s="49"/>
      <c r="X311" s="49">
        <f t="shared" ref="X311:Z311" si="313">N311-S311</f>
        <v>0</v>
      </c>
      <c r="Y311" s="52">
        <f t="shared" si="313"/>
        <v>7500000</v>
      </c>
      <c r="Z311" s="49">
        <f t="shared" si="313"/>
        <v>0</v>
      </c>
      <c r="AA311" s="54"/>
      <c r="AB311" s="43"/>
      <c r="AC311" s="15">
        <f t="shared" si="208"/>
        <v>2</v>
      </c>
      <c r="AD311" s="15"/>
      <c r="AE311" s="6"/>
      <c r="AF311" s="6"/>
      <c r="AG311" s="6"/>
      <c r="AH311" s="6"/>
      <c r="AI311" s="6"/>
      <c r="AJ311" s="6"/>
      <c r="AK311" s="6"/>
      <c r="AL311" s="6"/>
      <c r="AM311" s="6"/>
      <c r="AN311" s="6"/>
      <c r="AO311" s="6"/>
      <c r="AP311" s="6"/>
      <c r="AQ311" s="6"/>
      <c r="AR311" s="6"/>
      <c r="AS311" s="6"/>
    </row>
    <row r="312" spans="1:45" ht="63" hidden="1" x14ac:dyDescent="0.25">
      <c r="A312" s="33" t="s">
        <v>46</v>
      </c>
      <c r="B312" s="42">
        <v>112</v>
      </c>
      <c r="C312" s="33" t="s">
        <v>916</v>
      </c>
      <c r="D312" s="33" t="s">
        <v>916</v>
      </c>
      <c r="E312" s="32"/>
      <c r="F312" s="54"/>
      <c r="G312" s="33" t="s">
        <v>948</v>
      </c>
      <c r="H312" s="32"/>
      <c r="I312" s="32"/>
      <c r="J312" s="33" t="s">
        <v>949</v>
      </c>
      <c r="K312" s="33" t="s">
        <v>43</v>
      </c>
      <c r="L312" s="33" t="s">
        <v>950</v>
      </c>
      <c r="M312" s="44">
        <v>216787032</v>
      </c>
      <c r="N312" s="45"/>
      <c r="O312" s="44">
        <v>7500000</v>
      </c>
      <c r="P312" s="86"/>
      <c r="Q312" s="44">
        <f t="shared" si="206"/>
        <v>224287032</v>
      </c>
      <c r="R312" s="48">
        <v>216787032</v>
      </c>
      <c r="S312" s="32"/>
      <c r="T312" s="44">
        <v>7500000</v>
      </c>
      <c r="U312" s="32"/>
      <c r="V312" s="32"/>
      <c r="W312" s="49"/>
      <c r="X312" s="49">
        <f t="shared" ref="X312:Z312" si="314">N312-S312</f>
        <v>0</v>
      </c>
      <c r="Y312" s="49">
        <f t="shared" si="314"/>
        <v>0</v>
      </c>
      <c r="Z312" s="49">
        <f t="shared" si="314"/>
        <v>0</v>
      </c>
      <c r="AA312" s="54"/>
      <c r="AB312" s="54"/>
      <c r="AC312" s="2">
        <f t="shared" si="208"/>
        <v>2</v>
      </c>
      <c r="AD312" s="6"/>
      <c r="AE312" s="6"/>
      <c r="AF312" s="6"/>
      <c r="AG312" s="6"/>
      <c r="AH312" s="6"/>
      <c r="AI312" s="6"/>
      <c r="AJ312" s="6"/>
      <c r="AK312" s="6"/>
      <c r="AL312" s="6"/>
      <c r="AM312" s="6"/>
      <c r="AN312" s="6"/>
      <c r="AO312" s="6"/>
      <c r="AP312" s="6"/>
      <c r="AQ312" s="6"/>
      <c r="AR312" s="6"/>
      <c r="AS312" s="6"/>
    </row>
    <row r="313" spans="1:45" ht="31.5" hidden="1" x14ac:dyDescent="0.25">
      <c r="A313" s="33" t="s">
        <v>60</v>
      </c>
      <c r="B313" s="42">
        <v>113</v>
      </c>
      <c r="C313" s="33" t="s">
        <v>916</v>
      </c>
      <c r="D313" s="33" t="s">
        <v>916</v>
      </c>
      <c r="E313" s="32"/>
      <c r="F313" s="54"/>
      <c r="G313" s="33" t="s">
        <v>951</v>
      </c>
      <c r="H313" s="32"/>
      <c r="I313" s="32"/>
      <c r="J313" s="33" t="s">
        <v>952</v>
      </c>
      <c r="K313" s="33" t="s">
        <v>43</v>
      </c>
      <c r="L313" s="33" t="s">
        <v>953</v>
      </c>
      <c r="M313" s="44">
        <v>5253286196</v>
      </c>
      <c r="N313" s="45"/>
      <c r="O313" s="44">
        <v>15000000</v>
      </c>
      <c r="P313" s="86"/>
      <c r="Q313" s="44">
        <f t="shared" si="206"/>
        <v>5268286196</v>
      </c>
      <c r="R313" s="52">
        <v>5253286196</v>
      </c>
      <c r="S313" s="32"/>
      <c r="T313" s="44">
        <v>15000000</v>
      </c>
      <c r="U313" s="32"/>
      <c r="V313" s="32"/>
      <c r="W313" s="49"/>
      <c r="X313" s="49">
        <f t="shared" ref="X313:Z313" si="315">N313-S313</f>
        <v>0</v>
      </c>
      <c r="Y313" s="49">
        <f t="shared" si="315"/>
        <v>0</v>
      </c>
      <c r="Z313" s="49">
        <f t="shared" si="315"/>
        <v>0</v>
      </c>
      <c r="AA313" s="54"/>
      <c r="AB313" s="54"/>
      <c r="AC313" s="2">
        <f t="shared" si="208"/>
        <v>2</v>
      </c>
      <c r="AD313" s="6"/>
      <c r="AE313" s="6"/>
      <c r="AF313" s="6"/>
      <c r="AG313" s="6"/>
      <c r="AH313" s="6"/>
      <c r="AI313" s="6"/>
      <c r="AJ313" s="6"/>
      <c r="AK313" s="6"/>
      <c r="AL313" s="6"/>
      <c r="AM313" s="6"/>
      <c r="AN313" s="6"/>
      <c r="AO313" s="6"/>
      <c r="AP313" s="6"/>
      <c r="AQ313" s="6"/>
      <c r="AR313" s="6"/>
      <c r="AS313" s="6"/>
    </row>
    <row r="314" spans="1:45" ht="31.5" hidden="1" x14ac:dyDescent="0.25">
      <c r="A314" s="33" t="s">
        <v>35</v>
      </c>
      <c r="B314" s="42">
        <v>114</v>
      </c>
      <c r="C314" s="33" t="s">
        <v>916</v>
      </c>
      <c r="D314" s="33" t="s">
        <v>916</v>
      </c>
      <c r="E314" s="33" t="s">
        <v>156</v>
      </c>
      <c r="F314" s="54"/>
      <c r="G314" s="33" t="s">
        <v>958</v>
      </c>
      <c r="H314" s="33" t="s">
        <v>960</v>
      </c>
      <c r="I314" s="32"/>
      <c r="J314" s="33" t="s">
        <v>962</v>
      </c>
      <c r="K314" s="33" t="s">
        <v>43</v>
      </c>
      <c r="L314" s="33" t="s">
        <v>965</v>
      </c>
      <c r="M314" s="44">
        <v>2790170557</v>
      </c>
      <c r="N314" s="44">
        <v>608177941</v>
      </c>
      <c r="O314" s="44">
        <v>15000000</v>
      </c>
      <c r="P314" s="86"/>
      <c r="Q314" s="44">
        <f t="shared" si="206"/>
        <v>3413348498</v>
      </c>
      <c r="R314" s="52">
        <v>2790170557</v>
      </c>
      <c r="S314" s="48">
        <v>608177941</v>
      </c>
      <c r="T314" s="44">
        <v>15000000</v>
      </c>
      <c r="U314" s="32"/>
      <c r="V314" s="32"/>
      <c r="W314" s="49"/>
      <c r="X314" s="49">
        <f t="shared" ref="X314:Z314" si="316">N314-S314</f>
        <v>0</v>
      </c>
      <c r="Y314" s="49">
        <f t="shared" si="316"/>
        <v>0</v>
      </c>
      <c r="Z314" s="49">
        <f t="shared" si="316"/>
        <v>0</v>
      </c>
      <c r="AA314" s="54"/>
      <c r="AB314" s="54"/>
      <c r="AC314" s="2">
        <f t="shared" si="208"/>
        <v>2</v>
      </c>
      <c r="AD314" s="6"/>
      <c r="AE314" s="6"/>
      <c r="AF314" s="6"/>
      <c r="AG314" s="6"/>
      <c r="AH314" s="6"/>
      <c r="AI314" s="6"/>
      <c r="AJ314" s="6"/>
      <c r="AK314" s="6"/>
      <c r="AL314" s="6"/>
      <c r="AM314" s="6"/>
      <c r="AN314" s="6"/>
      <c r="AO314" s="6"/>
      <c r="AP314" s="6"/>
      <c r="AQ314" s="6"/>
      <c r="AR314" s="6"/>
      <c r="AS314" s="6"/>
    </row>
    <row r="315" spans="1:45" ht="31.5" hidden="1" x14ac:dyDescent="0.25">
      <c r="A315" s="33" t="s">
        <v>46</v>
      </c>
      <c r="B315" s="42">
        <v>115</v>
      </c>
      <c r="C315" s="33" t="s">
        <v>916</v>
      </c>
      <c r="D315" s="33" t="s">
        <v>916</v>
      </c>
      <c r="E315" s="32"/>
      <c r="F315" s="54"/>
      <c r="G315" s="33" t="s">
        <v>972</v>
      </c>
      <c r="H315" s="33" t="s">
        <v>973</v>
      </c>
      <c r="I315" s="32"/>
      <c r="J315" s="33" t="s">
        <v>974</v>
      </c>
      <c r="K315" s="33" t="s">
        <v>43</v>
      </c>
      <c r="L315" s="33" t="s">
        <v>975</v>
      </c>
      <c r="M315" s="44">
        <v>2695621120</v>
      </c>
      <c r="N315" s="45"/>
      <c r="O315" s="44">
        <v>15000000</v>
      </c>
      <c r="P315" s="86"/>
      <c r="Q315" s="44">
        <f t="shared" si="206"/>
        <v>2710621120</v>
      </c>
      <c r="R315" s="48">
        <v>2695621120</v>
      </c>
      <c r="S315" s="32"/>
      <c r="T315" s="44">
        <v>15000000</v>
      </c>
      <c r="U315" s="32"/>
      <c r="V315" s="32"/>
      <c r="W315" s="49"/>
      <c r="X315" s="49">
        <f t="shared" ref="X315:Z315" si="317">N315-S315</f>
        <v>0</v>
      </c>
      <c r="Y315" s="49">
        <f t="shared" si="317"/>
        <v>0</v>
      </c>
      <c r="Z315" s="49">
        <f t="shared" si="317"/>
        <v>0</v>
      </c>
      <c r="AA315" s="54"/>
      <c r="AB315" s="54"/>
      <c r="AC315" s="2">
        <f t="shared" si="208"/>
        <v>2</v>
      </c>
      <c r="AD315" s="6"/>
      <c r="AE315" s="6"/>
      <c r="AF315" s="6"/>
      <c r="AG315" s="6"/>
      <c r="AH315" s="6"/>
      <c r="AI315" s="6"/>
      <c r="AJ315" s="6"/>
      <c r="AK315" s="6"/>
      <c r="AL315" s="6"/>
      <c r="AM315" s="6"/>
      <c r="AN315" s="6"/>
      <c r="AO315" s="6"/>
      <c r="AP315" s="6"/>
      <c r="AQ315" s="6"/>
      <c r="AR315" s="6"/>
      <c r="AS315" s="6"/>
    </row>
    <row r="316" spans="1:45" ht="31.5" hidden="1" x14ac:dyDescent="0.25">
      <c r="A316" s="33" t="s">
        <v>35</v>
      </c>
      <c r="B316" s="42">
        <v>116</v>
      </c>
      <c r="C316" s="33" t="s">
        <v>916</v>
      </c>
      <c r="D316" s="33" t="s">
        <v>916</v>
      </c>
      <c r="E316" s="32"/>
      <c r="F316" s="54"/>
      <c r="G316" s="33" t="s">
        <v>977</v>
      </c>
      <c r="H316" s="32"/>
      <c r="I316" s="32"/>
      <c r="J316" s="33" t="s">
        <v>980</v>
      </c>
      <c r="K316" s="33" t="s">
        <v>43</v>
      </c>
      <c r="L316" s="33" t="s">
        <v>982</v>
      </c>
      <c r="M316" s="44">
        <v>1190765838</v>
      </c>
      <c r="N316" s="45"/>
      <c r="O316" s="44">
        <v>15000000</v>
      </c>
      <c r="P316" s="86"/>
      <c r="Q316" s="44">
        <f t="shared" si="206"/>
        <v>1205765838</v>
      </c>
      <c r="R316" s="52">
        <v>1190765838</v>
      </c>
      <c r="S316" s="32"/>
      <c r="T316" s="44">
        <v>15000000</v>
      </c>
      <c r="U316" s="32"/>
      <c r="V316" s="32"/>
      <c r="W316" s="49"/>
      <c r="X316" s="49">
        <f t="shared" ref="X316:Z316" si="318">N316-S316</f>
        <v>0</v>
      </c>
      <c r="Y316" s="49">
        <f t="shared" si="318"/>
        <v>0</v>
      </c>
      <c r="Z316" s="49">
        <f t="shared" si="318"/>
        <v>0</v>
      </c>
      <c r="AA316" s="54"/>
      <c r="AB316" s="54"/>
      <c r="AC316" s="2">
        <f t="shared" si="208"/>
        <v>2</v>
      </c>
      <c r="AD316" s="6"/>
      <c r="AE316" s="6"/>
      <c r="AF316" s="6"/>
      <c r="AG316" s="6"/>
      <c r="AH316" s="6"/>
      <c r="AI316" s="6"/>
      <c r="AJ316" s="6"/>
      <c r="AK316" s="6"/>
      <c r="AL316" s="6"/>
      <c r="AM316" s="6"/>
      <c r="AN316" s="6"/>
      <c r="AO316" s="6"/>
      <c r="AP316" s="6"/>
      <c r="AQ316" s="6"/>
      <c r="AR316" s="6"/>
      <c r="AS316" s="6"/>
    </row>
    <row r="317" spans="1:45" ht="78.75" hidden="1" x14ac:dyDescent="0.25">
      <c r="A317" s="33" t="s">
        <v>60</v>
      </c>
      <c r="B317" s="42">
        <v>117</v>
      </c>
      <c r="C317" s="33" t="s">
        <v>916</v>
      </c>
      <c r="D317" s="33" t="s">
        <v>916</v>
      </c>
      <c r="E317" s="33" t="s">
        <v>989</v>
      </c>
      <c r="F317" s="54"/>
      <c r="G317" s="33" t="s">
        <v>990</v>
      </c>
      <c r="H317" s="32"/>
      <c r="I317" s="33" t="s">
        <v>85</v>
      </c>
      <c r="J317" s="33" t="s">
        <v>991</v>
      </c>
      <c r="K317" s="33" t="s">
        <v>43</v>
      </c>
      <c r="L317" s="33" t="s">
        <v>992</v>
      </c>
      <c r="M317" s="44">
        <v>725498800</v>
      </c>
      <c r="N317" s="45"/>
      <c r="O317" s="44">
        <v>7500000</v>
      </c>
      <c r="P317" s="86"/>
      <c r="Q317" s="44">
        <f t="shared" si="206"/>
        <v>732998800</v>
      </c>
      <c r="R317" s="52">
        <v>725498800</v>
      </c>
      <c r="S317" s="32"/>
      <c r="T317" s="44">
        <v>7500000</v>
      </c>
      <c r="U317" s="32"/>
      <c r="V317" s="36">
        <v>-193390512</v>
      </c>
      <c r="W317" s="49"/>
      <c r="X317" s="49">
        <f t="shared" ref="X317:Z317" si="319">N317-S317</f>
        <v>0</v>
      </c>
      <c r="Y317" s="49">
        <f t="shared" si="319"/>
        <v>0</v>
      </c>
      <c r="Z317" s="49">
        <f t="shared" si="319"/>
        <v>0</v>
      </c>
      <c r="AA317" s="54"/>
      <c r="AB317" s="54"/>
      <c r="AC317" s="2">
        <f t="shared" si="208"/>
        <v>2</v>
      </c>
      <c r="AD317" s="6"/>
      <c r="AE317" s="6"/>
      <c r="AF317" s="6"/>
      <c r="AG317" s="6"/>
      <c r="AH317" s="6"/>
      <c r="AI317" s="6"/>
      <c r="AJ317" s="6"/>
      <c r="AK317" s="6"/>
      <c r="AL317" s="6"/>
      <c r="AM317" s="6"/>
      <c r="AN317" s="6"/>
      <c r="AO317" s="6"/>
      <c r="AP317" s="6"/>
      <c r="AQ317" s="6"/>
      <c r="AR317" s="6"/>
      <c r="AS317" s="6"/>
    </row>
    <row r="318" spans="1:45" ht="63" hidden="1" x14ac:dyDescent="0.25">
      <c r="A318" s="33" t="s">
        <v>35</v>
      </c>
      <c r="B318" s="42">
        <v>118</v>
      </c>
      <c r="C318" s="33" t="s">
        <v>916</v>
      </c>
      <c r="D318" s="33" t="s">
        <v>916</v>
      </c>
      <c r="E318" s="32"/>
      <c r="F318" s="54"/>
      <c r="G318" s="33" t="s">
        <v>998</v>
      </c>
      <c r="H318" s="32"/>
      <c r="I318" s="32"/>
      <c r="J318" s="33" t="s">
        <v>999</v>
      </c>
      <c r="K318" s="33" t="s">
        <v>43</v>
      </c>
      <c r="L318" s="33" t="s">
        <v>1001</v>
      </c>
      <c r="M318" s="44">
        <v>0</v>
      </c>
      <c r="N318" s="45"/>
      <c r="O318" s="44">
        <v>7500000</v>
      </c>
      <c r="P318" s="86"/>
      <c r="Q318" s="44">
        <f t="shared" si="206"/>
        <v>7500000</v>
      </c>
      <c r="R318" s="42">
        <v>0</v>
      </c>
      <c r="S318" s="32"/>
      <c r="T318" s="44">
        <v>7500000</v>
      </c>
      <c r="U318" s="32"/>
      <c r="V318" s="32"/>
      <c r="W318" s="49"/>
      <c r="X318" s="49">
        <f t="shared" ref="X318:Z318" si="320">N318-S318</f>
        <v>0</v>
      </c>
      <c r="Y318" s="49">
        <f t="shared" si="320"/>
        <v>0</v>
      </c>
      <c r="Z318" s="49">
        <f t="shared" si="320"/>
        <v>0</v>
      </c>
      <c r="AA318" s="54"/>
      <c r="AB318" s="54"/>
      <c r="AC318" s="2">
        <f t="shared" si="208"/>
        <v>2</v>
      </c>
      <c r="AD318" s="6"/>
      <c r="AE318" s="6"/>
      <c r="AF318" s="6"/>
      <c r="AG318" s="6"/>
      <c r="AH318" s="6"/>
      <c r="AI318" s="6"/>
      <c r="AJ318" s="6"/>
      <c r="AK318" s="6"/>
      <c r="AL318" s="6"/>
      <c r="AM318" s="6"/>
      <c r="AN318" s="6"/>
      <c r="AO318" s="6"/>
      <c r="AP318" s="6"/>
      <c r="AQ318" s="6"/>
      <c r="AR318" s="6"/>
      <c r="AS318" s="6"/>
    </row>
    <row r="319" spans="1:45" ht="31.5" hidden="1" x14ac:dyDescent="0.25">
      <c r="A319" s="33" t="s">
        <v>52</v>
      </c>
      <c r="B319" s="42">
        <v>119</v>
      </c>
      <c r="C319" s="33" t="s">
        <v>916</v>
      </c>
      <c r="D319" s="33" t="s">
        <v>916</v>
      </c>
      <c r="E319" s="32"/>
      <c r="F319" s="54"/>
      <c r="G319" s="33" t="s">
        <v>1008</v>
      </c>
      <c r="H319" s="32"/>
      <c r="I319" s="32"/>
      <c r="J319" s="33" t="s">
        <v>1010</v>
      </c>
      <c r="K319" s="33" t="s">
        <v>43</v>
      </c>
      <c r="L319" s="33" t="s">
        <v>1013</v>
      </c>
      <c r="M319" s="44">
        <v>28234674360</v>
      </c>
      <c r="N319" s="45"/>
      <c r="O319" s="44">
        <v>7500000</v>
      </c>
      <c r="P319" s="86"/>
      <c r="Q319" s="44">
        <f t="shared" si="206"/>
        <v>28242174360</v>
      </c>
      <c r="R319" s="48">
        <v>28234674360</v>
      </c>
      <c r="S319" s="32"/>
      <c r="T319" s="44">
        <v>7500000</v>
      </c>
      <c r="U319" s="32"/>
      <c r="V319" s="32"/>
      <c r="W319" s="49"/>
      <c r="X319" s="49">
        <f t="shared" ref="X319:Z319" si="321">N319-S319</f>
        <v>0</v>
      </c>
      <c r="Y319" s="49">
        <f t="shared" si="321"/>
        <v>0</v>
      </c>
      <c r="Z319" s="49">
        <f t="shared" si="321"/>
        <v>0</v>
      </c>
      <c r="AA319" s="54"/>
      <c r="AB319" s="54"/>
      <c r="AC319" s="2">
        <f t="shared" si="208"/>
        <v>2</v>
      </c>
      <c r="AD319" s="6"/>
      <c r="AE319" s="6"/>
      <c r="AF319" s="6"/>
      <c r="AG319" s="6"/>
      <c r="AH319" s="6"/>
      <c r="AI319" s="6"/>
      <c r="AJ319" s="6"/>
      <c r="AK319" s="6"/>
      <c r="AL319" s="6"/>
      <c r="AM319" s="6"/>
      <c r="AN319" s="6"/>
      <c r="AO319" s="6"/>
      <c r="AP319" s="6"/>
      <c r="AQ319" s="6"/>
      <c r="AR319" s="6"/>
      <c r="AS319" s="6"/>
    </row>
    <row r="320" spans="1:45" ht="31.5" hidden="1" x14ac:dyDescent="0.25">
      <c r="A320" s="33" t="s">
        <v>52</v>
      </c>
      <c r="B320" s="42">
        <v>120</v>
      </c>
      <c r="C320" s="33" t="s">
        <v>916</v>
      </c>
      <c r="D320" s="33" t="s">
        <v>916</v>
      </c>
      <c r="E320" s="32"/>
      <c r="F320" s="54"/>
      <c r="G320" s="33" t="s">
        <v>1023</v>
      </c>
      <c r="H320" s="32"/>
      <c r="I320" s="32"/>
      <c r="J320" s="33" t="s">
        <v>1024</v>
      </c>
      <c r="K320" s="33" t="s">
        <v>43</v>
      </c>
      <c r="L320" s="33" t="s">
        <v>1025</v>
      </c>
      <c r="M320" s="44">
        <v>1810252300</v>
      </c>
      <c r="N320" s="45"/>
      <c r="O320" s="44">
        <v>15000000</v>
      </c>
      <c r="P320" s="86"/>
      <c r="Q320" s="44">
        <f t="shared" si="206"/>
        <v>1825252300</v>
      </c>
      <c r="R320" s="48">
        <v>1810252300</v>
      </c>
      <c r="S320" s="32"/>
      <c r="T320" s="44">
        <v>15000000</v>
      </c>
      <c r="U320" s="32"/>
      <c r="V320" s="32"/>
      <c r="W320" s="49"/>
      <c r="X320" s="49">
        <f t="shared" ref="X320:Z320" si="322">N320-S320</f>
        <v>0</v>
      </c>
      <c r="Y320" s="49">
        <f t="shared" si="322"/>
        <v>0</v>
      </c>
      <c r="Z320" s="49">
        <f t="shared" si="322"/>
        <v>0</v>
      </c>
      <c r="AA320" s="54"/>
      <c r="AB320" s="54"/>
      <c r="AC320" s="2">
        <f t="shared" si="208"/>
        <v>2</v>
      </c>
      <c r="AD320" s="6"/>
      <c r="AE320" s="6"/>
      <c r="AF320" s="6"/>
      <c r="AG320" s="6"/>
      <c r="AH320" s="6"/>
      <c r="AI320" s="6"/>
      <c r="AJ320" s="6"/>
      <c r="AK320" s="6"/>
      <c r="AL320" s="6"/>
      <c r="AM320" s="6"/>
      <c r="AN320" s="6"/>
      <c r="AO320" s="6"/>
      <c r="AP320" s="6"/>
      <c r="AQ320" s="6"/>
      <c r="AR320" s="6"/>
      <c r="AS320" s="6"/>
    </row>
    <row r="321" spans="1:45" ht="31.5" hidden="1" x14ac:dyDescent="0.25">
      <c r="A321" s="33" t="s">
        <v>52</v>
      </c>
      <c r="B321" s="42">
        <v>121</v>
      </c>
      <c r="C321" s="33" t="s">
        <v>916</v>
      </c>
      <c r="D321" s="33" t="s">
        <v>916</v>
      </c>
      <c r="E321" s="32"/>
      <c r="F321" s="54"/>
      <c r="G321" s="33" t="s">
        <v>1033</v>
      </c>
      <c r="H321" s="32"/>
      <c r="I321" s="32"/>
      <c r="J321" s="33" t="s">
        <v>1034</v>
      </c>
      <c r="K321" s="33" t="s">
        <v>43</v>
      </c>
      <c r="L321" s="33" t="s">
        <v>1035</v>
      </c>
      <c r="M321" s="44">
        <v>547702548</v>
      </c>
      <c r="N321" s="45"/>
      <c r="O321" s="44">
        <v>7500000</v>
      </c>
      <c r="P321" s="86"/>
      <c r="Q321" s="44">
        <f t="shared" si="206"/>
        <v>555202548</v>
      </c>
      <c r="R321" s="48">
        <v>547702548</v>
      </c>
      <c r="S321" s="32"/>
      <c r="T321" s="44">
        <v>7500000</v>
      </c>
      <c r="U321" s="32"/>
      <c r="V321" s="32"/>
      <c r="W321" s="49"/>
      <c r="X321" s="49">
        <f t="shared" ref="X321:Z321" si="323">N321-S321</f>
        <v>0</v>
      </c>
      <c r="Y321" s="49">
        <f t="shared" si="323"/>
        <v>0</v>
      </c>
      <c r="Z321" s="49">
        <f t="shared" si="323"/>
        <v>0</v>
      </c>
      <c r="AA321" s="54"/>
      <c r="AB321" s="54"/>
      <c r="AC321" s="2">
        <f t="shared" si="208"/>
        <v>2</v>
      </c>
      <c r="AD321" s="6"/>
      <c r="AE321" s="6"/>
      <c r="AF321" s="6"/>
      <c r="AG321" s="6"/>
      <c r="AH321" s="6"/>
      <c r="AI321" s="6"/>
      <c r="AJ321" s="6"/>
      <c r="AK321" s="6"/>
      <c r="AL321" s="6"/>
      <c r="AM321" s="6"/>
      <c r="AN321" s="6"/>
      <c r="AO321" s="6"/>
      <c r="AP321" s="6"/>
      <c r="AQ321" s="6"/>
      <c r="AR321" s="6"/>
      <c r="AS321" s="6"/>
    </row>
    <row r="322" spans="1:45" ht="31.5" hidden="1" x14ac:dyDescent="0.25">
      <c r="A322" s="33" t="s">
        <v>52</v>
      </c>
      <c r="B322" s="42">
        <v>122</v>
      </c>
      <c r="C322" s="33" t="s">
        <v>916</v>
      </c>
      <c r="D322" s="33" t="s">
        <v>916</v>
      </c>
      <c r="E322" s="32"/>
      <c r="F322" s="54"/>
      <c r="G322" s="33" t="s">
        <v>1040</v>
      </c>
      <c r="H322" s="32"/>
      <c r="I322" s="32"/>
      <c r="J322" s="33" t="s">
        <v>1034</v>
      </c>
      <c r="K322" s="33" t="s">
        <v>43</v>
      </c>
      <c r="L322" s="33" t="s">
        <v>1041</v>
      </c>
      <c r="M322" s="44">
        <v>2570795140</v>
      </c>
      <c r="N322" s="45"/>
      <c r="O322" s="44">
        <v>7500000</v>
      </c>
      <c r="P322" s="86"/>
      <c r="Q322" s="44">
        <f t="shared" si="206"/>
        <v>2578295140</v>
      </c>
      <c r="R322" s="48">
        <v>2570795140</v>
      </c>
      <c r="S322" s="32"/>
      <c r="T322" s="44">
        <v>7500000</v>
      </c>
      <c r="U322" s="32"/>
      <c r="V322" s="32"/>
      <c r="W322" s="49"/>
      <c r="X322" s="49">
        <f t="shared" ref="X322:Z322" si="324">N322-S322</f>
        <v>0</v>
      </c>
      <c r="Y322" s="49">
        <f t="shared" si="324"/>
        <v>0</v>
      </c>
      <c r="Z322" s="49">
        <f t="shared" si="324"/>
        <v>0</v>
      </c>
      <c r="AA322" s="54"/>
      <c r="AB322" s="54"/>
      <c r="AC322" s="2">
        <f t="shared" si="208"/>
        <v>2</v>
      </c>
      <c r="AD322" s="6"/>
      <c r="AE322" s="6"/>
      <c r="AF322" s="6"/>
      <c r="AG322" s="6"/>
      <c r="AH322" s="6"/>
      <c r="AI322" s="6"/>
      <c r="AJ322" s="6"/>
      <c r="AK322" s="6"/>
      <c r="AL322" s="6"/>
      <c r="AM322" s="6"/>
      <c r="AN322" s="6"/>
      <c r="AO322" s="6"/>
      <c r="AP322" s="6"/>
      <c r="AQ322" s="6"/>
      <c r="AR322" s="6"/>
      <c r="AS322" s="6"/>
    </row>
    <row r="323" spans="1:45" ht="62.25" hidden="1" customHeight="1" x14ac:dyDescent="0.25">
      <c r="A323" s="33" t="s">
        <v>35</v>
      </c>
      <c r="B323" s="42">
        <v>123</v>
      </c>
      <c r="C323" s="33" t="s">
        <v>916</v>
      </c>
      <c r="D323" s="33" t="s">
        <v>916</v>
      </c>
      <c r="E323" s="32"/>
      <c r="F323" s="54"/>
      <c r="G323" s="33" t="s">
        <v>1048</v>
      </c>
      <c r="H323" s="32"/>
      <c r="I323" s="32"/>
      <c r="J323" s="33" t="s">
        <v>1049</v>
      </c>
      <c r="K323" s="33" t="s">
        <v>43</v>
      </c>
      <c r="L323" s="33" t="s">
        <v>1050</v>
      </c>
      <c r="M323" s="44">
        <v>3746087590</v>
      </c>
      <c r="N323" s="45"/>
      <c r="O323" s="44">
        <v>7500000</v>
      </c>
      <c r="P323" s="86"/>
      <c r="Q323" s="44">
        <f t="shared" si="206"/>
        <v>3753587590</v>
      </c>
      <c r="R323" s="52">
        <v>3746087590</v>
      </c>
      <c r="S323" s="32"/>
      <c r="T323" s="44">
        <v>7500000</v>
      </c>
      <c r="U323" s="32"/>
      <c r="V323" s="32"/>
      <c r="W323" s="49"/>
      <c r="X323" s="49">
        <f t="shared" ref="X323:Z323" si="325">N323-S323</f>
        <v>0</v>
      </c>
      <c r="Y323" s="49">
        <f t="shared" si="325"/>
        <v>0</v>
      </c>
      <c r="Z323" s="49">
        <f t="shared" si="325"/>
        <v>0</v>
      </c>
      <c r="AA323" s="54"/>
      <c r="AB323" s="54"/>
      <c r="AC323" s="2">
        <f t="shared" si="208"/>
        <v>2</v>
      </c>
      <c r="AD323" s="6"/>
      <c r="AE323" s="6"/>
      <c r="AF323" s="6"/>
      <c r="AG323" s="6"/>
      <c r="AH323" s="6"/>
      <c r="AI323" s="6"/>
      <c r="AJ323" s="6"/>
      <c r="AK323" s="6"/>
      <c r="AL323" s="6"/>
      <c r="AM323" s="6"/>
      <c r="AN323" s="6"/>
      <c r="AO323" s="6"/>
      <c r="AP323" s="6"/>
      <c r="AQ323" s="6"/>
      <c r="AR323" s="6"/>
      <c r="AS323" s="6"/>
    </row>
    <row r="324" spans="1:45" ht="31.5" hidden="1" x14ac:dyDescent="0.25">
      <c r="A324" s="33" t="s">
        <v>35</v>
      </c>
      <c r="B324" s="42">
        <v>124</v>
      </c>
      <c r="C324" s="33" t="s">
        <v>916</v>
      </c>
      <c r="D324" s="33" t="s">
        <v>916</v>
      </c>
      <c r="E324" s="32"/>
      <c r="F324" s="54"/>
      <c r="G324" s="33" t="s">
        <v>1055</v>
      </c>
      <c r="H324" s="32"/>
      <c r="I324" s="32"/>
      <c r="J324" s="33" t="s">
        <v>1056</v>
      </c>
      <c r="K324" s="33" t="s">
        <v>43</v>
      </c>
      <c r="L324" s="33" t="s">
        <v>1057</v>
      </c>
      <c r="M324" s="44">
        <v>6045384105</v>
      </c>
      <c r="N324" s="45"/>
      <c r="O324" s="44">
        <v>15000000</v>
      </c>
      <c r="P324" s="86"/>
      <c r="Q324" s="44">
        <f t="shared" si="206"/>
        <v>6060384105</v>
      </c>
      <c r="R324" s="52">
        <v>6045384105</v>
      </c>
      <c r="S324" s="32"/>
      <c r="T324" s="44">
        <v>15000000</v>
      </c>
      <c r="U324" s="32"/>
      <c r="V324" s="32"/>
      <c r="W324" s="49"/>
      <c r="X324" s="49">
        <f t="shared" ref="X324:Z324" si="326">N324-S324</f>
        <v>0</v>
      </c>
      <c r="Y324" s="49">
        <f t="shared" si="326"/>
        <v>0</v>
      </c>
      <c r="Z324" s="49">
        <f t="shared" si="326"/>
        <v>0</v>
      </c>
      <c r="AA324" s="54"/>
      <c r="AB324" s="54"/>
      <c r="AC324" s="2">
        <f t="shared" si="208"/>
        <v>2</v>
      </c>
      <c r="AD324" s="6"/>
      <c r="AE324" s="6"/>
      <c r="AF324" s="6"/>
      <c r="AG324" s="6"/>
      <c r="AH324" s="6"/>
      <c r="AI324" s="6"/>
      <c r="AJ324" s="6"/>
      <c r="AK324" s="6"/>
      <c r="AL324" s="6"/>
      <c r="AM324" s="6"/>
      <c r="AN324" s="6"/>
      <c r="AO324" s="6"/>
      <c r="AP324" s="6"/>
      <c r="AQ324" s="6"/>
      <c r="AR324" s="6"/>
      <c r="AS324" s="6"/>
    </row>
    <row r="325" spans="1:45" ht="31.5" hidden="1" x14ac:dyDescent="0.25">
      <c r="A325" s="33" t="s">
        <v>60</v>
      </c>
      <c r="B325" s="42">
        <v>125</v>
      </c>
      <c r="C325" s="33" t="s">
        <v>916</v>
      </c>
      <c r="D325" s="33" t="s">
        <v>916</v>
      </c>
      <c r="E325" s="32"/>
      <c r="F325" s="54"/>
      <c r="G325" s="33" t="s">
        <v>1066</v>
      </c>
      <c r="H325" s="32"/>
      <c r="I325" s="33" t="s">
        <v>113</v>
      </c>
      <c r="J325" s="33" t="s">
        <v>281</v>
      </c>
      <c r="K325" s="33" t="s">
        <v>43</v>
      </c>
      <c r="L325" s="33" t="s">
        <v>1067</v>
      </c>
      <c r="M325" s="44">
        <v>0</v>
      </c>
      <c r="N325" s="45"/>
      <c r="O325" s="66"/>
      <c r="P325" s="86"/>
      <c r="Q325" s="44">
        <f t="shared" si="206"/>
        <v>0</v>
      </c>
      <c r="R325" s="42">
        <v>0</v>
      </c>
      <c r="S325" s="32"/>
      <c r="T325" s="45"/>
      <c r="U325" s="32"/>
      <c r="V325" s="32"/>
      <c r="W325" s="49"/>
      <c r="X325" s="49">
        <f t="shared" ref="X325:Z325" si="327">N325-S325</f>
        <v>0</v>
      </c>
      <c r="Y325" s="49">
        <f t="shared" si="327"/>
        <v>0</v>
      </c>
      <c r="Z325" s="49">
        <f t="shared" si="327"/>
        <v>0</v>
      </c>
      <c r="AA325" s="54"/>
      <c r="AB325" s="54"/>
      <c r="AC325" s="2">
        <f t="shared" si="208"/>
        <v>2</v>
      </c>
      <c r="AD325" s="6"/>
      <c r="AE325" s="6"/>
      <c r="AF325" s="6"/>
      <c r="AG325" s="6"/>
      <c r="AH325" s="6"/>
      <c r="AI325" s="6"/>
      <c r="AJ325" s="6"/>
      <c r="AK325" s="6"/>
      <c r="AL325" s="6"/>
      <c r="AM325" s="6"/>
      <c r="AN325" s="6"/>
      <c r="AO325" s="6"/>
      <c r="AP325" s="6"/>
      <c r="AQ325" s="6"/>
      <c r="AR325" s="6"/>
      <c r="AS325" s="6"/>
    </row>
    <row r="326" spans="1:45" ht="31.5" hidden="1" x14ac:dyDescent="0.25">
      <c r="A326" s="33" t="s">
        <v>52</v>
      </c>
      <c r="B326" s="42">
        <v>126</v>
      </c>
      <c r="C326" s="33" t="s">
        <v>916</v>
      </c>
      <c r="D326" s="33" t="s">
        <v>916</v>
      </c>
      <c r="E326" s="32"/>
      <c r="F326" s="54"/>
      <c r="G326" s="33" t="s">
        <v>1072</v>
      </c>
      <c r="H326" s="32"/>
      <c r="I326" s="32"/>
      <c r="J326" s="33" t="s">
        <v>1073</v>
      </c>
      <c r="K326" s="33" t="s">
        <v>43</v>
      </c>
      <c r="L326" s="33" t="s">
        <v>1074</v>
      </c>
      <c r="M326" s="44">
        <v>659212100</v>
      </c>
      <c r="N326" s="45"/>
      <c r="O326" s="44">
        <v>7500000</v>
      </c>
      <c r="P326" s="86"/>
      <c r="Q326" s="44">
        <f t="shared" si="206"/>
        <v>666712100</v>
      </c>
      <c r="R326" s="48">
        <v>659212100</v>
      </c>
      <c r="S326" s="32"/>
      <c r="T326" s="45">
        <v>7500000</v>
      </c>
      <c r="U326" s="32"/>
      <c r="V326" s="32"/>
      <c r="W326" s="49"/>
      <c r="X326" s="49">
        <f t="shared" ref="X326:Z326" si="328">N326-S326</f>
        <v>0</v>
      </c>
      <c r="Y326" s="49">
        <f t="shared" si="328"/>
        <v>0</v>
      </c>
      <c r="Z326" s="49">
        <f t="shared" si="328"/>
        <v>0</v>
      </c>
      <c r="AA326" s="54"/>
      <c r="AB326" s="54"/>
      <c r="AC326" s="2">
        <f t="shared" si="208"/>
        <v>2</v>
      </c>
      <c r="AD326" s="6"/>
      <c r="AE326" s="6"/>
      <c r="AF326" s="6"/>
      <c r="AG326" s="6"/>
      <c r="AH326" s="6"/>
      <c r="AI326" s="6"/>
      <c r="AJ326" s="6"/>
      <c r="AK326" s="6"/>
      <c r="AL326" s="6"/>
      <c r="AM326" s="6"/>
      <c r="AN326" s="6"/>
      <c r="AO326" s="6"/>
      <c r="AP326" s="6"/>
      <c r="AQ326" s="6"/>
      <c r="AR326" s="6"/>
      <c r="AS326" s="6"/>
    </row>
    <row r="327" spans="1:45" ht="31.5" hidden="1" x14ac:dyDescent="0.25">
      <c r="A327" s="33" t="s">
        <v>60</v>
      </c>
      <c r="B327" s="42">
        <v>127</v>
      </c>
      <c r="C327" s="33" t="s">
        <v>916</v>
      </c>
      <c r="D327" s="33" t="s">
        <v>916</v>
      </c>
      <c r="E327" s="32"/>
      <c r="F327" s="54"/>
      <c r="G327" s="33" t="s">
        <v>1079</v>
      </c>
      <c r="H327" s="32"/>
      <c r="I327" s="32"/>
      <c r="J327" s="33" t="s">
        <v>1080</v>
      </c>
      <c r="K327" s="33" t="s">
        <v>43</v>
      </c>
      <c r="L327" s="33" t="s">
        <v>1081</v>
      </c>
      <c r="M327" s="44">
        <v>99800000</v>
      </c>
      <c r="N327" s="45"/>
      <c r="O327" s="44">
        <v>7500000</v>
      </c>
      <c r="P327" s="86"/>
      <c r="Q327" s="44">
        <f t="shared" si="206"/>
        <v>107300000</v>
      </c>
      <c r="R327" s="48">
        <v>99800000</v>
      </c>
      <c r="S327" s="32"/>
      <c r="T327" s="44">
        <v>7500000</v>
      </c>
      <c r="U327" s="32"/>
      <c r="V327" s="32"/>
      <c r="W327" s="49"/>
      <c r="X327" s="49">
        <f t="shared" ref="X327:Z327" si="329">N327-S327</f>
        <v>0</v>
      </c>
      <c r="Y327" s="49">
        <f t="shared" si="329"/>
        <v>0</v>
      </c>
      <c r="Z327" s="49">
        <f t="shared" si="329"/>
        <v>0</v>
      </c>
      <c r="AA327" s="54"/>
      <c r="AB327" s="54"/>
      <c r="AC327" s="2">
        <f t="shared" si="208"/>
        <v>2</v>
      </c>
      <c r="AD327" s="6"/>
      <c r="AE327" s="6"/>
      <c r="AF327" s="6"/>
      <c r="AG327" s="6"/>
      <c r="AH327" s="6"/>
      <c r="AI327" s="6"/>
      <c r="AJ327" s="6"/>
      <c r="AK327" s="6"/>
      <c r="AL327" s="6"/>
      <c r="AM327" s="6"/>
      <c r="AN327" s="6"/>
      <c r="AO327" s="6"/>
      <c r="AP327" s="6"/>
      <c r="AQ327" s="6"/>
      <c r="AR327" s="6"/>
      <c r="AS327" s="6"/>
    </row>
    <row r="328" spans="1:45" ht="31.5" hidden="1" x14ac:dyDescent="0.25">
      <c r="A328" s="33" t="s">
        <v>46</v>
      </c>
      <c r="B328" s="42">
        <v>128</v>
      </c>
      <c r="C328" s="33" t="s">
        <v>916</v>
      </c>
      <c r="D328" s="33" t="s">
        <v>916</v>
      </c>
      <c r="E328" s="33" t="s">
        <v>508</v>
      </c>
      <c r="F328" s="54"/>
      <c r="G328" s="33" t="s">
        <v>1086</v>
      </c>
      <c r="H328" s="33" t="s">
        <v>1087</v>
      </c>
      <c r="I328" s="32"/>
      <c r="J328" s="33" t="s">
        <v>1088</v>
      </c>
      <c r="K328" s="33" t="s">
        <v>43</v>
      </c>
      <c r="L328" s="33" t="s">
        <v>1089</v>
      </c>
      <c r="M328" s="44">
        <v>3116216204</v>
      </c>
      <c r="N328" s="44">
        <v>1408896</v>
      </c>
      <c r="O328" s="44">
        <v>15000000</v>
      </c>
      <c r="P328" s="86"/>
      <c r="Q328" s="44">
        <f t="shared" si="206"/>
        <v>3132625100</v>
      </c>
      <c r="R328" s="48">
        <v>3116216204</v>
      </c>
      <c r="S328" s="48">
        <v>1408896</v>
      </c>
      <c r="T328" s="44">
        <v>15000000</v>
      </c>
      <c r="U328" s="32"/>
      <c r="V328" s="32"/>
      <c r="W328" s="49"/>
      <c r="X328" s="49">
        <f t="shared" ref="X328:Z328" si="330">N328-S328</f>
        <v>0</v>
      </c>
      <c r="Y328" s="49">
        <f t="shared" si="330"/>
        <v>0</v>
      </c>
      <c r="Z328" s="49">
        <f t="shared" si="330"/>
        <v>0</v>
      </c>
      <c r="AA328" s="54"/>
      <c r="AB328" s="54"/>
      <c r="AC328" s="2">
        <f t="shared" si="208"/>
        <v>2</v>
      </c>
      <c r="AD328" s="6"/>
      <c r="AE328" s="6"/>
      <c r="AF328" s="6"/>
      <c r="AG328" s="6"/>
      <c r="AH328" s="6"/>
      <c r="AI328" s="6"/>
      <c r="AJ328" s="6"/>
      <c r="AK328" s="6"/>
      <c r="AL328" s="6"/>
      <c r="AM328" s="6"/>
      <c r="AN328" s="6"/>
      <c r="AO328" s="6"/>
      <c r="AP328" s="6"/>
      <c r="AQ328" s="6"/>
      <c r="AR328" s="6"/>
      <c r="AS328" s="6"/>
    </row>
    <row r="329" spans="1:45" ht="31.5" hidden="1" x14ac:dyDescent="0.25">
      <c r="A329" s="33" t="s">
        <v>60</v>
      </c>
      <c r="B329" s="42">
        <v>129</v>
      </c>
      <c r="C329" s="33" t="s">
        <v>916</v>
      </c>
      <c r="D329" s="33" t="s">
        <v>916</v>
      </c>
      <c r="E329" s="33"/>
      <c r="F329" s="54"/>
      <c r="G329" s="33" t="s">
        <v>1094</v>
      </c>
      <c r="H329" s="33"/>
      <c r="I329" s="33"/>
      <c r="J329" s="33" t="s">
        <v>1095</v>
      </c>
      <c r="K329" s="33" t="s">
        <v>43</v>
      </c>
      <c r="L329" s="33" t="s">
        <v>1096</v>
      </c>
      <c r="M329" s="44">
        <v>2855511110</v>
      </c>
      <c r="N329" s="45"/>
      <c r="O329" s="44">
        <v>7500000</v>
      </c>
      <c r="P329" s="86"/>
      <c r="Q329" s="44">
        <f t="shared" si="206"/>
        <v>2863011110</v>
      </c>
      <c r="R329" s="48">
        <v>2855511110</v>
      </c>
      <c r="S329" s="32"/>
      <c r="T329" s="66"/>
      <c r="U329" s="32"/>
      <c r="V329" s="32"/>
      <c r="W329" s="49"/>
      <c r="X329" s="49">
        <f t="shared" ref="X329:Z329" si="331">N329-S329</f>
        <v>0</v>
      </c>
      <c r="Y329" s="52">
        <f t="shared" si="331"/>
        <v>7500000</v>
      </c>
      <c r="Z329" s="49">
        <f t="shared" si="331"/>
        <v>0</v>
      </c>
      <c r="AA329" s="54"/>
      <c r="AB329" s="43"/>
      <c r="AC329" s="15">
        <f t="shared" si="208"/>
        <v>2</v>
      </c>
      <c r="AD329" s="15"/>
      <c r="AE329" s="6"/>
      <c r="AF329" s="6"/>
      <c r="AG329" s="6"/>
      <c r="AH329" s="6"/>
      <c r="AI329" s="6"/>
      <c r="AJ329" s="6"/>
      <c r="AK329" s="6"/>
      <c r="AL329" s="6"/>
      <c r="AM329" s="6"/>
      <c r="AN329" s="6"/>
      <c r="AO329" s="6"/>
      <c r="AP329" s="6"/>
      <c r="AQ329" s="6"/>
      <c r="AR329" s="6"/>
      <c r="AS329" s="6"/>
    </row>
    <row r="330" spans="1:45" ht="31.5" hidden="1" x14ac:dyDescent="0.25">
      <c r="A330" s="33" t="s">
        <v>60</v>
      </c>
      <c r="B330" s="42">
        <v>130</v>
      </c>
      <c r="C330" s="33" t="s">
        <v>1097</v>
      </c>
      <c r="D330" s="33" t="s">
        <v>1097</v>
      </c>
      <c r="E330" s="32"/>
      <c r="F330" s="54"/>
      <c r="G330" s="33" t="s">
        <v>1098</v>
      </c>
      <c r="H330" s="32"/>
      <c r="I330" s="32"/>
      <c r="J330" s="33" t="s">
        <v>1099</v>
      </c>
      <c r="K330" s="33" t="s">
        <v>43</v>
      </c>
      <c r="L330" s="33" t="s">
        <v>1100</v>
      </c>
      <c r="M330" s="44">
        <v>442633200</v>
      </c>
      <c r="N330" s="45"/>
      <c r="O330" s="44">
        <v>7500000</v>
      </c>
      <c r="P330" s="86"/>
      <c r="Q330" s="44">
        <f t="shared" si="206"/>
        <v>450133200</v>
      </c>
      <c r="R330" s="48">
        <v>442633200</v>
      </c>
      <c r="S330" s="32"/>
      <c r="T330" s="44">
        <v>7500000</v>
      </c>
      <c r="U330" s="32"/>
      <c r="V330" s="32"/>
      <c r="W330" s="49"/>
      <c r="X330" s="49">
        <f t="shared" ref="X330:Z330" si="332">N330-S330</f>
        <v>0</v>
      </c>
      <c r="Y330" s="49">
        <f t="shared" si="332"/>
        <v>0</v>
      </c>
      <c r="Z330" s="49">
        <f t="shared" si="332"/>
        <v>0</v>
      </c>
      <c r="AA330" s="54"/>
      <c r="AB330" s="54"/>
      <c r="AC330" s="2">
        <f t="shared" si="208"/>
        <v>2</v>
      </c>
      <c r="AD330" s="6"/>
      <c r="AE330" s="6"/>
      <c r="AF330" s="6"/>
      <c r="AG330" s="6"/>
      <c r="AH330" s="6"/>
      <c r="AI330" s="6"/>
      <c r="AJ330" s="6"/>
      <c r="AK330" s="6"/>
      <c r="AL330" s="6"/>
      <c r="AM330" s="6"/>
      <c r="AN330" s="6"/>
      <c r="AO330" s="6"/>
      <c r="AP330" s="6"/>
      <c r="AQ330" s="6"/>
      <c r="AR330" s="6"/>
      <c r="AS330" s="6"/>
    </row>
    <row r="331" spans="1:45" ht="31.5" hidden="1" x14ac:dyDescent="0.25">
      <c r="A331" s="33" t="s">
        <v>60</v>
      </c>
      <c r="B331" s="42">
        <v>131</v>
      </c>
      <c r="C331" s="33" t="s">
        <v>1097</v>
      </c>
      <c r="D331" s="33" t="s">
        <v>1097</v>
      </c>
      <c r="E331" s="33"/>
      <c r="F331" s="54"/>
      <c r="G331" s="33" t="s">
        <v>1101</v>
      </c>
      <c r="H331" s="33"/>
      <c r="I331" s="33"/>
      <c r="J331" s="33" t="s">
        <v>1102</v>
      </c>
      <c r="K331" s="33" t="s">
        <v>43</v>
      </c>
      <c r="L331" s="33" t="s">
        <v>1103</v>
      </c>
      <c r="M331" s="44">
        <v>4416075000</v>
      </c>
      <c r="N331" s="45"/>
      <c r="O331" s="44">
        <v>7500000</v>
      </c>
      <c r="P331" s="86"/>
      <c r="Q331" s="44">
        <f t="shared" si="206"/>
        <v>4423575000</v>
      </c>
      <c r="R331" s="48">
        <v>4416075000</v>
      </c>
      <c r="S331" s="32"/>
      <c r="T331" s="66"/>
      <c r="U331" s="32"/>
      <c r="V331" s="32"/>
      <c r="W331" s="49"/>
      <c r="X331" s="49">
        <f t="shared" ref="X331:Z331" si="333">N331-S331</f>
        <v>0</v>
      </c>
      <c r="Y331" s="52">
        <f t="shared" si="333"/>
        <v>7500000</v>
      </c>
      <c r="Z331" s="49">
        <f t="shared" si="333"/>
        <v>0</v>
      </c>
      <c r="AA331" s="54"/>
      <c r="AB331" s="43"/>
      <c r="AC331" s="15">
        <f t="shared" si="208"/>
        <v>2</v>
      </c>
      <c r="AD331" s="15"/>
      <c r="AE331" s="6"/>
      <c r="AF331" s="6"/>
      <c r="AG331" s="6"/>
      <c r="AH331" s="6"/>
      <c r="AI331" s="6"/>
      <c r="AJ331" s="6"/>
      <c r="AK331" s="6"/>
      <c r="AL331" s="6"/>
      <c r="AM331" s="6"/>
      <c r="AN331" s="6"/>
      <c r="AO331" s="6"/>
      <c r="AP331" s="6"/>
      <c r="AQ331" s="6"/>
      <c r="AR331" s="6"/>
      <c r="AS331" s="6"/>
    </row>
    <row r="332" spans="1:45" ht="31.5" hidden="1" x14ac:dyDescent="0.25">
      <c r="A332" s="33" t="s">
        <v>52</v>
      </c>
      <c r="B332" s="42">
        <v>132</v>
      </c>
      <c r="C332" s="33" t="s">
        <v>1097</v>
      </c>
      <c r="D332" s="33" t="s">
        <v>1097</v>
      </c>
      <c r="E332" s="32"/>
      <c r="F332" s="54"/>
      <c r="G332" s="33" t="s">
        <v>1104</v>
      </c>
      <c r="H332" s="32"/>
      <c r="I332" s="32"/>
      <c r="J332" s="33" t="s">
        <v>1105</v>
      </c>
      <c r="K332" s="33" t="s">
        <v>43</v>
      </c>
      <c r="L332" s="33" t="s">
        <v>1106</v>
      </c>
      <c r="M332" s="44">
        <v>371583574</v>
      </c>
      <c r="N332" s="45"/>
      <c r="O332" s="44">
        <v>7500000</v>
      </c>
      <c r="P332" s="86"/>
      <c r="Q332" s="44">
        <f t="shared" si="206"/>
        <v>379083574</v>
      </c>
      <c r="R332" s="48">
        <v>371583574</v>
      </c>
      <c r="S332" s="32"/>
      <c r="T332" s="44">
        <v>7500000</v>
      </c>
      <c r="U332" s="32"/>
      <c r="V332" s="32"/>
      <c r="W332" s="49"/>
      <c r="X332" s="49">
        <f t="shared" ref="X332:Z332" si="334">N332-S332</f>
        <v>0</v>
      </c>
      <c r="Y332" s="49">
        <f t="shared" si="334"/>
        <v>0</v>
      </c>
      <c r="Z332" s="49">
        <f t="shared" si="334"/>
        <v>0</v>
      </c>
      <c r="AA332" s="54"/>
      <c r="AB332" s="54"/>
      <c r="AC332" s="2">
        <f t="shared" si="208"/>
        <v>2</v>
      </c>
      <c r="AD332" s="6"/>
      <c r="AE332" s="6"/>
      <c r="AF332" s="6"/>
      <c r="AG332" s="6"/>
      <c r="AH332" s="6"/>
      <c r="AI332" s="6"/>
      <c r="AJ332" s="6"/>
      <c r="AK332" s="6"/>
      <c r="AL332" s="6"/>
      <c r="AM332" s="6"/>
      <c r="AN332" s="6"/>
      <c r="AO332" s="6"/>
      <c r="AP332" s="6"/>
      <c r="AQ332" s="6"/>
      <c r="AR332" s="6"/>
      <c r="AS332" s="6"/>
    </row>
    <row r="333" spans="1:45" ht="31.5" hidden="1" x14ac:dyDescent="0.25">
      <c r="A333" s="33" t="s">
        <v>52</v>
      </c>
      <c r="B333" s="42">
        <v>133</v>
      </c>
      <c r="C333" s="33" t="s">
        <v>1097</v>
      </c>
      <c r="D333" s="33" t="s">
        <v>1097</v>
      </c>
      <c r="E333" s="32"/>
      <c r="F333" s="54"/>
      <c r="G333" s="33" t="s">
        <v>1112</v>
      </c>
      <c r="H333" s="32"/>
      <c r="I333" s="32"/>
      <c r="J333" s="33" t="s">
        <v>1113</v>
      </c>
      <c r="K333" s="33" t="s">
        <v>43</v>
      </c>
      <c r="L333" s="33" t="s">
        <v>1114</v>
      </c>
      <c r="M333" s="44">
        <v>374522488</v>
      </c>
      <c r="N333" s="45"/>
      <c r="O333" s="44">
        <v>7500000</v>
      </c>
      <c r="P333" s="86"/>
      <c r="Q333" s="44">
        <f t="shared" si="206"/>
        <v>382022488</v>
      </c>
      <c r="R333" s="48">
        <v>374522488</v>
      </c>
      <c r="S333" s="32"/>
      <c r="T333" s="44">
        <v>7500000</v>
      </c>
      <c r="U333" s="32"/>
      <c r="V333" s="32"/>
      <c r="W333" s="49"/>
      <c r="X333" s="49">
        <f t="shared" ref="X333:Z333" si="335">N333-S333</f>
        <v>0</v>
      </c>
      <c r="Y333" s="49">
        <f t="shared" si="335"/>
        <v>0</v>
      </c>
      <c r="Z333" s="49">
        <f t="shared" si="335"/>
        <v>0</v>
      </c>
      <c r="AA333" s="54"/>
      <c r="AB333" s="54"/>
      <c r="AC333" s="2">
        <f t="shared" si="208"/>
        <v>2</v>
      </c>
      <c r="AD333" s="6"/>
      <c r="AE333" s="6"/>
      <c r="AF333" s="6"/>
      <c r="AG333" s="6"/>
      <c r="AH333" s="6"/>
      <c r="AI333" s="6"/>
      <c r="AJ333" s="6"/>
      <c r="AK333" s="6"/>
      <c r="AL333" s="6"/>
      <c r="AM333" s="6"/>
      <c r="AN333" s="6"/>
      <c r="AO333" s="6"/>
      <c r="AP333" s="6"/>
      <c r="AQ333" s="6"/>
      <c r="AR333" s="6"/>
      <c r="AS333" s="6"/>
    </row>
    <row r="334" spans="1:45" ht="31.5" hidden="1" x14ac:dyDescent="0.25">
      <c r="A334" s="33" t="s">
        <v>46</v>
      </c>
      <c r="B334" s="42">
        <v>134</v>
      </c>
      <c r="C334" s="33" t="s">
        <v>1097</v>
      </c>
      <c r="D334" s="33" t="s">
        <v>1097</v>
      </c>
      <c r="E334" s="32"/>
      <c r="F334" s="54"/>
      <c r="G334" s="33" t="s">
        <v>1120</v>
      </c>
      <c r="H334" s="32"/>
      <c r="I334" s="32"/>
      <c r="J334" s="33" t="s">
        <v>1121</v>
      </c>
      <c r="K334" s="33" t="s">
        <v>43</v>
      </c>
      <c r="L334" s="33" t="s">
        <v>1122</v>
      </c>
      <c r="M334" s="44">
        <v>1958914892</v>
      </c>
      <c r="N334" s="45"/>
      <c r="O334" s="44">
        <v>7500000</v>
      </c>
      <c r="P334" s="86"/>
      <c r="Q334" s="44">
        <f t="shared" si="206"/>
        <v>1966414892</v>
      </c>
      <c r="R334" s="48">
        <v>1958914892</v>
      </c>
      <c r="S334" s="32"/>
      <c r="T334" s="44">
        <v>7500000</v>
      </c>
      <c r="U334" s="32"/>
      <c r="V334" s="32"/>
      <c r="W334" s="49"/>
      <c r="X334" s="49">
        <f t="shared" ref="X334:Z334" si="336">N334-S334</f>
        <v>0</v>
      </c>
      <c r="Y334" s="49">
        <f t="shared" si="336"/>
        <v>0</v>
      </c>
      <c r="Z334" s="49">
        <f t="shared" si="336"/>
        <v>0</v>
      </c>
      <c r="AA334" s="54"/>
      <c r="AB334" s="54"/>
      <c r="AC334" s="2">
        <f t="shared" si="208"/>
        <v>2</v>
      </c>
      <c r="AD334" s="6"/>
      <c r="AE334" s="6"/>
      <c r="AF334" s="6"/>
      <c r="AG334" s="6"/>
      <c r="AH334" s="6"/>
      <c r="AI334" s="6"/>
      <c r="AJ334" s="6"/>
      <c r="AK334" s="6"/>
      <c r="AL334" s="6"/>
      <c r="AM334" s="6"/>
      <c r="AN334" s="6"/>
      <c r="AO334" s="6"/>
      <c r="AP334" s="6"/>
      <c r="AQ334" s="6"/>
      <c r="AR334" s="6"/>
      <c r="AS334" s="6"/>
    </row>
    <row r="335" spans="1:45" ht="31.5" hidden="1" x14ac:dyDescent="0.25">
      <c r="A335" s="33" t="s">
        <v>46</v>
      </c>
      <c r="B335" s="42">
        <v>135</v>
      </c>
      <c r="C335" s="33" t="s">
        <v>1097</v>
      </c>
      <c r="D335" s="33" t="s">
        <v>1097</v>
      </c>
      <c r="E335" s="32"/>
      <c r="F335" s="54"/>
      <c r="G335" s="33" t="s">
        <v>1128</v>
      </c>
      <c r="H335" s="32"/>
      <c r="I335" s="32"/>
      <c r="J335" s="33" t="s">
        <v>1129</v>
      </c>
      <c r="K335" s="33" t="s">
        <v>43</v>
      </c>
      <c r="L335" s="33" t="s">
        <v>1130</v>
      </c>
      <c r="M335" s="44">
        <v>2065538000</v>
      </c>
      <c r="N335" s="45"/>
      <c r="O335" s="44">
        <v>7500000</v>
      </c>
      <c r="P335" s="86"/>
      <c r="Q335" s="44">
        <f t="shared" si="206"/>
        <v>2073038000</v>
      </c>
      <c r="R335" s="48">
        <v>2065538000</v>
      </c>
      <c r="S335" s="32"/>
      <c r="T335" s="44">
        <v>7500000</v>
      </c>
      <c r="U335" s="32"/>
      <c r="V335" s="32"/>
      <c r="W335" s="49"/>
      <c r="X335" s="49">
        <f t="shared" ref="X335:Z335" si="337">N335-S335</f>
        <v>0</v>
      </c>
      <c r="Y335" s="49">
        <f t="shared" si="337"/>
        <v>0</v>
      </c>
      <c r="Z335" s="49">
        <f t="shared" si="337"/>
        <v>0</v>
      </c>
      <c r="AA335" s="54"/>
      <c r="AB335" s="54"/>
      <c r="AC335" s="2">
        <f t="shared" si="208"/>
        <v>2</v>
      </c>
      <c r="AD335" s="6"/>
      <c r="AE335" s="6"/>
      <c r="AF335" s="6"/>
      <c r="AG335" s="6"/>
      <c r="AH335" s="6"/>
      <c r="AI335" s="6"/>
      <c r="AJ335" s="6"/>
      <c r="AK335" s="6"/>
      <c r="AL335" s="6"/>
      <c r="AM335" s="6"/>
      <c r="AN335" s="6"/>
      <c r="AO335" s="6"/>
      <c r="AP335" s="6"/>
      <c r="AQ335" s="6"/>
      <c r="AR335" s="6"/>
      <c r="AS335" s="6"/>
    </row>
    <row r="336" spans="1:45" ht="31.5" hidden="1" x14ac:dyDescent="0.25">
      <c r="A336" s="33" t="s">
        <v>35</v>
      </c>
      <c r="B336" s="42">
        <v>136</v>
      </c>
      <c r="C336" s="33" t="s">
        <v>1139</v>
      </c>
      <c r="D336" s="33" t="s">
        <v>1139</v>
      </c>
      <c r="E336" s="32"/>
      <c r="F336" s="54"/>
      <c r="G336" s="33" t="s">
        <v>1142</v>
      </c>
      <c r="H336" s="32"/>
      <c r="I336" s="32"/>
      <c r="J336" s="33" t="s">
        <v>1144</v>
      </c>
      <c r="K336" s="33" t="s">
        <v>43</v>
      </c>
      <c r="L336" s="33" t="s">
        <v>1145</v>
      </c>
      <c r="M336" s="44">
        <v>1293714744</v>
      </c>
      <c r="N336" s="45"/>
      <c r="O336" s="44">
        <v>7500000</v>
      </c>
      <c r="P336" s="86"/>
      <c r="Q336" s="44">
        <f t="shared" si="206"/>
        <v>1301214744</v>
      </c>
      <c r="R336" s="52">
        <v>1293714744</v>
      </c>
      <c r="S336" s="32"/>
      <c r="T336" s="44">
        <v>7500000</v>
      </c>
      <c r="U336" s="32"/>
      <c r="V336" s="32"/>
      <c r="W336" s="49"/>
      <c r="X336" s="49">
        <f t="shared" ref="X336:Z336" si="338">N336-S336</f>
        <v>0</v>
      </c>
      <c r="Y336" s="49">
        <f t="shared" si="338"/>
        <v>0</v>
      </c>
      <c r="Z336" s="49">
        <f t="shared" si="338"/>
        <v>0</v>
      </c>
      <c r="AA336" s="54"/>
      <c r="AB336" s="54"/>
      <c r="AC336" s="2">
        <f t="shared" si="208"/>
        <v>2</v>
      </c>
      <c r="AD336" s="6"/>
      <c r="AE336" s="6"/>
      <c r="AF336" s="6"/>
      <c r="AG336" s="6"/>
      <c r="AH336" s="6"/>
      <c r="AI336" s="6"/>
      <c r="AJ336" s="6"/>
      <c r="AK336" s="6"/>
      <c r="AL336" s="6"/>
      <c r="AM336" s="6"/>
      <c r="AN336" s="6"/>
      <c r="AO336" s="6"/>
      <c r="AP336" s="6"/>
      <c r="AQ336" s="6"/>
      <c r="AR336" s="6"/>
      <c r="AS336" s="6"/>
    </row>
    <row r="337" spans="1:45" ht="31.5" hidden="1" x14ac:dyDescent="0.25">
      <c r="A337" s="33" t="s">
        <v>35</v>
      </c>
      <c r="B337" s="42">
        <v>137</v>
      </c>
      <c r="C337" s="33" t="s">
        <v>581</v>
      </c>
      <c r="D337" s="33" t="s">
        <v>1153</v>
      </c>
      <c r="E337" s="32"/>
      <c r="F337" s="54"/>
      <c r="G337" s="33" t="s">
        <v>1154</v>
      </c>
      <c r="H337" s="32"/>
      <c r="I337" s="33" t="s">
        <v>1155</v>
      </c>
      <c r="J337" s="33" t="s">
        <v>1156</v>
      </c>
      <c r="K337" s="33" t="s">
        <v>43</v>
      </c>
      <c r="L337" s="33" t="s">
        <v>1157</v>
      </c>
      <c r="M337" s="44">
        <v>4217619670</v>
      </c>
      <c r="N337" s="45"/>
      <c r="O337" s="44">
        <v>15000000</v>
      </c>
      <c r="P337" s="86"/>
      <c r="Q337" s="44">
        <f t="shared" si="206"/>
        <v>4232619670</v>
      </c>
      <c r="R337" s="48">
        <v>4217619670</v>
      </c>
      <c r="S337" s="32"/>
      <c r="T337" s="44">
        <v>15000000</v>
      </c>
      <c r="U337" s="32"/>
      <c r="V337" s="32"/>
      <c r="W337" s="49"/>
      <c r="X337" s="49">
        <f t="shared" ref="X337:Z337" si="339">N337-S337</f>
        <v>0</v>
      </c>
      <c r="Y337" s="49">
        <f t="shared" si="339"/>
        <v>0</v>
      </c>
      <c r="Z337" s="49">
        <f t="shared" si="339"/>
        <v>0</v>
      </c>
      <c r="AA337" s="54"/>
      <c r="AB337" s="54"/>
      <c r="AC337" s="2">
        <f t="shared" si="208"/>
        <v>2</v>
      </c>
      <c r="AD337" s="6"/>
      <c r="AE337" s="6"/>
      <c r="AF337" s="6"/>
      <c r="AG337" s="6"/>
      <c r="AH337" s="6"/>
      <c r="AI337" s="6"/>
      <c r="AJ337" s="6"/>
      <c r="AK337" s="6"/>
      <c r="AL337" s="6"/>
      <c r="AM337" s="6"/>
      <c r="AN337" s="6"/>
      <c r="AO337" s="6"/>
      <c r="AP337" s="6"/>
      <c r="AQ337" s="6"/>
      <c r="AR337" s="6"/>
      <c r="AS337" s="6"/>
    </row>
    <row r="338" spans="1:45" ht="31.5" hidden="1" x14ac:dyDescent="0.25">
      <c r="A338" s="33" t="s">
        <v>35</v>
      </c>
      <c r="B338" s="42">
        <v>138</v>
      </c>
      <c r="C338" s="33" t="s">
        <v>581</v>
      </c>
      <c r="D338" s="33" t="s">
        <v>1163</v>
      </c>
      <c r="E338" s="33" t="s">
        <v>156</v>
      </c>
      <c r="F338" s="54"/>
      <c r="G338" s="33" t="s">
        <v>1164</v>
      </c>
      <c r="H338" s="33" t="s">
        <v>1165</v>
      </c>
      <c r="I338" s="33"/>
      <c r="J338" s="33" t="s">
        <v>1166</v>
      </c>
      <c r="K338" s="33" t="s">
        <v>43</v>
      </c>
      <c r="L338" s="33" t="s">
        <v>1168</v>
      </c>
      <c r="M338" s="44">
        <v>3194338952</v>
      </c>
      <c r="N338" s="44">
        <v>41139648</v>
      </c>
      <c r="O338" s="44">
        <v>15000000</v>
      </c>
      <c r="P338" s="86"/>
      <c r="Q338" s="44">
        <f t="shared" si="206"/>
        <v>3250478600</v>
      </c>
      <c r="R338" s="48">
        <v>3194338952</v>
      </c>
      <c r="S338" s="48">
        <v>41139648</v>
      </c>
      <c r="T338" s="66"/>
      <c r="U338" s="32"/>
      <c r="V338" s="32"/>
      <c r="W338" s="49"/>
      <c r="X338" s="49">
        <f t="shared" ref="X338:Z338" si="340">N338-S338</f>
        <v>0</v>
      </c>
      <c r="Y338" s="52">
        <f t="shared" si="340"/>
        <v>15000000</v>
      </c>
      <c r="Z338" s="49">
        <f t="shared" si="340"/>
        <v>0</v>
      </c>
      <c r="AA338" s="54"/>
      <c r="AB338" s="43"/>
      <c r="AC338" s="15">
        <f t="shared" si="208"/>
        <v>2</v>
      </c>
      <c r="AD338" s="15"/>
      <c r="AE338" s="6"/>
      <c r="AF338" s="6"/>
      <c r="AG338" s="6"/>
      <c r="AH338" s="6"/>
      <c r="AI338" s="6"/>
      <c r="AJ338" s="6"/>
      <c r="AK338" s="6"/>
      <c r="AL338" s="6"/>
      <c r="AM338" s="6"/>
      <c r="AN338" s="6"/>
      <c r="AO338" s="6"/>
      <c r="AP338" s="6"/>
      <c r="AQ338" s="6"/>
      <c r="AR338" s="6"/>
      <c r="AS338" s="6"/>
    </row>
    <row r="339" spans="1:45" ht="31.5" hidden="1" x14ac:dyDescent="0.25">
      <c r="A339" s="33" t="s">
        <v>46</v>
      </c>
      <c r="B339" s="42">
        <v>139</v>
      </c>
      <c r="C339" s="33" t="s">
        <v>581</v>
      </c>
      <c r="D339" s="33" t="s">
        <v>1173</v>
      </c>
      <c r="E339" s="32"/>
      <c r="F339" s="54"/>
      <c r="G339" s="33" t="s">
        <v>1174</v>
      </c>
      <c r="H339" s="32"/>
      <c r="I339" s="32"/>
      <c r="J339" s="33" t="s">
        <v>1175</v>
      </c>
      <c r="K339" s="33" t="s">
        <v>43</v>
      </c>
      <c r="L339" s="33" t="s">
        <v>1176</v>
      </c>
      <c r="M339" s="44">
        <v>1616275160</v>
      </c>
      <c r="N339" s="45"/>
      <c r="O339" s="44">
        <v>7500000</v>
      </c>
      <c r="P339" s="86"/>
      <c r="Q339" s="44">
        <f t="shared" si="206"/>
        <v>1623775160</v>
      </c>
      <c r="R339" s="48">
        <v>1616275160</v>
      </c>
      <c r="S339" s="32"/>
      <c r="T339" s="44">
        <v>7500000</v>
      </c>
      <c r="U339" s="32"/>
      <c r="V339" s="32"/>
      <c r="W339" s="49"/>
      <c r="X339" s="49">
        <f t="shared" ref="X339:Z339" si="341">N339-S339</f>
        <v>0</v>
      </c>
      <c r="Y339" s="49">
        <f t="shared" si="341"/>
        <v>0</v>
      </c>
      <c r="Z339" s="49">
        <f t="shared" si="341"/>
        <v>0</v>
      </c>
      <c r="AA339" s="54"/>
      <c r="AB339" s="54"/>
      <c r="AC339" s="2">
        <f t="shared" si="208"/>
        <v>2</v>
      </c>
      <c r="AD339" s="6"/>
      <c r="AE339" s="6"/>
      <c r="AF339" s="6"/>
      <c r="AG339" s="6"/>
      <c r="AH339" s="6"/>
      <c r="AI339" s="6"/>
      <c r="AJ339" s="6"/>
      <c r="AK339" s="6"/>
      <c r="AL339" s="6"/>
      <c r="AM339" s="6"/>
      <c r="AN339" s="6"/>
      <c r="AO339" s="6"/>
      <c r="AP339" s="6"/>
      <c r="AQ339" s="6"/>
      <c r="AR339" s="6"/>
      <c r="AS339" s="6"/>
    </row>
    <row r="340" spans="1:45" ht="31.5" hidden="1" x14ac:dyDescent="0.25">
      <c r="A340" s="33" t="s">
        <v>60</v>
      </c>
      <c r="B340" s="42">
        <v>141</v>
      </c>
      <c r="C340" s="33" t="s">
        <v>581</v>
      </c>
      <c r="D340" s="33" t="s">
        <v>1194</v>
      </c>
      <c r="E340" s="32"/>
      <c r="F340" s="54"/>
      <c r="G340" s="33" t="s">
        <v>1195</v>
      </c>
      <c r="H340" s="32"/>
      <c r="I340" s="32"/>
      <c r="J340" s="33" t="s">
        <v>1196</v>
      </c>
      <c r="K340" s="33" t="s">
        <v>43</v>
      </c>
      <c r="L340" s="33" t="s">
        <v>1197</v>
      </c>
      <c r="M340" s="44">
        <v>1739119796</v>
      </c>
      <c r="N340" s="45"/>
      <c r="O340" s="44">
        <v>7500000</v>
      </c>
      <c r="P340" s="86"/>
      <c r="Q340" s="44">
        <f t="shared" si="206"/>
        <v>1746619796</v>
      </c>
      <c r="R340" s="48">
        <v>1739119796</v>
      </c>
      <c r="S340" s="32"/>
      <c r="T340" s="44">
        <v>7500000</v>
      </c>
      <c r="U340" s="32"/>
      <c r="V340" s="32"/>
      <c r="W340" s="49"/>
      <c r="X340" s="49">
        <f t="shared" ref="X340:Z340" si="342">N340-S340</f>
        <v>0</v>
      </c>
      <c r="Y340" s="49">
        <f t="shared" si="342"/>
        <v>0</v>
      </c>
      <c r="Z340" s="49">
        <f t="shared" si="342"/>
        <v>0</v>
      </c>
      <c r="AA340" s="54"/>
      <c r="AB340" s="54"/>
      <c r="AC340" s="2">
        <f t="shared" si="208"/>
        <v>2</v>
      </c>
      <c r="AD340" s="6"/>
      <c r="AE340" s="6"/>
      <c r="AF340" s="6"/>
      <c r="AG340" s="6"/>
      <c r="AH340" s="6"/>
      <c r="AI340" s="6"/>
      <c r="AJ340" s="6"/>
      <c r="AK340" s="6"/>
      <c r="AL340" s="6"/>
      <c r="AM340" s="6"/>
      <c r="AN340" s="6"/>
      <c r="AO340" s="6"/>
      <c r="AP340" s="6"/>
      <c r="AQ340" s="6"/>
      <c r="AR340" s="6"/>
      <c r="AS340" s="6"/>
    </row>
    <row r="341" spans="1:45" ht="31.5" hidden="1" x14ac:dyDescent="0.25">
      <c r="A341" s="33" t="s">
        <v>60</v>
      </c>
      <c r="B341" s="42">
        <v>142</v>
      </c>
      <c r="C341" s="33" t="s">
        <v>581</v>
      </c>
      <c r="D341" s="33" t="s">
        <v>1203</v>
      </c>
      <c r="E341" s="32"/>
      <c r="F341" s="54"/>
      <c r="G341" s="33" t="s">
        <v>1204</v>
      </c>
      <c r="H341" s="32"/>
      <c r="I341" s="32"/>
      <c r="J341" s="33" t="s">
        <v>1205</v>
      </c>
      <c r="K341" s="33" t="s">
        <v>43</v>
      </c>
      <c r="L341" s="33" t="s">
        <v>591</v>
      </c>
      <c r="M341" s="44">
        <v>1019168200</v>
      </c>
      <c r="N341" s="45"/>
      <c r="O341" s="44">
        <v>7500000</v>
      </c>
      <c r="P341" s="86"/>
      <c r="Q341" s="44">
        <f t="shared" si="206"/>
        <v>1026668200</v>
      </c>
      <c r="R341" s="48">
        <v>1019168200</v>
      </c>
      <c r="S341" s="32"/>
      <c r="T341" s="44">
        <v>7500000</v>
      </c>
      <c r="U341" s="32"/>
      <c r="V341" s="32"/>
      <c r="W341" s="49"/>
      <c r="X341" s="49">
        <f t="shared" ref="X341:Z341" si="343">N341-S341</f>
        <v>0</v>
      </c>
      <c r="Y341" s="49">
        <f t="shared" si="343"/>
        <v>0</v>
      </c>
      <c r="Z341" s="49">
        <f t="shared" si="343"/>
        <v>0</v>
      </c>
      <c r="AA341" s="54"/>
      <c r="AB341" s="54"/>
      <c r="AC341" s="2">
        <f t="shared" si="208"/>
        <v>2</v>
      </c>
      <c r="AD341" s="6"/>
      <c r="AE341" s="6"/>
      <c r="AF341" s="6"/>
      <c r="AG341" s="6"/>
      <c r="AH341" s="6"/>
      <c r="AI341" s="6"/>
      <c r="AJ341" s="6"/>
      <c r="AK341" s="6"/>
      <c r="AL341" s="6"/>
      <c r="AM341" s="6"/>
      <c r="AN341" s="6"/>
      <c r="AO341" s="6"/>
      <c r="AP341" s="6"/>
      <c r="AQ341" s="6"/>
      <c r="AR341" s="6"/>
      <c r="AS341" s="6"/>
    </row>
    <row r="342" spans="1:45" ht="31.5" hidden="1" x14ac:dyDescent="0.25">
      <c r="A342" s="33" t="s">
        <v>60</v>
      </c>
      <c r="B342" s="42">
        <v>143</v>
      </c>
      <c r="C342" s="33" t="s">
        <v>581</v>
      </c>
      <c r="D342" s="33" t="s">
        <v>1210</v>
      </c>
      <c r="E342" s="33" t="s">
        <v>409</v>
      </c>
      <c r="F342" s="54"/>
      <c r="G342" s="33" t="s">
        <v>1211</v>
      </c>
      <c r="H342" s="33" t="s">
        <v>1212</v>
      </c>
      <c r="I342" s="32"/>
      <c r="J342" s="33" t="s">
        <v>1213</v>
      </c>
      <c r="K342" s="33" t="s">
        <v>43</v>
      </c>
      <c r="L342" s="33" t="s">
        <v>1214</v>
      </c>
      <c r="M342" s="44">
        <v>7965890968</v>
      </c>
      <c r="N342" s="44">
        <v>161187840</v>
      </c>
      <c r="O342" s="44">
        <v>15000000</v>
      </c>
      <c r="P342" s="86"/>
      <c r="Q342" s="44">
        <f t="shared" si="206"/>
        <v>8142078808</v>
      </c>
      <c r="R342" s="48">
        <v>7965890968</v>
      </c>
      <c r="S342" s="33"/>
      <c r="T342" s="44">
        <v>15000000</v>
      </c>
      <c r="U342" s="32"/>
      <c r="V342" s="32"/>
      <c r="W342" s="49"/>
      <c r="X342" s="52">
        <f t="shared" ref="X342:Z342" si="344">N342-S342</f>
        <v>161187840</v>
      </c>
      <c r="Y342" s="49">
        <f t="shared" si="344"/>
        <v>0</v>
      </c>
      <c r="Z342" s="49">
        <f t="shared" si="344"/>
        <v>0</v>
      </c>
      <c r="AA342" s="43"/>
      <c r="AB342" s="43"/>
      <c r="AC342" s="6">
        <f t="shared" si="208"/>
        <v>2</v>
      </c>
      <c r="AD342" s="6"/>
      <c r="AE342" s="6"/>
      <c r="AF342" s="6"/>
      <c r="AG342" s="6"/>
      <c r="AH342" s="6"/>
      <c r="AI342" s="6"/>
      <c r="AJ342" s="6"/>
      <c r="AK342" s="6"/>
      <c r="AL342" s="6"/>
      <c r="AM342" s="6"/>
      <c r="AN342" s="6"/>
      <c r="AO342" s="6"/>
      <c r="AP342" s="6"/>
      <c r="AQ342" s="6"/>
      <c r="AR342" s="6"/>
      <c r="AS342" s="6"/>
    </row>
    <row r="343" spans="1:45" ht="31.5" hidden="1" x14ac:dyDescent="0.25">
      <c r="A343" s="33" t="s">
        <v>60</v>
      </c>
      <c r="B343" s="42">
        <v>145</v>
      </c>
      <c r="C343" s="33" t="s">
        <v>581</v>
      </c>
      <c r="D343" s="33" t="s">
        <v>1223</v>
      </c>
      <c r="E343" s="32"/>
      <c r="F343" s="54"/>
      <c r="G343" s="33" t="s">
        <v>1225</v>
      </c>
      <c r="H343" s="32"/>
      <c r="I343" s="32"/>
      <c r="J343" s="33" t="s">
        <v>1228</v>
      </c>
      <c r="K343" s="33" t="s">
        <v>43</v>
      </c>
      <c r="L343" s="33" t="s">
        <v>1230</v>
      </c>
      <c r="M343" s="44">
        <v>1620845726</v>
      </c>
      <c r="N343" s="45"/>
      <c r="O343" s="44">
        <v>7500000</v>
      </c>
      <c r="P343" s="86"/>
      <c r="Q343" s="44">
        <f t="shared" si="206"/>
        <v>1628345726</v>
      </c>
      <c r="R343" s="48">
        <v>1620845726</v>
      </c>
      <c r="S343" s="32"/>
      <c r="T343" s="44">
        <v>7500000</v>
      </c>
      <c r="U343" s="32"/>
      <c r="V343" s="32"/>
      <c r="W343" s="49"/>
      <c r="X343" s="49">
        <f t="shared" ref="X343:Z343" si="345">N343-S343</f>
        <v>0</v>
      </c>
      <c r="Y343" s="49">
        <f t="shared" si="345"/>
        <v>0</v>
      </c>
      <c r="Z343" s="49">
        <f t="shared" si="345"/>
        <v>0</v>
      </c>
      <c r="AA343" s="54"/>
      <c r="AB343" s="54"/>
      <c r="AC343" s="2">
        <f t="shared" si="208"/>
        <v>2</v>
      </c>
      <c r="AD343" s="6"/>
      <c r="AE343" s="6"/>
      <c r="AF343" s="6"/>
      <c r="AG343" s="6"/>
      <c r="AH343" s="6"/>
      <c r="AI343" s="6"/>
      <c r="AJ343" s="6"/>
      <c r="AK343" s="6"/>
      <c r="AL343" s="6"/>
      <c r="AM343" s="6"/>
      <c r="AN343" s="6"/>
      <c r="AO343" s="6"/>
      <c r="AP343" s="6"/>
      <c r="AQ343" s="6"/>
      <c r="AR343" s="6"/>
      <c r="AS343" s="6"/>
    </row>
    <row r="344" spans="1:45" ht="31.5" hidden="1" x14ac:dyDescent="0.25">
      <c r="A344" s="33" t="s">
        <v>52</v>
      </c>
      <c r="B344" s="42">
        <v>147</v>
      </c>
      <c r="C344" s="33" t="s">
        <v>581</v>
      </c>
      <c r="D344" s="33" t="s">
        <v>1238</v>
      </c>
      <c r="E344" s="32"/>
      <c r="F344" s="54"/>
      <c r="G344" s="33" t="s">
        <v>1239</v>
      </c>
      <c r="H344" s="32"/>
      <c r="I344" s="32"/>
      <c r="J344" s="33" t="s">
        <v>1240</v>
      </c>
      <c r="K344" s="33" t="s">
        <v>43</v>
      </c>
      <c r="L344" s="33" t="s">
        <v>1241</v>
      </c>
      <c r="M344" s="44">
        <v>1686837440</v>
      </c>
      <c r="N344" s="45"/>
      <c r="O344" s="44">
        <v>7500000</v>
      </c>
      <c r="P344" s="86"/>
      <c r="Q344" s="44">
        <f t="shared" si="206"/>
        <v>1694337440</v>
      </c>
      <c r="R344" s="48">
        <v>1686837440</v>
      </c>
      <c r="S344" s="32"/>
      <c r="T344" s="44">
        <v>7500000</v>
      </c>
      <c r="U344" s="32"/>
      <c r="V344" s="32"/>
      <c r="W344" s="49"/>
      <c r="X344" s="49">
        <f t="shared" ref="X344:Z344" si="346">N344-S344</f>
        <v>0</v>
      </c>
      <c r="Y344" s="49">
        <f t="shared" si="346"/>
        <v>0</v>
      </c>
      <c r="Z344" s="49">
        <f t="shared" si="346"/>
        <v>0</v>
      </c>
      <c r="AA344" s="54"/>
      <c r="AB344" s="54"/>
      <c r="AC344" s="2">
        <f t="shared" si="208"/>
        <v>2</v>
      </c>
      <c r="AD344" s="6"/>
      <c r="AE344" s="6"/>
      <c r="AF344" s="6"/>
      <c r="AG344" s="6"/>
      <c r="AH344" s="6"/>
      <c r="AI344" s="6"/>
      <c r="AJ344" s="6"/>
      <c r="AK344" s="6"/>
      <c r="AL344" s="6"/>
      <c r="AM344" s="6"/>
      <c r="AN344" s="6"/>
      <c r="AO344" s="6"/>
      <c r="AP344" s="6"/>
      <c r="AQ344" s="6"/>
      <c r="AR344" s="6"/>
      <c r="AS344" s="6"/>
    </row>
    <row r="345" spans="1:45" ht="31.5" hidden="1" x14ac:dyDescent="0.25">
      <c r="A345" s="33" t="s">
        <v>46</v>
      </c>
      <c r="B345" s="42">
        <v>148</v>
      </c>
      <c r="C345" s="33" t="s">
        <v>1247</v>
      </c>
      <c r="D345" s="33" t="s">
        <v>1248</v>
      </c>
      <c r="E345" s="32"/>
      <c r="F345" s="54"/>
      <c r="G345" s="33" t="s">
        <v>1249</v>
      </c>
      <c r="H345" s="32"/>
      <c r="I345" s="32"/>
      <c r="J345" s="33" t="s">
        <v>1250</v>
      </c>
      <c r="K345" s="33" t="s">
        <v>43</v>
      </c>
      <c r="L345" s="33" t="s">
        <v>1251</v>
      </c>
      <c r="M345" s="44">
        <v>437187740</v>
      </c>
      <c r="N345" s="45"/>
      <c r="O345" s="44">
        <v>7500000</v>
      </c>
      <c r="P345" s="86"/>
      <c r="Q345" s="44">
        <f t="shared" si="206"/>
        <v>444687740</v>
      </c>
      <c r="R345" s="48">
        <v>437187740</v>
      </c>
      <c r="S345" s="32"/>
      <c r="T345" s="45">
        <v>7500000</v>
      </c>
      <c r="U345" s="32"/>
      <c r="V345" s="32"/>
      <c r="W345" s="49"/>
      <c r="X345" s="49">
        <f t="shared" ref="X345:Z345" si="347">N345-S345</f>
        <v>0</v>
      </c>
      <c r="Y345" s="49">
        <f t="shared" si="347"/>
        <v>0</v>
      </c>
      <c r="Z345" s="49">
        <f t="shared" si="347"/>
        <v>0</v>
      </c>
      <c r="AA345" s="54"/>
      <c r="AB345" s="54"/>
      <c r="AC345" s="2">
        <f t="shared" si="208"/>
        <v>2</v>
      </c>
      <c r="AD345" s="6"/>
      <c r="AE345" s="6"/>
      <c r="AF345" s="6"/>
      <c r="AG345" s="6"/>
      <c r="AH345" s="6"/>
      <c r="AI345" s="6"/>
      <c r="AJ345" s="6"/>
      <c r="AK345" s="6"/>
      <c r="AL345" s="6"/>
      <c r="AM345" s="6"/>
      <c r="AN345" s="6"/>
      <c r="AO345" s="6"/>
      <c r="AP345" s="6"/>
      <c r="AQ345" s="6"/>
      <c r="AR345" s="6"/>
      <c r="AS345" s="6"/>
    </row>
    <row r="346" spans="1:45" ht="31.5" hidden="1" x14ac:dyDescent="0.25">
      <c r="A346" s="33" t="s">
        <v>35</v>
      </c>
      <c r="B346" s="42">
        <v>149</v>
      </c>
      <c r="C346" s="33" t="s">
        <v>1247</v>
      </c>
      <c r="D346" s="33" t="s">
        <v>1255</v>
      </c>
      <c r="E346" s="32"/>
      <c r="F346" s="54"/>
      <c r="G346" s="33" t="s">
        <v>1257</v>
      </c>
      <c r="H346" s="32"/>
      <c r="I346" s="32"/>
      <c r="J346" s="33" t="s">
        <v>1258</v>
      </c>
      <c r="K346" s="33" t="s">
        <v>43</v>
      </c>
      <c r="L346" s="33" t="s">
        <v>1259</v>
      </c>
      <c r="M346" s="44">
        <v>1573408200</v>
      </c>
      <c r="N346" s="45"/>
      <c r="O346" s="44">
        <v>7500000</v>
      </c>
      <c r="P346" s="86"/>
      <c r="Q346" s="44">
        <f t="shared" si="206"/>
        <v>1580908200</v>
      </c>
      <c r="R346" s="52">
        <v>1573408200</v>
      </c>
      <c r="S346" s="32"/>
      <c r="T346" s="44">
        <v>7500000</v>
      </c>
      <c r="U346" s="32"/>
      <c r="V346" s="32"/>
      <c r="W346" s="49"/>
      <c r="X346" s="49">
        <f t="shared" ref="X346:Z346" si="348">N346-S346</f>
        <v>0</v>
      </c>
      <c r="Y346" s="49">
        <f t="shared" si="348"/>
        <v>0</v>
      </c>
      <c r="Z346" s="49">
        <f t="shared" si="348"/>
        <v>0</v>
      </c>
      <c r="AA346" s="54"/>
      <c r="AB346" s="54"/>
      <c r="AC346" s="2">
        <f t="shared" si="208"/>
        <v>2</v>
      </c>
      <c r="AD346" s="6"/>
      <c r="AE346" s="6"/>
      <c r="AF346" s="6"/>
      <c r="AG346" s="6"/>
      <c r="AH346" s="6"/>
      <c r="AI346" s="6"/>
      <c r="AJ346" s="6"/>
      <c r="AK346" s="6"/>
      <c r="AL346" s="6"/>
      <c r="AM346" s="6"/>
      <c r="AN346" s="6"/>
      <c r="AO346" s="6"/>
      <c r="AP346" s="6"/>
      <c r="AQ346" s="6"/>
      <c r="AR346" s="6"/>
      <c r="AS346" s="6"/>
    </row>
    <row r="347" spans="1:45" ht="31.5" hidden="1" x14ac:dyDescent="0.25">
      <c r="A347" s="33" t="s">
        <v>52</v>
      </c>
      <c r="B347" s="42">
        <v>150</v>
      </c>
      <c r="C347" s="33" t="s">
        <v>1260</v>
      </c>
      <c r="D347" s="33" t="s">
        <v>1261</v>
      </c>
      <c r="E347" s="32"/>
      <c r="F347" s="54"/>
      <c r="G347" s="33" t="s">
        <v>1262</v>
      </c>
      <c r="H347" s="32"/>
      <c r="I347" s="32"/>
      <c r="J347" s="33" t="s">
        <v>1263</v>
      </c>
      <c r="K347" s="33" t="s">
        <v>43</v>
      </c>
      <c r="L347" s="33" t="s">
        <v>1264</v>
      </c>
      <c r="M347" s="44">
        <v>861004700</v>
      </c>
      <c r="N347" s="45"/>
      <c r="O347" s="44">
        <v>7500000</v>
      </c>
      <c r="P347" s="86"/>
      <c r="Q347" s="44">
        <f t="shared" si="206"/>
        <v>868504700</v>
      </c>
      <c r="R347" s="48">
        <v>861004700</v>
      </c>
      <c r="S347" s="32"/>
      <c r="T347" s="44">
        <v>7500000</v>
      </c>
      <c r="U347" s="32"/>
      <c r="V347" s="32"/>
      <c r="W347" s="49"/>
      <c r="X347" s="49">
        <f t="shared" ref="X347:Z347" si="349">N347-S347</f>
        <v>0</v>
      </c>
      <c r="Y347" s="49">
        <f t="shared" si="349"/>
        <v>0</v>
      </c>
      <c r="Z347" s="49">
        <f t="shared" si="349"/>
        <v>0</v>
      </c>
      <c r="AA347" s="54"/>
      <c r="AB347" s="54"/>
      <c r="AC347" s="2">
        <f t="shared" si="208"/>
        <v>2</v>
      </c>
      <c r="AD347" s="6"/>
      <c r="AE347" s="6"/>
      <c r="AF347" s="6"/>
      <c r="AG347" s="6"/>
      <c r="AH347" s="6"/>
      <c r="AI347" s="6"/>
      <c r="AJ347" s="6"/>
      <c r="AK347" s="6"/>
      <c r="AL347" s="6"/>
      <c r="AM347" s="6"/>
      <c r="AN347" s="6"/>
      <c r="AO347" s="6"/>
      <c r="AP347" s="6"/>
      <c r="AQ347" s="6"/>
      <c r="AR347" s="6"/>
      <c r="AS347" s="6"/>
    </row>
    <row r="348" spans="1:45" ht="31.5" hidden="1" x14ac:dyDescent="0.25">
      <c r="A348" s="33" t="s">
        <v>60</v>
      </c>
      <c r="B348" s="42">
        <v>151</v>
      </c>
      <c r="C348" s="33" t="s">
        <v>1260</v>
      </c>
      <c r="D348" s="33" t="s">
        <v>1271</v>
      </c>
      <c r="E348" s="32"/>
      <c r="F348" s="54"/>
      <c r="G348" s="33" t="s">
        <v>908</v>
      </c>
      <c r="H348" s="32"/>
      <c r="I348" s="32"/>
      <c r="J348" s="33" t="s">
        <v>1272</v>
      </c>
      <c r="K348" s="33" t="s">
        <v>43</v>
      </c>
      <c r="L348" s="33" t="s">
        <v>1273</v>
      </c>
      <c r="M348" s="44">
        <v>151014160</v>
      </c>
      <c r="N348" s="45"/>
      <c r="O348" s="44">
        <v>7500000</v>
      </c>
      <c r="P348" s="86"/>
      <c r="Q348" s="44">
        <f t="shared" si="206"/>
        <v>158514160</v>
      </c>
      <c r="R348" s="48">
        <v>151014160</v>
      </c>
      <c r="S348" s="32"/>
      <c r="T348" s="44">
        <v>7500000</v>
      </c>
      <c r="U348" s="32"/>
      <c r="V348" s="32"/>
      <c r="W348" s="49"/>
      <c r="X348" s="49">
        <f t="shared" ref="X348:Z348" si="350">N348-S348</f>
        <v>0</v>
      </c>
      <c r="Y348" s="49">
        <f t="shared" si="350"/>
        <v>0</v>
      </c>
      <c r="Z348" s="49">
        <f t="shared" si="350"/>
        <v>0</v>
      </c>
      <c r="AA348" s="54"/>
      <c r="AB348" s="54"/>
      <c r="AC348" s="2">
        <f t="shared" si="208"/>
        <v>2</v>
      </c>
      <c r="AD348" s="6"/>
      <c r="AE348" s="6"/>
      <c r="AF348" s="6"/>
      <c r="AG348" s="6"/>
      <c r="AH348" s="6"/>
      <c r="AI348" s="6"/>
      <c r="AJ348" s="6"/>
      <c r="AK348" s="6"/>
      <c r="AL348" s="6"/>
      <c r="AM348" s="6"/>
      <c r="AN348" s="6"/>
      <c r="AO348" s="6"/>
      <c r="AP348" s="6"/>
      <c r="AQ348" s="6"/>
      <c r="AR348" s="6"/>
      <c r="AS348" s="6"/>
    </row>
    <row r="349" spans="1:45" ht="31.5" hidden="1" x14ac:dyDescent="0.25">
      <c r="A349" s="33" t="s">
        <v>35</v>
      </c>
      <c r="B349" s="42">
        <v>153</v>
      </c>
      <c r="C349" s="33" t="s">
        <v>719</v>
      </c>
      <c r="D349" s="33" t="s">
        <v>1291</v>
      </c>
      <c r="E349" s="33" t="s">
        <v>409</v>
      </c>
      <c r="F349" s="54"/>
      <c r="G349" s="33" t="s">
        <v>1292</v>
      </c>
      <c r="H349" s="33" t="s">
        <v>1293</v>
      </c>
      <c r="I349" s="32"/>
      <c r="J349" s="33" t="s">
        <v>1294</v>
      </c>
      <c r="K349" s="33" t="s">
        <v>43</v>
      </c>
      <c r="L349" s="33" t="s">
        <v>1295</v>
      </c>
      <c r="M349" s="44">
        <v>3584065926</v>
      </c>
      <c r="N349" s="44">
        <v>76538880</v>
      </c>
      <c r="O349" s="44">
        <v>7500000</v>
      </c>
      <c r="P349" s="86"/>
      <c r="Q349" s="44">
        <f t="shared" si="206"/>
        <v>3668104806</v>
      </c>
      <c r="R349" s="52">
        <v>3584065926</v>
      </c>
      <c r="S349" s="48">
        <v>76538880</v>
      </c>
      <c r="T349" s="44">
        <v>7500000</v>
      </c>
      <c r="U349" s="32"/>
      <c r="V349" s="32"/>
      <c r="W349" s="49"/>
      <c r="X349" s="49">
        <f t="shared" ref="X349:Z349" si="351">N349-S349</f>
        <v>0</v>
      </c>
      <c r="Y349" s="49">
        <f t="shared" si="351"/>
        <v>0</v>
      </c>
      <c r="Z349" s="49">
        <f t="shared" si="351"/>
        <v>0</v>
      </c>
      <c r="AA349" s="54"/>
      <c r="AB349" s="54"/>
      <c r="AC349" s="2">
        <f t="shared" si="208"/>
        <v>2</v>
      </c>
      <c r="AD349" s="6"/>
      <c r="AE349" s="6"/>
      <c r="AF349" s="6"/>
      <c r="AG349" s="6"/>
      <c r="AH349" s="6"/>
      <c r="AI349" s="6"/>
      <c r="AJ349" s="6"/>
      <c r="AK349" s="6"/>
      <c r="AL349" s="6"/>
      <c r="AM349" s="6"/>
      <c r="AN349" s="6"/>
      <c r="AO349" s="6"/>
      <c r="AP349" s="6"/>
      <c r="AQ349" s="6"/>
      <c r="AR349" s="6"/>
      <c r="AS349" s="6"/>
    </row>
    <row r="350" spans="1:45" ht="31.5" hidden="1" x14ac:dyDescent="0.25">
      <c r="A350" s="33" t="s">
        <v>60</v>
      </c>
      <c r="B350" s="42">
        <v>154</v>
      </c>
      <c r="C350" s="33" t="s">
        <v>719</v>
      </c>
      <c r="D350" s="33" t="s">
        <v>1307</v>
      </c>
      <c r="E350" s="32"/>
      <c r="F350" s="54"/>
      <c r="G350" s="33" t="s">
        <v>1308</v>
      </c>
      <c r="H350" s="32"/>
      <c r="I350" s="32"/>
      <c r="J350" s="33" t="s">
        <v>1309</v>
      </c>
      <c r="K350" s="33" t="s">
        <v>43</v>
      </c>
      <c r="L350" s="33" t="s">
        <v>1310</v>
      </c>
      <c r="M350" s="44">
        <v>628833560</v>
      </c>
      <c r="N350" s="45"/>
      <c r="O350" s="44">
        <v>7500000</v>
      </c>
      <c r="P350" s="86"/>
      <c r="Q350" s="44">
        <f t="shared" si="206"/>
        <v>636333560</v>
      </c>
      <c r="R350" s="48">
        <v>628833560</v>
      </c>
      <c r="S350" s="32"/>
      <c r="T350" s="44">
        <v>7500000</v>
      </c>
      <c r="U350" s="32"/>
      <c r="V350" s="32"/>
      <c r="W350" s="49"/>
      <c r="X350" s="49">
        <f t="shared" ref="X350:Z350" si="352">N350-S350</f>
        <v>0</v>
      </c>
      <c r="Y350" s="49">
        <f t="shared" si="352"/>
        <v>0</v>
      </c>
      <c r="Z350" s="49">
        <f t="shared" si="352"/>
        <v>0</v>
      </c>
      <c r="AA350" s="54"/>
      <c r="AB350" s="54"/>
      <c r="AC350" s="2">
        <f t="shared" si="208"/>
        <v>2</v>
      </c>
      <c r="AD350" s="6"/>
      <c r="AE350" s="6"/>
      <c r="AF350" s="6"/>
      <c r="AG350" s="6"/>
      <c r="AH350" s="6"/>
      <c r="AI350" s="6"/>
      <c r="AJ350" s="6"/>
      <c r="AK350" s="6"/>
      <c r="AL350" s="6"/>
      <c r="AM350" s="6"/>
      <c r="AN350" s="6"/>
      <c r="AO350" s="6"/>
      <c r="AP350" s="6"/>
      <c r="AQ350" s="6"/>
      <c r="AR350" s="6"/>
      <c r="AS350" s="6"/>
    </row>
    <row r="351" spans="1:45" ht="31.5" hidden="1" x14ac:dyDescent="0.25">
      <c r="A351" s="33" t="s">
        <v>52</v>
      </c>
      <c r="B351" s="42">
        <v>155</v>
      </c>
      <c r="C351" s="33" t="s">
        <v>719</v>
      </c>
      <c r="D351" s="33" t="s">
        <v>1315</v>
      </c>
      <c r="E351" s="32"/>
      <c r="F351" s="54"/>
      <c r="G351" s="33" t="s">
        <v>1316</v>
      </c>
      <c r="H351" s="32"/>
      <c r="I351" s="32"/>
      <c r="J351" s="33" t="s">
        <v>1317</v>
      </c>
      <c r="K351" s="33" t="s">
        <v>43</v>
      </c>
      <c r="L351" s="33" t="s">
        <v>1318</v>
      </c>
      <c r="M351" s="44">
        <v>1176606588</v>
      </c>
      <c r="N351" s="45"/>
      <c r="O351" s="44">
        <v>15000000</v>
      </c>
      <c r="P351" s="86"/>
      <c r="Q351" s="44">
        <f t="shared" si="206"/>
        <v>1191606588</v>
      </c>
      <c r="R351" s="48">
        <v>1176606588</v>
      </c>
      <c r="S351" s="32"/>
      <c r="T351" s="44">
        <v>15000000</v>
      </c>
      <c r="U351" s="32"/>
      <c r="V351" s="32"/>
      <c r="W351" s="49"/>
      <c r="X351" s="49">
        <f t="shared" ref="X351:Z351" si="353">N351-S351</f>
        <v>0</v>
      </c>
      <c r="Y351" s="49">
        <f t="shared" si="353"/>
        <v>0</v>
      </c>
      <c r="Z351" s="49">
        <f t="shared" si="353"/>
        <v>0</v>
      </c>
      <c r="AA351" s="54"/>
      <c r="AB351" s="54"/>
      <c r="AC351" s="2">
        <f t="shared" si="208"/>
        <v>2</v>
      </c>
      <c r="AD351" s="6"/>
      <c r="AE351" s="6"/>
      <c r="AF351" s="6"/>
      <c r="AG351" s="6"/>
      <c r="AH351" s="6"/>
      <c r="AI351" s="6"/>
      <c r="AJ351" s="6"/>
      <c r="AK351" s="6"/>
      <c r="AL351" s="6"/>
      <c r="AM351" s="6"/>
      <c r="AN351" s="6"/>
      <c r="AO351" s="6"/>
      <c r="AP351" s="6"/>
      <c r="AQ351" s="6"/>
      <c r="AR351" s="6"/>
      <c r="AS351" s="6"/>
    </row>
    <row r="352" spans="1:45" ht="31.5" hidden="1" x14ac:dyDescent="0.25">
      <c r="A352" s="33" t="s">
        <v>46</v>
      </c>
      <c r="B352" s="42">
        <v>156</v>
      </c>
      <c r="C352" s="33" t="s">
        <v>154</v>
      </c>
      <c r="D352" s="33" t="s">
        <v>1323</v>
      </c>
      <c r="E352" s="32"/>
      <c r="F352" s="54"/>
      <c r="G352" s="33" t="s">
        <v>1324</v>
      </c>
      <c r="H352" s="32"/>
      <c r="I352" s="32"/>
      <c r="J352" s="33" t="s">
        <v>1325</v>
      </c>
      <c r="K352" s="33" t="s">
        <v>43</v>
      </c>
      <c r="L352" s="33" t="s">
        <v>1326</v>
      </c>
      <c r="M352" s="44">
        <v>4803560172</v>
      </c>
      <c r="N352" s="45"/>
      <c r="O352" s="44">
        <v>7500000</v>
      </c>
      <c r="P352" s="86"/>
      <c r="Q352" s="44">
        <f t="shared" si="206"/>
        <v>4811060172</v>
      </c>
      <c r="R352" s="48">
        <v>4803560172</v>
      </c>
      <c r="S352" s="32"/>
      <c r="T352" s="44">
        <v>7500000</v>
      </c>
      <c r="U352" s="32"/>
      <c r="V352" s="32"/>
      <c r="W352" s="49"/>
      <c r="X352" s="49">
        <f t="shared" ref="X352:Z352" si="354">N352-S352</f>
        <v>0</v>
      </c>
      <c r="Y352" s="49">
        <f t="shared" si="354"/>
        <v>0</v>
      </c>
      <c r="Z352" s="49">
        <f t="shared" si="354"/>
        <v>0</v>
      </c>
      <c r="AA352" s="54"/>
      <c r="AB352" s="54"/>
      <c r="AC352" s="2">
        <f t="shared" si="208"/>
        <v>2</v>
      </c>
      <c r="AD352" s="6"/>
      <c r="AE352" s="6"/>
      <c r="AF352" s="6"/>
      <c r="AG352" s="6"/>
      <c r="AH352" s="6"/>
      <c r="AI352" s="6"/>
      <c r="AJ352" s="6"/>
      <c r="AK352" s="6"/>
      <c r="AL352" s="6"/>
      <c r="AM352" s="6"/>
      <c r="AN352" s="6"/>
      <c r="AO352" s="6"/>
      <c r="AP352" s="6"/>
      <c r="AQ352" s="6"/>
      <c r="AR352" s="6"/>
      <c r="AS352" s="6"/>
    </row>
    <row r="353" spans="1:45" ht="31.5" hidden="1" x14ac:dyDescent="0.25">
      <c r="A353" s="33" t="s">
        <v>52</v>
      </c>
      <c r="B353" s="42">
        <v>158</v>
      </c>
      <c r="C353" s="33" t="s">
        <v>154</v>
      </c>
      <c r="D353" s="33" t="s">
        <v>1336</v>
      </c>
      <c r="E353" s="32"/>
      <c r="F353" s="54"/>
      <c r="G353" s="33" t="s">
        <v>1337</v>
      </c>
      <c r="H353" s="32"/>
      <c r="I353" s="32"/>
      <c r="J353" s="33" t="s">
        <v>1338</v>
      </c>
      <c r="K353" s="33" t="s">
        <v>43</v>
      </c>
      <c r="L353" s="33" t="s">
        <v>1339</v>
      </c>
      <c r="M353" s="44">
        <v>3339426044</v>
      </c>
      <c r="N353" s="45"/>
      <c r="O353" s="44">
        <v>7500000</v>
      </c>
      <c r="P353" s="86"/>
      <c r="Q353" s="44">
        <f t="shared" si="206"/>
        <v>3346926044</v>
      </c>
      <c r="R353" s="48">
        <v>3339426044</v>
      </c>
      <c r="S353" s="32"/>
      <c r="T353" s="44">
        <v>7500000</v>
      </c>
      <c r="U353" s="32"/>
      <c r="V353" s="32"/>
      <c r="W353" s="49"/>
      <c r="X353" s="49">
        <f t="shared" ref="X353:Z353" si="355">N353-S353</f>
        <v>0</v>
      </c>
      <c r="Y353" s="49">
        <f t="shared" si="355"/>
        <v>0</v>
      </c>
      <c r="Z353" s="49">
        <f t="shared" si="355"/>
        <v>0</v>
      </c>
      <c r="AA353" s="54"/>
      <c r="AB353" s="54"/>
      <c r="AC353" s="2">
        <f t="shared" si="208"/>
        <v>2</v>
      </c>
      <c r="AD353" s="6"/>
      <c r="AE353" s="6"/>
      <c r="AF353" s="6"/>
      <c r="AG353" s="6"/>
      <c r="AH353" s="6"/>
      <c r="AI353" s="6"/>
      <c r="AJ353" s="6"/>
      <c r="AK353" s="6"/>
      <c r="AL353" s="6"/>
      <c r="AM353" s="6"/>
      <c r="AN353" s="6"/>
      <c r="AO353" s="6"/>
      <c r="AP353" s="6"/>
      <c r="AQ353" s="6"/>
      <c r="AR353" s="6"/>
      <c r="AS353" s="6"/>
    </row>
    <row r="354" spans="1:45" ht="31.5" hidden="1" x14ac:dyDescent="0.25">
      <c r="A354" s="33" t="s">
        <v>35</v>
      </c>
      <c r="B354" s="42">
        <v>159</v>
      </c>
      <c r="C354" s="33" t="s">
        <v>154</v>
      </c>
      <c r="D354" s="33" t="s">
        <v>1345</v>
      </c>
      <c r="E354" s="32"/>
      <c r="F354" s="54"/>
      <c r="G354" s="33" t="s">
        <v>1346</v>
      </c>
      <c r="H354" s="32"/>
      <c r="I354" s="32"/>
      <c r="J354" s="33" t="s">
        <v>1347</v>
      </c>
      <c r="K354" s="33" t="s">
        <v>43</v>
      </c>
      <c r="L354" s="33" t="s">
        <v>1348</v>
      </c>
      <c r="M354" s="44">
        <v>1480854756</v>
      </c>
      <c r="N354" s="45"/>
      <c r="O354" s="44">
        <v>15000000</v>
      </c>
      <c r="P354" s="86"/>
      <c r="Q354" s="44">
        <f t="shared" si="206"/>
        <v>1495854756</v>
      </c>
      <c r="R354" s="52">
        <v>1480854756</v>
      </c>
      <c r="S354" s="32"/>
      <c r="T354" s="44">
        <v>15000000</v>
      </c>
      <c r="U354" s="32"/>
      <c r="V354" s="32"/>
      <c r="W354" s="49"/>
      <c r="X354" s="49">
        <f t="shared" ref="X354:Z354" si="356">N354-S354</f>
        <v>0</v>
      </c>
      <c r="Y354" s="49">
        <f t="shared" si="356"/>
        <v>0</v>
      </c>
      <c r="Z354" s="49">
        <f t="shared" si="356"/>
        <v>0</v>
      </c>
      <c r="AA354" s="54"/>
      <c r="AB354" s="54"/>
      <c r="AC354" s="2">
        <f t="shared" si="208"/>
        <v>2</v>
      </c>
      <c r="AD354" s="6"/>
      <c r="AE354" s="6"/>
      <c r="AF354" s="6"/>
      <c r="AG354" s="6"/>
      <c r="AH354" s="6"/>
      <c r="AI354" s="6"/>
      <c r="AJ354" s="6"/>
      <c r="AK354" s="6"/>
      <c r="AL354" s="6"/>
      <c r="AM354" s="6"/>
      <c r="AN354" s="6"/>
      <c r="AO354" s="6"/>
      <c r="AP354" s="6"/>
      <c r="AQ354" s="6"/>
      <c r="AR354" s="6"/>
      <c r="AS354" s="6"/>
    </row>
    <row r="355" spans="1:45" ht="31.5" hidden="1" x14ac:dyDescent="0.25">
      <c r="A355" s="33" t="s">
        <v>46</v>
      </c>
      <c r="B355" s="42">
        <v>160</v>
      </c>
      <c r="C355" s="33" t="s">
        <v>1359</v>
      </c>
      <c r="D355" s="33" t="s">
        <v>1360</v>
      </c>
      <c r="E355" s="33" t="s">
        <v>1362</v>
      </c>
      <c r="F355" s="54"/>
      <c r="G355" s="33" t="s">
        <v>1363</v>
      </c>
      <c r="H355" s="33" t="s">
        <v>1364</v>
      </c>
      <c r="I355" s="32"/>
      <c r="J355" s="33" t="s">
        <v>1365</v>
      </c>
      <c r="K355" s="33" t="s">
        <v>43</v>
      </c>
      <c r="L355" s="33" t="s">
        <v>1366</v>
      </c>
      <c r="M355" s="44">
        <v>4073141200</v>
      </c>
      <c r="N355" s="44">
        <v>43408140</v>
      </c>
      <c r="O355" s="44">
        <v>7500000</v>
      </c>
      <c r="P355" s="86"/>
      <c r="Q355" s="44">
        <f t="shared" si="206"/>
        <v>4124049340</v>
      </c>
      <c r="R355" s="48">
        <v>4073141200</v>
      </c>
      <c r="S355" s="49">
        <v>43408140</v>
      </c>
      <c r="T355" s="44">
        <v>7500000</v>
      </c>
      <c r="U355" s="32"/>
      <c r="V355" s="32"/>
      <c r="W355" s="49"/>
      <c r="X355" s="49">
        <f t="shared" ref="X355:Z355" si="357">N355-S355</f>
        <v>0</v>
      </c>
      <c r="Y355" s="49">
        <f t="shared" si="357"/>
        <v>0</v>
      </c>
      <c r="Z355" s="49">
        <f t="shared" si="357"/>
        <v>0</v>
      </c>
      <c r="AA355" s="54"/>
      <c r="AB355" s="54"/>
      <c r="AC355" s="2">
        <f t="shared" si="208"/>
        <v>2</v>
      </c>
      <c r="AD355" s="6"/>
      <c r="AE355" s="6"/>
      <c r="AF355" s="6"/>
      <c r="AG355" s="6"/>
      <c r="AH355" s="6"/>
      <c r="AI355" s="6"/>
      <c r="AJ355" s="6"/>
      <c r="AK355" s="6"/>
      <c r="AL355" s="6"/>
      <c r="AM355" s="6"/>
      <c r="AN355" s="6"/>
      <c r="AO355" s="6"/>
      <c r="AP355" s="6"/>
      <c r="AQ355" s="6"/>
      <c r="AR355" s="6"/>
      <c r="AS355" s="6"/>
    </row>
    <row r="356" spans="1:45" ht="31.5" hidden="1" x14ac:dyDescent="0.25">
      <c r="A356" s="33" t="s">
        <v>52</v>
      </c>
      <c r="B356" s="42">
        <v>161</v>
      </c>
      <c r="C356" s="33" t="s">
        <v>1359</v>
      </c>
      <c r="D356" s="33" t="s">
        <v>1369</v>
      </c>
      <c r="E356" s="32"/>
      <c r="F356" s="54"/>
      <c r="G356" s="33" t="s">
        <v>1370</v>
      </c>
      <c r="H356" s="32"/>
      <c r="I356" s="32"/>
      <c r="J356" s="33" t="s">
        <v>1372</v>
      </c>
      <c r="K356" s="33" t="s">
        <v>43</v>
      </c>
      <c r="L356" s="33" t="s">
        <v>1375</v>
      </c>
      <c r="M356" s="44">
        <v>0</v>
      </c>
      <c r="N356" s="45"/>
      <c r="O356" s="44">
        <v>7500000</v>
      </c>
      <c r="P356" s="86"/>
      <c r="Q356" s="44">
        <f t="shared" si="206"/>
        <v>7500000</v>
      </c>
      <c r="R356" s="42">
        <v>0</v>
      </c>
      <c r="S356" s="32"/>
      <c r="T356" s="44">
        <v>7500000</v>
      </c>
      <c r="U356" s="32"/>
      <c r="V356" s="32"/>
      <c r="W356" s="49"/>
      <c r="X356" s="49">
        <f t="shared" ref="X356:Z356" si="358">N356-S356</f>
        <v>0</v>
      </c>
      <c r="Y356" s="49">
        <f t="shared" si="358"/>
        <v>0</v>
      </c>
      <c r="Z356" s="49">
        <f t="shared" si="358"/>
        <v>0</v>
      </c>
      <c r="AA356" s="54"/>
      <c r="AB356" s="54"/>
      <c r="AC356" s="2">
        <f t="shared" si="208"/>
        <v>2</v>
      </c>
      <c r="AD356" s="6"/>
      <c r="AE356" s="6"/>
      <c r="AF356" s="6"/>
      <c r="AG356" s="6"/>
      <c r="AH356" s="6"/>
      <c r="AI356" s="6"/>
      <c r="AJ356" s="6"/>
      <c r="AK356" s="6"/>
      <c r="AL356" s="6"/>
      <c r="AM356" s="6"/>
      <c r="AN356" s="6"/>
      <c r="AO356" s="6"/>
      <c r="AP356" s="6"/>
      <c r="AQ356" s="6"/>
      <c r="AR356" s="6"/>
      <c r="AS356" s="6"/>
    </row>
    <row r="357" spans="1:45" ht="31.5" hidden="1" x14ac:dyDescent="0.25">
      <c r="A357" s="33" t="s">
        <v>60</v>
      </c>
      <c r="B357" s="42">
        <v>162</v>
      </c>
      <c r="C357" s="33" t="s">
        <v>1359</v>
      </c>
      <c r="D357" s="33" t="s">
        <v>1381</v>
      </c>
      <c r="E357" s="33" t="s">
        <v>409</v>
      </c>
      <c r="F357" s="54"/>
      <c r="G357" s="33" t="s">
        <v>1382</v>
      </c>
      <c r="H357" s="33" t="s">
        <v>1383</v>
      </c>
      <c r="I357" s="32"/>
      <c r="J357" s="33" t="s">
        <v>697</v>
      </c>
      <c r="K357" s="33" t="s">
        <v>43</v>
      </c>
      <c r="L357" s="33" t="s">
        <v>1384</v>
      </c>
      <c r="M357" s="44">
        <v>1042237976</v>
      </c>
      <c r="N357" s="44">
        <v>271713024</v>
      </c>
      <c r="O357" s="44">
        <v>15000000</v>
      </c>
      <c r="P357" s="86"/>
      <c r="Q357" s="44">
        <f t="shared" si="206"/>
        <v>1328951000</v>
      </c>
      <c r="R357" s="52">
        <v>1042237976</v>
      </c>
      <c r="S357" s="48">
        <v>271713024</v>
      </c>
      <c r="T357" s="44">
        <v>15000000</v>
      </c>
      <c r="U357" s="32"/>
      <c r="V357" s="32"/>
      <c r="W357" s="49"/>
      <c r="X357" s="49">
        <f t="shared" ref="X357:Z357" si="359">N357-S357</f>
        <v>0</v>
      </c>
      <c r="Y357" s="49">
        <f t="shared" si="359"/>
        <v>0</v>
      </c>
      <c r="Z357" s="49">
        <f t="shared" si="359"/>
        <v>0</v>
      </c>
      <c r="AA357" s="54"/>
      <c r="AB357" s="54"/>
      <c r="AC357" s="2">
        <f t="shared" si="208"/>
        <v>2</v>
      </c>
      <c r="AD357" s="6"/>
      <c r="AE357" s="6"/>
      <c r="AF357" s="6"/>
      <c r="AG357" s="6"/>
      <c r="AH357" s="6"/>
      <c r="AI357" s="6"/>
      <c r="AJ357" s="6"/>
      <c r="AK357" s="6"/>
      <c r="AL357" s="6"/>
      <c r="AM357" s="6"/>
      <c r="AN357" s="6"/>
      <c r="AO357" s="6"/>
      <c r="AP357" s="6"/>
      <c r="AQ357" s="6"/>
      <c r="AR357" s="6"/>
      <c r="AS357" s="6"/>
    </row>
    <row r="358" spans="1:45" ht="31.5" hidden="1" x14ac:dyDescent="0.25">
      <c r="A358" s="33" t="s">
        <v>60</v>
      </c>
      <c r="B358" s="42">
        <v>163</v>
      </c>
      <c r="C358" s="33" t="s">
        <v>1359</v>
      </c>
      <c r="D358" s="33" t="s">
        <v>1385</v>
      </c>
      <c r="E358" s="33"/>
      <c r="F358" s="54"/>
      <c r="G358" s="33" t="s">
        <v>1386</v>
      </c>
      <c r="H358" s="33"/>
      <c r="I358" s="33"/>
      <c r="J358" s="33" t="s">
        <v>1387</v>
      </c>
      <c r="K358" s="33" t="s">
        <v>43</v>
      </c>
      <c r="L358" s="33" t="s">
        <v>1388</v>
      </c>
      <c r="M358" s="44">
        <v>725476290</v>
      </c>
      <c r="N358" s="45"/>
      <c r="O358" s="44">
        <v>7500000</v>
      </c>
      <c r="P358" s="86"/>
      <c r="Q358" s="44">
        <f t="shared" si="206"/>
        <v>732976290</v>
      </c>
      <c r="R358" s="52">
        <v>725476290</v>
      </c>
      <c r="S358" s="32"/>
      <c r="T358" s="66"/>
      <c r="U358" s="32"/>
      <c r="V358" s="32"/>
      <c r="W358" s="49"/>
      <c r="X358" s="49">
        <f t="shared" ref="X358:Z358" si="360">N358-S358</f>
        <v>0</v>
      </c>
      <c r="Y358" s="52">
        <f t="shared" si="360"/>
        <v>7500000</v>
      </c>
      <c r="Z358" s="49">
        <f t="shared" si="360"/>
        <v>0</v>
      </c>
      <c r="AA358" s="54"/>
      <c r="AB358" s="43"/>
      <c r="AC358" s="15">
        <f t="shared" si="208"/>
        <v>2</v>
      </c>
      <c r="AD358" s="15"/>
      <c r="AE358" s="6"/>
      <c r="AF358" s="6"/>
      <c r="AG358" s="6"/>
      <c r="AH358" s="6"/>
      <c r="AI358" s="6"/>
      <c r="AJ358" s="6"/>
      <c r="AK358" s="6"/>
      <c r="AL358" s="6"/>
      <c r="AM358" s="6"/>
      <c r="AN358" s="6"/>
      <c r="AO358" s="6"/>
      <c r="AP358" s="6"/>
      <c r="AQ358" s="6"/>
      <c r="AR358" s="6"/>
      <c r="AS358" s="6"/>
    </row>
    <row r="359" spans="1:45" ht="31.5" hidden="1" x14ac:dyDescent="0.25">
      <c r="A359" s="33" t="s">
        <v>35</v>
      </c>
      <c r="B359" s="42">
        <v>164</v>
      </c>
      <c r="C359" s="33" t="s">
        <v>1359</v>
      </c>
      <c r="D359" s="33" t="s">
        <v>1389</v>
      </c>
      <c r="E359" s="33" t="s">
        <v>409</v>
      </c>
      <c r="F359" s="54"/>
      <c r="G359" s="33" t="s">
        <v>1390</v>
      </c>
      <c r="H359" s="33" t="s">
        <v>1391</v>
      </c>
      <c r="I359" s="32"/>
      <c r="J359" s="33" t="s">
        <v>1392</v>
      </c>
      <c r="K359" s="33" t="s">
        <v>43</v>
      </c>
      <c r="L359" s="33" t="s">
        <v>1394</v>
      </c>
      <c r="M359" s="44">
        <v>3565502327</v>
      </c>
      <c r="N359" s="44">
        <v>450846720</v>
      </c>
      <c r="O359" s="44">
        <v>15000000</v>
      </c>
      <c r="P359" s="86"/>
      <c r="Q359" s="44">
        <f t="shared" si="206"/>
        <v>4031349047</v>
      </c>
      <c r="R359" s="48">
        <v>3565502327</v>
      </c>
      <c r="S359" s="48">
        <v>450846720</v>
      </c>
      <c r="T359" s="44">
        <v>15000000</v>
      </c>
      <c r="U359" s="32"/>
      <c r="V359" s="32"/>
      <c r="W359" s="49"/>
      <c r="X359" s="49">
        <f t="shared" ref="X359:Z359" si="361">N359-S359</f>
        <v>0</v>
      </c>
      <c r="Y359" s="49">
        <f t="shared" si="361"/>
        <v>0</v>
      </c>
      <c r="Z359" s="49">
        <f t="shared" si="361"/>
        <v>0</v>
      </c>
      <c r="AA359" s="54"/>
      <c r="AB359" s="54"/>
      <c r="AC359" s="2">
        <f t="shared" si="208"/>
        <v>2</v>
      </c>
      <c r="AD359" s="6"/>
      <c r="AE359" s="6"/>
      <c r="AF359" s="6"/>
      <c r="AG359" s="6"/>
      <c r="AH359" s="6"/>
      <c r="AI359" s="6"/>
      <c r="AJ359" s="6"/>
      <c r="AK359" s="6"/>
      <c r="AL359" s="6"/>
      <c r="AM359" s="6"/>
      <c r="AN359" s="6"/>
      <c r="AO359" s="6"/>
      <c r="AP359" s="6"/>
      <c r="AQ359" s="6"/>
      <c r="AR359" s="6"/>
      <c r="AS359" s="6"/>
    </row>
    <row r="360" spans="1:45" ht="31.5" hidden="1" x14ac:dyDescent="0.25">
      <c r="A360" s="33" t="s">
        <v>46</v>
      </c>
      <c r="B360" s="42">
        <v>165</v>
      </c>
      <c r="C360" s="33" t="s">
        <v>1359</v>
      </c>
      <c r="D360" s="33" t="s">
        <v>1400</v>
      </c>
      <c r="E360" s="33" t="s">
        <v>156</v>
      </c>
      <c r="F360" s="54"/>
      <c r="G360" s="33" t="s">
        <v>1401</v>
      </c>
      <c r="H360" s="33" t="s">
        <v>1402</v>
      </c>
      <c r="I360" s="32"/>
      <c r="J360" s="33" t="s">
        <v>1403</v>
      </c>
      <c r="K360" s="33" t="s">
        <v>43</v>
      </c>
      <c r="L360" s="33" t="s">
        <v>1404</v>
      </c>
      <c r="M360" s="44">
        <v>1192465080</v>
      </c>
      <c r="N360" s="44">
        <v>287020800</v>
      </c>
      <c r="O360" s="44">
        <v>15000000</v>
      </c>
      <c r="P360" s="86"/>
      <c r="Q360" s="44">
        <f t="shared" si="206"/>
        <v>1494485880</v>
      </c>
      <c r="R360" s="48">
        <v>1192465080</v>
      </c>
      <c r="S360" s="48">
        <v>287020800</v>
      </c>
      <c r="T360" s="44">
        <v>15000000</v>
      </c>
      <c r="U360" s="32"/>
      <c r="V360" s="32"/>
      <c r="W360" s="49"/>
      <c r="X360" s="49">
        <f t="shared" ref="X360:Z360" si="362">N360-S360</f>
        <v>0</v>
      </c>
      <c r="Y360" s="49">
        <f t="shared" si="362"/>
        <v>0</v>
      </c>
      <c r="Z360" s="49">
        <f t="shared" si="362"/>
        <v>0</v>
      </c>
      <c r="AA360" s="54"/>
      <c r="AB360" s="54"/>
      <c r="AC360" s="2">
        <f t="shared" si="208"/>
        <v>2</v>
      </c>
      <c r="AD360" s="6"/>
      <c r="AE360" s="6"/>
      <c r="AF360" s="6"/>
      <c r="AG360" s="6"/>
      <c r="AH360" s="6"/>
      <c r="AI360" s="6"/>
      <c r="AJ360" s="6"/>
      <c r="AK360" s="6"/>
      <c r="AL360" s="6"/>
      <c r="AM360" s="6"/>
      <c r="AN360" s="6"/>
      <c r="AO360" s="6"/>
      <c r="AP360" s="6"/>
      <c r="AQ360" s="6"/>
      <c r="AR360" s="6"/>
      <c r="AS360" s="6"/>
    </row>
    <row r="361" spans="1:45" ht="31.5" hidden="1" x14ac:dyDescent="0.25">
      <c r="A361" s="33" t="s">
        <v>52</v>
      </c>
      <c r="B361" s="42">
        <v>166</v>
      </c>
      <c r="C361" s="33" t="s">
        <v>1359</v>
      </c>
      <c r="D361" s="33" t="s">
        <v>1405</v>
      </c>
      <c r="E361" s="32"/>
      <c r="F361" s="54"/>
      <c r="G361" s="33" t="s">
        <v>1406</v>
      </c>
      <c r="H361" s="32"/>
      <c r="I361" s="32"/>
      <c r="J361" s="33" t="s">
        <v>1407</v>
      </c>
      <c r="K361" s="33" t="s">
        <v>43</v>
      </c>
      <c r="L361" s="33" t="s">
        <v>1409</v>
      </c>
      <c r="M361" s="44">
        <v>1818691780</v>
      </c>
      <c r="N361" s="45"/>
      <c r="O361" s="44">
        <v>7500000</v>
      </c>
      <c r="P361" s="86"/>
      <c r="Q361" s="44">
        <f t="shared" si="206"/>
        <v>1826191780</v>
      </c>
      <c r="R361" s="48">
        <v>1818691780</v>
      </c>
      <c r="S361" s="32"/>
      <c r="T361" s="44">
        <v>7500000</v>
      </c>
      <c r="U361" s="32"/>
      <c r="V361" s="32"/>
      <c r="W361" s="49"/>
      <c r="X361" s="49">
        <f t="shared" ref="X361:Z361" si="363">N361-S361</f>
        <v>0</v>
      </c>
      <c r="Y361" s="49">
        <f t="shared" si="363"/>
        <v>0</v>
      </c>
      <c r="Z361" s="49">
        <f t="shared" si="363"/>
        <v>0</v>
      </c>
      <c r="AA361" s="54"/>
      <c r="AB361" s="54"/>
      <c r="AC361" s="2">
        <f t="shared" si="208"/>
        <v>2</v>
      </c>
      <c r="AD361" s="6"/>
      <c r="AE361" s="6"/>
      <c r="AF361" s="6"/>
      <c r="AG361" s="6"/>
      <c r="AH361" s="6"/>
      <c r="AI361" s="6"/>
      <c r="AJ361" s="6"/>
      <c r="AK361" s="6"/>
      <c r="AL361" s="6"/>
      <c r="AM361" s="6"/>
      <c r="AN361" s="6"/>
      <c r="AO361" s="6"/>
      <c r="AP361" s="6"/>
      <c r="AQ361" s="6"/>
      <c r="AR361" s="6"/>
      <c r="AS361" s="6"/>
    </row>
    <row r="362" spans="1:45" ht="31.5" hidden="1" x14ac:dyDescent="0.25">
      <c r="A362" s="33" t="s">
        <v>52</v>
      </c>
      <c r="B362" s="42">
        <v>167</v>
      </c>
      <c r="C362" s="33" t="s">
        <v>386</v>
      </c>
      <c r="D362" s="33" t="s">
        <v>1413</v>
      </c>
      <c r="E362" s="33" t="s">
        <v>1414</v>
      </c>
      <c r="F362" s="54"/>
      <c r="G362" s="33" t="s">
        <v>1415</v>
      </c>
      <c r="H362" s="33" t="s">
        <v>1416</v>
      </c>
      <c r="I362" s="32"/>
      <c r="J362" s="33" t="s">
        <v>1417</v>
      </c>
      <c r="K362" s="33" t="s">
        <v>43</v>
      </c>
      <c r="L362" s="33" t="s">
        <v>1418</v>
      </c>
      <c r="M362" s="44">
        <v>3670953400</v>
      </c>
      <c r="N362" s="44">
        <v>858857640</v>
      </c>
      <c r="O362" s="44">
        <v>7500000</v>
      </c>
      <c r="P362" s="86"/>
      <c r="Q362" s="44">
        <f t="shared" si="206"/>
        <v>4537311040</v>
      </c>
      <c r="R362" s="48">
        <v>3670953400</v>
      </c>
      <c r="S362" s="52">
        <v>858857640</v>
      </c>
      <c r="T362" s="44">
        <v>7500000</v>
      </c>
      <c r="U362" s="32"/>
      <c r="V362" s="32"/>
      <c r="W362" s="49"/>
      <c r="X362" s="52">
        <f t="shared" ref="X362:Z362" si="364">N362-S362</f>
        <v>0</v>
      </c>
      <c r="Y362" s="49">
        <f t="shared" si="364"/>
        <v>0</v>
      </c>
      <c r="Z362" s="49">
        <f t="shared" si="364"/>
        <v>0</v>
      </c>
      <c r="AA362" s="43"/>
      <c r="AB362" s="43"/>
      <c r="AC362" s="6">
        <f t="shared" si="208"/>
        <v>2</v>
      </c>
      <c r="AD362" s="6"/>
      <c r="AE362" s="6"/>
      <c r="AF362" s="6"/>
      <c r="AG362" s="6"/>
      <c r="AH362" s="6"/>
      <c r="AI362" s="6"/>
      <c r="AJ362" s="6"/>
      <c r="AK362" s="6"/>
      <c r="AL362" s="6"/>
      <c r="AM362" s="6"/>
      <c r="AN362" s="6"/>
      <c r="AO362" s="6"/>
      <c r="AP362" s="6"/>
      <c r="AQ362" s="6"/>
      <c r="AR362" s="6"/>
      <c r="AS362" s="6"/>
    </row>
    <row r="363" spans="1:45" ht="31.5" hidden="1" x14ac:dyDescent="0.25">
      <c r="A363" s="33" t="s">
        <v>46</v>
      </c>
      <c r="B363" s="42">
        <v>168</v>
      </c>
      <c r="C363" s="33" t="s">
        <v>386</v>
      </c>
      <c r="D363" s="33" t="s">
        <v>1423</v>
      </c>
      <c r="E363" s="33"/>
      <c r="F363" s="54"/>
      <c r="G363" s="33" t="s">
        <v>1424</v>
      </c>
      <c r="H363" s="33"/>
      <c r="I363" s="33"/>
      <c r="J363" s="33" t="s">
        <v>1425</v>
      </c>
      <c r="K363" s="33" t="s">
        <v>43</v>
      </c>
      <c r="L363" s="33" t="s">
        <v>1426</v>
      </c>
      <c r="M363" s="44">
        <v>8433071600</v>
      </c>
      <c r="N363" s="45"/>
      <c r="O363" s="44">
        <v>7500000</v>
      </c>
      <c r="P363" s="86"/>
      <c r="Q363" s="44">
        <f t="shared" si="206"/>
        <v>8440571600</v>
      </c>
      <c r="R363" s="48">
        <v>8433071600</v>
      </c>
      <c r="S363" s="32"/>
      <c r="T363" s="66"/>
      <c r="U363" s="32"/>
      <c r="V363" s="32"/>
      <c r="W363" s="49"/>
      <c r="X363" s="49">
        <f t="shared" ref="X363:Z363" si="365">N363-S363</f>
        <v>0</v>
      </c>
      <c r="Y363" s="52">
        <f t="shared" si="365"/>
        <v>7500000</v>
      </c>
      <c r="Z363" s="49">
        <f t="shared" si="365"/>
        <v>0</v>
      </c>
      <c r="AA363" s="54"/>
      <c r="AB363" s="43"/>
      <c r="AC363" s="15">
        <f t="shared" si="208"/>
        <v>2</v>
      </c>
      <c r="AD363" s="15"/>
      <c r="AE363" s="6"/>
      <c r="AF363" s="6"/>
      <c r="AG363" s="6"/>
      <c r="AH363" s="6"/>
      <c r="AI363" s="6"/>
      <c r="AJ363" s="6"/>
      <c r="AK363" s="6"/>
      <c r="AL363" s="6"/>
      <c r="AM363" s="6"/>
      <c r="AN363" s="6"/>
      <c r="AO363" s="6"/>
      <c r="AP363" s="6"/>
      <c r="AQ363" s="6"/>
      <c r="AR363" s="6"/>
      <c r="AS363" s="6"/>
    </row>
    <row r="364" spans="1:45" ht="31.5" hidden="1" x14ac:dyDescent="0.25">
      <c r="A364" s="33" t="s">
        <v>46</v>
      </c>
      <c r="B364" s="42">
        <v>170</v>
      </c>
      <c r="C364" s="33" t="s">
        <v>386</v>
      </c>
      <c r="D364" s="33" t="s">
        <v>1436</v>
      </c>
      <c r="E364" s="33" t="s">
        <v>1437</v>
      </c>
      <c r="F364" s="54"/>
      <c r="G364" s="33" t="s">
        <v>1438</v>
      </c>
      <c r="H364" s="33" t="s">
        <v>1439</v>
      </c>
      <c r="I364" s="32"/>
      <c r="J364" s="33" t="s">
        <v>1440</v>
      </c>
      <c r="K364" s="33" t="s">
        <v>43</v>
      </c>
      <c r="L364" s="33" t="s">
        <v>1441</v>
      </c>
      <c r="M364" s="44">
        <v>2032992492</v>
      </c>
      <c r="N364" s="44">
        <v>46891008</v>
      </c>
      <c r="O364" s="44">
        <v>15000000</v>
      </c>
      <c r="P364" s="86"/>
      <c r="Q364" s="44">
        <f t="shared" si="206"/>
        <v>2094883500</v>
      </c>
      <c r="R364" s="48">
        <v>2032992492</v>
      </c>
      <c r="S364" s="49">
        <v>46891008</v>
      </c>
      <c r="T364" s="44">
        <v>15000000</v>
      </c>
      <c r="U364" s="32"/>
      <c r="V364" s="32"/>
      <c r="W364" s="49"/>
      <c r="X364" s="49">
        <f t="shared" ref="X364:Z364" si="366">N364-S364</f>
        <v>0</v>
      </c>
      <c r="Y364" s="49">
        <f t="shared" si="366"/>
        <v>0</v>
      </c>
      <c r="Z364" s="49">
        <f t="shared" si="366"/>
        <v>0</v>
      </c>
      <c r="AA364" s="54"/>
      <c r="AB364" s="54"/>
      <c r="AC364" s="2">
        <f t="shared" si="208"/>
        <v>2</v>
      </c>
      <c r="AD364" s="6"/>
      <c r="AE364" s="6"/>
      <c r="AF364" s="6"/>
      <c r="AG364" s="6"/>
      <c r="AH364" s="6"/>
      <c r="AI364" s="6"/>
      <c r="AJ364" s="6"/>
      <c r="AK364" s="6"/>
      <c r="AL364" s="6"/>
      <c r="AM364" s="6"/>
      <c r="AN364" s="6"/>
      <c r="AO364" s="6"/>
      <c r="AP364" s="6"/>
      <c r="AQ364" s="6"/>
      <c r="AR364" s="6"/>
      <c r="AS364" s="6"/>
    </row>
    <row r="365" spans="1:45" ht="31.5" hidden="1" x14ac:dyDescent="0.25">
      <c r="A365" s="33" t="s">
        <v>52</v>
      </c>
      <c r="B365" s="42">
        <v>171</v>
      </c>
      <c r="C365" s="33" t="s">
        <v>386</v>
      </c>
      <c r="D365" s="33" t="s">
        <v>1448</v>
      </c>
      <c r="E365" s="32"/>
      <c r="F365" s="54"/>
      <c r="G365" s="33" t="s">
        <v>1449</v>
      </c>
      <c r="H365" s="32"/>
      <c r="I365" s="32"/>
      <c r="J365" s="33" t="s">
        <v>1450</v>
      </c>
      <c r="K365" s="33" t="s">
        <v>43</v>
      </c>
      <c r="L365" s="33" t="s">
        <v>1451</v>
      </c>
      <c r="M365" s="44">
        <v>3992486323</v>
      </c>
      <c r="N365" s="45"/>
      <c r="O365" s="44">
        <v>7500000</v>
      </c>
      <c r="P365" s="86"/>
      <c r="Q365" s="44">
        <f t="shared" si="206"/>
        <v>3999986323</v>
      </c>
      <c r="R365" s="48">
        <v>3992486323</v>
      </c>
      <c r="S365" s="32"/>
      <c r="T365" s="44">
        <v>7500000</v>
      </c>
      <c r="U365" s="32"/>
      <c r="V365" s="32"/>
      <c r="W365" s="49"/>
      <c r="X365" s="49">
        <f t="shared" ref="X365:Z365" si="367">N365-S365</f>
        <v>0</v>
      </c>
      <c r="Y365" s="49">
        <f t="shared" si="367"/>
        <v>0</v>
      </c>
      <c r="Z365" s="49">
        <f t="shared" si="367"/>
        <v>0</v>
      </c>
      <c r="AA365" s="54"/>
      <c r="AB365" s="54"/>
      <c r="AC365" s="2">
        <f t="shared" si="208"/>
        <v>2</v>
      </c>
      <c r="AD365" s="6"/>
      <c r="AE365" s="6"/>
      <c r="AF365" s="6"/>
      <c r="AG365" s="6"/>
      <c r="AH365" s="6"/>
      <c r="AI365" s="6"/>
      <c r="AJ365" s="6"/>
      <c r="AK365" s="6"/>
      <c r="AL365" s="6"/>
      <c r="AM365" s="6"/>
      <c r="AN365" s="6"/>
      <c r="AO365" s="6"/>
      <c r="AP365" s="6"/>
      <c r="AQ365" s="6"/>
      <c r="AR365" s="6"/>
      <c r="AS365" s="6"/>
    </row>
    <row r="366" spans="1:45" ht="31.5" hidden="1" x14ac:dyDescent="0.25">
      <c r="A366" s="33" t="s">
        <v>60</v>
      </c>
      <c r="B366" s="42">
        <v>172</v>
      </c>
      <c r="C366" s="33" t="s">
        <v>386</v>
      </c>
      <c r="D366" s="33" t="s">
        <v>1457</v>
      </c>
      <c r="E366" s="32"/>
      <c r="F366" s="54"/>
      <c r="G366" s="33" t="s">
        <v>1458</v>
      </c>
      <c r="H366" s="32"/>
      <c r="I366" s="32"/>
      <c r="J366" s="33" t="s">
        <v>1459</v>
      </c>
      <c r="K366" s="33" t="s">
        <v>43</v>
      </c>
      <c r="L366" s="33" t="s">
        <v>1460</v>
      </c>
      <c r="M366" s="44">
        <v>729829000</v>
      </c>
      <c r="N366" s="45"/>
      <c r="O366" s="44">
        <v>7500000</v>
      </c>
      <c r="P366" s="86"/>
      <c r="Q366" s="44">
        <f t="shared" si="206"/>
        <v>737329000</v>
      </c>
      <c r="R366" s="48">
        <v>729829000</v>
      </c>
      <c r="S366" s="32"/>
      <c r="T366" s="44">
        <v>7500000</v>
      </c>
      <c r="U366" s="32"/>
      <c r="V366" s="32"/>
      <c r="W366" s="49"/>
      <c r="X366" s="49">
        <f t="shared" ref="X366:Z366" si="368">N366-S366</f>
        <v>0</v>
      </c>
      <c r="Y366" s="49">
        <f t="shared" si="368"/>
        <v>0</v>
      </c>
      <c r="Z366" s="49">
        <f t="shared" si="368"/>
        <v>0</v>
      </c>
      <c r="AA366" s="54"/>
      <c r="AB366" s="54"/>
      <c r="AC366" s="2">
        <f t="shared" si="208"/>
        <v>2</v>
      </c>
      <c r="AD366" s="6"/>
      <c r="AE366" s="6"/>
      <c r="AF366" s="6"/>
      <c r="AG366" s="6"/>
      <c r="AH366" s="6"/>
      <c r="AI366" s="6"/>
      <c r="AJ366" s="6"/>
      <c r="AK366" s="6"/>
      <c r="AL366" s="6"/>
      <c r="AM366" s="6"/>
      <c r="AN366" s="6"/>
      <c r="AO366" s="6"/>
      <c r="AP366" s="6"/>
      <c r="AQ366" s="6"/>
      <c r="AR366" s="6"/>
      <c r="AS366" s="6"/>
    </row>
    <row r="367" spans="1:45" ht="31.5" hidden="1" x14ac:dyDescent="0.25">
      <c r="A367" s="33" t="s">
        <v>46</v>
      </c>
      <c r="B367" s="42">
        <v>173</v>
      </c>
      <c r="C367" s="33" t="s">
        <v>386</v>
      </c>
      <c r="D367" s="33" t="s">
        <v>1466</v>
      </c>
      <c r="E367" s="32"/>
      <c r="F367" s="54"/>
      <c r="G367" s="33" t="s">
        <v>1467</v>
      </c>
      <c r="H367" s="32"/>
      <c r="I367" s="32"/>
      <c r="J367" s="33" t="s">
        <v>1468</v>
      </c>
      <c r="K367" s="33" t="s">
        <v>43</v>
      </c>
      <c r="L367" s="33" t="s">
        <v>1469</v>
      </c>
      <c r="M367" s="44">
        <v>124266760</v>
      </c>
      <c r="N367" s="45"/>
      <c r="O367" s="44">
        <v>7500000</v>
      </c>
      <c r="P367" s="86"/>
      <c r="Q367" s="44">
        <f t="shared" si="206"/>
        <v>131766760</v>
      </c>
      <c r="R367" s="48">
        <v>124266760</v>
      </c>
      <c r="S367" s="32"/>
      <c r="T367" s="44">
        <v>7500000</v>
      </c>
      <c r="U367" s="32"/>
      <c r="V367" s="32"/>
      <c r="W367" s="49"/>
      <c r="X367" s="49">
        <f t="shared" ref="X367:Z367" si="369">N367-S367</f>
        <v>0</v>
      </c>
      <c r="Y367" s="49">
        <f t="shared" si="369"/>
        <v>0</v>
      </c>
      <c r="Z367" s="49">
        <f t="shared" si="369"/>
        <v>0</v>
      </c>
      <c r="AA367" s="54"/>
      <c r="AB367" s="54"/>
      <c r="AC367" s="2">
        <f t="shared" si="208"/>
        <v>2</v>
      </c>
      <c r="AD367" s="6"/>
      <c r="AE367" s="6"/>
      <c r="AF367" s="6"/>
      <c r="AG367" s="6"/>
      <c r="AH367" s="6"/>
      <c r="AI367" s="6"/>
      <c r="AJ367" s="6"/>
      <c r="AK367" s="6"/>
      <c r="AL367" s="6"/>
      <c r="AM367" s="6"/>
      <c r="AN367" s="6"/>
      <c r="AO367" s="6"/>
      <c r="AP367" s="6"/>
      <c r="AQ367" s="6"/>
      <c r="AR367" s="6"/>
      <c r="AS367" s="6"/>
    </row>
    <row r="368" spans="1:45" ht="31.5" hidden="1" x14ac:dyDescent="0.25">
      <c r="A368" s="33" t="s">
        <v>60</v>
      </c>
      <c r="B368" s="42">
        <v>174</v>
      </c>
      <c r="C368" s="33" t="s">
        <v>386</v>
      </c>
      <c r="D368" s="33" t="s">
        <v>1470</v>
      </c>
      <c r="E368" s="33"/>
      <c r="F368" s="54"/>
      <c r="G368" s="33" t="s">
        <v>1472</v>
      </c>
      <c r="H368" s="33"/>
      <c r="I368" s="33"/>
      <c r="J368" s="33" t="s">
        <v>1474</v>
      </c>
      <c r="K368" s="33" t="s">
        <v>43</v>
      </c>
      <c r="L368" s="33" t="s">
        <v>1476</v>
      </c>
      <c r="M368" s="44">
        <v>0</v>
      </c>
      <c r="N368" s="45"/>
      <c r="O368" s="44">
        <v>7500000</v>
      </c>
      <c r="P368" s="86"/>
      <c r="Q368" s="44">
        <f t="shared" si="206"/>
        <v>7500000</v>
      </c>
      <c r="R368" s="42">
        <v>0</v>
      </c>
      <c r="S368" s="32"/>
      <c r="T368" s="66"/>
      <c r="U368" s="32"/>
      <c r="V368" s="32"/>
      <c r="W368" s="49"/>
      <c r="X368" s="49">
        <f t="shared" ref="X368:Z368" si="370">N368-S368</f>
        <v>0</v>
      </c>
      <c r="Y368" s="52">
        <f t="shared" si="370"/>
        <v>7500000</v>
      </c>
      <c r="Z368" s="49">
        <f t="shared" si="370"/>
        <v>0</v>
      </c>
      <c r="AA368" s="54"/>
      <c r="AB368" s="43"/>
      <c r="AC368" s="15">
        <f t="shared" si="208"/>
        <v>2</v>
      </c>
      <c r="AD368" s="15"/>
      <c r="AE368" s="6"/>
      <c r="AF368" s="6"/>
      <c r="AG368" s="6"/>
      <c r="AH368" s="6"/>
      <c r="AI368" s="6"/>
      <c r="AJ368" s="6"/>
      <c r="AK368" s="6"/>
      <c r="AL368" s="6"/>
      <c r="AM368" s="6"/>
      <c r="AN368" s="6"/>
      <c r="AO368" s="6"/>
      <c r="AP368" s="6"/>
      <c r="AQ368" s="6"/>
      <c r="AR368" s="6"/>
      <c r="AS368" s="6"/>
    </row>
    <row r="369" spans="1:45" ht="63" hidden="1" x14ac:dyDescent="0.25">
      <c r="A369" s="33" t="s">
        <v>52</v>
      </c>
      <c r="B369" s="42">
        <v>175</v>
      </c>
      <c r="C369" s="33" t="s">
        <v>386</v>
      </c>
      <c r="D369" s="33" t="s">
        <v>1478</v>
      </c>
      <c r="E369" s="33" t="s">
        <v>1479</v>
      </c>
      <c r="F369" s="54"/>
      <c r="G369" s="33" t="s">
        <v>1480</v>
      </c>
      <c r="H369" s="33" t="s">
        <v>1481</v>
      </c>
      <c r="I369" s="33"/>
      <c r="J369" s="33" t="s">
        <v>1482</v>
      </c>
      <c r="K369" s="33" t="s">
        <v>43</v>
      </c>
      <c r="L369" s="33" t="s">
        <v>1483</v>
      </c>
      <c r="M369" s="44">
        <v>2265222670</v>
      </c>
      <c r="N369" s="44">
        <v>552867384</v>
      </c>
      <c r="O369" s="44">
        <v>7500000</v>
      </c>
      <c r="P369" s="86"/>
      <c r="Q369" s="44">
        <f t="shared" si="206"/>
        <v>2825590054</v>
      </c>
      <c r="R369" s="32"/>
      <c r="S369" s="33"/>
      <c r="T369" s="66"/>
      <c r="U369" s="32"/>
      <c r="V369" s="32"/>
      <c r="W369" s="49">
        <v>2265222670</v>
      </c>
      <c r="X369" s="52">
        <f t="shared" ref="X369:Z369" si="371">N369-S369</f>
        <v>552867384</v>
      </c>
      <c r="Y369" s="52">
        <f t="shared" si="371"/>
        <v>7500000</v>
      </c>
      <c r="Z369" s="49">
        <f t="shared" si="371"/>
        <v>0</v>
      </c>
      <c r="AA369" s="69">
        <v>2818090054</v>
      </c>
      <c r="AB369" s="43"/>
      <c r="AC369" s="15">
        <f t="shared" si="208"/>
        <v>2</v>
      </c>
      <c r="AD369" s="15"/>
      <c r="AE369" s="6"/>
      <c r="AF369" s="6"/>
      <c r="AG369" s="6"/>
      <c r="AH369" s="6"/>
      <c r="AI369" s="6"/>
      <c r="AJ369" s="6"/>
      <c r="AK369" s="6"/>
      <c r="AL369" s="6"/>
      <c r="AM369" s="6"/>
      <c r="AN369" s="6"/>
      <c r="AO369" s="6"/>
      <c r="AP369" s="6"/>
      <c r="AQ369" s="6"/>
      <c r="AR369" s="6"/>
      <c r="AS369" s="6"/>
    </row>
    <row r="370" spans="1:45" ht="31.5" hidden="1" x14ac:dyDescent="0.25">
      <c r="A370" s="33" t="s">
        <v>46</v>
      </c>
      <c r="B370" s="42">
        <v>176</v>
      </c>
      <c r="C370" s="33" t="s">
        <v>386</v>
      </c>
      <c r="D370" s="33" t="s">
        <v>1488</v>
      </c>
      <c r="E370" s="32"/>
      <c r="F370" s="54"/>
      <c r="G370" s="33" t="s">
        <v>1489</v>
      </c>
      <c r="H370" s="32"/>
      <c r="I370" s="32"/>
      <c r="J370" s="33" t="s">
        <v>1490</v>
      </c>
      <c r="K370" s="33" t="s">
        <v>43</v>
      </c>
      <c r="L370" s="33" t="s">
        <v>1491</v>
      </c>
      <c r="M370" s="44">
        <v>10643430</v>
      </c>
      <c r="N370" s="45"/>
      <c r="O370" s="44">
        <v>7500000</v>
      </c>
      <c r="P370" s="86"/>
      <c r="Q370" s="44">
        <f t="shared" si="206"/>
        <v>18143430</v>
      </c>
      <c r="R370" s="48">
        <v>10643430</v>
      </c>
      <c r="S370" s="32"/>
      <c r="T370" s="44">
        <v>7500000</v>
      </c>
      <c r="U370" s="32"/>
      <c r="V370" s="32"/>
      <c r="W370" s="49"/>
      <c r="X370" s="49">
        <f t="shared" ref="X370:Z370" si="372">N370-S370</f>
        <v>0</v>
      </c>
      <c r="Y370" s="49">
        <f t="shared" si="372"/>
        <v>0</v>
      </c>
      <c r="Z370" s="49">
        <f t="shared" si="372"/>
        <v>0</v>
      </c>
      <c r="AA370" s="54"/>
      <c r="AB370" s="54"/>
      <c r="AC370" s="2">
        <f t="shared" si="208"/>
        <v>2</v>
      </c>
      <c r="AD370" s="6"/>
      <c r="AE370" s="6"/>
      <c r="AF370" s="6"/>
      <c r="AG370" s="6"/>
      <c r="AH370" s="6"/>
      <c r="AI370" s="6"/>
      <c r="AJ370" s="6"/>
      <c r="AK370" s="6"/>
      <c r="AL370" s="6"/>
      <c r="AM370" s="6"/>
      <c r="AN370" s="6"/>
      <c r="AO370" s="6"/>
      <c r="AP370" s="6"/>
      <c r="AQ370" s="6"/>
      <c r="AR370" s="6"/>
      <c r="AS370" s="6"/>
    </row>
    <row r="371" spans="1:45" ht="31.5" hidden="1" x14ac:dyDescent="0.25">
      <c r="A371" s="33" t="s">
        <v>52</v>
      </c>
      <c r="B371" s="42">
        <v>177</v>
      </c>
      <c r="C371" s="33" t="s">
        <v>386</v>
      </c>
      <c r="D371" s="33" t="s">
        <v>1498</v>
      </c>
      <c r="E371" s="32"/>
      <c r="F371" s="54"/>
      <c r="G371" s="33" t="s">
        <v>1499</v>
      </c>
      <c r="H371" s="32"/>
      <c r="I371" s="32"/>
      <c r="J371" s="33" t="s">
        <v>1500</v>
      </c>
      <c r="K371" s="33" t="s">
        <v>43</v>
      </c>
      <c r="L371" s="33" t="s">
        <v>1501</v>
      </c>
      <c r="M371" s="44">
        <v>8918600276</v>
      </c>
      <c r="N371" s="45"/>
      <c r="O371" s="44">
        <v>15000000</v>
      </c>
      <c r="P371" s="86"/>
      <c r="Q371" s="44">
        <f t="shared" si="206"/>
        <v>8933600276</v>
      </c>
      <c r="R371" s="48">
        <v>8918600276</v>
      </c>
      <c r="S371" s="32"/>
      <c r="T371" s="44">
        <v>15000000</v>
      </c>
      <c r="U371" s="32"/>
      <c r="V371" s="32"/>
      <c r="W371" s="49"/>
      <c r="X371" s="49">
        <f t="shared" ref="X371:Z371" si="373">N371-S371</f>
        <v>0</v>
      </c>
      <c r="Y371" s="49">
        <f t="shared" si="373"/>
        <v>0</v>
      </c>
      <c r="Z371" s="49">
        <f t="shared" si="373"/>
        <v>0</v>
      </c>
      <c r="AA371" s="54"/>
      <c r="AB371" s="54"/>
      <c r="AC371" s="2">
        <f t="shared" si="208"/>
        <v>2</v>
      </c>
      <c r="AD371" s="6"/>
      <c r="AE371" s="6"/>
      <c r="AF371" s="6"/>
      <c r="AG371" s="6"/>
      <c r="AH371" s="6"/>
      <c r="AI371" s="6"/>
      <c r="AJ371" s="6"/>
      <c r="AK371" s="6"/>
      <c r="AL371" s="6"/>
      <c r="AM371" s="6"/>
      <c r="AN371" s="6"/>
      <c r="AO371" s="6"/>
      <c r="AP371" s="6"/>
      <c r="AQ371" s="6"/>
      <c r="AR371" s="6"/>
      <c r="AS371" s="6"/>
    </row>
    <row r="372" spans="1:45" ht="31.5" hidden="1" x14ac:dyDescent="0.25">
      <c r="A372" s="33" t="s">
        <v>52</v>
      </c>
      <c r="B372" s="42">
        <v>178</v>
      </c>
      <c r="C372" s="33" t="s">
        <v>386</v>
      </c>
      <c r="D372" s="33" t="s">
        <v>1506</v>
      </c>
      <c r="E372" s="33" t="s">
        <v>156</v>
      </c>
      <c r="F372" s="54"/>
      <c r="G372" s="33" t="s">
        <v>1507</v>
      </c>
      <c r="H372" s="33" t="s">
        <v>405</v>
      </c>
      <c r="I372" s="32"/>
      <c r="J372" s="33" t="s">
        <v>1508</v>
      </c>
      <c r="K372" s="33" t="s">
        <v>43</v>
      </c>
      <c r="L372" s="33" t="s">
        <v>1509</v>
      </c>
      <c r="M372" s="44">
        <v>1981953376</v>
      </c>
      <c r="N372" s="44">
        <v>93049344</v>
      </c>
      <c r="O372" s="44">
        <v>15000000</v>
      </c>
      <c r="P372" s="86"/>
      <c r="Q372" s="44">
        <f t="shared" si="206"/>
        <v>2090002720</v>
      </c>
      <c r="R372" s="48">
        <v>1981953376</v>
      </c>
      <c r="S372" s="48">
        <v>93049344</v>
      </c>
      <c r="T372" s="44">
        <v>15000000</v>
      </c>
      <c r="U372" s="32"/>
      <c r="V372" s="32"/>
      <c r="W372" s="49"/>
      <c r="X372" s="49">
        <f t="shared" ref="X372:Z372" si="374">N372-S372</f>
        <v>0</v>
      </c>
      <c r="Y372" s="49">
        <f t="shared" si="374"/>
        <v>0</v>
      </c>
      <c r="Z372" s="49">
        <f t="shared" si="374"/>
        <v>0</v>
      </c>
      <c r="AA372" s="54"/>
      <c r="AB372" s="54"/>
      <c r="AC372" s="2">
        <f t="shared" si="208"/>
        <v>2</v>
      </c>
      <c r="AD372" s="6"/>
      <c r="AE372" s="6"/>
      <c r="AF372" s="6"/>
      <c r="AG372" s="6"/>
      <c r="AH372" s="6"/>
      <c r="AI372" s="6"/>
      <c r="AJ372" s="6"/>
      <c r="AK372" s="6"/>
      <c r="AL372" s="6"/>
      <c r="AM372" s="6"/>
      <c r="AN372" s="6"/>
      <c r="AO372" s="6"/>
      <c r="AP372" s="6"/>
      <c r="AQ372" s="6"/>
      <c r="AR372" s="6"/>
      <c r="AS372" s="6"/>
    </row>
    <row r="373" spans="1:45" ht="31.5" hidden="1" x14ac:dyDescent="0.25">
      <c r="A373" s="33" t="s">
        <v>60</v>
      </c>
      <c r="B373" s="42">
        <v>179</v>
      </c>
      <c r="C373" s="33" t="s">
        <v>386</v>
      </c>
      <c r="D373" s="33" t="s">
        <v>1514</v>
      </c>
      <c r="E373" s="32"/>
      <c r="F373" s="54"/>
      <c r="G373" s="33" t="s">
        <v>859</v>
      </c>
      <c r="H373" s="32"/>
      <c r="I373" s="32"/>
      <c r="J373" s="33" t="s">
        <v>1515</v>
      </c>
      <c r="K373" s="33" t="s">
        <v>43</v>
      </c>
      <c r="L373" s="33" t="s">
        <v>274</v>
      </c>
      <c r="M373" s="44">
        <v>10000000</v>
      </c>
      <c r="N373" s="45"/>
      <c r="O373" s="44">
        <v>15000000</v>
      </c>
      <c r="P373" s="86"/>
      <c r="Q373" s="44">
        <f t="shared" si="206"/>
        <v>25000000</v>
      </c>
      <c r="R373" s="52">
        <v>10000000</v>
      </c>
      <c r="S373" s="32"/>
      <c r="T373" s="44">
        <v>15000000</v>
      </c>
      <c r="U373" s="32"/>
      <c r="V373" s="32"/>
      <c r="W373" s="49"/>
      <c r="X373" s="49">
        <f t="shared" ref="X373:Z373" si="375">N373-S373</f>
        <v>0</v>
      </c>
      <c r="Y373" s="49">
        <f t="shared" si="375"/>
        <v>0</v>
      </c>
      <c r="Z373" s="49">
        <f t="shared" si="375"/>
        <v>0</v>
      </c>
      <c r="AA373" s="54"/>
      <c r="AB373" s="54"/>
      <c r="AC373" s="2">
        <f t="shared" si="208"/>
        <v>2</v>
      </c>
      <c r="AD373" s="6"/>
      <c r="AE373" s="6"/>
      <c r="AF373" s="6"/>
      <c r="AG373" s="6"/>
      <c r="AH373" s="6"/>
      <c r="AI373" s="6"/>
      <c r="AJ373" s="6"/>
      <c r="AK373" s="6"/>
      <c r="AL373" s="6"/>
      <c r="AM373" s="6"/>
      <c r="AN373" s="6"/>
      <c r="AO373" s="6"/>
      <c r="AP373" s="6"/>
      <c r="AQ373" s="6"/>
      <c r="AR373" s="6"/>
      <c r="AS373" s="6"/>
    </row>
    <row r="374" spans="1:45" ht="31.5" hidden="1" x14ac:dyDescent="0.25">
      <c r="A374" s="33" t="s">
        <v>60</v>
      </c>
      <c r="B374" s="42">
        <v>180</v>
      </c>
      <c r="C374" s="33" t="s">
        <v>386</v>
      </c>
      <c r="D374" s="33" t="s">
        <v>1520</v>
      </c>
      <c r="E374" s="32"/>
      <c r="F374" s="54"/>
      <c r="G374" s="33" t="s">
        <v>1521</v>
      </c>
      <c r="H374" s="32"/>
      <c r="I374" s="32"/>
      <c r="J374" s="33" t="s">
        <v>1522</v>
      </c>
      <c r="K374" s="33" t="s">
        <v>43</v>
      </c>
      <c r="L374" s="33" t="s">
        <v>1523</v>
      </c>
      <c r="M374" s="44">
        <v>10000000</v>
      </c>
      <c r="N374" s="45"/>
      <c r="O374" s="44">
        <v>15000000</v>
      </c>
      <c r="P374" s="86"/>
      <c r="Q374" s="44">
        <f t="shared" si="206"/>
        <v>25000000</v>
      </c>
      <c r="R374" s="52">
        <v>10000000</v>
      </c>
      <c r="S374" s="32"/>
      <c r="T374" s="44">
        <v>15000000</v>
      </c>
      <c r="U374" s="32"/>
      <c r="V374" s="32"/>
      <c r="W374" s="49"/>
      <c r="X374" s="49">
        <f t="shared" ref="X374:Z374" si="376">N374-S374</f>
        <v>0</v>
      </c>
      <c r="Y374" s="49">
        <f t="shared" si="376"/>
        <v>0</v>
      </c>
      <c r="Z374" s="49">
        <f t="shared" si="376"/>
        <v>0</v>
      </c>
      <c r="AA374" s="54"/>
      <c r="AB374" s="54"/>
      <c r="AC374" s="2">
        <f t="shared" si="208"/>
        <v>2</v>
      </c>
      <c r="AD374" s="6"/>
      <c r="AE374" s="6"/>
      <c r="AF374" s="6"/>
      <c r="AG374" s="6"/>
      <c r="AH374" s="6"/>
      <c r="AI374" s="6"/>
      <c r="AJ374" s="6"/>
      <c r="AK374" s="6"/>
      <c r="AL374" s="6"/>
      <c r="AM374" s="6"/>
      <c r="AN374" s="6"/>
      <c r="AO374" s="6"/>
      <c r="AP374" s="6"/>
      <c r="AQ374" s="6"/>
      <c r="AR374" s="6"/>
      <c r="AS374" s="6"/>
    </row>
    <row r="375" spans="1:45" ht="63" hidden="1" x14ac:dyDescent="0.25">
      <c r="A375" s="33" t="s">
        <v>60</v>
      </c>
      <c r="B375" s="42">
        <v>182</v>
      </c>
      <c r="C375" s="33" t="s">
        <v>1018</v>
      </c>
      <c r="D375" s="33" t="s">
        <v>1537</v>
      </c>
      <c r="E375" s="33" t="s">
        <v>1538</v>
      </c>
      <c r="F375" s="54"/>
      <c r="G375" s="33" t="s">
        <v>431</v>
      </c>
      <c r="H375" s="33" t="s">
        <v>1539</v>
      </c>
      <c r="I375" s="32"/>
      <c r="J375" s="33" t="s">
        <v>1541</v>
      </c>
      <c r="K375" s="33" t="s">
        <v>43</v>
      </c>
      <c r="L375" s="33" t="s">
        <v>1544</v>
      </c>
      <c r="M375" s="44">
        <v>336768568</v>
      </c>
      <c r="N375" s="44">
        <v>141798254</v>
      </c>
      <c r="O375" s="44">
        <v>7500000</v>
      </c>
      <c r="P375" s="86"/>
      <c r="Q375" s="44">
        <f t="shared" si="206"/>
        <v>486066822</v>
      </c>
      <c r="R375" s="48">
        <v>336768568</v>
      </c>
      <c r="S375" s="48">
        <v>141798254</v>
      </c>
      <c r="T375" s="44">
        <v>7500000</v>
      </c>
      <c r="U375" s="32"/>
      <c r="V375" s="32"/>
      <c r="W375" s="49"/>
      <c r="X375" s="52">
        <f t="shared" ref="X375:Z375" si="377">N375-S375</f>
        <v>0</v>
      </c>
      <c r="Y375" s="49">
        <f t="shared" si="377"/>
        <v>0</v>
      </c>
      <c r="Z375" s="49">
        <f t="shared" si="377"/>
        <v>0</v>
      </c>
      <c r="AA375" s="43"/>
      <c r="AB375" s="43"/>
      <c r="AC375" s="6">
        <f t="shared" si="208"/>
        <v>2</v>
      </c>
      <c r="AD375" s="6"/>
      <c r="AE375" s="6"/>
      <c r="AF375" s="6"/>
      <c r="AG375" s="6"/>
      <c r="AH375" s="6"/>
      <c r="AI375" s="6"/>
      <c r="AJ375" s="6"/>
      <c r="AK375" s="6"/>
      <c r="AL375" s="6"/>
      <c r="AM375" s="6"/>
      <c r="AN375" s="6"/>
      <c r="AO375" s="6"/>
      <c r="AP375" s="6"/>
      <c r="AQ375" s="6"/>
      <c r="AR375" s="6"/>
      <c r="AS375" s="6"/>
    </row>
    <row r="376" spans="1:45" ht="31.5" hidden="1" x14ac:dyDescent="0.25">
      <c r="A376" s="33" t="s">
        <v>60</v>
      </c>
      <c r="B376" s="42">
        <v>183</v>
      </c>
      <c r="C376" s="33" t="s">
        <v>1018</v>
      </c>
      <c r="D376" s="33" t="s">
        <v>1549</v>
      </c>
      <c r="E376" s="33"/>
      <c r="F376" s="54"/>
      <c r="G376" s="33" t="s">
        <v>1550</v>
      </c>
      <c r="H376" s="33"/>
      <c r="I376" s="33"/>
      <c r="J376" s="33" t="s">
        <v>1551</v>
      </c>
      <c r="K376" s="33" t="s">
        <v>43</v>
      </c>
      <c r="L376" s="33" t="s">
        <v>1553</v>
      </c>
      <c r="M376" s="44">
        <v>1710548356</v>
      </c>
      <c r="N376" s="45"/>
      <c r="O376" s="44">
        <v>7500000</v>
      </c>
      <c r="P376" s="86"/>
      <c r="Q376" s="44">
        <f t="shared" si="206"/>
        <v>1718048356</v>
      </c>
      <c r="R376" s="48">
        <v>1710548356</v>
      </c>
      <c r="S376" s="32"/>
      <c r="T376" s="66"/>
      <c r="U376" s="32"/>
      <c r="V376" s="32"/>
      <c r="W376" s="49"/>
      <c r="X376" s="49">
        <f t="shared" ref="X376:Z376" si="378">N376-S376</f>
        <v>0</v>
      </c>
      <c r="Y376" s="52">
        <f t="shared" si="378"/>
        <v>7500000</v>
      </c>
      <c r="Z376" s="49">
        <f t="shared" si="378"/>
        <v>0</v>
      </c>
      <c r="AA376" s="54"/>
      <c r="AB376" s="43"/>
      <c r="AC376" s="15">
        <f t="shared" si="208"/>
        <v>2</v>
      </c>
      <c r="AD376" s="15"/>
      <c r="AE376" s="6"/>
      <c r="AF376" s="6"/>
      <c r="AG376" s="6"/>
      <c r="AH376" s="6"/>
      <c r="AI376" s="6"/>
      <c r="AJ376" s="6"/>
      <c r="AK376" s="6"/>
      <c r="AL376" s="6"/>
      <c r="AM376" s="6"/>
      <c r="AN376" s="6"/>
      <c r="AO376" s="6"/>
      <c r="AP376" s="6"/>
      <c r="AQ376" s="6"/>
      <c r="AR376" s="6"/>
      <c r="AS376" s="6"/>
    </row>
    <row r="377" spans="1:45" ht="31.5" hidden="1" x14ac:dyDescent="0.25">
      <c r="A377" s="33" t="s">
        <v>60</v>
      </c>
      <c r="B377" s="42">
        <v>184</v>
      </c>
      <c r="C377" s="33" t="s">
        <v>1018</v>
      </c>
      <c r="D377" s="33" t="s">
        <v>1560</v>
      </c>
      <c r="E377" s="32"/>
      <c r="F377" s="54"/>
      <c r="G377" s="33" t="s">
        <v>1563</v>
      </c>
      <c r="H377" s="32"/>
      <c r="I377" s="32"/>
      <c r="J377" s="33" t="s">
        <v>1565</v>
      </c>
      <c r="K377" s="33" t="s">
        <v>43</v>
      </c>
      <c r="L377" s="33" t="s">
        <v>1567</v>
      </c>
      <c r="M377" s="44">
        <v>2940512944</v>
      </c>
      <c r="N377" s="45"/>
      <c r="O377" s="44">
        <v>7500000</v>
      </c>
      <c r="P377" s="86"/>
      <c r="Q377" s="44">
        <f t="shared" si="206"/>
        <v>2948012944</v>
      </c>
      <c r="R377" s="48">
        <v>2940512944</v>
      </c>
      <c r="S377" s="32"/>
      <c r="T377" s="44">
        <v>7500000</v>
      </c>
      <c r="U377" s="32"/>
      <c r="V377" s="32"/>
      <c r="W377" s="49"/>
      <c r="X377" s="49">
        <f t="shared" ref="X377:Z377" si="379">N377-S377</f>
        <v>0</v>
      </c>
      <c r="Y377" s="49">
        <f t="shared" si="379"/>
        <v>0</v>
      </c>
      <c r="Z377" s="49">
        <f t="shared" si="379"/>
        <v>0</v>
      </c>
      <c r="AA377" s="54"/>
      <c r="AB377" s="54"/>
      <c r="AC377" s="2">
        <f t="shared" si="208"/>
        <v>2</v>
      </c>
      <c r="AD377" s="6"/>
      <c r="AE377" s="6"/>
      <c r="AF377" s="6"/>
      <c r="AG377" s="6"/>
      <c r="AH377" s="6"/>
      <c r="AI377" s="6"/>
      <c r="AJ377" s="6"/>
      <c r="AK377" s="6"/>
      <c r="AL377" s="6"/>
      <c r="AM377" s="6"/>
      <c r="AN377" s="6"/>
      <c r="AO377" s="6"/>
      <c r="AP377" s="6"/>
      <c r="AQ377" s="6"/>
      <c r="AR377" s="6"/>
      <c r="AS377" s="6"/>
    </row>
    <row r="378" spans="1:45" ht="31.5" hidden="1" x14ac:dyDescent="0.25">
      <c r="A378" s="33" t="s">
        <v>60</v>
      </c>
      <c r="B378" s="42">
        <v>185</v>
      </c>
      <c r="C378" s="33" t="s">
        <v>1018</v>
      </c>
      <c r="D378" s="33" t="s">
        <v>1569</v>
      </c>
      <c r="E378" s="32"/>
      <c r="F378" s="54"/>
      <c r="G378" s="33" t="s">
        <v>931</v>
      </c>
      <c r="H378" s="32"/>
      <c r="I378" s="32"/>
      <c r="J378" s="33" t="s">
        <v>1570</v>
      </c>
      <c r="K378" s="33" t="s">
        <v>43</v>
      </c>
      <c r="L378" s="33" t="s">
        <v>1571</v>
      </c>
      <c r="M378" s="44">
        <v>1486137360</v>
      </c>
      <c r="N378" s="45"/>
      <c r="O378" s="44">
        <v>7500000</v>
      </c>
      <c r="P378" s="86"/>
      <c r="Q378" s="44">
        <f t="shared" si="206"/>
        <v>1493637360</v>
      </c>
      <c r="R378" s="52">
        <v>1486137360</v>
      </c>
      <c r="S378" s="32"/>
      <c r="T378" s="44">
        <v>7500000</v>
      </c>
      <c r="U378" s="32"/>
      <c r="V378" s="32"/>
      <c r="W378" s="49"/>
      <c r="X378" s="49">
        <f t="shared" ref="X378:Z378" si="380">N378-S378</f>
        <v>0</v>
      </c>
      <c r="Y378" s="49">
        <f t="shared" si="380"/>
        <v>0</v>
      </c>
      <c r="Z378" s="49">
        <f t="shared" si="380"/>
        <v>0</v>
      </c>
      <c r="AA378" s="54"/>
      <c r="AB378" s="54"/>
      <c r="AC378" s="2">
        <f t="shared" si="208"/>
        <v>2</v>
      </c>
      <c r="AD378" s="6"/>
      <c r="AE378" s="6"/>
      <c r="AF378" s="6"/>
      <c r="AG378" s="6"/>
      <c r="AH378" s="6"/>
      <c r="AI378" s="6"/>
      <c r="AJ378" s="6"/>
      <c r="AK378" s="6"/>
      <c r="AL378" s="6"/>
      <c r="AM378" s="6"/>
      <c r="AN378" s="6"/>
      <c r="AO378" s="6"/>
      <c r="AP378" s="6"/>
      <c r="AQ378" s="6"/>
      <c r="AR378" s="6"/>
      <c r="AS378" s="6"/>
    </row>
    <row r="379" spans="1:45" ht="31.5" hidden="1" x14ac:dyDescent="0.25">
      <c r="A379" s="33" t="s">
        <v>60</v>
      </c>
      <c r="B379" s="42">
        <v>186</v>
      </c>
      <c r="C379" s="33" t="s">
        <v>1018</v>
      </c>
      <c r="D379" s="33" t="s">
        <v>1574</v>
      </c>
      <c r="E379" s="32"/>
      <c r="F379" s="54"/>
      <c r="G379" s="33" t="s">
        <v>452</v>
      </c>
      <c r="H379" s="32"/>
      <c r="I379" s="32"/>
      <c r="J379" s="33" t="s">
        <v>1577</v>
      </c>
      <c r="K379" s="33" t="s">
        <v>43</v>
      </c>
      <c r="L379" s="33" t="s">
        <v>1578</v>
      </c>
      <c r="M379" s="44">
        <v>7125152398</v>
      </c>
      <c r="N379" s="45"/>
      <c r="O379" s="44">
        <v>15000000</v>
      </c>
      <c r="P379" s="86"/>
      <c r="Q379" s="44">
        <f t="shared" si="206"/>
        <v>7140152398</v>
      </c>
      <c r="R379" s="48">
        <v>7125152398</v>
      </c>
      <c r="S379" s="32"/>
      <c r="T379" s="44">
        <v>15000000</v>
      </c>
      <c r="U379" s="32"/>
      <c r="V379" s="32"/>
      <c r="W379" s="49"/>
      <c r="X379" s="49">
        <f t="shared" ref="X379:Z379" si="381">N379-S379</f>
        <v>0</v>
      </c>
      <c r="Y379" s="49">
        <f t="shared" si="381"/>
        <v>0</v>
      </c>
      <c r="Z379" s="49">
        <f t="shared" si="381"/>
        <v>0</v>
      </c>
      <c r="AA379" s="54"/>
      <c r="AB379" s="54"/>
      <c r="AC379" s="2">
        <f t="shared" si="208"/>
        <v>2</v>
      </c>
      <c r="AD379" s="6"/>
      <c r="AE379" s="6"/>
      <c r="AF379" s="6"/>
      <c r="AG379" s="6"/>
      <c r="AH379" s="6"/>
      <c r="AI379" s="6"/>
      <c r="AJ379" s="6"/>
      <c r="AK379" s="6"/>
      <c r="AL379" s="6"/>
      <c r="AM379" s="6"/>
      <c r="AN379" s="6"/>
      <c r="AO379" s="6"/>
      <c r="AP379" s="6"/>
      <c r="AQ379" s="6"/>
      <c r="AR379" s="6"/>
      <c r="AS379" s="6"/>
    </row>
    <row r="380" spans="1:45" ht="63" hidden="1" x14ac:dyDescent="0.25">
      <c r="A380" s="33" t="s">
        <v>60</v>
      </c>
      <c r="B380" s="42">
        <v>187</v>
      </c>
      <c r="C380" s="33" t="s">
        <v>1018</v>
      </c>
      <c r="D380" s="33" t="s">
        <v>1581</v>
      </c>
      <c r="E380" s="33" t="s">
        <v>1583</v>
      </c>
      <c r="F380" s="54"/>
      <c r="G380" s="33" t="s">
        <v>1585</v>
      </c>
      <c r="H380" s="33" t="s">
        <v>1587</v>
      </c>
      <c r="I380" s="32"/>
      <c r="J380" s="33" t="s">
        <v>1589</v>
      </c>
      <c r="K380" s="33" t="s">
        <v>43</v>
      </c>
      <c r="L380" s="33" t="s">
        <v>1590</v>
      </c>
      <c r="M380" s="44">
        <v>6715150664</v>
      </c>
      <c r="N380" s="44">
        <v>15861376</v>
      </c>
      <c r="O380" s="44">
        <v>15000000</v>
      </c>
      <c r="P380" s="86"/>
      <c r="Q380" s="44">
        <f t="shared" si="206"/>
        <v>6746012040</v>
      </c>
      <c r="R380" s="48">
        <v>6715150664</v>
      </c>
      <c r="S380" s="48">
        <v>15861376</v>
      </c>
      <c r="T380" s="44">
        <v>15000000</v>
      </c>
      <c r="U380" s="32"/>
      <c r="V380" s="32"/>
      <c r="W380" s="49"/>
      <c r="X380" s="49">
        <f t="shared" ref="X380:Z380" si="382">N380-S380</f>
        <v>0</v>
      </c>
      <c r="Y380" s="49">
        <f t="shared" si="382"/>
        <v>0</v>
      </c>
      <c r="Z380" s="49">
        <f t="shared" si="382"/>
        <v>0</v>
      </c>
      <c r="AA380" s="54"/>
      <c r="AB380" s="54"/>
      <c r="AC380" s="2">
        <f t="shared" si="208"/>
        <v>2</v>
      </c>
      <c r="AD380" s="6"/>
      <c r="AE380" s="6"/>
      <c r="AF380" s="6"/>
      <c r="AG380" s="6"/>
      <c r="AH380" s="6"/>
      <c r="AI380" s="6"/>
      <c r="AJ380" s="6"/>
      <c r="AK380" s="6"/>
      <c r="AL380" s="6"/>
      <c r="AM380" s="6"/>
      <c r="AN380" s="6"/>
      <c r="AO380" s="6"/>
      <c r="AP380" s="6"/>
      <c r="AQ380" s="6"/>
      <c r="AR380" s="6"/>
      <c r="AS380" s="6"/>
    </row>
    <row r="381" spans="1:45" ht="31.5" hidden="1" x14ac:dyDescent="0.25">
      <c r="A381" s="33" t="s">
        <v>60</v>
      </c>
      <c r="B381" s="42">
        <v>188</v>
      </c>
      <c r="C381" s="33" t="s">
        <v>1018</v>
      </c>
      <c r="D381" s="33" t="s">
        <v>1597</v>
      </c>
      <c r="E381" s="32"/>
      <c r="F381" s="54"/>
      <c r="G381" s="33" t="s">
        <v>1598</v>
      </c>
      <c r="H381" s="33" t="s">
        <v>1599</v>
      </c>
      <c r="I381" s="32"/>
      <c r="J381" s="33" t="s">
        <v>1600</v>
      </c>
      <c r="K381" s="33" t="s">
        <v>43</v>
      </c>
      <c r="L381" s="33" t="s">
        <v>1601</v>
      </c>
      <c r="M381" s="44">
        <v>5835879930</v>
      </c>
      <c r="N381" s="45"/>
      <c r="O381" s="44">
        <v>15000000</v>
      </c>
      <c r="P381" s="86"/>
      <c r="Q381" s="44">
        <f t="shared" si="206"/>
        <v>5850879930</v>
      </c>
      <c r="R381" s="48">
        <v>5835879930</v>
      </c>
      <c r="S381" s="32"/>
      <c r="T381" s="44">
        <v>15000000</v>
      </c>
      <c r="U381" s="32"/>
      <c r="V381" s="32"/>
      <c r="W381" s="49"/>
      <c r="X381" s="49">
        <f t="shared" ref="X381:Z381" si="383">N381-S381</f>
        <v>0</v>
      </c>
      <c r="Y381" s="49">
        <f t="shared" si="383"/>
        <v>0</v>
      </c>
      <c r="Z381" s="49">
        <f t="shared" si="383"/>
        <v>0</v>
      </c>
      <c r="AA381" s="54"/>
      <c r="AB381" s="54"/>
      <c r="AC381" s="2">
        <f t="shared" si="208"/>
        <v>2</v>
      </c>
      <c r="AD381" s="6"/>
      <c r="AE381" s="6"/>
      <c r="AF381" s="6"/>
      <c r="AG381" s="6"/>
      <c r="AH381" s="6"/>
      <c r="AI381" s="6"/>
      <c r="AJ381" s="6"/>
      <c r="AK381" s="6"/>
      <c r="AL381" s="6"/>
      <c r="AM381" s="6"/>
      <c r="AN381" s="6"/>
      <c r="AO381" s="6"/>
      <c r="AP381" s="6"/>
      <c r="AQ381" s="6"/>
      <c r="AR381" s="6"/>
      <c r="AS381" s="6"/>
    </row>
    <row r="382" spans="1:45" ht="31.5" hidden="1" x14ac:dyDescent="0.25">
      <c r="A382" s="33" t="s">
        <v>60</v>
      </c>
      <c r="B382" s="42">
        <v>190</v>
      </c>
      <c r="C382" s="33" t="s">
        <v>1018</v>
      </c>
      <c r="D382" s="33" t="s">
        <v>1607</v>
      </c>
      <c r="E382" s="33" t="s">
        <v>156</v>
      </c>
      <c r="F382" s="54"/>
      <c r="G382" s="33" t="s">
        <v>1608</v>
      </c>
      <c r="H382" s="33" t="s">
        <v>1609</v>
      </c>
      <c r="I382" s="32"/>
      <c r="J382" s="33" t="s">
        <v>1611</v>
      </c>
      <c r="K382" s="33" t="s">
        <v>43</v>
      </c>
      <c r="L382" s="33" t="s">
        <v>1612</v>
      </c>
      <c r="M382" s="44">
        <v>3874838388</v>
      </c>
      <c r="N382" s="44">
        <v>219379565</v>
      </c>
      <c r="O382" s="44">
        <v>15000000</v>
      </c>
      <c r="P382" s="86"/>
      <c r="Q382" s="44">
        <f t="shared" si="206"/>
        <v>4109217953</v>
      </c>
      <c r="R382" s="48">
        <v>3874838388</v>
      </c>
      <c r="S382" s="48">
        <v>219379565</v>
      </c>
      <c r="T382" s="44">
        <v>15000000</v>
      </c>
      <c r="U382" s="32"/>
      <c r="V382" s="32"/>
      <c r="W382" s="49"/>
      <c r="X382" s="49">
        <f t="shared" ref="X382:Z382" si="384">N382-S382</f>
        <v>0</v>
      </c>
      <c r="Y382" s="49">
        <f t="shared" si="384"/>
        <v>0</v>
      </c>
      <c r="Z382" s="49">
        <f t="shared" si="384"/>
        <v>0</v>
      </c>
      <c r="AA382" s="54"/>
      <c r="AB382" s="54"/>
      <c r="AC382" s="2">
        <f t="shared" si="208"/>
        <v>2</v>
      </c>
      <c r="AD382" s="6"/>
      <c r="AE382" s="6"/>
      <c r="AF382" s="6"/>
      <c r="AG382" s="6"/>
      <c r="AH382" s="6"/>
      <c r="AI382" s="6"/>
      <c r="AJ382" s="6"/>
      <c r="AK382" s="6"/>
      <c r="AL382" s="6"/>
      <c r="AM382" s="6"/>
      <c r="AN382" s="6"/>
      <c r="AO382" s="6"/>
      <c r="AP382" s="6"/>
      <c r="AQ382" s="6"/>
      <c r="AR382" s="6"/>
      <c r="AS382" s="6"/>
    </row>
    <row r="383" spans="1:45" ht="31.5" hidden="1" x14ac:dyDescent="0.25">
      <c r="A383" s="33" t="s">
        <v>35</v>
      </c>
      <c r="B383" s="42">
        <v>191</v>
      </c>
      <c r="C383" s="33" t="s">
        <v>1018</v>
      </c>
      <c r="D383" s="33" t="s">
        <v>1616</v>
      </c>
      <c r="E383" s="33" t="s">
        <v>100</v>
      </c>
      <c r="F383" s="54"/>
      <c r="G383" s="33" t="s">
        <v>1617</v>
      </c>
      <c r="H383" s="33" t="s">
        <v>1618</v>
      </c>
      <c r="I383" s="32"/>
      <c r="J383" s="33" t="s">
        <v>1619</v>
      </c>
      <c r="K383" s="33" t="s">
        <v>43</v>
      </c>
      <c r="L383" s="33" t="s">
        <v>1620</v>
      </c>
      <c r="M383" s="44">
        <v>1674305520</v>
      </c>
      <c r="N383" s="44">
        <v>74625408</v>
      </c>
      <c r="O383" s="44">
        <v>7500000</v>
      </c>
      <c r="P383" s="86"/>
      <c r="Q383" s="44">
        <f t="shared" si="206"/>
        <v>1756430928</v>
      </c>
      <c r="R383" s="48">
        <v>1674305520</v>
      </c>
      <c r="S383" s="48">
        <v>74625408</v>
      </c>
      <c r="T383" s="44">
        <v>7500000</v>
      </c>
      <c r="U383" s="32"/>
      <c r="V383" s="32"/>
      <c r="W383" s="49"/>
      <c r="X383" s="49">
        <f t="shared" ref="X383:Z383" si="385">N383-S383</f>
        <v>0</v>
      </c>
      <c r="Y383" s="49">
        <f t="shared" si="385"/>
        <v>0</v>
      </c>
      <c r="Z383" s="49">
        <f t="shared" si="385"/>
        <v>0</v>
      </c>
      <c r="AA383" s="54"/>
      <c r="AB383" s="54"/>
      <c r="AC383" s="2">
        <f t="shared" si="208"/>
        <v>2</v>
      </c>
      <c r="AD383" s="6"/>
      <c r="AE383" s="6"/>
      <c r="AF383" s="6"/>
      <c r="AG383" s="6"/>
      <c r="AH383" s="6"/>
      <c r="AI383" s="6"/>
      <c r="AJ383" s="6"/>
      <c r="AK383" s="6"/>
      <c r="AL383" s="6"/>
      <c r="AM383" s="6"/>
      <c r="AN383" s="6"/>
      <c r="AO383" s="6"/>
      <c r="AP383" s="6"/>
      <c r="AQ383" s="6"/>
      <c r="AR383" s="6"/>
      <c r="AS383" s="6"/>
    </row>
    <row r="384" spans="1:45" ht="31.5" hidden="1" x14ac:dyDescent="0.25">
      <c r="A384" s="33" t="s">
        <v>35</v>
      </c>
      <c r="B384" s="42">
        <v>192</v>
      </c>
      <c r="C384" s="33" t="s">
        <v>1018</v>
      </c>
      <c r="D384" s="33" t="s">
        <v>1625</v>
      </c>
      <c r="E384" s="32"/>
      <c r="F384" s="54"/>
      <c r="G384" s="33" t="s">
        <v>1626</v>
      </c>
      <c r="H384" s="32"/>
      <c r="I384" s="32"/>
      <c r="J384" s="33" t="s">
        <v>1627</v>
      </c>
      <c r="K384" s="33" t="s">
        <v>43</v>
      </c>
      <c r="L384" s="33" t="s">
        <v>1628</v>
      </c>
      <c r="M384" s="44">
        <v>3072481912</v>
      </c>
      <c r="N384" s="45"/>
      <c r="O384" s="44">
        <v>15000000</v>
      </c>
      <c r="P384" s="86"/>
      <c r="Q384" s="44">
        <f t="shared" si="206"/>
        <v>3087481912</v>
      </c>
      <c r="R384" s="48">
        <v>3072481912</v>
      </c>
      <c r="S384" s="32"/>
      <c r="T384" s="44">
        <v>15000000</v>
      </c>
      <c r="U384" s="32"/>
      <c r="V384" s="32"/>
      <c r="W384" s="49"/>
      <c r="X384" s="49">
        <f t="shared" ref="X384:Z384" si="386">N384-S384</f>
        <v>0</v>
      </c>
      <c r="Y384" s="49">
        <f t="shared" si="386"/>
        <v>0</v>
      </c>
      <c r="Z384" s="49">
        <f t="shared" si="386"/>
        <v>0</v>
      </c>
      <c r="AA384" s="54"/>
      <c r="AB384" s="54"/>
      <c r="AC384" s="2">
        <f t="shared" si="208"/>
        <v>2</v>
      </c>
      <c r="AD384" s="6"/>
      <c r="AE384" s="6"/>
      <c r="AF384" s="6"/>
      <c r="AG384" s="6"/>
      <c r="AH384" s="6"/>
      <c r="AI384" s="6"/>
      <c r="AJ384" s="6"/>
      <c r="AK384" s="6"/>
      <c r="AL384" s="6"/>
      <c r="AM384" s="6"/>
      <c r="AN384" s="6"/>
      <c r="AO384" s="6"/>
      <c r="AP384" s="6"/>
      <c r="AQ384" s="6"/>
      <c r="AR384" s="6"/>
      <c r="AS384" s="6"/>
    </row>
    <row r="385" spans="1:45" ht="63" hidden="1" x14ac:dyDescent="0.25">
      <c r="A385" s="33" t="s">
        <v>35</v>
      </c>
      <c r="B385" s="42">
        <v>193</v>
      </c>
      <c r="C385" s="33" t="s">
        <v>1018</v>
      </c>
      <c r="D385" s="33" t="s">
        <v>1634</v>
      </c>
      <c r="E385" s="33" t="s">
        <v>1635</v>
      </c>
      <c r="F385" s="54"/>
      <c r="G385" s="33" t="s">
        <v>1636</v>
      </c>
      <c r="H385" s="33" t="s">
        <v>1637</v>
      </c>
      <c r="I385" s="32"/>
      <c r="J385" s="33" t="s">
        <v>1638</v>
      </c>
      <c r="K385" s="33" t="s">
        <v>43</v>
      </c>
      <c r="L385" s="33" t="s">
        <v>1639</v>
      </c>
      <c r="M385" s="44">
        <v>3088268220</v>
      </c>
      <c r="N385" s="44">
        <v>903427190</v>
      </c>
      <c r="O385" s="44">
        <v>15000000</v>
      </c>
      <c r="P385" s="86"/>
      <c r="Q385" s="44">
        <f t="shared" si="206"/>
        <v>4006695410</v>
      </c>
      <c r="R385" s="48">
        <v>3088268220</v>
      </c>
      <c r="S385" s="48">
        <v>903427190</v>
      </c>
      <c r="T385" s="44">
        <v>15000000</v>
      </c>
      <c r="U385" s="32"/>
      <c r="V385" s="32"/>
      <c r="W385" s="49"/>
      <c r="X385" s="49">
        <f t="shared" ref="X385:Z385" si="387">N385-S385</f>
        <v>0</v>
      </c>
      <c r="Y385" s="49">
        <f t="shared" si="387"/>
        <v>0</v>
      </c>
      <c r="Z385" s="49">
        <f t="shared" si="387"/>
        <v>0</v>
      </c>
      <c r="AA385" s="54"/>
      <c r="AB385" s="54"/>
      <c r="AC385" s="2">
        <f t="shared" si="208"/>
        <v>2</v>
      </c>
      <c r="AD385" s="6"/>
      <c r="AE385" s="6"/>
      <c r="AF385" s="6"/>
      <c r="AG385" s="6"/>
      <c r="AH385" s="6"/>
      <c r="AI385" s="6"/>
      <c r="AJ385" s="6"/>
      <c r="AK385" s="6"/>
      <c r="AL385" s="6"/>
      <c r="AM385" s="6"/>
      <c r="AN385" s="6"/>
      <c r="AO385" s="6"/>
      <c r="AP385" s="6"/>
      <c r="AQ385" s="6"/>
      <c r="AR385" s="6"/>
      <c r="AS385" s="6"/>
    </row>
    <row r="386" spans="1:45" ht="31.5" hidden="1" x14ac:dyDescent="0.25">
      <c r="A386" s="33" t="s">
        <v>35</v>
      </c>
      <c r="B386" s="42">
        <v>194</v>
      </c>
      <c r="C386" s="33" t="s">
        <v>1018</v>
      </c>
      <c r="D386" s="33" t="s">
        <v>1644</v>
      </c>
      <c r="E386" s="33" t="s">
        <v>100</v>
      </c>
      <c r="F386" s="54"/>
      <c r="G386" s="33" t="s">
        <v>1645</v>
      </c>
      <c r="H386" s="33" t="s">
        <v>1550</v>
      </c>
      <c r="I386" s="32"/>
      <c r="J386" s="33" t="s">
        <v>1646</v>
      </c>
      <c r="K386" s="33" t="s">
        <v>43</v>
      </c>
      <c r="L386" s="33" t="s">
        <v>1647</v>
      </c>
      <c r="M386" s="44">
        <v>1894603455</v>
      </c>
      <c r="N386" s="44">
        <v>66971520</v>
      </c>
      <c r="O386" s="44">
        <v>7500000</v>
      </c>
      <c r="P386" s="86"/>
      <c r="Q386" s="44">
        <f t="shared" si="206"/>
        <v>1969074975</v>
      </c>
      <c r="R386" s="48">
        <v>1894603455</v>
      </c>
      <c r="S386" s="48">
        <v>66971520</v>
      </c>
      <c r="T386" s="44">
        <v>7500000</v>
      </c>
      <c r="U386" s="32"/>
      <c r="V386" s="32"/>
      <c r="W386" s="49"/>
      <c r="X386" s="49">
        <f t="shared" ref="X386:Z386" si="388">N386-S386</f>
        <v>0</v>
      </c>
      <c r="Y386" s="49">
        <f t="shared" si="388"/>
        <v>0</v>
      </c>
      <c r="Z386" s="49">
        <f t="shared" si="388"/>
        <v>0</v>
      </c>
      <c r="AA386" s="54"/>
      <c r="AB386" s="54"/>
      <c r="AC386" s="2">
        <f t="shared" si="208"/>
        <v>2</v>
      </c>
      <c r="AD386" s="6"/>
      <c r="AE386" s="6"/>
      <c r="AF386" s="6"/>
      <c r="AG386" s="6"/>
      <c r="AH386" s="6"/>
      <c r="AI386" s="6"/>
      <c r="AJ386" s="6"/>
      <c r="AK386" s="6"/>
      <c r="AL386" s="6"/>
      <c r="AM386" s="6"/>
      <c r="AN386" s="6"/>
      <c r="AO386" s="6"/>
      <c r="AP386" s="6"/>
      <c r="AQ386" s="6"/>
      <c r="AR386" s="6"/>
      <c r="AS386" s="6"/>
    </row>
    <row r="387" spans="1:45" ht="31.5" hidden="1" x14ac:dyDescent="0.25">
      <c r="A387" s="33" t="s">
        <v>35</v>
      </c>
      <c r="B387" s="42">
        <v>195</v>
      </c>
      <c r="C387" s="33" t="s">
        <v>1018</v>
      </c>
      <c r="D387" s="33" t="s">
        <v>1653</v>
      </c>
      <c r="E387" s="32"/>
      <c r="F387" s="54"/>
      <c r="G387" s="33" t="s">
        <v>1654</v>
      </c>
      <c r="H387" s="32"/>
      <c r="I387" s="32"/>
      <c r="J387" s="33" t="s">
        <v>1655</v>
      </c>
      <c r="K387" s="33" t="s">
        <v>43</v>
      </c>
      <c r="L387" s="33" t="s">
        <v>1656</v>
      </c>
      <c r="M387" s="44">
        <v>2562353764</v>
      </c>
      <c r="N387" s="45"/>
      <c r="O387" s="44">
        <v>15000000</v>
      </c>
      <c r="P387" s="86"/>
      <c r="Q387" s="44">
        <f t="shared" si="206"/>
        <v>2577353764</v>
      </c>
      <c r="R387" s="48">
        <v>2562353764</v>
      </c>
      <c r="S387" s="32"/>
      <c r="T387" s="44">
        <v>15000000</v>
      </c>
      <c r="U387" s="32"/>
      <c r="V387" s="32"/>
      <c r="W387" s="49"/>
      <c r="X387" s="49">
        <f t="shared" ref="X387:Z387" si="389">N387-S387</f>
        <v>0</v>
      </c>
      <c r="Y387" s="49">
        <f t="shared" si="389"/>
        <v>0</v>
      </c>
      <c r="Z387" s="49">
        <f t="shared" si="389"/>
        <v>0</v>
      </c>
      <c r="AA387" s="54"/>
      <c r="AB387" s="54"/>
      <c r="AC387" s="2">
        <f t="shared" si="208"/>
        <v>2</v>
      </c>
      <c r="AD387" s="6"/>
      <c r="AE387" s="6"/>
      <c r="AF387" s="6"/>
      <c r="AG387" s="6"/>
      <c r="AH387" s="6"/>
      <c r="AI387" s="6"/>
      <c r="AJ387" s="6"/>
      <c r="AK387" s="6"/>
      <c r="AL387" s="6"/>
      <c r="AM387" s="6"/>
      <c r="AN387" s="6"/>
      <c r="AO387" s="6"/>
      <c r="AP387" s="6"/>
      <c r="AQ387" s="6"/>
      <c r="AR387" s="6"/>
      <c r="AS387" s="6"/>
    </row>
    <row r="388" spans="1:45" ht="62.25" hidden="1" customHeight="1" x14ac:dyDescent="0.25">
      <c r="A388" s="33" t="s">
        <v>35</v>
      </c>
      <c r="B388" s="42">
        <v>196</v>
      </c>
      <c r="C388" s="33" t="s">
        <v>1018</v>
      </c>
      <c r="D388" s="33" t="s">
        <v>1657</v>
      </c>
      <c r="E388" s="32"/>
      <c r="F388" s="54"/>
      <c r="G388" s="33" t="s">
        <v>1658</v>
      </c>
      <c r="H388" s="32"/>
      <c r="I388" s="32"/>
      <c r="J388" s="33" t="s">
        <v>1659</v>
      </c>
      <c r="K388" s="33" t="s">
        <v>43</v>
      </c>
      <c r="L388" s="33" t="s">
        <v>1660</v>
      </c>
      <c r="M388" s="44">
        <v>2203826444</v>
      </c>
      <c r="N388" s="45"/>
      <c r="O388" s="44">
        <v>7500000</v>
      </c>
      <c r="P388" s="86"/>
      <c r="Q388" s="44">
        <f t="shared" si="206"/>
        <v>2211326444</v>
      </c>
      <c r="R388" s="48">
        <v>2203826444</v>
      </c>
      <c r="S388" s="32"/>
      <c r="T388" s="44">
        <v>7500000</v>
      </c>
      <c r="U388" s="32"/>
      <c r="V388" s="32"/>
      <c r="W388" s="49"/>
      <c r="X388" s="49">
        <f t="shared" ref="X388:Z388" si="390">N388-S388</f>
        <v>0</v>
      </c>
      <c r="Y388" s="49">
        <f t="shared" si="390"/>
        <v>0</v>
      </c>
      <c r="Z388" s="49">
        <f t="shared" si="390"/>
        <v>0</v>
      </c>
      <c r="AA388" s="54"/>
      <c r="AB388" s="54"/>
      <c r="AC388" s="2">
        <f t="shared" si="208"/>
        <v>2</v>
      </c>
      <c r="AD388" s="6"/>
      <c r="AE388" s="6"/>
      <c r="AF388" s="6"/>
      <c r="AG388" s="6"/>
      <c r="AH388" s="6"/>
      <c r="AI388" s="6"/>
      <c r="AJ388" s="6"/>
      <c r="AK388" s="6"/>
      <c r="AL388" s="6"/>
      <c r="AM388" s="6"/>
      <c r="AN388" s="6"/>
      <c r="AO388" s="6"/>
      <c r="AP388" s="6"/>
      <c r="AQ388" s="6"/>
      <c r="AR388" s="6"/>
      <c r="AS388" s="6"/>
    </row>
    <row r="389" spans="1:45" ht="31.5" hidden="1" x14ac:dyDescent="0.25">
      <c r="A389" s="33" t="s">
        <v>35</v>
      </c>
      <c r="B389" s="42">
        <v>197</v>
      </c>
      <c r="C389" s="33" t="s">
        <v>1018</v>
      </c>
      <c r="D389" s="33" t="s">
        <v>1666</v>
      </c>
      <c r="E389" s="33" t="s">
        <v>883</v>
      </c>
      <c r="F389" s="54"/>
      <c r="G389" s="33" t="s">
        <v>1667</v>
      </c>
      <c r="H389" s="33" t="s">
        <v>620</v>
      </c>
      <c r="I389" s="32"/>
      <c r="J389" s="33" t="s">
        <v>1668</v>
      </c>
      <c r="K389" s="33" t="s">
        <v>43</v>
      </c>
      <c r="L389" s="33" t="s">
        <v>1669</v>
      </c>
      <c r="M389" s="44">
        <v>3074543364</v>
      </c>
      <c r="N389" s="44">
        <v>808489752</v>
      </c>
      <c r="O389" s="44">
        <v>7500000</v>
      </c>
      <c r="P389" s="86"/>
      <c r="Q389" s="44">
        <f t="shared" si="206"/>
        <v>3890533116</v>
      </c>
      <c r="R389" s="48">
        <v>3074543364</v>
      </c>
      <c r="S389" s="48">
        <v>808489752</v>
      </c>
      <c r="T389" s="45">
        <v>7500000</v>
      </c>
      <c r="U389" s="32"/>
      <c r="V389" s="32"/>
      <c r="W389" s="49"/>
      <c r="X389" s="49">
        <f t="shared" ref="X389:Z389" si="391">N389-S389</f>
        <v>0</v>
      </c>
      <c r="Y389" s="49">
        <f t="shared" si="391"/>
        <v>0</v>
      </c>
      <c r="Z389" s="49">
        <f t="shared" si="391"/>
        <v>0</v>
      </c>
      <c r="AA389" s="54"/>
      <c r="AB389" s="54"/>
      <c r="AC389" s="2">
        <f t="shared" si="208"/>
        <v>2</v>
      </c>
      <c r="AD389" s="6"/>
      <c r="AE389" s="6"/>
      <c r="AF389" s="6"/>
      <c r="AG389" s="6"/>
      <c r="AH389" s="6"/>
      <c r="AI389" s="6"/>
      <c r="AJ389" s="6"/>
      <c r="AK389" s="6"/>
      <c r="AL389" s="6"/>
      <c r="AM389" s="6"/>
      <c r="AN389" s="6"/>
      <c r="AO389" s="6"/>
      <c r="AP389" s="6"/>
      <c r="AQ389" s="6"/>
      <c r="AR389" s="6"/>
      <c r="AS389" s="6"/>
    </row>
    <row r="390" spans="1:45" ht="78.75" hidden="1" x14ac:dyDescent="0.25">
      <c r="A390" s="33" t="s">
        <v>35</v>
      </c>
      <c r="B390" s="42">
        <v>198</v>
      </c>
      <c r="C390" s="33" t="s">
        <v>1018</v>
      </c>
      <c r="D390" s="33" t="s">
        <v>1676</v>
      </c>
      <c r="E390" s="32"/>
      <c r="F390" s="54"/>
      <c r="G390" s="33" t="s">
        <v>1677</v>
      </c>
      <c r="H390" s="32"/>
      <c r="I390" s="33" t="s">
        <v>85</v>
      </c>
      <c r="J390" s="33" t="s">
        <v>1678</v>
      </c>
      <c r="K390" s="33" t="s">
        <v>43</v>
      </c>
      <c r="L390" s="33" t="s">
        <v>1601</v>
      </c>
      <c r="M390" s="44">
        <v>0</v>
      </c>
      <c r="N390" s="45"/>
      <c r="O390" s="66"/>
      <c r="P390" s="86"/>
      <c r="Q390" s="44">
        <f t="shared" si="206"/>
        <v>0</v>
      </c>
      <c r="R390" s="42">
        <v>0</v>
      </c>
      <c r="S390" s="32"/>
      <c r="T390" s="45"/>
      <c r="U390" s="32"/>
      <c r="V390" s="32"/>
      <c r="W390" s="49"/>
      <c r="X390" s="49">
        <f t="shared" ref="X390:Z390" si="392">N390-S390</f>
        <v>0</v>
      </c>
      <c r="Y390" s="49">
        <f t="shared" si="392"/>
        <v>0</v>
      </c>
      <c r="Z390" s="49">
        <f t="shared" si="392"/>
        <v>0</v>
      </c>
      <c r="AA390" s="54"/>
      <c r="AB390" s="54"/>
      <c r="AC390" s="2">
        <f t="shared" si="208"/>
        <v>2</v>
      </c>
      <c r="AD390" s="6"/>
      <c r="AE390" s="6"/>
      <c r="AF390" s="6"/>
      <c r="AG390" s="6"/>
      <c r="AH390" s="6"/>
      <c r="AI390" s="6"/>
      <c r="AJ390" s="6"/>
      <c r="AK390" s="6"/>
      <c r="AL390" s="6"/>
      <c r="AM390" s="6"/>
      <c r="AN390" s="6"/>
      <c r="AO390" s="6"/>
      <c r="AP390" s="6"/>
      <c r="AQ390" s="6"/>
      <c r="AR390" s="6"/>
      <c r="AS390" s="6"/>
    </row>
    <row r="391" spans="1:45" ht="31.5" hidden="1" x14ac:dyDescent="0.25">
      <c r="A391" s="33" t="s">
        <v>35</v>
      </c>
      <c r="B391" s="42">
        <v>200</v>
      </c>
      <c r="C391" s="33" t="s">
        <v>1018</v>
      </c>
      <c r="D391" s="33" t="s">
        <v>1690</v>
      </c>
      <c r="E391" s="32"/>
      <c r="F391" s="54"/>
      <c r="G391" s="33" t="s">
        <v>1691</v>
      </c>
      <c r="H391" s="32"/>
      <c r="I391" s="32"/>
      <c r="J391" s="33" t="s">
        <v>1692</v>
      </c>
      <c r="K391" s="33" t="s">
        <v>43</v>
      </c>
      <c r="L391" s="33" t="s">
        <v>1693</v>
      </c>
      <c r="M391" s="44">
        <v>3220790384</v>
      </c>
      <c r="N391" s="45"/>
      <c r="O391" s="44">
        <v>7500000</v>
      </c>
      <c r="P391" s="86"/>
      <c r="Q391" s="44">
        <f t="shared" si="206"/>
        <v>3228290384</v>
      </c>
      <c r="R391" s="48">
        <v>3220790384</v>
      </c>
      <c r="S391" s="32"/>
      <c r="T391" s="44">
        <v>7500000</v>
      </c>
      <c r="U391" s="32"/>
      <c r="V391" s="32"/>
      <c r="W391" s="49"/>
      <c r="X391" s="49">
        <f t="shared" ref="X391:Z391" si="393">N391-S391</f>
        <v>0</v>
      </c>
      <c r="Y391" s="49">
        <f t="shared" si="393"/>
        <v>0</v>
      </c>
      <c r="Z391" s="49">
        <f t="shared" si="393"/>
        <v>0</v>
      </c>
      <c r="AA391" s="54"/>
      <c r="AB391" s="54"/>
      <c r="AC391" s="2">
        <f t="shared" si="208"/>
        <v>2</v>
      </c>
      <c r="AD391" s="6"/>
      <c r="AE391" s="6"/>
      <c r="AF391" s="6"/>
      <c r="AG391" s="6"/>
      <c r="AH391" s="6"/>
      <c r="AI391" s="6"/>
      <c r="AJ391" s="6"/>
      <c r="AK391" s="6"/>
      <c r="AL391" s="6"/>
      <c r="AM391" s="6"/>
      <c r="AN391" s="6"/>
      <c r="AO391" s="6"/>
      <c r="AP391" s="6"/>
      <c r="AQ391" s="6"/>
      <c r="AR391" s="6"/>
      <c r="AS391" s="6"/>
    </row>
    <row r="392" spans="1:45" ht="31.5" hidden="1" x14ac:dyDescent="0.25">
      <c r="A392" s="33" t="s">
        <v>35</v>
      </c>
      <c r="B392" s="42">
        <v>201</v>
      </c>
      <c r="C392" s="33" t="s">
        <v>1018</v>
      </c>
      <c r="D392" s="33" t="s">
        <v>1700</v>
      </c>
      <c r="E392" s="33" t="s">
        <v>1701</v>
      </c>
      <c r="F392" s="54"/>
      <c r="G392" s="33" t="s">
        <v>1702</v>
      </c>
      <c r="H392" s="33" t="s">
        <v>1703</v>
      </c>
      <c r="I392" s="32"/>
      <c r="J392" s="33" t="s">
        <v>1704</v>
      </c>
      <c r="K392" s="33" t="s">
        <v>43</v>
      </c>
      <c r="L392" s="33" t="s">
        <v>1705</v>
      </c>
      <c r="M392" s="44">
        <v>910302386</v>
      </c>
      <c r="N392" s="44">
        <v>152432640</v>
      </c>
      <c r="O392" s="44">
        <v>7500000</v>
      </c>
      <c r="P392" s="86"/>
      <c r="Q392" s="44">
        <f t="shared" si="206"/>
        <v>1070235026</v>
      </c>
      <c r="R392" s="48">
        <v>910302386</v>
      </c>
      <c r="S392" s="33"/>
      <c r="T392" s="44">
        <v>7500000</v>
      </c>
      <c r="U392" s="32"/>
      <c r="V392" s="32"/>
      <c r="W392" s="49"/>
      <c r="X392" s="52">
        <f t="shared" ref="X392:Z392" si="394">N392-S392</f>
        <v>152432640</v>
      </c>
      <c r="Y392" s="49">
        <f t="shared" si="394"/>
        <v>0</v>
      </c>
      <c r="Z392" s="49">
        <f t="shared" si="394"/>
        <v>0</v>
      </c>
      <c r="AA392" s="43"/>
      <c r="AB392" s="43"/>
      <c r="AC392" s="6">
        <f t="shared" si="208"/>
        <v>2</v>
      </c>
      <c r="AD392" s="6"/>
      <c r="AE392" s="6"/>
      <c r="AF392" s="6"/>
      <c r="AG392" s="6"/>
      <c r="AH392" s="6"/>
      <c r="AI392" s="6"/>
      <c r="AJ392" s="6"/>
      <c r="AK392" s="6"/>
      <c r="AL392" s="6"/>
      <c r="AM392" s="6"/>
      <c r="AN392" s="6"/>
      <c r="AO392" s="6"/>
      <c r="AP392" s="6"/>
      <c r="AQ392" s="6"/>
      <c r="AR392" s="6"/>
      <c r="AS392" s="6"/>
    </row>
    <row r="393" spans="1:45" ht="31.5" hidden="1" x14ac:dyDescent="0.25">
      <c r="A393" s="33" t="s">
        <v>35</v>
      </c>
      <c r="B393" s="42">
        <v>202</v>
      </c>
      <c r="C393" s="33" t="s">
        <v>1018</v>
      </c>
      <c r="D393" s="33" t="s">
        <v>1712</v>
      </c>
      <c r="E393" s="32"/>
      <c r="F393" s="54"/>
      <c r="G393" s="33" t="s">
        <v>1713</v>
      </c>
      <c r="H393" s="32"/>
      <c r="I393" s="32"/>
      <c r="J393" s="33" t="s">
        <v>1715</v>
      </c>
      <c r="K393" s="33" t="s">
        <v>43</v>
      </c>
      <c r="L393" s="33" t="s">
        <v>1718</v>
      </c>
      <c r="M393" s="44">
        <v>1185868242</v>
      </c>
      <c r="N393" s="45"/>
      <c r="O393" s="44">
        <v>7500000</v>
      </c>
      <c r="P393" s="86"/>
      <c r="Q393" s="44">
        <f t="shared" si="206"/>
        <v>1193368242</v>
      </c>
      <c r="R393" s="48">
        <v>1185868242</v>
      </c>
      <c r="S393" s="32"/>
      <c r="T393" s="44">
        <v>7500000</v>
      </c>
      <c r="U393" s="32"/>
      <c r="V393" s="32"/>
      <c r="W393" s="49"/>
      <c r="X393" s="49">
        <f t="shared" ref="X393:Z393" si="395">N393-S393</f>
        <v>0</v>
      </c>
      <c r="Y393" s="49">
        <f t="shared" si="395"/>
        <v>0</v>
      </c>
      <c r="Z393" s="49">
        <f t="shared" si="395"/>
        <v>0</v>
      </c>
      <c r="AA393" s="54"/>
      <c r="AB393" s="54"/>
      <c r="AC393" s="2">
        <f t="shared" si="208"/>
        <v>2</v>
      </c>
      <c r="AD393" s="6"/>
      <c r="AE393" s="6"/>
      <c r="AF393" s="6"/>
      <c r="AG393" s="6"/>
      <c r="AH393" s="6"/>
      <c r="AI393" s="6"/>
      <c r="AJ393" s="6"/>
      <c r="AK393" s="6"/>
      <c r="AL393" s="6"/>
      <c r="AM393" s="6"/>
      <c r="AN393" s="6"/>
      <c r="AO393" s="6"/>
      <c r="AP393" s="6"/>
      <c r="AQ393" s="6"/>
      <c r="AR393" s="6"/>
      <c r="AS393" s="6"/>
    </row>
    <row r="394" spans="1:45" ht="63" hidden="1" x14ac:dyDescent="0.25">
      <c r="A394" s="33" t="s">
        <v>35</v>
      </c>
      <c r="B394" s="42">
        <v>203</v>
      </c>
      <c r="C394" s="33" t="s">
        <v>1018</v>
      </c>
      <c r="D394" s="33" t="s">
        <v>1721</v>
      </c>
      <c r="E394" s="33"/>
      <c r="F394" s="54"/>
      <c r="G394" s="33" t="s">
        <v>1722</v>
      </c>
      <c r="H394" s="33"/>
      <c r="I394" s="33"/>
      <c r="J394" s="33" t="s">
        <v>1723</v>
      </c>
      <c r="K394" s="33" t="s">
        <v>43</v>
      </c>
      <c r="L394" s="33" t="s">
        <v>1724</v>
      </c>
      <c r="M394" s="44">
        <v>4789848</v>
      </c>
      <c r="N394" s="45"/>
      <c r="O394" s="44">
        <v>7500000</v>
      </c>
      <c r="P394" s="86"/>
      <c r="Q394" s="44">
        <f t="shared" si="206"/>
        <v>12289848</v>
      </c>
      <c r="R394" s="32"/>
      <c r="S394" s="32"/>
      <c r="T394" s="66"/>
      <c r="U394" s="32"/>
      <c r="V394" s="32"/>
      <c r="W394" s="49">
        <v>4789848</v>
      </c>
      <c r="X394" s="49">
        <f t="shared" ref="X394:Z394" si="396">N394-S394</f>
        <v>0</v>
      </c>
      <c r="Y394" s="52">
        <f t="shared" si="396"/>
        <v>7500000</v>
      </c>
      <c r="Z394" s="49">
        <f t="shared" si="396"/>
        <v>0</v>
      </c>
      <c r="AA394" s="69">
        <v>4789848</v>
      </c>
      <c r="AB394" s="43"/>
      <c r="AC394" s="15">
        <f t="shared" si="208"/>
        <v>2</v>
      </c>
      <c r="AD394" s="15"/>
      <c r="AE394" s="6"/>
      <c r="AF394" s="6"/>
      <c r="AG394" s="6"/>
      <c r="AH394" s="6"/>
      <c r="AI394" s="6"/>
      <c r="AJ394" s="6"/>
      <c r="AK394" s="6"/>
      <c r="AL394" s="6"/>
      <c r="AM394" s="6"/>
      <c r="AN394" s="6"/>
      <c r="AO394" s="6"/>
      <c r="AP394" s="6"/>
      <c r="AQ394" s="6"/>
      <c r="AR394" s="6"/>
      <c r="AS394" s="6"/>
    </row>
    <row r="395" spans="1:45" ht="31.5" hidden="1" x14ac:dyDescent="0.25">
      <c r="A395" s="33" t="s">
        <v>35</v>
      </c>
      <c r="B395" s="42">
        <v>204</v>
      </c>
      <c r="C395" s="33" t="s">
        <v>1018</v>
      </c>
      <c r="D395" s="33" t="s">
        <v>1730</v>
      </c>
      <c r="E395" s="32"/>
      <c r="F395" s="54"/>
      <c r="G395" s="33" t="s">
        <v>1731</v>
      </c>
      <c r="H395" s="32"/>
      <c r="I395" s="32"/>
      <c r="J395" s="33" t="s">
        <v>1732</v>
      </c>
      <c r="K395" s="33" t="s">
        <v>43</v>
      </c>
      <c r="L395" s="33" t="s">
        <v>1733</v>
      </c>
      <c r="M395" s="44">
        <v>917216300</v>
      </c>
      <c r="N395" s="45"/>
      <c r="O395" s="44">
        <v>7500000</v>
      </c>
      <c r="P395" s="86"/>
      <c r="Q395" s="44">
        <f t="shared" si="206"/>
        <v>924716300</v>
      </c>
      <c r="R395" s="48">
        <v>917216300</v>
      </c>
      <c r="S395" s="32"/>
      <c r="T395" s="44">
        <v>7500000</v>
      </c>
      <c r="U395" s="32"/>
      <c r="V395" s="32"/>
      <c r="W395" s="49"/>
      <c r="X395" s="49">
        <f t="shared" ref="X395:Z395" si="397">N395-S395</f>
        <v>0</v>
      </c>
      <c r="Y395" s="49">
        <f t="shared" si="397"/>
        <v>0</v>
      </c>
      <c r="Z395" s="49">
        <f t="shared" si="397"/>
        <v>0</v>
      </c>
      <c r="AA395" s="54"/>
      <c r="AB395" s="54"/>
      <c r="AC395" s="2">
        <f t="shared" si="208"/>
        <v>2</v>
      </c>
      <c r="AD395" s="6"/>
      <c r="AE395" s="6"/>
      <c r="AF395" s="6"/>
      <c r="AG395" s="6"/>
      <c r="AH395" s="6"/>
      <c r="AI395" s="6"/>
      <c r="AJ395" s="6"/>
      <c r="AK395" s="6"/>
      <c r="AL395" s="6"/>
      <c r="AM395" s="6"/>
      <c r="AN395" s="6"/>
      <c r="AO395" s="6"/>
      <c r="AP395" s="6"/>
      <c r="AQ395" s="6"/>
      <c r="AR395" s="6"/>
      <c r="AS395" s="6"/>
    </row>
    <row r="396" spans="1:45" ht="47.25" hidden="1" x14ac:dyDescent="0.25">
      <c r="A396" s="33" t="s">
        <v>35</v>
      </c>
      <c r="B396" s="42">
        <v>205</v>
      </c>
      <c r="C396" s="33" t="s">
        <v>1018</v>
      </c>
      <c r="D396" s="33" t="s">
        <v>1740</v>
      </c>
      <c r="E396" s="33" t="s">
        <v>1741</v>
      </c>
      <c r="F396" s="54"/>
      <c r="G396" s="33" t="s">
        <v>1742</v>
      </c>
      <c r="H396" s="33"/>
      <c r="I396" s="33"/>
      <c r="J396" s="33" t="s">
        <v>1743</v>
      </c>
      <c r="K396" s="33" t="s">
        <v>43</v>
      </c>
      <c r="L396" s="33" t="s">
        <v>1744</v>
      </c>
      <c r="M396" s="44">
        <v>9371283600</v>
      </c>
      <c r="N396" s="44">
        <v>550184000</v>
      </c>
      <c r="O396" s="44">
        <v>15000000</v>
      </c>
      <c r="P396" s="86"/>
      <c r="Q396" s="44">
        <f t="shared" si="206"/>
        <v>9936467600</v>
      </c>
      <c r="R396" s="48">
        <v>9371283600</v>
      </c>
      <c r="S396" s="48">
        <v>550184000</v>
      </c>
      <c r="T396" s="66"/>
      <c r="U396" s="32"/>
      <c r="V396" s="32"/>
      <c r="W396" s="49"/>
      <c r="X396" s="49">
        <f t="shared" ref="X396:Z396" si="398">N396-S396</f>
        <v>0</v>
      </c>
      <c r="Y396" s="52">
        <f t="shared" si="398"/>
        <v>15000000</v>
      </c>
      <c r="Z396" s="49">
        <f t="shared" si="398"/>
        <v>0</v>
      </c>
      <c r="AA396" s="54"/>
      <c r="AB396" s="43"/>
      <c r="AC396" s="15">
        <f t="shared" si="208"/>
        <v>2</v>
      </c>
      <c r="AD396" s="15"/>
      <c r="AE396" s="6"/>
      <c r="AF396" s="6"/>
      <c r="AG396" s="6"/>
      <c r="AH396" s="6"/>
      <c r="AI396" s="6"/>
      <c r="AJ396" s="6"/>
      <c r="AK396" s="6"/>
      <c r="AL396" s="6"/>
      <c r="AM396" s="6"/>
      <c r="AN396" s="6"/>
      <c r="AO396" s="6"/>
      <c r="AP396" s="6"/>
      <c r="AQ396" s="6"/>
      <c r="AR396" s="6"/>
      <c r="AS396" s="6"/>
    </row>
    <row r="397" spans="1:45" ht="31.5" hidden="1" x14ac:dyDescent="0.25">
      <c r="A397" s="33" t="s">
        <v>35</v>
      </c>
      <c r="B397" s="42">
        <v>206</v>
      </c>
      <c r="C397" s="33" t="s">
        <v>1018</v>
      </c>
      <c r="D397" s="33" t="s">
        <v>1749</v>
      </c>
      <c r="E397" s="32"/>
      <c r="F397" s="54"/>
      <c r="G397" s="33" t="s">
        <v>1750</v>
      </c>
      <c r="H397" s="32"/>
      <c r="I397" s="32"/>
      <c r="J397" s="33" t="s">
        <v>1751</v>
      </c>
      <c r="K397" s="33" t="s">
        <v>43</v>
      </c>
      <c r="L397" s="33" t="s">
        <v>1752</v>
      </c>
      <c r="M397" s="44">
        <v>829054600</v>
      </c>
      <c r="N397" s="45"/>
      <c r="O397" s="44">
        <v>7500000</v>
      </c>
      <c r="P397" s="86"/>
      <c r="Q397" s="44">
        <f t="shared" si="206"/>
        <v>836554600</v>
      </c>
      <c r="R397" s="48">
        <v>829054600</v>
      </c>
      <c r="S397" s="32"/>
      <c r="T397" s="44">
        <v>7500000</v>
      </c>
      <c r="U397" s="32"/>
      <c r="V397" s="32"/>
      <c r="W397" s="49"/>
      <c r="X397" s="49">
        <f t="shared" ref="X397:Z397" si="399">N397-S397</f>
        <v>0</v>
      </c>
      <c r="Y397" s="49">
        <f t="shared" si="399"/>
        <v>0</v>
      </c>
      <c r="Z397" s="49">
        <f t="shared" si="399"/>
        <v>0</v>
      </c>
      <c r="AA397" s="54"/>
      <c r="AB397" s="54"/>
      <c r="AC397" s="2">
        <f t="shared" si="208"/>
        <v>2</v>
      </c>
      <c r="AD397" s="6"/>
      <c r="AE397" s="6"/>
      <c r="AF397" s="6"/>
      <c r="AG397" s="6"/>
      <c r="AH397" s="6"/>
      <c r="AI397" s="6"/>
      <c r="AJ397" s="6"/>
      <c r="AK397" s="6"/>
      <c r="AL397" s="6"/>
      <c r="AM397" s="6"/>
      <c r="AN397" s="6"/>
      <c r="AO397" s="6"/>
      <c r="AP397" s="6"/>
      <c r="AQ397" s="6"/>
      <c r="AR397" s="6"/>
      <c r="AS397" s="6"/>
    </row>
    <row r="398" spans="1:45" ht="31.5" hidden="1" x14ac:dyDescent="0.25">
      <c r="A398" s="33" t="s">
        <v>35</v>
      </c>
      <c r="B398" s="42">
        <v>207</v>
      </c>
      <c r="C398" s="33" t="s">
        <v>1018</v>
      </c>
      <c r="D398" s="33" t="s">
        <v>1758</v>
      </c>
      <c r="E398" s="32"/>
      <c r="F398" s="54"/>
      <c r="G398" s="33" t="s">
        <v>1759</v>
      </c>
      <c r="H398" s="32"/>
      <c r="I398" s="32"/>
      <c r="J398" s="33" t="s">
        <v>1760</v>
      </c>
      <c r="K398" s="33" t="s">
        <v>43</v>
      </c>
      <c r="L398" s="33" t="s">
        <v>1761</v>
      </c>
      <c r="M398" s="44">
        <v>8019904200</v>
      </c>
      <c r="N398" s="45"/>
      <c r="O398" s="44">
        <v>7500000</v>
      </c>
      <c r="P398" s="86"/>
      <c r="Q398" s="44">
        <f t="shared" si="206"/>
        <v>8027404200</v>
      </c>
      <c r="R398" s="48">
        <v>8019904200</v>
      </c>
      <c r="S398" s="32"/>
      <c r="T398" s="44">
        <v>7500000</v>
      </c>
      <c r="U398" s="32"/>
      <c r="V398" s="32"/>
      <c r="W398" s="49"/>
      <c r="X398" s="49">
        <f t="shared" ref="X398:Z398" si="400">N398-S398</f>
        <v>0</v>
      </c>
      <c r="Y398" s="49">
        <f t="shared" si="400"/>
        <v>0</v>
      </c>
      <c r="Z398" s="49">
        <f t="shared" si="400"/>
        <v>0</v>
      </c>
      <c r="AA398" s="54"/>
      <c r="AB398" s="54"/>
      <c r="AC398" s="2">
        <f t="shared" si="208"/>
        <v>2</v>
      </c>
      <c r="AD398" s="6"/>
      <c r="AE398" s="6"/>
      <c r="AF398" s="6"/>
      <c r="AG398" s="6"/>
      <c r="AH398" s="6"/>
      <c r="AI398" s="6"/>
      <c r="AJ398" s="6"/>
      <c r="AK398" s="6"/>
      <c r="AL398" s="6"/>
      <c r="AM398" s="6"/>
      <c r="AN398" s="6"/>
      <c r="AO398" s="6"/>
      <c r="AP398" s="6"/>
      <c r="AQ398" s="6"/>
      <c r="AR398" s="6"/>
      <c r="AS398" s="6"/>
    </row>
    <row r="399" spans="1:45" ht="31.5" hidden="1" x14ac:dyDescent="0.25">
      <c r="A399" s="33" t="s">
        <v>60</v>
      </c>
      <c r="B399" s="42">
        <v>208</v>
      </c>
      <c r="C399" s="33" t="s">
        <v>557</v>
      </c>
      <c r="D399" s="33" t="s">
        <v>1762</v>
      </c>
      <c r="E399" s="32"/>
      <c r="F399" s="54"/>
      <c r="G399" s="33" t="s">
        <v>1763</v>
      </c>
      <c r="H399" s="32"/>
      <c r="I399" s="32"/>
      <c r="J399" s="33" t="s">
        <v>1764</v>
      </c>
      <c r="K399" s="33" t="s">
        <v>43</v>
      </c>
      <c r="L399" s="33" t="s">
        <v>1765</v>
      </c>
      <c r="M399" s="44">
        <v>692628720</v>
      </c>
      <c r="N399" s="45"/>
      <c r="O399" s="44">
        <v>7500000</v>
      </c>
      <c r="P399" s="86"/>
      <c r="Q399" s="44">
        <f t="shared" si="206"/>
        <v>700128720</v>
      </c>
      <c r="R399" s="48">
        <v>692628720</v>
      </c>
      <c r="S399" s="32"/>
      <c r="T399" s="44">
        <v>7500000</v>
      </c>
      <c r="U399" s="32"/>
      <c r="V399" s="32"/>
      <c r="W399" s="49"/>
      <c r="X399" s="49">
        <f t="shared" ref="X399:Z399" si="401">N399-S399</f>
        <v>0</v>
      </c>
      <c r="Y399" s="49">
        <f t="shared" si="401"/>
        <v>0</v>
      </c>
      <c r="Z399" s="49">
        <f t="shared" si="401"/>
        <v>0</v>
      </c>
      <c r="AA399" s="54"/>
      <c r="AB399" s="54"/>
      <c r="AC399" s="2">
        <f t="shared" si="208"/>
        <v>2</v>
      </c>
      <c r="AD399" s="6"/>
      <c r="AE399" s="6"/>
      <c r="AF399" s="6"/>
      <c r="AG399" s="6"/>
      <c r="AH399" s="6"/>
      <c r="AI399" s="6"/>
      <c r="AJ399" s="6"/>
      <c r="AK399" s="6"/>
      <c r="AL399" s="6"/>
      <c r="AM399" s="6"/>
      <c r="AN399" s="6"/>
      <c r="AO399" s="6"/>
      <c r="AP399" s="6"/>
      <c r="AQ399" s="6"/>
      <c r="AR399" s="6"/>
      <c r="AS399" s="6"/>
    </row>
    <row r="400" spans="1:45" ht="31.5" hidden="1" x14ac:dyDescent="0.25">
      <c r="A400" s="33" t="s">
        <v>60</v>
      </c>
      <c r="B400" s="42">
        <v>209</v>
      </c>
      <c r="C400" s="33" t="s">
        <v>557</v>
      </c>
      <c r="D400" s="33" t="s">
        <v>1768</v>
      </c>
      <c r="E400" s="33" t="s">
        <v>62</v>
      </c>
      <c r="F400" s="54"/>
      <c r="G400" s="33" t="s">
        <v>1770</v>
      </c>
      <c r="H400" s="32"/>
      <c r="I400" s="32"/>
      <c r="J400" s="33" t="s">
        <v>1771</v>
      </c>
      <c r="K400" s="33" t="s">
        <v>43</v>
      </c>
      <c r="L400" s="33" t="s">
        <v>1773</v>
      </c>
      <c r="M400" s="44">
        <v>3623186360</v>
      </c>
      <c r="N400" s="44">
        <v>652093580</v>
      </c>
      <c r="O400" s="44">
        <v>7500000</v>
      </c>
      <c r="P400" s="86"/>
      <c r="Q400" s="44">
        <f t="shared" si="206"/>
        <v>4282779940</v>
      </c>
      <c r="R400" s="48">
        <v>3623186360</v>
      </c>
      <c r="S400" s="48">
        <v>652093580</v>
      </c>
      <c r="T400" s="45">
        <v>7500000</v>
      </c>
      <c r="U400" s="32"/>
      <c r="V400" s="32"/>
      <c r="W400" s="49"/>
      <c r="X400" s="49">
        <f t="shared" ref="X400:Z400" si="402">N400-S400</f>
        <v>0</v>
      </c>
      <c r="Y400" s="49">
        <f t="shared" si="402"/>
        <v>0</v>
      </c>
      <c r="Z400" s="49">
        <f t="shared" si="402"/>
        <v>0</v>
      </c>
      <c r="AA400" s="54"/>
      <c r="AB400" s="54"/>
      <c r="AC400" s="2">
        <f t="shared" si="208"/>
        <v>2</v>
      </c>
      <c r="AD400" s="6"/>
      <c r="AE400" s="6"/>
      <c r="AF400" s="6"/>
      <c r="AG400" s="6"/>
      <c r="AH400" s="6"/>
      <c r="AI400" s="6"/>
      <c r="AJ400" s="6"/>
      <c r="AK400" s="6"/>
      <c r="AL400" s="6"/>
      <c r="AM400" s="6"/>
      <c r="AN400" s="6"/>
      <c r="AO400" s="6"/>
      <c r="AP400" s="6"/>
      <c r="AQ400" s="6"/>
      <c r="AR400" s="6"/>
      <c r="AS400" s="6"/>
    </row>
    <row r="401" spans="1:45" ht="31.5" hidden="1" x14ac:dyDescent="0.25">
      <c r="A401" s="33" t="s">
        <v>35</v>
      </c>
      <c r="B401" s="42">
        <v>210</v>
      </c>
      <c r="C401" s="33" t="s">
        <v>557</v>
      </c>
      <c r="D401" s="33" t="s">
        <v>1775</v>
      </c>
      <c r="E401" s="33" t="s">
        <v>1776</v>
      </c>
      <c r="F401" s="54"/>
      <c r="G401" s="33" t="s">
        <v>1777</v>
      </c>
      <c r="H401" s="32"/>
      <c r="I401" s="32"/>
      <c r="J401" s="33" t="s">
        <v>1778</v>
      </c>
      <c r="K401" s="33" t="s">
        <v>43</v>
      </c>
      <c r="L401" s="33" t="s">
        <v>1779</v>
      </c>
      <c r="M401" s="44">
        <v>2110989648</v>
      </c>
      <c r="N401" s="44">
        <v>10000000</v>
      </c>
      <c r="O401" s="44">
        <v>15000000</v>
      </c>
      <c r="P401" s="86"/>
      <c r="Q401" s="44">
        <f t="shared" si="206"/>
        <v>2135989648</v>
      </c>
      <c r="R401" s="48">
        <v>2110989648</v>
      </c>
      <c r="S401" s="48">
        <v>10000000</v>
      </c>
      <c r="T401" s="44">
        <v>15000000</v>
      </c>
      <c r="U401" s="32"/>
      <c r="V401" s="32"/>
      <c r="W401" s="49"/>
      <c r="X401" s="49">
        <f t="shared" ref="X401:Z401" si="403">N401-S401</f>
        <v>0</v>
      </c>
      <c r="Y401" s="49">
        <f t="shared" si="403"/>
        <v>0</v>
      </c>
      <c r="Z401" s="49">
        <f t="shared" si="403"/>
        <v>0</v>
      </c>
      <c r="AA401" s="54"/>
      <c r="AB401" s="54"/>
      <c r="AC401" s="2">
        <f t="shared" si="208"/>
        <v>2</v>
      </c>
      <c r="AD401" s="6"/>
      <c r="AE401" s="6"/>
      <c r="AF401" s="6"/>
      <c r="AG401" s="6"/>
      <c r="AH401" s="6"/>
      <c r="AI401" s="6"/>
      <c r="AJ401" s="6"/>
      <c r="AK401" s="6"/>
      <c r="AL401" s="6"/>
      <c r="AM401" s="6"/>
      <c r="AN401" s="6"/>
      <c r="AO401" s="6"/>
      <c r="AP401" s="6"/>
      <c r="AQ401" s="6"/>
      <c r="AR401" s="6"/>
      <c r="AS401" s="6"/>
    </row>
    <row r="402" spans="1:45" ht="31.5" hidden="1" x14ac:dyDescent="0.25">
      <c r="A402" s="33" t="s">
        <v>35</v>
      </c>
      <c r="B402" s="42">
        <v>211</v>
      </c>
      <c r="C402" s="33" t="s">
        <v>557</v>
      </c>
      <c r="D402" s="33" t="s">
        <v>1780</v>
      </c>
      <c r="E402" s="33" t="s">
        <v>1043</v>
      </c>
      <c r="F402" s="54"/>
      <c r="G402" s="33" t="s">
        <v>1781</v>
      </c>
      <c r="H402" s="33" t="s">
        <v>1782</v>
      </c>
      <c r="I402" s="32"/>
      <c r="J402" s="33" t="s">
        <v>1783</v>
      </c>
      <c r="K402" s="33" t="s">
        <v>43</v>
      </c>
      <c r="L402" s="33" t="s">
        <v>1784</v>
      </c>
      <c r="M402" s="44">
        <v>1970289158</v>
      </c>
      <c r="N402" s="44">
        <v>289891008</v>
      </c>
      <c r="O402" s="44">
        <v>15000000</v>
      </c>
      <c r="P402" s="86"/>
      <c r="Q402" s="44">
        <f t="shared" si="206"/>
        <v>2275180166</v>
      </c>
      <c r="R402" s="48">
        <v>1970289158</v>
      </c>
      <c r="S402" s="48">
        <v>289891008</v>
      </c>
      <c r="T402" s="44">
        <v>15000000</v>
      </c>
      <c r="U402" s="32"/>
      <c r="V402" s="32"/>
      <c r="W402" s="49"/>
      <c r="X402" s="49">
        <f t="shared" ref="X402:Z402" si="404">N402-S402</f>
        <v>0</v>
      </c>
      <c r="Y402" s="49">
        <f t="shared" si="404"/>
        <v>0</v>
      </c>
      <c r="Z402" s="49">
        <f t="shared" si="404"/>
        <v>0</v>
      </c>
      <c r="AA402" s="54"/>
      <c r="AB402" s="54"/>
      <c r="AC402" s="2">
        <f t="shared" si="208"/>
        <v>2</v>
      </c>
      <c r="AD402" s="6"/>
      <c r="AE402" s="6"/>
      <c r="AF402" s="6"/>
      <c r="AG402" s="6"/>
      <c r="AH402" s="6"/>
      <c r="AI402" s="6"/>
      <c r="AJ402" s="6"/>
      <c r="AK402" s="6"/>
      <c r="AL402" s="6"/>
      <c r="AM402" s="6"/>
      <c r="AN402" s="6"/>
      <c r="AO402" s="6"/>
      <c r="AP402" s="6"/>
      <c r="AQ402" s="6"/>
      <c r="AR402" s="6"/>
      <c r="AS402" s="6"/>
    </row>
    <row r="403" spans="1:45" ht="31.5" hidden="1" x14ac:dyDescent="0.25">
      <c r="A403" s="33" t="s">
        <v>35</v>
      </c>
      <c r="B403" s="42">
        <v>212</v>
      </c>
      <c r="C403" s="33" t="s">
        <v>557</v>
      </c>
      <c r="D403" s="33" t="s">
        <v>1791</v>
      </c>
      <c r="E403" s="32"/>
      <c r="F403" s="54"/>
      <c r="G403" s="33" t="s">
        <v>1792</v>
      </c>
      <c r="H403" s="32"/>
      <c r="I403" s="32"/>
      <c r="J403" s="33" t="s">
        <v>1793</v>
      </c>
      <c r="K403" s="33" t="s">
        <v>43</v>
      </c>
      <c r="L403" s="33" t="s">
        <v>1794</v>
      </c>
      <c r="M403" s="44">
        <v>1905146779</v>
      </c>
      <c r="N403" s="45"/>
      <c r="O403" s="44">
        <v>7500000</v>
      </c>
      <c r="P403" s="86"/>
      <c r="Q403" s="44">
        <f t="shared" si="206"/>
        <v>1912646779</v>
      </c>
      <c r="R403" s="48">
        <v>1905146779</v>
      </c>
      <c r="S403" s="32"/>
      <c r="T403" s="44">
        <v>7500000</v>
      </c>
      <c r="U403" s="32"/>
      <c r="V403" s="32"/>
      <c r="W403" s="49"/>
      <c r="X403" s="49">
        <f t="shared" ref="X403:Z403" si="405">N403-S403</f>
        <v>0</v>
      </c>
      <c r="Y403" s="49">
        <f t="shared" si="405"/>
        <v>0</v>
      </c>
      <c r="Z403" s="49">
        <f t="shared" si="405"/>
        <v>0</v>
      </c>
      <c r="AA403" s="54"/>
      <c r="AB403" s="54"/>
      <c r="AC403" s="2">
        <f t="shared" si="208"/>
        <v>2</v>
      </c>
      <c r="AD403" s="6"/>
      <c r="AE403" s="6"/>
      <c r="AF403" s="6"/>
      <c r="AG403" s="6"/>
      <c r="AH403" s="6"/>
      <c r="AI403" s="6"/>
      <c r="AJ403" s="6"/>
      <c r="AK403" s="6"/>
      <c r="AL403" s="6"/>
      <c r="AM403" s="6"/>
      <c r="AN403" s="6"/>
      <c r="AO403" s="6"/>
      <c r="AP403" s="6"/>
      <c r="AQ403" s="6"/>
      <c r="AR403" s="6"/>
      <c r="AS403" s="6"/>
    </row>
    <row r="404" spans="1:45" ht="31.5" hidden="1" x14ac:dyDescent="0.25">
      <c r="A404" s="33" t="s">
        <v>52</v>
      </c>
      <c r="B404" s="42">
        <v>213</v>
      </c>
      <c r="C404" s="33" t="s">
        <v>557</v>
      </c>
      <c r="D404" s="33" t="s">
        <v>1800</v>
      </c>
      <c r="E404" s="32"/>
      <c r="F404" s="54"/>
      <c r="G404" s="33" t="s">
        <v>1801</v>
      </c>
      <c r="H404" s="32"/>
      <c r="I404" s="33" t="s">
        <v>85</v>
      </c>
      <c r="J404" s="33" t="s">
        <v>1802</v>
      </c>
      <c r="K404" s="33" t="s">
        <v>43</v>
      </c>
      <c r="L404" s="33" t="s">
        <v>1803</v>
      </c>
      <c r="M404" s="44">
        <v>0</v>
      </c>
      <c r="N404" s="45"/>
      <c r="O404" s="66"/>
      <c r="P404" s="86"/>
      <c r="Q404" s="44">
        <f t="shared" si="206"/>
        <v>0</v>
      </c>
      <c r="R404" s="42">
        <v>0</v>
      </c>
      <c r="S404" s="32"/>
      <c r="T404" s="45"/>
      <c r="U404" s="32"/>
      <c r="V404" s="32"/>
      <c r="W404" s="49"/>
      <c r="X404" s="49">
        <f t="shared" ref="X404:Z404" si="406">N404-S404</f>
        <v>0</v>
      </c>
      <c r="Y404" s="49">
        <f t="shared" si="406"/>
        <v>0</v>
      </c>
      <c r="Z404" s="49">
        <f t="shared" si="406"/>
        <v>0</v>
      </c>
      <c r="AA404" s="54"/>
      <c r="AB404" s="54"/>
      <c r="AC404" s="2">
        <f t="shared" si="208"/>
        <v>2</v>
      </c>
      <c r="AD404" s="6"/>
      <c r="AE404" s="6"/>
      <c r="AF404" s="6"/>
      <c r="AG404" s="6"/>
      <c r="AH404" s="6"/>
      <c r="AI404" s="6"/>
      <c r="AJ404" s="6"/>
      <c r="AK404" s="6"/>
      <c r="AL404" s="6"/>
      <c r="AM404" s="6"/>
      <c r="AN404" s="6"/>
      <c r="AO404" s="6"/>
      <c r="AP404" s="6"/>
      <c r="AQ404" s="6"/>
      <c r="AR404" s="6"/>
      <c r="AS404" s="6"/>
    </row>
    <row r="405" spans="1:45" ht="31.5" hidden="1" x14ac:dyDescent="0.25">
      <c r="A405" s="33" t="s">
        <v>35</v>
      </c>
      <c r="B405" s="42">
        <v>214</v>
      </c>
      <c r="C405" s="33" t="s">
        <v>557</v>
      </c>
      <c r="D405" s="33" t="s">
        <v>1804</v>
      </c>
      <c r="E405" s="32"/>
      <c r="F405" s="54"/>
      <c r="G405" s="33" t="s">
        <v>1805</v>
      </c>
      <c r="H405" s="32"/>
      <c r="I405" s="32"/>
      <c r="J405" s="33" t="s">
        <v>1806</v>
      </c>
      <c r="K405" s="33" t="s">
        <v>43</v>
      </c>
      <c r="L405" s="33" t="s">
        <v>1807</v>
      </c>
      <c r="M405" s="44">
        <v>1051785402</v>
      </c>
      <c r="N405" s="45"/>
      <c r="O405" s="44">
        <v>15000000</v>
      </c>
      <c r="P405" s="86"/>
      <c r="Q405" s="44">
        <f t="shared" si="206"/>
        <v>1066785402</v>
      </c>
      <c r="R405" s="48">
        <v>1051785402</v>
      </c>
      <c r="S405" s="32"/>
      <c r="T405" s="44">
        <v>15000000</v>
      </c>
      <c r="U405" s="32"/>
      <c r="V405" s="32"/>
      <c r="W405" s="49"/>
      <c r="X405" s="49">
        <f t="shared" ref="X405:Z405" si="407">N405-S405</f>
        <v>0</v>
      </c>
      <c r="Y405" s="49">
        <f t="shared" si="407"/>
        <v>0</v>
      </c>
      <c r="Z405" s="49">
        <f t="shared" si="407"/>
        <v>0</v>
      </c>
      <c r="AA405" s="54"/>
      <c r="AB405" s="54"/>
      <c r="AC405" s="2">
        <f t="shared" si="208"/>
        <v>2</v>
      </c>
      <c r="AD405" s="6"/>
      <c r="AE405" s="6"/>
      <c r="AF405" s="6"/>
      <c r="AG405" s="6"/>
      <c r="AH405" s="6"/>
      <c r="AI405" s="6"/>
      <c r="AJ405" s="6"/>
      <c r="AK405" s="6"/>
      <c r="AL405" s="6"/>
      <c r="AM405" s="6"/>
      <c r="AN405" s="6"/>
      <c r="AO405" s="6"/>
      <c r="AP405" s="6"/>
      <c r="AQ405" s="6"/>
      <c r="AR405" s="6"/>
      <c r="AS405" s="6"/>
    </row>
    <row r="406" spans="1:45" ht="62.25" hidden="1" customHeight="1" x14ac:dyDescent="0.25">
      <c r="A406" s="33" t="s">
        <v>35</v>
      </c>
      <c r="B406" s="42">
        <v>215</v>
      </c>
      <c r="C406" s="33" t="s">
        <v>557</v>
      </c>
      <c r="D406" s="33" t="s">
        <v>1812</v>
      </c>
      <c r="E406" s="33" t="s">
        <v>409</v>
      </c>
      <c r="F406" s="54"/>
      <c r="G406" s="33" t="s">
        <v>1813</v>
      </c>
      <c r="H406" s="33" t="s">
        <v>1626</v>
      </c>
      <c r="I406" s="32"/>
      <c r="J406" s="33" t="s">
        <v>1814</v>
      </c>
      <c r="K406" s="33" t="s">
        <v>43</v>
      </c>
      <c r="L406" s="33" t="s">
        <v>1815</v>
      </c>
      <c r="M406" s="44">
        <v>1825416000</v>
      </c>
      <c r="N406" s="44">
        <v>419381453</v>
      </c>
      <c r="O406" s="44">
        <v>15000000</v>
      </c>
      <c r="P406" s="86"/>
      <c r="Q406" s="44">
        <f t="shared" si="206"/>
        <v>2259797453</v>
      </c>
      <c r="R406" s="48">
        <v>1825416000</v>
      </c>
      <c r="S406" s="48">
        <v>419381453</v>
      </c>
      <c r="T406" s="44">
        <v>15000000</v>
      </c>
      <c r="U406" s="32"/>
      <c r="V406" s="32"/>
      <c r="W406" s="49"/>
      <c r="X406" s="49">
        <f t="shared" ref="X406:Z406" si="408">N406-S406</f>
        <v>0</v>
      </c>
      <c r="Y406" s="49">
        <f t="shared" si="408"/>
        <v>0</v>
      </c>
      <c r="Z406" s="49">
        <f t="shared" si="408"/>
        <v>0</v>
      </c>
      <c r="AA406" s="54"/>
      <c r="AB406" s="54"/>
      <c r="AC406" s="2">
        <f t="shared" si="208"/>
        <v>2</v>
      </c>
      <c r="AD406" s="6"/>
      <c r="AE406" s="6"/>
      <c r="AF406" s="6"/>
      <c r="AG406" s="6"/>
      <c r="AH406" s="6"/>
      <c r="AI406" s="6"/>
      <c r="AJ406" s="6"/>
      <c r="AK406" s="6"/>
      <c r="AL406" s="6"/>
      <c r="AM406" s="6"/>
      <c r="AN406" s="6"/>
      <c r="AO406" s="6"/>
      <c r="AP406" s="6"/>
      <c r="AQ406" s="6"/>
      <c r="AR406" s="6"/>
      <c r="AS406" s="6"/>
    </row>
    <row r="407" spans="1:45" ht="31.5" hidden="1" x14ac:dyDescent="0.25">
      <c r="A407" s="33" t="s">
        <v>35</v>
      </c>
      <c r="B407" s="42">
        <v>216</v>
      </c>
      <c r="C407" s="33" t="s">
        <v>557</v>
      </c>
      <c r="D407" s="33" t="s">
        <v>1816</v>
      </c>
      <c r="E407" s="32"/>
      <c r="F407" s="54"/>
      <c r="G407" s="33" t="s">
        <v>1817</v>
      </c>
      <c r="H407" s="32"/>
      <c r="I407" s="32"/>
      <c r="J407" s="33" t="s">
        <v>1818</v>
      </c>
      <c r="K407" s="33" t="s">
        <v>43</v>
      </c>
      <c r="L407" s="33" t="s">
        <v>1819</v>
      </c>
      <c r="M407" s="44">
        <v>2346410500</v>
      </c>
      <c r="N407" s="45"/>
      <c r="O407" s="44">
        <v>7500000</v>
      </c>
      <c r="P407" s="86"/>
      <c r="Q407" s="44">
        <f t="shared" si="206"/>
        <v>2353910500</v>
      </c>
      <c r="R407" s="48">
        <v>2346410500</v>
      </c>
      <c r="S407" s="32"/>
      <c r="T407" s="44">
        <v>7500000</v>
      </c>
      <c r="U407" s="32"/>
      <c r="V407" s="32"/>
      <c r="W407" s="49"/>
      <c r="X407" s="49">
        <f t="shared" ref="X407:Z407" si="409">N407-S407</f>
        <v>0</v>
      </c>
      <c r="Y407" s="49">
        <f t="shared" si="409"/>
        <v>0</v>
      </c>
      <c r="Z407" s="49">
        <f t="shared" si="409"/>
        <v>0</v>
      </c>
      <c r="AA407" s="54"/>
      <c r="AB407" s="54"/>
      <c r="AC407" s="2">
        <f t="shared" si="208"/>
        <v>2</v>
      </c>
      <c r="AD407" s="6"/>
      <c r="AE407" s="6"/>
      <c r="AF407" s="6"/>
      <c r="AG407" s="6"/>
      <c r="AH407" s="6"/>
      <c r="AI407" s="6"/>
      <c r="AJ407" s="6"/>
      <c r="AK407" s="6"/>
      <c r="AL407" s="6"/>
      <c r="AM407" s="6"/>
      <c r="AN407" s="6"/>
      <c r="AO407" s="6"/>
      <c r="AP407" s="6"/>
      <c r="AQ407" s="6"/>
      <c r="AR407" s="6"/>
      <c r="AS407" s="6"/>
    </row>
    <row r="408" spans="1:45" ht="31.5" hidden="1" x14ac:dyDescent="0.25">
      <c r="A408" s="33" t="s">
        <v>35</v>
      </c>
      <c r="B408" s="42">
        <v>217</v>
      </c>
      <c r="C408" s="33" t="s">
        <v>557</v>
      </c>
      <c r="D408" s="33" t="s">
        <v>1827</v>
      </c>
      <c r="E408" s="32"/>
      <c r="F408" s="54"/>
      <c r="G408" s="33" t="s">
        <v>1828</v>
      </c>
      <c r="H408" s="32"/>
      <c r="I408" s="32"/>
      <c r="J408" s="33" t="s">
        <v>1829</v>
      </c>
      <c r="K408" s="33" t="s">
        <v>43</v>
      </c>
      <c r="L408" s="33" t="s">
        <v>1830</v>
      </c>
      <c r="M408" s="44">
        <v>9676523194</v>
      </c>
      <c r="N408" s="45"/>
      <c r="O408" s="44">
        <v>15000000</v>
      </c>
      <c r="P408" s="86"/>
      <c r="Q408" s="44">
        <f t="shared" si="206"/>
        <v>9691523194</v>
      </c>
      <c r="R408" s="48">
        <v>9676523194</v>
      </c>
      <c r="S408" s="32"/>
      <c r="T408" s="44">
        <v>15000000</v>
      </c>
      <c r="U408" s="32"/>
      <c r="V408" s="32"/>
      <c r="W408" s="49"/>
      <c r="X408" s="49">
        <f t="shared" ref="X408:Z408" si="410">N408-S408</f>
        <v>0</v>
      </c>
      <c r="Y408" s="49">
        <f t="shared" si="410"/>
        <v>0</v>
      </c>
      <c r="Z408" s="49">
        <f t="shared" si="410"/>
        <v>0</v>
      </c>
      <c r="AA408" s="54"/>
      <c r="AB408" s="54"/>
      <c r="AC408" s="2">
        <f t="shared" si="208"/>
        <v>2</v>
      </c>
      <c r="AD408" s="6"/>
      <c r="AE408" s="6"/>
      <c r="AF408" s="6"/>
      <c r="AG408" s="6"/>
      <c r="AH408" s="6"/>
      <c r="AI408" s="6"/>
      <c r="AJ408" s="6"/>
      <c r="AK408" s="6"/>
      <c r="AL408" s="6"/>
      <c r="AM408" s="6"/>
      <c r="AN408" s="6"/>
      <c r="AO408" s="6"/>
      <c r="AP408" s="6"/>
      <c r="AQ408" s="6"/>
      <c r="AR408" s="6"/>
      <c r="AS408" s="6"/>
    </row>
    <row r="409" spans="1:45" ht="31.5" hidden="1" x14ac:dyDescent="0.25">
      <c r="A409" s="33" t="s">
        <v>35</v>
      </c>
      <c r="B409" s="42">
        <v>219</v>
      </c>
      <c r="C409" s="33" t="s">
        <v>557</v>
      </c>
      <c r="D409" s="33" t="s">
        <v>1839</v>
      </c>
      <c r="E409" s="32"/>
      <c r="F409" s="54"/>
      <c r="G409" s="33" t="s">
        <v>1840</v>
      </c>
      <c r="H409" s="32"/>
      <c r="I409" s="32"/>
      <c r="J409" s="33" t="s">
        <v>1841</v>
      </c>
      <c r="K409" s="33" t="s">
        <v>43</v>
      </c>
      <c r="L409" s="33" t="s">
        <v>1842</v>
      </c>
      <c r="M409" s="44">
        <v>1642004400</v>
      </c>
      <c r="N409" s="45"/>
      <c r="O409" s="44">
        <v>7500000</v>
      </c>
      <c r="P409" s="86"/>
      <c r="Q409" s="44">
        <f t="shared" si="206"/>
        <v>1649504400</v>
      </c>
      <c r="R409" s="48">
        <v>1642004400</v>
      </c>
      <c r="S409" s="32"/>
      <c r="T409" s="44">
        <v>7500000</v>
      </c>
      <c r="U409" s="32"/>
      <c r="V409" s="32"/>
      <c r="W409" s="49"/>
      <c r="X409" s="49">
        <f t="shared" ref="X409:Z409" si="411">N409-S409</f>
        <v>0</v>
      </c>
      <c r="Y409" s="49">
        <f t="shared" si="411"/>
        <v>0</v>
      </c>
      <c r="Z409" s="49">
        <f t="shared" si="411"/>
        <v>0</v>
      </c>
      <c r="AA409" s="54"/>
      <c r="AB409" s="54"/>
      <c r="AC409" s="2">
        <f t="shared" si="208"/>
        <v>2</v>
      </c>
      <c r="AD409" s="6"/>
      <c r="AE409" s="6"/>
      <c r="AF409" s="6"/>
      <c r="AG409" s="6"/>
      <c r="AH409" s="6"/>
      <c r="AI409" s="6"/>
      <c r="AJ409" s="6"/>
      <c r="AK409" s="6"/>
      <c r="AL409" s="6"/>
      <c r="AM409" s="6"/>
      <c r="AN409" s="6"/>
      <c r="AO409" s="6"/>
      <c r="AP409" s="6"/>
      <c r="AQ409" s="6"/>
      <c r="AR409" s="6"/>
      <c r="AS409" s="6"/>
    </row>
    <row r="410" spans="1:45" ht="31.5" hidden="1" x14ac:dyDescent="0.25">
      <c r="A410" s="33" t="s">
        <v>52</v>
      </c>
      <c r="B410" s="42">
        <v>220</v>
      </c>
      <c r="C410" s="33" t="s">
        <v>557</v>
      </c>
      <c r="D410" s="33" t="s">
        <v>1843</v>
      </c>
      <c r="E410" s="32"/>
      <c r="F410" s="54"/>
      <c r="G410" s="33" t="s">
        <v>1844</v>
      </c>
      <c r="H410" s="32"/>
      <c r="I410" s="32"/>
      <c r="J410" s="33" t="s">
        <v>1845</v>
      </c>
      <c r="K410" s="33" t="s">
        <v>43</v>
      </c>
      <c r="L410" s="33" t="s">
        <v>1847</v>
      </c>
      <c r="M410" s="44">
        <v>101857120</v>
      </c>
      <c r="N410" s="45"/>
      <c r="O410" s="44">
        <v>7500000</v>
      </c>
      <c r="P410" s="86"/>
      <c r="Q410" s="44">
        <f t="shared" si="206"/>
        <v>109357120</v>
      </c>
      <c r="R410" s="48">
        <v>101857120</v>
      </c>
      <c r="S410" s="32"/>
      <c r="T410" s="44">
        <v>7500000</v>
      </c>
      <c r="U410" s="32"/>
      <c r="V410" s="32"/>
      <c r="W410" s="49"/>
      <c r="X410" s="49">
        <f t="shared" ref="X410:Z410" si="412">N410-S410</f>
        <v>0</v>
      </c>
      <c r="Y410" s="49">
        <f t="shared" si="412"/>
        <v>0</v>
      </c>
      <c r="Z410" s="49">
        <f t="shared" si="412"/>
        <v>0</v>
      </c>
      <c r="AA410" s="54"/>
      <c r="AB410" s="54"/>
      <c r="AC410" s="2">
        <f t="shared" si="208"/>
        <v>2</v>
      </c>
      <c r="AD410" s="6"/>
      <c r="AE410" s="6"/>
      <c r="AF410" s="6"/>
      <c r="AG410" s="6"/>
      <c r="AH410" s="6"/>
      <c r="AI410" s="6"/>
      <c r="AJ410" s="6"/>
      <c r="AK410" s="6"/>
      <c r="AL410" s="6"/>
      <c r="AM410" s="6"/>
      <c r="AN410" s="6"/>
      <c r="AO410" s="6"/>
      <c r="AP410" s="6"/>
      <c r="AQ410" s="6"/>
      <c r="AR410" s="6"/>
      <c r="AS410" s="6"/>
    </row>
    <row r="411" spans="1:45" ht="78.75" hidden="1" x14ac:dyDescent="0.25">
      <c r="A411" s="33" t="s">
        <v>35</v>
      </c>
      <c r="B411" s="42">
        <v>221</v>
      </c>
      <c r="C411" s="33" t="s">
        <v>557</v>
      </c>
      <c r="D411" s="33" t="s">
        <v>1851</v>
      </c>
      <c r="E411" s="33" t="s">
        <v>156</v>
      </c>
      <c r="F411" s="54"/>
      <c r="G411" s="33" t="s">
        <v>1852</v>
      </c>
      <c r="H411" s="33" t="s">
        <v>1853</v>
      </c>
      <c r="I411" s="32"/>
      <c r="J411" s="33" t="s">
        <v>1854</v>
      </c>
      <c r="K411" s="33" t="s">
        <v>43</v>
      </c>
      <c r="L411" s="33" t="s">
        <v>1855</v>
      </c>
      <c r="M411" s="44">
        <v>6130396068</v>
      </c>
      <c r="N411" s="44">
        <v>7326720</v>
      </c>
      <c r="O411" s="44">
        <v>15000000</v>
      </c>
      <c r="P411" s="86"/>
      <c r="Q411" s="44">
        <f t="shared" si="206"/>
        <v>6152722788</v>
      </c>
      <c r="R411" s="48">
        <v>6130396068</v>
      </c>
      <c r="S411" s="48">
        <v>7326720</v>
      </c>
      <c r="T411" s="44">
        <v>15000000</v>
      </c>
      <c r="U411" s="32"/>
      <c r="V411" s="32"/>
      <c r="W411" s="49"/>
      <c r="X411" s="49">
        <f t="shared" ref="X411:Z411" si="413">N411-S411</f>
        <v>0</v>
      </c>
      <c r="Y411" s="49">
        <f t="shared" si="413"/>
        <v>0</v>
      </c>
      <c r="Z411" s="49">
        <f t="shared" si="413"/>
        <v>0</v>
      </c>
      <c r="AA411" s="54"/>
      <c r="AB411" s="54"/>
      <c r="AC411" s="2">
        <f t="shared" si="208"/>
        <v>2</v>
      </c>
      <c r="AD411" s="6"/>
      <c r="AE411" s="6"/>
      <c r="AF411" s="6"/>
      <c r="AG411" s="6"/>
      <c r="AH411" s="6"/>
      <c r="AI411" s="6"/>
      <c r="AJ411" s="6"/>
      <c r="AK411" s="6"/>
      <c r="AL411" s="6"/>
      <c r="AM411" s="6"/>
      <c r="AN411" s="6"/>
      <c r="AO411" s="6"/>
      <c r="AP411" s="6"/>
      <c r="AQ411" s="6"/>
      <c r="AR411" s="6"/>
      <c r="AS411" s="6"/>
    </row>
    <row r="412" spans="1:45" ht="31.5" hidden="1" x14ac:dyDescent="0.25">
      <c r="A412" s="33" t="s">
        <v>52</v>
      </c>
      <c r="B412" s="42">
        <v>222</v>
      </c>
      <c r="C412" s="33" t="s">
        <v>557</v>
      </c>
      <c r="D412" s="33" t="s">
        <v>1860</v>
      </c>
      <c r="E412" s="32"/>
      <c r="F412" s="54"/>
      <c r="G412" s="33" t="s">
        <v>1861</v>
      </c>
      <c r="H412" s="32"/>
      <c r="I412" s="32"/>
      <c r="J412" s="33" t="s">
        <v>1862</v>
      </c>
      <c r="K412" s="33" t="s">
        <v>43</v>
      </c>
      <c r="L412" s="33" t="s">
        <v>1863</v>
      </c>
      <c r="M412" s="44">
        <v>2707724480</v>
      </c>
      <c r="N412" s="45"/>
      <c r="O412" s="44">
        <v>15000000</v>
      </c>
      <c r="P412" s="86"/>
      <c r="Q412" s="44">
        <f t="shared" si="206"/>
        <v>2722724480</v>
      </c>
      <c r="R412" s="48">
        <v>2707724480</v>
      </c>
      <c r="S412" s="32"/>
      <c r="T412" s="44">
        <v>15000000</v>
      </c>
      <c r="U412" s="32"/>
      <c r="V412" s="32"/>
      <c r="W412" s="49"/>
      <c r="X412" s="49">
        <f t="shared" ref="X412:Z412" si="414">N412-S412</f>
        <v>0</v>
      </c>
      <c r="Y412" s="49">
        <f t="shared" si="414"/>
        <v>0</v>
      </c>
      <c r="Z412" s="49">
        <f t="shared" si="414"/>
        <v>0</v>
      </c>
      <c r="AA412" s="54"/>
      <c r="AB412" s="54"/>
      <c r="AC412" s="2">
        <f t="shared" si="208"/>
        <v>2</v>
      </c>
      <c r="AD412" s="6"/>
      <c r="AE412" s="6"/>
      <c r="AF412" s="6"/>
      <c r="AG412" s="6"/>
      <c r="AH412" s="6"/>
      <c r="AI412" s="6"/>
      <c r="AJ412" s="6"/>
      <c r="AK412" s="6"/>
      <c r="AL412" s="6"/>
      <c r="AM412" s="6"/>
      <c r="AN412" s="6"/>
      <c r="AO412" s="6"/>
      <c r="AP412" s="6"/>
      <c r="AQ412" s="6"/>
      <c r="AR412" s="6"/>
      <c r="AS412" s="6"/>
    </row>
    <row r="413" spans="1:45" ht="31.5" hidden="1" x14ac:dyDescent="0.25">
      <c r="A413" s="33" t="s">
        <v>52</v>
      </c>
      <c r="B413" s="42">
        <v>223</v>
      </c>
      <c r="C413" s="33" t="s">
        <v>557</v>
      </c>
      <c r="D413" s="33" t="s">
        <v>1868</v>
      </c>
      <c r="E413" s="33"/>
      <c r="F413" s="54"/>
      <c r="G413" s="33" t="s">
        <v>1869</v>
      </c>
      <c r="H413" s="33"/>
      <c r="I413" s="33"/>
      <c r="J413" s="33" t="s">
        <v>1870</v>
      </c>
      <c r="K413" s="33" t="s">
        <v>43</v>
      </c>
      <c r="L413" s="33" t="s">
        <v>1871</v>
      </c>
      <c r="M413" s="44">
        <v>1477449600</v>
      </c>
      <c r="N413" s="45"/>
      <c r="O413" s="44">
        <v>7500000</v>
      </c>
      <c r="P413" s="86"/>
      <c r="Q413" s="44">
        <f t="shared" si="206"/>
        <v>1484949600</v>
      </c>
      <c r="R413" s="48">
        <v>1477449600</v>
      </c>
      <c r="S413" s="32"/>
      <c r="T413" s="66"/>
      <c r="U413" s="32"/>
      <c r="V413" s="32"/>
      <c r="W413" s="49"/>
      <c r="X413" s="49">
        <f t="shared" ref="X413:Z413" si="415">N413-S413</f>
        <v>0</v>
      </c>
      <c r="Y413" s="52">
        <f t="shared" si="415"/>
        <v>7500000</v>
      </c>
      <c r="Z413" s="49">
        <f t="shared" si="415"/>
        <v>0</v>
      </c>
      <c r="AA413" s="54"/>
      <c r="AB413" s="43"/>
      <c r="AC413" s="15">
        <f t="shared" si="208"/>
        <v>2</v>
      </c>
      <c r="AD413" s="15"/>
      <c r="AE413" s="6"/>
      <c r="AF413" s="6"/>
      <c r="AG413" s="6"/>
      <c r="AH413" s="6"/>
      <c r="AI413" s="6"/>
      <c r="AJ413" s="6"/>
      <c r="AK413" s="6"/>
      <c r="AL413" s="6"/>
      <c r="AM413" s="6"/>
      <c r="AN413" s="6"/>
      <c r="AO413" s="6"/>
      <c r="AP413" s="6"/>
      <c r="AQ413" s="6"/>
      <c r="AR413" s="6"/>
      <c r="AS413" s="6"/>
    </row>
    <row r="414" spans="1:45" ht="31.5" hidden="1" x14ac:dyDescent="0.25">
      <c r="A414" s="33" t="s">
        <v>52</v>
      </c>
      <c r="B414" s="42">
        <v>224</v>
      </c>
      <c r="C414" s="33" t="s">
        <v>557</v>
      </c>
      <c r="D414" s="33" t="s">
        <v>1876</v>
      </c>
      <c r="E414" s="33"/>
      <c r="F414" s="54"/>
      <c r="G414" s="33" t="s">
        <v>1877</v>
      </c>
      <c r="H414" s="33"/>
      <c r="I414" s="33"/>
      <c r="J414" s="33" t="s">
        <v>1870</v>
      </c>
      <c r="K414" s="33" t="s">
        <v>43</v>
      </c>
      <c r="L414" s="33" t="s">
        <v>1871</v>
      </c>
      <c r="M414" s="44">
        <v>1245692800</v>
      </c>
      <c r="N414" s="45"/>
      <c r="O414" s="44">
        <v>7500000</v>
      </c>
      <c r="P414" s="86"/>
      <c r="Q414" s="44">
        <f t="shared" si="206"/>
        <v>1253192800</v>
      </c>
      <c r="R414" s="48">
        <v>1245692800</v>
      </c>
      <c r="S414" s="32"/>
      <c r="T414" s="66"/>
      <c r="U414" s="32"/>
      <c r="V414" s="32"/>
      <c r="W414" s="49"/>
      <c r="X414" s="49">
        <f t="shared" ref="X414:Z414" si="416">N414-S414</f>
        <v>0</v>
      </c>
      <c r="Y414" s="52">
        <f t="shared" si="416"/>
        <v>7500000</v>
      </c>
      <c r="Z414" s="49">
        <f t="shared" si="416"/>
        <v>0</v>
      </c>
      <c r="AA414" s="54"/>
      <c r="AB414" s="43"/>
      <c r="AC414" s="15">
        <f t="shared" si="208"/>
        <v>2</v>
      </c>
      <c r="AD414" s="15"/>
      <c r="AE414" s="6"/>
      <c r="AF414" s="6"/>
      <c r="AG414" s="6"/>
      <c r="AH414" s="6"/>
      <c r="AI414" s="6"/>
      <c r="AJ414" s="6"/>
      <c r="AK414" s="6"/>
      <c r="AL414" s="6"/>
      <c r="AM414" s="6"/>
      <c r="AN414" s="6"/>
      <c r="AO414" s="6"/>
      <c r="AP414" s="6"/>
      <c r="AQ414" s="6"/>
      <c r="AR414" s="6"/>
      <c r="AS414" s="6"/>
    </row>
    <row r="415" spans="1:45" ht="62.25" hidden="1" customHeight="1" x14ac:dyDescent="0.25">
      <c r="A415" s="33" t="s">
        <v>52</v>
      </c>
      <c r="B415" s="42">
        <v>226</v>
      </c>
      <c r="C415" s="33" t="s">
        <v>557</v>
      </c>
      <c r="D415" s="33" t="s">
        <v>1885</v>
      </c>
      <c r="E415" s="32"/>
      <c r="F415" s="54"/>
      <c r="G415" s="33" t="s">
        <v>1887</v>
      </c>
      <c r="H415" s="32"/>
      <c r="I415" s="32"/>
      <c r="J415" s="33" t="s">
        <v>1889</v>
      </c>
      <c r="K415" s="33" t="s">
        <v>43</v>
      </c>
      <c r="L415" s="33" t="s">
        <v>1891</v>
      </c>
      <c r="M415" s="44">
        <v>0</v>
      </c>
      <c r="N415" s="45"/>
      <c r="O415" s="44">
        <v>7500000</v>
      </c>
      <c r="P415" s="86"/>
      <c r="Q415" s="44">
        <f t="shared" si="206"/>
        <v>7500000</v>
      </c>
      <c r="R415" s="42">
        <v>0</v>
      </c>
      <c r="S415" s="32"/>
      <c r="T415" s="44">
        <v>7500000</v>
      </c>
      <c r="U415" s="32"/>
      <c r="V415" s="32"/>
      <c r="W415" s="49"/>
      <c r="X415" s="49">
        <f t="shared" ref="X415:Z415" si="417">N415-S415</f>
        <v>0</v>
      </c>
      <c r="Y415" s="49">
        <f t="shared" si="417"/>
        <v>0</v>
      </c>
      <c r="Z415" s="49">
        <f t="shared" si="417"/>
        <v>0</v>
      </c>
      <c r="AA415" s="54"/>
      <c r="AB415" s="54"/>
      <c r="AC415" s="2">
        <f t="shared" si="208"/>
        <v>2</v>
      </c>
      <c r="AD415" s="6"/>
      <c r="AE415" s="6"/>
      <c r="AF415" s="6"/>
      <c r="AG415" s="6"/>
      <c r="AH415" s="6"/>
      <c r="AI415" s="6"/>
      <c r="AJ415" s="6"/>
      <c r="AK415" s="6"/>
      <c r="AL415" s="6"/>
      <c r="AM415" s="6"/>
      <c r="AN415" s="6"/>
      <c r="AO415" s="6"/>
      <c r="AP415" s="6"/>
      <c r="AQ415" s="6"/>
      <c r="AR415" s="6"/>
      <c r="AS415" s="6"/>
    </row>
    <row r="416" spans="1:45" ht="31.5" hidden="1" x14ac:dyDescent="0.25">
      <c r="A416" s="33" t="s">
        <v>35</v>
      </c>
      <c r="B416" s="42">
        <v>227</v>
      </c>
      <c r="C416" s="33" t="s">
        <v>1136</v>
      </c>
      <c r="D416" s="33" t="s">
        <v>1895</v>
      </c>
      <c r="E416" s="33"/>
      <c r="F416" s="54"/>
      <c r="G416" s="33" t="s">
        <v>1896</v>
      </c>
      <c r="H416" s="33"/>
      <c r="I416" s="33"/>
      <c r="J416" s="33" t="s">
        <v>1897</v>
      </c>
      <c r="K416" s="33" t="s">
        <v>43</v>
      </c>
      <c r="L416" s="33" t="s">
        <v>1898</v>
      </c>
      <c r="M416" s="44">
        <v>3467851106</v>
      </c>
      <c r="N416" s="45"/>
      <c r="O416" s="44">
        <v>7500000</v>
      </c>
      <c r="P416" s="86"/>
      <c r="Q416" s="44">
        <f t="shared" si="206"/>
        <v>3475351106</v>
      </c>
      <c r="R416" s="32"/>
      <c r="S416" s="32"/>
      <c r="T416" s="66"/>
      <c r="U416" s="32"/>
      <c r="V416" s="32"/>
      <c r="W416" s="49">
        <v>3467851106</v>
      </c>
      <c r="X416" s="49">
        <f t="shared" ref="X416:Z416" si="418">N416-S416</f>
        <v>0</v>
      </c>
      <c r="Y416" s="52">
        <f t="shared" si="418"/>
        <v>7500000</v>
      </c>
      <c r="Z416" s="49">
        <f t="shared" si="418"/>
        <v>0</v>
      </c>
      <c r="AA416" s="69">
        <v>3467851106</v>
      </c>
      <c r="AB416" s="43"/>
      <c r="AC416" s="15">
        <f t="shared" si="208"/>
        <v>2</v>
      </c>
      <c r="AD416" s="15"/>
      <c r="AE416" s="6"/>
      <c r="AF416" s="6"/>
      <c r="AG416" s="6"/>
      <c r="AH416" s="6"/>
      <c r="AI416" s="6"/>
      <c r="AJ416" s="6"/>
      <c r="AK416" s="6"/>
      <c r="AL416" s="6"/>
      <c r="AM416" s="6"/>
      <c r="AN416" s="6"/>
      <c r="AO416" s="6"/>
      <c r="AP416" s="6"/>
      <c r="AQ416" s="6"/>
      <c r="AR416" s="6"/>
      <c r="AS416" s="6"/>
    </row>
    <row r="417" spans="1:45" ht="31.5" hidden="1" x14ac:dyDescent="0.25">
      <c r="A417" s="33" t="s">
        <v>35</v>
      </c>
      <c r="B417" s="42">
        <v>228</v>
      </c>
      <c r="C417" s="33" t="s">
        <v>1136</v>
      </c>
      <c r="D417" s="33" t="s">
        <v>1904</v>
      </c>
      <c r="E417" s="33" t="s">
        <v>156</v>
      </c>
      <c r="F417" s="54"/>
      <c r="G417" s="33" t="s">
        <v>1905</v>
      </c>
      <c r="H417" s="33" t="s">
        <v>1906</v>
      </c>
      <c r="I417" s="32"/>
      <c r="J417" s="33" t="s">
        <v>1907</v>
      </c>
      <c r="K417" s="33" t="s">
        <v>43</v>
      </c>
      <c r="L417" s="33" t="s">
        <v>1908</v>
      </c>
      <c r="M417" s="44">
        <v>2645084632</v>
      </c>
      <c r="N417" s="44">
        <v>617741568</v>
      </c>
      <c r="O417" s="44">
        <v>15000000</v>
      </c>
      <c r="P417" s="86"/>
      <c r="Q417" s="44">
        <f t="shared" si="206"/>
        <v>3277826200</v>
      </c>
      <c r="R417" s="48">
        <v>2645084632</v>
      </c>
      <c r="S417" s="48">
        <v>617741568</v>
      </c>
      <c r="T417" s="44">
        <v>15000000</v>
      </c>
      <c r="U417" s="32"/>
      <c r="V417" s="32"/>
      <c r="W417" s="49"/>
      <c r="X417" s="49">
        <f t="shared" ref="X417:Z417" si="419">N417-S417</f>
        <v>0</v>
      </c>
      <c r="Y417" s="49">
        <f t="shared" si="419"/>
        <v>0</v>
      </c>
      <c r="Z417" s="49">
        <f t="shared" si="419"/>
        <v>0</v>
      </c>
      <c r="AA417" s="54"/>
      <c r="AB417" s="54"/>
      <c r="AC417" s="2">
        <f t="shared" si="208"/>
        <v>2</v>
      </c>
      <c r="AD417" s="6"/>
      <c r="AE417" s="6"/>
      <c r="AF417" s="6"/>
      <c r="AG417" s="6"/>
      <c r="AH417" s="6"/>
      <c r="AI417" s="6"/>
      <c r="AJ417" s="6"/>
      <c r="AK417" s="6"/>
      <c r="AL417" s="6"/>
      <c r="AM417" s="6"/>
      <c r="AN417" s="6"/>
      <c r="AO417" s="6"/>
      <c r="AP417" s="6"/>
      <c r="AQ417" s="6"/>
      <c r="AR417" s="6"/>
      <c r="AS417" s="6"/>
    </row>
    <row r="418" spans="1:45" ht="31.5" hidden="1" x14ac:dyDescent="0.25">
      <c r="A418" s="33" t="s">
        <v>35</v>
      </c>
      <c r="B418" s="42">
        <v>229</v>
      </c>
      <c r="C418" s="33" t="s">
        <v>1136</v>
      </c>
      <c r="D418" s="33" t="s">
        <v>1910</v>
      </c>
      <c r="E418" s="32"/>
      <c r="F418" s="54"/>
      <c r="G418" s="33" t="s">
        <v>1911</v>
      </c>
      <c r="H418" s="32"/>
      <c r="I418" s="32"/>
      <c r="J418" s="33" t="s">
        <v>1912</v>
      </c>
      <c r="K418" s="33" t="s">
        <v>43</v>
      </c>
      <c r="L418" s="33" t="s">
        <v>1913</v>
      </c>
      <c r="M418" s="44">
        <v>5265038802</v>
      </c>
      <c r="N418" s="45"/>
      <c r="O418" s="44">
        <v>7500000</v>
      </c>
      <c r="P418" s="86"/>
      <c r="Q418" s="44">
        <f t="shared" si="206"/>
        <v>5272538802</v>
      </c>
      <c r="R418" s="48">
        <v>5265038802</v>
      </c>
      <c r="S418" s="32"/>
      <c r="T418" s="44">
        <v>7500000</v>
      </c>
      <c r="U418" s="32"/>
      <c r="V418" s="32"/>
      <c r="W418" s="49"/>
      <c r="X418" s="49">
        <f t="shared" ref="X418:Z418" si="420">N418-S418</f>
        <v>0</v>
      </c>
      <c r="Y418" s="49">
        <f t="shared" si="420"/>
        <v>0</v>
      </c>
      <c r="Z418" s="49">
        <f t="shared" si="420"/>
        <v>0</v>
      </c>
      <c r="AA418" s="54"/>
      <c r="AB418" s="54"/>
      <c r="AC418" s="2">
        <f t="shared" si="208"/>
        <v>2</v>
      </c>
      <c r="AD418" s="6"/>
      <c r="AE418" s="6"/>
      <c r="AF418" s="6"/>
      <c r="AG418" s="6"/>
      <c r="AH418" s="6"/>
      <c r="AI418" s="6"/>
      <c r="AJ418" s="6"/>
      <c r="AK418" s="6"/>
      <c r="AL418" s="6"/>
      <c r="AM418" s="6"/>
      <c r="AN418" s="6"/>
      <c r="AO418" s="6"/>
      <c r="AP418" s="6"/>
      <c r="AQ418" s="6"/>
      <c r="AR418" s="6"/>
      <c r="AS418" s="6"/>
    </row>
    <row r="419" spans="1:45" ht="31.5" hidden="1" x14ac:dyDescent="0.25">
      <c r="A419" s="33" t="s">
        <v>35</v>
      </c>
      <c r="B419" s="42">
        <v>230</v>
      </c>
      <c r="C419" s="33" t="s">
        <v>1136</v>
      </c>
      <c r="D419" s="33" t="s">
        <v>1918</v>
      </c>
      <c r="E419" s="32"/>
      <c r="F419" s="54"/>
      <c r="G419" s="33" t="s">
        <v>1919</v>
      </c>
      <c r="H419" s="32"/>
      <c r="I419" s="32"/>
      <c r="J419" s="33" t="s">
        <v>1920</v>
      </c>
      <c r="K419" s="33" t="s">
        <v>43</v>
      </c>
      <c r="L419" s="33" t="s">
        <v>1921</v>
      </c>
      <c r="M419" s="44">
        <v>204645630</v>
      </c>
      <c r="N419" s="45"/>
      <c r="O419" s="44">
        <v>7500000</v>
      </c>
      <c r="P419" s="86"/>
      <c r="Q419" s="44">
        <f t="shared" si="206"/>
        <v>212145630</v>
      </c>
      <c r="R419" s="48">
        <v>204645630</v>
      </c>
      <c r="S419" s="32"/>
      <c r="T419" s="44">
        <v>7500000</v>
      </c>
      <c r="U419" s="32"/>
      <c r="V419" s="32"/>
      <c r="W419" s="49"/>
      <c r="X419" s="49">
        <f t="shared" ref="X419:Z419" si="421">N419-S419</f>
        <v>0</v>
      </c>
      <c r="Y419" s="49">
        <f t="shared" si="421"/>
        <v>0</v>
      </c>
      <c r="Z419" s="49">
        <f t="shared" si="421"/>
        <v>0</v>
      </c>
      <c r="AA419" s="54"/>
      <c r="AB419" s="54"/>
      <c r="AC419" s="2">
        <f t="shared" si="208"/>
        <v>2</v>
      </c>
      <c r="AD419" s="6"/>
      <c r="AE419" s="6"/>
      <c r="AF419" s="6"/>
      <c r="AG419" s="6"/>
      <c r="AH419" s="6"/>
      <c r="AI419" s="6"/>
      <c r="AJ419" s="6"/>
      <c r="AK419" s="6"/>
      <c r="AL419" s="6"/>
      <c r="AM419" s="6"/>
      <c r="AN419" s="6"/>
      <c r="AO419" s="6"/>
      <c r="AP419" s="6"/>
      <c r="AQ419" s="6"/>
      <c r="AR419" s="6"/>
      <c r="AS419" s="6"/>
    </row>
    <row r="420" spans="1:45" ht="31.5" hidden="1" x14ac:dyDescent="0.25">
      <c r="A420" s="33" t="s">
        <v>35</v>
      </c>
      <c r="B420" s="42">
        <v>231</v>
      </c>
      <c r="C420" s="33" t="s">
        <v>1136</v>
      </c>
      <c r="D420" s="33" t="s">
        <v>1922</v>
      </c>
      <c r="E420" s="33" t="s">
        <v>1923</v>
      </c>
      <c r="F420" s="54"/>
      <c r="G420" s="33" t="s">
        <v>1924</v>
      </c>
      <c r="H420" s="32"/>
      <c r="I420" s="32"/>
      <c r="J420" s="33" t="s">
        <v>1925</v>
      </c>
      <c r="K420" s="33" t="s">
        <v>43</v>
      </c>
      <c r="L420" s="33" t="s">
        <v>1926</v>
      </c>
      <c r="M420" s="44">
        <v>2537955740</v>
      </c>
      <c r="N420" s="44">
        <v>3522240</v>
      </c>
      <c r="O420" s="44">
        <v>15000000</v>
      </c>
      <c r="P420" s="86"/>
      <c r="Q420" s="44">
        <f t="shared" si="206"/>
        <v>2556477980</v>
      </c>
      <c r="R420" s="48">
        <v>2537955740</v>
      </c>
      <c r="S420" s="48">
        <v>3522240</v>
      </c>
      <c r="T420" s="44">
        <v>15000000</v>
      </c>
      <c r="U420" s="32"/>
      <c r="V420" s="32"/>
      <c r="W420" s="49"/>
      <c r="X420" s="49">
        <f t="shared" ref="X420:Z420" si="422">N420-S420</f>
        <v>0</v>
      </c>
      <c r="Y420" s="49">
        <f t="shared" si="422"/>
        <v>0</v>
      </c>
      <c r="Z420" s="49">
        <f t="shared" si="422"/>
        <v>0</v>
      </c>
      <c r="AA420" s="54"/>
      <c r="AB420" s="54"/>
      <c r="AC420" s="2">
        <f t="shared" si="208"/>
        <v>2</v>
      </c>
      <c r="AD420" s="6"/>
      <c r="AE420" s="6"/>
      <c r="AF420" s="6"/>
      <c r="AG420" s="6"/>
      <c r="AH420" s="6"/>
      <c r="AI420" s="6"/>
      <c r="AJ420" s="6"/>
      <c r="AK420" s="6"/>
      <c r="AL420" s="6"/>
      <c r="AM420" s="6"/>
      <c r="AN420" s="6"/>
      <c r="AO420" s="6"/>
      <c r="AP420" s="6"/>
      <c r="AQ420" s="6"/>
      <c r="AR420" s="6"/>
      <c r="AS420" s="6"/>
    </row>
    <row r="421" spans="1:45" ht="31.5" hidden="1" x14ac:dyDescent="0.25">
      <c r="A421" s="33" t="s">
        <v>52</v>
      </c>
      <c r="B421" s="42">
        <v>232</v>
      </c>
      <c r="C421" s="33" t="s">
        <v>1136</v>
      </c>
      <c r="D421" s="33" t="s">
        <v>1931</v>
      </c>
      <c r="E421" s="32"/>
      <c r="F421" s="54"/>
      <c r="G421" s="33" t="s">
        <v>1932</v>
      </c>
      <c r="H421" s="32"/>
      <c r="I421" s="32"/>
      <c r="J421" s="33" t="s">
        <v>1933</v>
      </c>
      <c r="K421" s="33" t="s">
        <v>43</v>
      </c>
      <c r="L421" s="33" t="s">
        <v>1934</v>
      </c>
      <c r="M421" s="44">
        <v>5072847062</v>
      </c>
      <c r="N421" s="45"/>
      <c r="O421" s="44">
        <v>15000000</v>
      </c>
      <c r="P421" s="86"/>
      <c r="Q421" s="44">
        <f t="shared" si="206"/>
        <v>5087847062</v>
      </c>
      <c r="R421" s="48">
        <v>5072847062</v>
      </c>
      <c r="S421" s="32"/>
      <c r="T421" s="80">
        <v>15000000</v>
      </c>
      <c r="U421" s="32"/>
      <c r="V421" s="32"/>
      <c r="W421" s="49"/>
      <c r="X421" s="49">
        <f t="shared" ref="X421:Z421" si="423">N421-S421</f>
        <v>0</v>
      </c>
      <c r="Y421" s="49">
        <f t="shared" si="423"/>
        <v>0</v>
      </c>
      <c r="Z421" s="49">
        <f t="shared" si="423"/>
        <v>0</v>
      </c>
      <c r="AA421" s="54"/>
      <c r="AB421" s="54"/>
      <c r="AC421" s="2">
        <f t="shared" si="208"/>
        <v>2</v>
      </c>
      <c r="AD421" s="6"/>
      <c r="AE421" s="6"/>
      <c r="AF421" s="6"/>
      <c r="AG421" s="6"/>
      <c r="AH421" s="6"/>
      <c r="AI421" s="6"/>
      <c r="AJ421" s="6"/>
      <c r="AK421" s="6"/>
      <c r="AL421" s="6"/>
      <c r="AM421" s="6"/>
      <c r="AN421" s="6"/>
      <c r="AO421" s="6"/>
      <c r="AP421" s="6"/>
      <c r="AQ421" s="6"/>
      <c r="AR421" s="6"/>
      <c r="AS421" s="6"/>
    </row>
    <row r="422" spans="1:45" ht="47.25" hidden="1" x14ac:dyDescent="0.25">
      <c r="A422" s="33" t="s">
        <v>35</v>
      </c>
      <c r="B422" s="42">
        <v>233</v>
      </c>
      <c r="C422" s="33" t="s">
        <v>1136</v>
      </c>
      <c r="D422" s="33" t="s">
        <v>1935</v>
      </c>
      <c r="E422" s="33"/>
      <c r="F422" s="54"/>
      <c r="G422" s="33" t="s">
        <v>1936</v>
      </c>
      <c r="H422" s="33"/>
      <c r="I422" s="33"/>
      <c r="J422" s="33" t="s">
        <v>1938</v>
      </c>
      <c r="K422" s="33" t="s">
        <v>43</v>
      </c>
      <c r="L422" s="33" t="s">
        <v>1940</v>
      </c>
      <c r="M422" s="44">
        <v>8181354</v>
      </c>
      <c r="N422" s="45"/>
      <c r="O422" s="44">
        <v>7500000</v>
      </c>
      <c r="P422" s="86"/>
      <c r="Q422" s="44">
        <f t="shared" si="206"/>
        <v>15681354</v>
      </c>
      <c r="R422" s="32"/>
      <c r="S422" s="32"/>
      <c r="T422" s="66"/>
      <c r="U422" s="32"/>
      <c r="V422" s="32"/>
      <c r="W422" s="49">
        <v>8181354</v>
      </c>
      <c r="X422" s="49">
        <f t="shared" ref="X422:Z422" si="424">N422-S422</f>
        <v>0</v>
      </c>
      <c r="Y422" s="52">
        <f t="shared" si="424"/>
        <v>7500000</v>
      </c>
      <c r="Z422" s="49">
        <f t="shared" si="424"/>
        <v>0</v>
      </c>
      <c r="AA422" s="69">
        <v>8181354</v>
      </c>
      <c r="AB422" s="43"/>
      <c r="AC422" s="15">
        <f t="shared" si="208"/>
        <v>2</v>
      </c>
      <c r="AD422" s="15"/>
      <c r="AE422" s="6"/>
      <c r="AF422" s="6"/>
      <c r="AG422" s="6"/>
      <c r="AH422" s="6"/>
      <c r="AI422" s="6"/>
      <c r="AJ422" s="6"/>
      <c r="AK422" s="6"/>
      <c r="AL422" s="6"/>
      <c r="AM422" s="6"/>
      <c r="AN422" s="6"/>
      <c r="AO422" s="6"/>
      <c r="AP422" s="6"/>
      <c r="AQ422" s="6"/>
      <c r="AR422" s="6"/>
      <c r="AS422" s="6"/>
    </row>
    <row r="423" spans="1:45" ht="78.75" hidden="1" x14ac:dyDescent="0.25">
      <c r="A423" s="33" t="s">
        <v>35</v>
      </c>
      <c r="B423" s="42">
        <v>234</v>
      </c>
      <c r="C423" s="33" t="s">
        <v>1136</v>
      </c>
      <c r="D423" s="33" t="s">
        <v>1945</v>
      </c>
      <c r="E423" s="32"/>
      <c r="F423" s="54"/>
      <c r="G423" s="33" t="s">
        <v>1946</v>
      </c>
      <c r="H423" s="32"/>
      <c r="I423" s="33" t="s">
        <v>85</v>
      </c>
      <c r="J423" s="33" t="s">
        <v>1947</v>
      </c>
      <c r="K423" s="33" t="s">
        <v>43</v>
      </c>
      <c r="L423" s="33" t="s">
        <v>1948</v>
      </c>
      <c r="M423" s="44">
        <v>0</v>
      </c>
      <c r="N423" s="45"/>
      <c r="O423" s="66"/>
      <c r="P423" s="86"/>
      <c r="Q423" s="44">
        <f t="shared" si="206"/>
        <v>0</v>
      </c>
      <c r="R423" s="42">
        <v>0</v>
      </c>
      <c r="S423" s="32"/>
      <c r="T423" s="45"/>
      <c r="U423" s="32"/>
      <c r="V423" s="32"/>
      <c r="W423" s="49"/>
      <c r="X423" s="49">
        <f t="shared" ref="X423:Z423" si="425">N423-S423</f>
        <v>0</v>
      </c>
      <c r="Y423" s="49">
        <f t="shared" si="425"/>
        <v>0</v>
      </c>
      <c r="Z423" s="49">
        <f t="shared" si="425"/>
        <v>0</v>
      </c>
      <c r="AA423" s="54"/>
      <c r="AB423" s="54"/>
      <c r="AC423" s="2">
        <f t="shared" si="208"/>
        <v>2</v>
      </c>
      <c r="AD423" s="6"/>
      <c r="AE423" s="6"/>
      <c r="AF423" s="6"/>
      <c r="AG423" s="6"/>
      <c r="AH423" s="6"/>
      <c r="AI423" s="6"/>
      <c r="AJ423" s="6"/>
      <c r="AK423" s="6"/>
      <c r="AL423" s="6"/>
      <c r="AM423" s="6"/>
      <c r="AN423" s="6"/>
      <c r="AO423" s="6"/>
      <c r="AP423" s="6"/>
      <c r="AQ423" s="6"/>
      <c r="AR423" s="6"/>
      <c r="AS423" s="6"/>
    </row>
    <row r="424" spans="1:45" ht="31.5" hidden="1" x14ac:dyDescent="0.25">
      <c r="A424" s="33" t="s">
        <v>35</v>
      </c>
      <c r="B424" s="42">
        <v>236</v>
      </c>
      <c r="C424" s="33" t="s">
        <v>1136</v>
      </c>
      <c r="D424" s="33" t="s">
        <v>1949</v>
      </c>
      <c r="E424" s="33" t="s">
        <v>100</v>
      </c>
      <c r="F424" s="54"/>
      <c r="G424" s="33" t="s">
        <v>1950</v>
      </c>
      <c r="H424" s="33" t="s">
        <v>1563</v>
      </c>
      <c r="I424" s="32"/>
      <c r="J424" s="33" t="s">
        <v>1951</v>
      </c>
      <c r="K424" s="33" t="s">
        <v>43</v>
      </c>
      <c r="L424" s="33" t="s">
        <v>1952</v>
      </c>
      <c r="M424" s="44">
        <v>607575480</v>
      </c>
      <c r="N424" s="44">
        <v>60674400</v>
      </c>
      <c r="O424" s="44">
        <v>7500000</v>
      </c>
      <c r="P424" s="86"/>
      <c r="Q424" s="44">
        <f t="shared" si="206"/>
        <v>675749880</v>
      </c>
      <c r="R424" s="48">
        <v>607575480</v>
      </c>
      <c r="S424" s="48">
        <v>60674400</v>
      </c>
      <c r="T424" s="44">
        <v>7500000</v>
      </c>
      <c r="U424" s="32"/>
      <c r="V424" s="32"/>
      <c r="W424" s="49"/>
      <c r="X424" s="49">
        <f t="shared" ref="X424:Z424" si="426">N424-S424</f>
        <v>0</v>
      </c>
      <c r="Y424" s="49">
        <f t="shared" si="426"/>
        <v>0</v>
      </c>
      <c r="Z424" s="49">
        <f t="shared" si="426"/>
        <v>0</v>
      </c>
      <c r="AA424" s="54"/>
      <c r="AB424" s="54"/>
      <c r="AC424" s="2">
        <f t="shared" si="208"/>
        <v>2</v>
      </c>
      <c r="AD424" s="6"/>
      <c r="AE424" s="6"/>
      <c r="AF424" s="6"/>
      <c r="AG424" s="6"/>
      <c r="AH424" s="6"/>
      <c r="AI424" s="6"/>
      <c r="AJ424" s="6"/>
      <c r="AK424" s="6"/>
      <c r="AL424" s="6"/>
      <c r="AM424" s="6"/>
      <c r="AN424" s="6"/>
      <c r="AO424" s="6"/>
      <c r="AP424" s="6"/>
      <c r="AQ424" s="6"/>
      <c r="AR424" s="6"/>
      <c r="AS424" s="6"/>
    </row>
    <row r="425" spans="1:45" ht="31.5" hidden="1" x14ac:dyDescent="0.25">
      <c r="A425" s="33" t="s">
        <v>35</v>
      </c>
      <c r="B425" s="42">
        <v>237</v>
      </c>
      <c r="C425" s="33" t="s">
        <v>1136</v>
      </c>
      <c r="D425" s="33" t="s">
        <v>1953</v>
      </c>
      <c r="E425" s="32"/>
      <c r="F425" s="54"/>
      <c r="G425" s="33" t="s">
        <v>1954</v>
      </c>
      <c r="H425" s="32"/>
      <c r="I425" s="32"/>
      <c r="J425" s="33" t="s">
        <v>1955</v>
      </c>
      <c r="K425" s="33" t="s">
        <v>43</v>
      </c>
      <c r="L425" s="33" t="s">
        <v>1956</v>
      </c>
      <c r="M425" s="44">
        <v>1176584884</v>
      </c>
      <c r="N425" s="45"/>
      <c r="O425" s="44">
        <v>7500000</v>
      </c>
      <c r="P425" s="86"/>
      <c r="Q425" s="44">
        <f t="shared" si="206"/>
        <v>1184084884</v>
      </c>
      <c r="R425" s="48">
        <v>1176584884</v>
      </c>
      <c r="S425" s="32"/>
      <c r="T425" s="44">
        <v>7500000</v>
      </c>
      <c r="U425" s="32"/>
      <c r="V425" s="32"/>
      <c r="W425" s="49"/>
      <c r="X425" s="49">
        <f t="shared" ref="X425:Z425" si="427">N425-S425</f>
        <v>0</v>
      </c>
      <c r="Y425" s="49">
        <f t="shared" si="427"/>
        <v>0</v>
      </c>
      <c r="Z425" s="49">
        <f t="shared" si="427"/>
        <v>0</v>
      </c>
      <c r="AA425" s="54"/>
      <c r="AB425" s="54"/>
      <c r="AC425" s="2">
        <f t="shared" si="208"/>
        <v>2</v>
      </c>
      <c r="AD425" s="6"/>
      <c r="AE425" s="6"/>
      <c r="AF425" s="6"/>
      <c r="AG425" s="6"/>
      <c r="AH425" s="6"/>
      <c r="AI425" s="6"/>
      <c r="AJ425" s="6"/>
      <c r="AK425" s="6"/>
      <c r="AL425" s="6"/>
      <c r="AM425" s="6"/>
      <c r="AN425" s="6"/>
      <c r="AO425" s="6"/>
      <c r="AP425" s="6"/>
      <c r="AQ425" s="6"/>
      <c r="AR425" s="6"/>
      <c r="AS425" s="6"/>
    </row>
    <row r="426" spans="1:45" ht="31.5" hidden="1" x14ac:dyDescent="0.25">
      <c r="A426" s="33" t="s">
        <v>35</v>
      </c>
      <c r="B426" s="42">
        <v>238</v>
      </c>
      <c r="C426" s="33" t="s">
        <v>1136</v>
      </c>
      <c r="D426" s="33" t="s">
        <v>1957</v>
      </c>
      <c r="E426" s="33"/>
      <c r="F426" s="54"/>
      <c r="G426" s="33" t="s">
        <v>1958</v>
      </c>
      <c r="H426" s="33"/>
      <c r="I426" s="33"/>
      <c r="J426" s="33" t="s">
        <v>1959</v>
      </c>
      <c r="K426" s="33" t="s">
        <v>43</v>
      </c>
      <c r="L426" s="33" t="s">
        <v>1960</v>
      </c>
      <c r="M426" s="44">
        <v>2575548192</v>
      </c>
      <c r="N426" s="45"/>
      <c r="O426" s="44">
        <v>7500000</v>
      </c>
      <c r="P426" s="86"/>
      <c r="Q426" s="44">
        <f t="shared" si="206"/>
        <v>2583048192</v>
      </c>
      <c r="R426" s="32"/>
      <c r="S426" s="32"/>
      <c r="T426" s="66"/>
      <c r="U426" s="32"/>
      <c r="V426" s="32"/>
      <c r="W426" s="49">
        <v>2575548192</v>
      </c>
      <c r="X426" s="49">
        <f t="shared" ref="X426:Z426" si="428">N426-S426</f>
        <v>0</v>
      </c>
      <c r="Y426" s="52">
        <f t="shared" si="428"/>
        <v>7500000</v>
      </c>
      <c r="Z426" s="49">
        <f t="shared" si="428"/>
        <v>0</v>
      </c>
      <c r="AA426" s="69">
        <v>2575548192</v>
      </c>
      <c r="AB426" s="43"/>
      <c r="AC426" s="15">
        <f t="shared" si="208"/>
        <v>2</v>
      </c>
      <c r="AD426" s="15"/>
      <c r="AE426" s="6"/>
      <c r="AF426" s="6"/>
      <c r="AG426" s="6"/>
      <c r="AH426" s="6"/>
      <c r="AI426" s="6"/>
      <c r="AJ426" s="6"/>
      <c r="AK426" s="6"/>
      <c r="AL426" s="6"/>
      <c r="AM426" s="6"/>
      <c r="AN426" s="6"/>
      <c r="AO426" s="6"/>
      <c r="AP426" s="6"/>
      <c r="AQ426" s="6"/>
      <c r="AR426" s="6"/>
      <c r="AS426" s="6"/>
    </row>
    <row r="427" spans="1:45" ht="31.5" hidden="1" x14ac:dyDescent="0.25">
      <c r="A427" s="33" t="s">
        <v>52</v>
      </c>
      <c r="B427" s="42">
        <v>239</v>
      </c>
      <c r="C427" s="33" t="s">
        <v>1136</v>
      </c>
      <c r="D427" s="33" t="s">
        <v>1961</v>
      </c>
      <c r="E427" s="33" t="s">
        <v>409</v>
      </c>
      <c r="F427" s="54"/>
      <c r="G427" s="33" t="s">
        <v>1962</v>
      </c>
      <c r="H427" s="33" t="s">
        <v>169</v>
      </c>
      <c r="I427" s="32"/>
      <c r="J427" s="33" t="s">
        <v>1963</v>
      </c>
      <c r="K427" s="33" t="s">
        <v>43</v>
      </c>
      <c r="L427" s="33" t="s">
        <v>1964</v>
      </c>
      <c r="M427" s="44">
        <v>3117071830</v>
      </c>
      <c r="N427" s="44">
        <v>483955776</v>
      </c>
      <c r="O427" s="44">
        <v>7500000</v>
      </c>
      <c r="P427" s="86"/>
      <c r="Q427" s="44">
        <f t="shared" si="206"/>
        <v>3608527606</v>
      </c>
      <c r="R427" s="48">
        <v>3117071830</v>
      </c>
      <c r="S427" s="48">
        <v>483955776</v>
      </c>
      <c r="T427" s="44">
        <v>7500000</v>
      </c>
      <c r="U427" s="32"/>
      <c r="V427" s="32"/>
      <c r="W427" s="49"/>
      <c r="X427" s="49">
        <f t="shared" ref="X427:Z427" si="429">N427-S427</f>
        <v>0</v>
      </c>
      <c r="Y427" s="49">
        <f t="shared" si="429"/>
        <v>0</v>
      </c>
      <c r="Z427" s="49">
        <f t="shared" si="429"/>
        <v>0</v>
      </c>
      <c r="AA427" s="54"/>
      <c r="AB427" s="54"/>
      <c r="AC427" s="2">
        <f t="shared" si="208"/>
        <v>2</v>
      </c>
      <c r="AD427" s="6"/>
      <c r="AE427" s="6"/>
      <c r="AF427" s="6"/>
      <c r="AG427" s="6"/>
      <c r="AH427" s="6"/>
      <c r="AI427" s="6"/>
      <c r="AJ427" s="6"/>
      <c r="AK427" s="6"/>
      <c r="AL427" s="6"/>
      <c r="AM427" s="6"/>
      <c r="AN427" s="6"/>
      <c r="AO427" s="6"/>
      <c r="AP427" s="6"/>
      <c r="AQ427" s="6"/>
      <c r="AR427" s="6"/>
      <c r="AS427" s="6"/>
    </row>
    <row r="428" spans="1:45" ht="31.5" hidden="1" x14ac:dyDescent="0.25">
      <c r="A428" s="33" t="s">
        <v>35</v>
      </c>
      <c r="B428" s="42">
        <v>241</v>
      </c>
      <c r="C428" s="33" t="s">
        <v>1136</v>
      </c>
      <c r="D428" s="33" t="s">
        <v>1966</v>
      </c>
      <c r="E428" s="32"/>
      <c r="F428" s="54"/>
      <c r="G428" s="33" t="s">
        <v>1967</v>
      </c>
      <c r="H428" s="32"/>
      <c r="I428" s="32"/>
      <c r="J428" s="33" t="s">
        <v>1968</v>
      </c>
      <c r="K428" s="33" t="s">
        <v>43</v>
      </c>
      <c r="L428" s="33" t="s">
        <v>1969</v>
      </c>
      <c r="M428" s="44">
        <v>391616484</v>
      </c>
      <c r="N428" s="45"/>
      <c r="O428" s="44">
        <v>7500000</v>
      </c>
      <c r="P428" s="86"/>
      <c r="Q428" s="44">
        <f t="shared" si="206"/>
        <v>399116484</v>
      </c>
      <c r="R428" s="48">
        <v>391616484</v>
      </c>
      <c r="S428" s="32"/>
      <c r="T428" s="44">
        <v>7500000</v>
      </c>
      <c r="U428" s="32"/>
      <c r="V428" s="32"/>
      <c r="W428" s="49"/>
      <c r="X428" s="49">
        <f t="shared" ref="X428:Z428" si="430">N428-S428</f>
        <v>0</v>
      </c>
      <c r="Y428" s="49">
        <f t="shared" si="430"/>
        <v>0</v>
      </c>
      <c r="Z428" s="49">
        <f t="shared" si="430"/>
        <v>0</v>
      </c>
      <c r="AA428" s="54"/>
      <c r="AB428" s="54"/>
      <c r="AC428" s="2">
        <f t="shared" si="208"/>
        <v>2</v>
      </c>
      <c r="AD428" s="6"/>
      <c r="AE428" s="6"/>
      <c r="AF428" s="6"/>
      <c r="AG428" s="6"/>
      <c r="AH428" s="6"/>
      <c r="AI428" s="6"/>
      <c r="AJ428" s="6"/>
      <c r="AK428" s="6"/>
      <c r="AL428" s="6"/>
      <c r="AM428" s="6"/>
      <c r="AN428" s="6"/>
      <c r="AO428" s="6"/>
      <c r="AP428" s="6"/>
      <c r="AQ428" s="6"/>
      <c r="AR428" s="6"/>
      <c r="AS428" s="6"/>
    </row>
    <row r="429" spans="1:45" ht="31.5" hidden="1" x14ac:dyDescent="0.25">
      <c r="A429" s="33" t="s">
        <v>35</v>
      </c>
      <c r="B429" s="42">
        <v>242</v>
      </c>
      <c r="C429" s="33" t="s">
        <v>1136</v>
      </c>
      <c r="D429" s="33" t="s">
        <v>1971</v>
      </c>
      <c r="E429" s="33" t="s">
        <v>1923</v>
      </c>
      <c r="F429" s="54"/>
      <c r="G429" s="33" t="s">
        <v>1972</v>
      </c>
      <c r="H429" s="32"/>
      <c r="I429" s="32"/>
      <c r="J429" s="33" t="s">
        <v>1973</v>
      </c>
      <c r="K429" s="33" t="s">
        <v>43</v>
      </c>
      <c r="L429" s="33" t="s">
        <v>1974</v>
      </c>
      <c r="M429" s="44">
        <v>5427416524</v>
      </c>
      <c r="N429" s="44">
        <v>5717376</v>
      </c>
      <c r="O429" s="44">
        <v>7500000</v>
      </c>
      <c r="P429" s="86"/>
      <c r="Q429" s="44">
        <f t="shared" si="206"/>
        <v>5440633900</v>
      </c>
      <c r="R429" s="48">
        <v>5427416524</v>
      </c>
      <c r="S429" s="48">
        <v>5717376</v>
      </c>
      <c r="T429" s="44">
        <v>7500000</v>
      </c>
      <c r="U429" s="32"/>
      <c r="V429" s="32"/>
      <c r="W429" s="49"/>
      <c r="X429" s="49">
        <f t="shared" ref="X429:Z429" si="431">N429-S429</f>
        <v>0</v>
      </c>
      <c r="Y429" s="49">
        <f t="shared" si="431"/>
        <v>0</v>
      </c>
      <c r="Z429" s="49">
        <f t="shared" si="431"/>
        <v>0</v>
      </c>
      <c r="AA429" s="54"/>
      <c r="AB429" s="54"/>
      <c r="AC429" s="2">
        <f t="shared" si="208"/>
        <v>2</v>
      </c>
      <c r="AD429" s="6"/>
      <c r="AE429" s="6"/>
      <c r="AF429" s="6"/>
      <c r="AG429" s="6"/>
      <c r="AH429" s="6"/>
      <c r="AI429" s="6"/>
      <c r="AJ429" s="6"/>
      <c r="AK429" s="6"/>
      <c r="AL429" s="6"/>
      <c r="AM429" s="6"/>
      <c r="AN429" s="6"/>
      <c r="AO429" s="6"/>
      <c r="AP429" s="6"/>
      <c r="AQ429" s="6"/>
      <c r="AR429" s="6"/>
      <c r="AS429" s="6"/>
    </row>
    <row r="430" spans="1:45" ht="31.5" hidden="1" x14ac:dyDescent="0.25">
      <c r="A430" s="33" t="s">
        <v>35</v>
      </c>
      <c r="B430" s="42">
        <v>243</v>
      </c>
      <c r="C430" s="33" t="s">
        <v>1136</v>
      </c>
      <c r="D430" s="33" t="s">
        <v>1975</v>
      </c>
      <c r="E430" s="32"/>
      <c r="F430" s="54"/>
      <c r="G430" s="33" t="s">
        <v>1976</v>
      </c>
      <c r="H430" s="32"/>
      <c r="I430" s="32"/>
      <c r="J430" s="33" t="s">
        <v>1977</v>
      </c>
      <c r="K430" s="33" t="s">
        <v>43</v>
      </c>
      <c r="L430" s="33" t="s">
        <v>1978</v>
      </c>
      <c r="M430" s="44">
        <v>220068000</v>
      </c>
      <c r="N430" s="45"/>
      <c r="O430" s="44">
        <v>7500000</v>
      </c>
      <c r="P430" s="86"/>
      <c r="Q430" s="44">
        <f t="shared" si="206"/>
        <v>227568000</v>
      </c>
      <c r="R430" s="48">
        <v>220068000</v>
      </c>
      <c r="S430" s="32"/>
      <c r="T430" s="44">
        <v>7500000</v>
      </c>
      <c r="U430" s="32"/>
      <c r="V430" s="32"/>
      <c r="W430" s="49"/>
      <c r="X430" s="49">
        <f t="shared" ref="X430:Z430" si="432">N430-S430</f>
        <v>0</v>
      </c>
      <c r="Y430" s="49">
        <f t="shared" si="432"/>
        <v>0</v>
      </c>
      <c r="Z430" s="49">
        <f t="shared" si="432"/>
        <v>0</v>
      </c>
      <c r="AA430" s="54"/>
      <c r="AB430" s="54"/>
      <c r="AC430" s="2">
        <f t="shared" si="208"/>
        <v>2</v>
      </c>
      <c r="AD430" s="6"/>
      <c r="AE430" s="6"/>
      <c r="AF430" s="6"/>
      <c r="AG430" s="6"/>
      <c r="AH430" s="6"/>
      <c r="AI430" s="6"/>
      <c r="AJ430" s="6"/>
      <c r="AK430" s="6"/>
      <c r="AL430" s="6"/>
      <c r="AM430" s="6"/>
      <c r="AN430" s="6"/>
      <c r="AO430" s="6"/>
      <c r="AP430" s="6"/>
      <c r="AQ430" s="6"/>
      <c r="AR430" s="6"/>
      <c r="AS430" s="6"/>
    </row>
    <row r="431" spans="1:45" ht="78" hidden="1" customHeight="1" x14ac:dyDescent="0.25">
      <c r="A431" s="33" t="s">
        <v>35</v>
      </c>
      <c r="B431" s="42">
        <v>244</v>
      </c>
      <c r="C431" s="33" t="s">
        <v>1136</v>
      </c>
      <c r="D431" s="33" t="s">
        <v>1979</v>
      </c>
      <c r="E431" s="33" t="s">
        <v>1923</v>
      </c>
      <c r="F431" s="54"/>
      <c r="G431" s="33" t="s">
        <v>1980</v>
      </c>
      <c r="H431" s="33"/>
      <c r="I431" s="33"/>
      <c r="J431" s="33" t="s">
        <v>1981</v>
      </c>
      <c r="K431" s="33" t="s">
        <v>43</v>
      </c>
      <c r="L431" s="33" t="s">
        <v>1982</v>
      </c>
      <c r="M431" s="44">
        <v>803708300</v>
      </c>
      <c r="N431" s="44">
        <v>83491840</v>
      </c>
      <c r="O431" s="44">
        <v>7500000</v>
      </c>
      <c r="P431" s="86"/>
      <c r="Q431" s="44">
        <f t="shared" si="206"/>
        <v>894700140</v>
      </c>
      <c r="R431" s="48">
        <v>803708300</v>
      </c>
      <c r="S431" s="48">
        <v>83491840</v>
      </c>
      <c r="T431" s="66"/>
      <c r="U431" s="32"/>
      <c r="V431" s="32"/>
      <c r="W431" s="49"/>
      <c r="X431" s="49">
        <f t="shared" ref="X431:Z431" si="433">N431-S431</f>
        <v>0</v>
      </c>
      <c r="Y431" s="52">
        <f t="shared" si="433"/>
        <v>7500000</v>
      </c>
      <c r="Z431" s="49">
        <f t="shared" si="433"/>
        <v>0</v>
      </c>
      <c r="AA431" s="54"/>
      <c r="AB431" s="43"/>
      <c r="AC431" s="15">
        <f t="shared" si="208"/>
        <v>2</v>
      </c>
      <c r="AD431" s="15"/>
      <c r="AE431" s="6"/>
      <c r="AF431" s="6"/>
      <c r="AG431" s="6"/>
      <c r="AH431" s="6"/>
      <c r="AI431" s="6"/>
      <c r="AJ431" s="6"/>
      <c r="AK431" s="6"/>
      <c r="AL431" s="6"/>
      <c r="AM431" s="6"/>
      <c r="AN431" s="6"/>
      <c r="AO431" s="6"/>
      <c r="AP431" s="6"/>
      <c r="AQ431" s="6"/>
      <c r="AR431" s="6"/>
      <c r="AS431" s="6"/>
    </row>
    <row r="432" spans="1:45" ht="31.5" hidden="1" x14ac:dyDescent="0.25">
      <c r="A432" s="33" t="s">
        <v>52</v>
      </c>
      <c r="B432" s="42">
        <v>245</v>
      </c>
      <c r="C432" s="33" t="s">
        <v>1136</v>
      </c>
      <c r="D432" s="33" t="s">
        <v>1983</v>
      </c>
      <c r="E432" s="32"/>
      <c r="F432" s="54"/>
      <c r="G432" s="33" t="s">
        <v>1984</v>
      </c>
      <c r="H432" s="32"/>
      <c r="I432" s="32"/>
      <c r="J432" s="33" t="s">
        <v>1985</v>
      </c>
      <c r="K432" s="33" t="s">
        <v>43</v>
      </c>
      <c r="L432" s="33" t="s">
        <v>1986</v>
      </c>
      <c r="M432" s="44">
        <v>0</v>
      </c>
      <c r="N432" s="45"/>
      <c r="O432" s="44">
        <v>7500000</v>
      </c>
      <c r="P432" s="86"/>
      <c r="Q432" s="44">
        <f t="shared" si="206"/>
        <v>7500000</v>
      </c>
      <c r="R432" s="42">
        <v>0</v>
      </c>
      <c r="S432" s="32"/>
      <c r="T432" s="44">
        <v>7500000</v>
      </c>
      <c r="U432" s="32"/>
      <c r="V432" s="32"/>
      <c r="W432" s="49"/>
      <c r="X432" s="49">
        <f t="shared" ref="X432:Z432" si="434">N432-S432</f>
        <v>0</v>
      </c>
      <c r="Y432" s="49">
        <f t="shared" si="434"/>
        <v>0</v>
      </c>
      <c r="Z432" s="49">
        <f t="shared" si="434"/>
        <v>0</v>
      </c>
      <c r="AA432" s="54"/>
      <c r="AB432" s="54"/>
      <c r="AC432" s="2">
        <f t="shared" si="208"/>
        <v>2</v>
      </c>
      <c r="AD432" s="6"/>
      <c r="AE432" s="6"/>
      <c r="AF432" s="6"/>
      <c r="AG432" s="6"/>
      <c r="AH432" s="6"/>
      <c r="AI432" s="6"/>
      <c r="AJ432" s="6"/>
      <c r="AK432" s="6"/>
      <c r="AL432" s="6"/>
      <c r="AM432" s="6"/>
      <c r="AN432" s="6"/>
      <c r="AO432" s="6"/>
      <c r="AP432" s="6"/>
      <c r="AQ432" s="6"/>
      <c r="AR432" s="6"/>
      <c r="AS432" s="6"/>
    </row>
    <row r="433" spans="1:45" ht="94.5" hidden="1" x14ac:dyDescent="0.25">
      <c r="A433" s="33" t="s">
        <v>35</v>
      </c>
      <c r="B433" s="42">
        <v>246</v>
      </c>
      <c r="C433" s="33" t="s">
        <v>1136</v>
      </c>
      <c r="D433" s="33" t="s">
        <v>1988</v>
      </c>
      <c r="E433" s="33" t="s">
        <v>1923</v>
      </c>
      <c r="F433" s="54"/>
      <c r="G433" s="33" t="s">
        <v>1989</v>
      </c>
      <c r="H433" s="32"/>
      <c r="I433" s="32"/>
      <c r="J433" s="33" t="s">
        <v>1990</v>
      </c>
      <c r="K433" s="33" t="s">
        <v>43</v>
      </c>
      <c r="L433" s="33" t="s">
        <v>1991</v>
      </c>
      <c r="M433" s="44">
        <v>3613352200</v>
      </c>
      <c r="N433" s="44">
        <v>53089920</v>
      </c>
      <c r="O433" s="44">
        <v>7500000</v>
      </c>
      <c r="P433" s="86"/>
      <c r="Q433" s="44">
        <f t="shared" si="206"/>
        <v>3673942120</v>
      </c>
      <c r="R433" s="48">
        <v>3613352200</v>
      </c>
      <c r="S433" s="48">
        <v>53089920</v>
      </c>
      <c r="T433" s="44">
        <v>7500000</v>
      </c>
      <c r="U433" s="32"/>
      <c r="V433" s="32"/>
      <c r="W433" s="49"/>
      <c r="X433" s="49">
        <f t="shared" ref="X433:Z433" si="435">N433-S433</f>
        <v>0</v>
      </c>
      <c r="Y433" s="49">
        <f t="shared" si="435"/>
        <v>0</v>
      </c>
      <c r="Z433" s="49">
        <f t="shared" si="435"/>
        <v>0</v>
      </c>
      <c r="AA433" s="54"/>
      <c r="AB433" s="54"/>
      <c r="AC433" s="2">
        <f t="shared" si="208"/>
        <v>2</v>
      </c>
      <c r="AD433" s="6"/>
      <c r="AE433" s="6"/>
      <c r="AF433" s="6"/>
      <c r="AG433" s="6"/>
      <c r="AH433" s="6"/>
      <c r="AI433" s="6"/>
      <c r="AJ433" s="6"/>
      <c r="AK433" s="6"/>
      <c r="AL433" s="6"/>
      <c r="AM433" s="6"/>
      <c r="AN433" s="6"/>
      <c r="AO433" s="6"/>
      <c r="AP433" s="6"/>
      <c r="AQ433" s="6"/>
      <c r="AR433" s="6"/>
      <c r="AS433" s="6"/>
    </row>
    <row r="434" spans="1:45" ht="31.5" hidden="1" x14ac:dyDescent="0.25">
      <c r="A434" s="33" t="s">
        <v>35</v>
      </c>
      <c r="B434" s="42">
        <v>247</v>
      </c>
      <c r="C434" s="33" t="s">
        <v>1136</v>
      </c>
      <c r="D434" s="33" t="s">
        <v>1992</v>
      </c>
      <c r="E434" s="33" t="s">
        <v>1993</v>
      </c>
      <c r="F434" s="54"/>
      <c r="G434" s="33" t="s">
        <v>1994</v>
      </c>
      <c r="H434" s="32"/>
      <c r="I434" s="32"/>
      <c r="J434" s="33" t="s">
        <v>1995</v>
      </c>
      <c r="K434" s="33" t="s">
        <v>43</v>
      </c>
      <c r="L434" s="33" t="s">
        <v>1996</v>
      </c>
      <c r="M434" s="44">
        <v>2238832624</v>
      </c>
      <c r="N434" s="44">
        <v>440119008</v>
      </c>
      <c r="O434" s="44">
        <v>15000000</v>
      </c>
      <c r="P434" s="86"/>
      <c r="Q434" s="44">
        <f t="shared" si="206"/>
        <v>2693951632</v>
      </c>
      <c r="R434" s="48">
        <v>2238832624</v>
      </c>
      <c r="S434" s="48">
        <v>440119008</v>
      </c>
      <c r="T434" s="44">
        <v>15000000</v>
      </c>
      <c r="U434" s="32"/>
      <c r="V434" s="32"/>
      <c r="W434" s="49"/>
      <c r="X434" s="49">
        <f t="shared" ref="X434:Z434" si="436">N434-S434</f>
        <v>0</v>
      </c>
      <c r="Y434" s="49">
        <f t="shared" si="436"/>
        <v>0</v>
      </c>
      <c r="Z434" s="49">
        <f t="shared" si="436"/>
        <v>0</v>
      </c>
      <c r="AA434" s="54"/>
      <c r="AB434" s="54"/>
      <c r="AC434" s="2">
        <f t="shared" si="208"/>
        <v>2</v>
      </c>
      <c r="AD434" s="6"/>
      <c r="AE434" s="6"/>
      <c r="AF434" s="6"/>
      <c r="AG434" s="6"/>
      <c r="AH434" s="6"/>
      <c r="AI434" s="6"/>
      <c r="AJ434" s="6"/>
      <c r="AK434" s="6"/>
      <c r="AL434" s="6"/>
      <c r="AM434" s="6"/>
      <c r="AN434" s="6"/>
      <c r="AO434" s="6"/>
      <c r="AP434" s="6"/>
      <c r="AQ434" s="6"/>
      <c r="AR434" s="6"/>
      <c r="AS434" s="6"/>
    </row>
    <row r="435" spans="1:45" ht="31.5" hidden="1" x14ac:dyDescent="0.25">
      <c r="A435" s="33" t="s">
        <v>35</v>
      </c>
      <c r="B435" s="42">
        <v>248</v>
      </c>
      <c r="C435" s="33" t="s">
        <v>1136</v>
      </c>
      <c r="D435" s="33" t="s">
        <v>1997</v>
      </c>
      <c r="E435" s="32"/>
      <c r="F435" s="54"/>
      <c r="G435" s="33" t="s">
        <v>1383</v>
      </c>
      <c r="H435" s="32"/>
      <c r="I435" s="32"/>
      <c r="J435" s="33" t="s">
        <v>1998</v>
      </c>
      <c r="K435" s="33" t="s">
        <v>43</v>
      </c>
      <c r="L435" s="33" t="s">
        <v>1999</v>
      </c>
      <c r="M435" s="44">
        <v>3203717384</v>
      </c>
      <c r="N435" s="45"/>
      <c r="O435" s="44">
        <v>15000000</v>
      </c>
      <c r="P435" s="86"/>
      <c r="Q435" s="44">
        <f t="shared" si="206"/>
        <v>3218717384</v>
      </c>
      <c r="R435" s="48">
        <v>3203717384</v>
      </c>
      <c r="S435" s="32"/>
      <c r="T435" s="44">
        <v>15000000</v>
      </c>
      <c r="U435" s="32"/>
      <c r="V435" s="32"/>
      <c r="W435" s="49"/>
      <c r="X435" s="49">
        <f t="shared" ref="X435:Z435" si="437">N435-S435</f>
        <v>0</v>
      </c>
      <c r="Y435" s="49">
        <f t="shared" si="437"/>
        <v>0</v>
      </c>
      <c r="Z435" s="49">
        <f t="shared" si="437"/>
        <v>0</v>
      </c>
      <c r="AA435" s="54"/>
      <c r="AB435" s="54"/>
      <c r="AC435" s="2">
        <f t="shared" si="208"/>
        <v>2</v>
      </c>
      <c r="AD435" s="6"/>
      <c r="AE435" s="6"/>
      <c r="AF435" s="6"/>
      <c r="AG435" s="6"/>
      <c r="AH435" s="6"/>
      <c r="AI435" s="6"/>
      <c r="AJ435" s="6"/>
      <c r="AK435" s="6"/>
      <c r="AL435" s="6"/>
      <c r="AM435" s="6"/>
      <c r="AN435" s="6"/>
      <c r="AO435" s="6"/>
      <c r="AP435" s="6"/>
      <c r="AQ435" s="6"/>
      <c r="AR435" s="6"/>
      <c r="AS435" s="6"/>
    </row>
    <row r="436" spans="1:45" ht="31.5" hidden="1" x14ac:dyDescent="0.25">
      <c r="A436" s="33" t="s">
        <v>35</v>
      </c>
      <c r="B436" s="42">
        <v>250</v>
      </c>
      <c r="C436" s="33" t="s">
        <v>1136</v>
      </c>
      <c r="D436" s="33" t="s">
        <v>2002</v>
      </c>
      <c r="E436" s="32"/>
      <c r="F436" s="54"/>
      <c r="G436" s="33" t="s">
        <v>2003</v>
      </c>
      <c r="H436" s="32"/>
      <c r="I436" s="32"/>
      <c r="J436" s="33" t="s">
        <v>2004</v>
      </c>
      <c r="K436" s="33" t="s">
        <v>43</v>
      </c>
      <c r="L436" s="33" t="s">
        <v>2005</v>
      </c>
      <c r="M436" s="44">
        <v>3719388760</v>
      </c>
      <c r="N436" s="45"/>
      <c r="O436" s="44">
        <v>15000000</v>
      </c>
      <c r="P436" s="86"/>
      <c r="Q436" s="44">
        <f t="shared" si="206"/>
        <v>3734388760</v>
      </c>
      <c r="R436" s="48">
        <v>3719388760</v>
      </c>
      <c r="S436" s="32"/>
      <c r="T436" s="44">
        <v>15000000</v>
      </c>
      <c r="U436" s="32"/>
      <c r="V436" s="32"/>
      <c r="W436" s="49"/>
      <c r="X436" s="49">
        <f t="shared" ref="X436:Z436" si="438">N436-S436</f>
        <v>0</v>
      </c>
      <c r="Y436" s="49">
        <f t="shared" si="438"/>
        <v>0</v>
      </c>
      <c r="Z436" s="49">
        <f t="shared" si="438"/>
        <v>0</v>
      </c>
      <c r="AA436" s="54"/>
      <c r="AB436" s="54"/>
      <c r="AC436" s="2">
        <f t="shared" si="208"/>
        <v>2</v>
      </c>
      <c r="AD436" s="6"/>
      <c r="AE436" s="6"/>
      <c r="AF436" s="6"/>
      <c r="AG436" s="6"/>
      <c r="AH436" s="6"/>
      <c r="AI436" s="6"/>
      <c r="AJ436" s="6"/>
      <c r="AK436" s="6"/>
      <c r="AL436" s="6"/>
      <c r="AM436" s="6"/>
      <c r="AN436" s="6"/>
      <c r="AO436" s="6"/>
      <c r="AP436" s="6"/>
      <c r="AQ436" s="6"/>
      <c r="AR436" s="6"/>
      <c r="AS436" s="6"/>
    </row>
    <row r="437" spans="1:45" ht="31.5" hidden="1" x14ac:dyDescent="0.25">
      <c r="A437" s="33" t="s">
        <v>35</v>
      </c>
      <c r="B437" s="42">
        <v>251</v>
      </c>
      <c r="C437" s="33" t="s">
        <v>1136</v>
      </c>
      <c r="D437" s="33" t="s">
        <v>2006</v>
      </c>
      <c r="E437" s="32"/>
      <c r="F437" s="54"/>
      <c r="G437" s="33" t="s">
        <v>2007</v>
      </c>
      <c r="H437" s="32"/>
      <c r="I437" s="33" t="s">
        <v>2008</v>
      </c>
      <c r="J437" s="33" t="s">
        <v>2009</v>
      </c>
      <c r="K437" s="33" t="s">
        <v>43</v>
      </c>
      <c r="L437" s="33" t="s">
        <v>2010</v>
      </c>
      <c r="M437" s="44">
        <v>3679560544</v>
      </c>
      <c r="N437" s="45"/>
      <c r="O437" s="44">
        <v>15000000</v>
      </c>
      <c r="P437" s="86"/>
      <c r="Q437" s="44">
        <f t="shared" si="206"/>
        <v>3694560544</v>
      </c>
      <c r="R437" s="48">
        <v>3679560544</v>
      </c>
      <c r="S437" s="32"/>
      <c r="T437" s="44">
        <v>15000000</v>
      </c>
      <c r="U437" s="32"/>
      <c r="V437" s="32"/>
      <c r="W437" s="49"/>
      <c r="X437" s="49">
        <f t="shared" ref="X437:Z437" si="439">N437-S437</f>
        <v>0</v>
      </c>
      <c r="Y437" s="49">
        <f t="shared" si="439"/>
        <v>0</v>
      </c>
      <c r="Z437" s="49">
        <f t="shared" si="439"/>
        <v>0</v>
      </c>
      <c r="AA437" s="54"/>
      <c r="AB437" s="54"/>
      <c r="AC437" s="2">
        <f t="shared" si="208"/>
        <v>2</v>
      </c>
      <c r="AD437" s="6"/>
      <c r="AE437" s="6"/>
      <c r="AF437" s="6"/>
      <c r="AG437" s="6"/>
      <c r="AH437" s="6"/>
      <c r="AI437" s="6"/>
      <c r="AJ437" s="6"/>
      <c r="AK437" s="6"/>
      <c r="AL437" s="6"/>
      <c r="AM437" s="6"/>
      <c r="AN437" s="6"/>
      <c r="AO437" s="6"/>
      <c r="AP437" s="6"/>
      <c r="AQ437" s="6"/>
      <c r="AR437" s="6"/>
      <c r="AS437" s="6"/>
    </row>
    <row r="438" spans="1:45" ht="47.25" hidden="1" x14ac:dyDescent="0.25">
      <c r="A438" s="33" t="s">
        <v>46</v>
      </c>
      <c r="B438" s="42">
        <v>252</v>
      </c>
      <c r="C438" s="33" t="s">
        <v>1886</v>
      </c>
      <c r="D438" s="33" t="s">
        <v>2011</v>
      </c>
      <c r="E438" s="32"/>
      <c r="F438" s="54"/>
      <c r="G438" s="33" t="s">
        <v>2012</v>
      </c>
      <c r="H438" s="32"/>
      <c r="I438" s="32"/>
      <c r="J438" s="33" t="s">
        <v>2014</v>
      </c>
      <c r="K438" s="33" t="s">
        <v>43</v>
      </c>
      <c r="L438" s="33" t="s">
        <v>2015</v>
      </c>
      <c r="M438" s="44">
        <v>2768598346</v>
      </c>
      <c r="N438" s="45"/>
      <c r="O438" s="44">
        <v>7500000</v>
      </c>
      <c r="P438" s="86"/>
      <c r="Q438" s="44">
        <f t="shared" si="206"/>
        <v>2776098346</v>
      </c>
      <c r="R438" s="48">
        <v>2768598346</v>
      </c>
      <c r="S438" s="32"/>
      <c r="T438" s="44">
        <v>7500000</v>
      </c>
      <c r="U438" s="32"/>
      <c r="V438" s="32"/>
      <c r="W438" s="49"/>
      <c r="X438" s="49">
        <f t="shared" ref="X438:Z438" si="440">N438-S438</f>
        <v>0</v>
      </c>
      <c r="Y438" s="49">
        <f t="shared" si="440"/>
        <v>0</v>
      </c>
      <c r="Z438" s="49">
        <f t="shared" si="440"/>
        <v>0</v>
      </c>
      <c r="AA438" s="54"/>
      <c r="AB438" s="54"/>
      <c r="AC438" s="2">
        <f t="shared" si="208"/>
        <v>2</v>
      </c>
      <c r="AD438" s="6"/>
      <c r="AE438" s="6"/>
      <c r="AF438" s="6"/>
      <c r="AG438" s="6"/>
      <c r="AH438" s="6"/>
      <c r="AI438" s="6"/>
      <c r="AJ438" s="6"/>
      <c r="AK438" s="6"/>
      <c r="AL438" s="6"/>
      <c r="AM438" s="6"/>
      <c r="AN438" s="6"/>
      <c r="AO438" s="6"/>
      <c r="AP438" s="6"/>
      <c r="AQ438" s="6"/>
      <c r="AR438" s="6"/>
      <c r="AS438" s="6"/>
    </row>
    <row r="439" spans="1:45" ht="47.25" hidden="1" x14ac:dyDescent="0.25">
      <c r="A439" s="33" t="s">
        <v>46</v>
      </c>
      <c r="B439" s="42">
        <v>253</v>
      </c>
      <c r="C439" s="33" t="s">
        <v>1886</v>
      </c>
      <c r="D439" s="33" t="s">
        <v>2016</v>
      </c>
      <c r="E439" s="32"/>
      <c r="F439" s="54"/>
      <c r="G439" s="33" t="s">
        <v>2017</v>
      </c>
      <c r="H439" s="32"/>
      <c r="I439" s="32"/>
      <c r="J439" s="33" t="s">
        <v>2018</v>
      </c>
      <c r="K439" s="33" t="s">
        <v>43</v>
      </c>
      <c r="L439" s="33" t="s">
        <v>2019</v>
      </c>
      <c r="M439" s="44">
        <v>671801500</v>
      </c>
      <c r="N439" s="45"/>
      <c r="O439" s="44">
        <v>7500000</v>
      </c>
      <c r="P439" s="86"/>
      <c r="Q439" s="44">
        <f t="shared" si="206"/>
        <v>679301500</v>
      </c>
      <c r="R439" s="48">
        <v>671801500</v>
      </c>
      <c r="S439" s="32"/>
      <c r="T439" s="44">
        <v>7500000</v>
      </c>
      <c r="U439" s="32"/>
      <c r="V439" s="32"/>
      <c r="W439" s="49"/>
      <c r="X439" s="49">
        <f t="shared" ref="X439:Z439" si="441">N439-S439</f>
        <v>0</v>
      </c>
      <c r="Y439" s="49">
        <f t="shared" si="441"/>
        <v>0</v>
      </c>
      <c r="Z439" s="49">
        <f t="shared" si="441"/>
        <v>0</v>
      </c>
      <c r="AA439" s="54"/>
      <c r="AB439" s="54"/>
      <c r="AC439" s="2">
        <f t="shared" si="208"/>
        <v>2</v>
      </c>
      <c r="AD439" s="6"/>
      <c r="AE439" s="6"/>
      <c r="AF439" s="6"/>
      <c r="AG439" s="6"/>
      <c r="AH439" s="6"/>
      <c r="AI439" s="6"/>
      <c r="AJ439" s="6"/>
      <c r="AK439" s="6"/>
      <c r="AL439" s="6"/>
      <c r="AM439" s="6"/>
      <c r="AN439" s="6"/>
      <c r="AO439" s="6"/>
      <c r="AP439" s="6"/>
      <c r="AQ439" s="6"/>
      <c r="AR439" s="6"/>
      <c r="AS439" s="6"/>
    </row>
    <row r="440" spans="1:45" ht="47.25" hidden="1" x14ac:dyDescent="0.25">
      <c r="A440" s="33" t="s">
        <v>46</v>
      </c>
      <c r="B440" s="42">
        <v>254</v>
      </c>
      <c r="C440" s="33" t="s">
        <v>1886</v>
      </c>
      <c r="D440" s="33" t="s">
        <v>2020</v>
      </c>
      <c r="E440" s="32"/>
      <c r="F440" s="54"/>
      <c r="G440" s="33" t="s">
        <v>2021</v>
      </c>
      <c r="H440" s="32"/>
      <c r="I440" s="32"/>
      <c r="J440" s="33" t="s">
        <v>2022</v>
      </c>
      <c r="K440" s="33" t="s">
        <v>43</v>
      </c>
      <c r="L440" s="33" t="s">
        <v>2023</v>
      </c>
      <c r="M440" s="44">
        <v>691241261</v>
      </c>
      <c r="N440" s="45"/>
      <c r="O440" s="44">
        <v>7500000</v>
      </c>
      <c r="P440" s="86"/>
      <c r="Q440" s="44">
        <f t="shared" si="206"/>
        <v>698741261</v>
      </c>
      <c r="R440" s="48">
        <v>691241261</v>
      </c>
      <c r="S440" s="32"/>
      <c r="T440" s="44">
        <v>7500000</v>
      </c>
      <c r="U440" s="32"/>
      <c r="V440" s="32"/>
      <c r="W440" s="49"/>
      <c r="X440" s="49">
        <f t="shared" ref="X440:Z440" si="442">N440-S440</f>
        <v>0</v>
      </c>
      <c r="Y440" s="49">
        <f t="shared" si="442"/>
        <v>0</v>
      </c>
      <c r="Z440" s="49">
        <f t="shared" si="442"/>
        <v>0</v>
      </c>
      <c r="AA440" s="54"/>
      <c r="AB440" s="54"/>
      <c r="AC440" s="2">
        <f t="shared" si="208"/>
        <v>2</v>
      </c>
      <c r="AD440" s="6"/>
      <c r="AE440" s="6"/>
      <c r="AF440" s="6"/>
      <c r="AG440" s="6"/>
      <c r="AH440" s="6"/>
      <c r="AI440" s="6"/>
      <c r="AJ440" s="6"/>
      <c r="AK440" s="6"/>
      <c r="AL440" s="6"/>
      <c r="AM440" s="6"/>
      <c r="AN440" s="6"/>
      <c r="AO440" s="6"/>
      <c r="AP440" s="6"/>
      <c r="AQ440" s="6"/>
      <c r="AR440" s="6"/>
      <c r="AS440" s="6"/>
    </row>
    <row r="441" spans="1:45" ht="47.25" hidden="1" x14ac:dyDescent="0.25">
      <c r="A441" s="33" t="s">
        <v>35</v>
      </c>
      <c r="B441" s="42">
        <v>255</v>
      </c>
      <c r="C441" s="33" t="s">
        <v>1886</v>
      </c>
      <c r="D441" s="33" t="s">
        <v>2024</v>
      </c>
      <c r="E441" s="32"/>
      <c r="F441" s="54"/>
      <c r="G441" s="33" t="s">
        <v>2025</v>
      </c>
      <c r="H441" s="32"/>
      <c r="I441" s="33" t="s">
        <v>2026</v>
      </c>
      <c r="J441" s="33" t="s">
        <v>2027</v>
      </c>
      <c r="K441" s="33" t="s">
        <v>43</v>
      </c>
      <c r="L441" s="33" t="s">
        <v>2028</v>
      </c>
      <c r="M441" s="44">
        <v>6226631799</v>
      </c>
      <c r="N441" s="45"/>
      <c r="O441" s="44">
        <v>15000000</v>
      </c>
      <c r="P441" s="86"/>
      <c r="Q441" s="44">
        <f t="shared" si="206"/>
        <v>6241631799</v>
      </c>
      <c r="R441" s="48">
        <v>6226631799</v>
      </c>
      <c r="S441" s="32"/>
      <c r="T441" s="44">
        <v>15000000</v>
      </c>
      <c r="U441" s="32"/>
      <c r="V441" s="32"/>
      <c r="W441" s="49"/>
      <c r="X441" s="49">
        <f t="shared" ref="X441:Z441" si="443">N441-S441</f>
        <v>0</v>
      </c>
      <c r="Y441" s="49">
        <f t="shared" si="443"/>
        <v>0</v>
      </c>
      <c r="Z441" s="49">
        <f t="shared" si="443"/>
        <v>0</v>
      </c>
      <c r="AA441" s="54"/>
      <c r="AB441" s="54"/>
      <c r="AC441" s="2">
        <f t="shared" si="208"/>
        <v>2</v>
      </c>
      <c r="AD441" s="6"/>
      <c r="AE441" s="6"/>
      <c r="AF441" s="6"/>
      <c r="AG441" s="6"/>
      <c r="AH441" s="6"/>
      <c r="AI441" s="6"/>
      <c r="AJ441" s="6"/>
      <c r="AK441" s="6"/>
      <c r="AL441" s="6"/>
      <c r="AM441" s="6"/>
      <c r="AN441" s="6"/>
      <c r="AO441" s="6"/>
      <c r="AP441" s="6"/>
      <c r="AQ441" s="6"/>
      <c r="AR441" s="6"/>
      <c r="AS441" s="6"/>
    </row>
    <row r="442" spans="1:45" ht="47.25" hidden="1" x14ac:dyDescent="0.25">
      <c r="A442" s="33" t="s">
        <v>46</v>
      </c>
      <c r="B442" s="42">
        <v>257</v>
      </c>
      <c r="C442" s="33" t="s">
        <v>1886</v>
      </c>
      <c r="D442" s="33" t="s">
        <v>2030</v>
      </c>
      <c r="E442" s="32"/>
      <c r="F442" s="54"/>
      <c r="G442" s="33" t="s">
        <v>2031</v>
      </c>
      <c r="H442" s="32"/>
      <c r="I442" s="32"/>
      <c r="J442" s="33" t="s">
        <v>2032</v>
      </c>
      <c r="K442" s="33" t="s">
        <v>43</v>
      </c>
      <c r="L442" s="33" t="s">
        <v>2033</v>
      </c>
      <c r="M442" s="44">
        <v>1052260732</v>
      </c>
      <c r="N442" s="45"/>
      <c r="O442" s="44">
        <v>15000000</v>
      </c>
      <c r="P442" s="86"/>
      <c r="Q442" s="44">
        <f t="shared" si="206"/>
        <v>1067260732</v>
      </c>
      <c r="R442" s="48">
        <v>1052260732</v>
      </c>
      <c r="S442" s="32"/>
      <c r="T442" s="44">
        <v>15000000</v>
      </c>
      <c r="U442" s="32"/>
      <c r="V442" s="32"/>
      <c r="W442" s="49"/>
      <c r="X442" s="49">
        <f t="shared" ref="X442:Z442" si="444">N442-S442</f>
        <v>0</v>
      </c>
      <c r="Y442" s="49">
        <f t="shared" si="444"/>
        <v>0</v>
      </c>
      <c r="Z442" s="49">
        <f t="shared" si="444"/>
        <v>0</v>
      </c>
      <c r="AA442" s="54"/>
      <c r="AB442" s="54"/>
      <c r="AC442" s="2">
        <f t="shared" si="208"/>
        <v>2</v>
      </c>
      <c r="AD442" s="6"/>
      <c r="AE442" s="6"/>
      <c r="AF442" s="6"/>
      <c r="AG442" s="6"/>
      <c r="AH442" s="6"/>
      <c r="AI442" s="6"/>
      <c r="AJ442" s="6"/>
      <c r="AK442" s="6"/>
      <c r="AL442" s="6"/>
      <c r="AM442" s="6"/>
      <c r="AN442" s="6"/>
      <c r="AO442" s="6"/>
      <c r="AP442" s="6"/>
      <c r="AQ442" s="6"/>
      <c r="AR442" s="6"/>
      <c r="AS442" s="6"/>
    </row>
    <row r="443" spans="1:45" ht="47.25" hidden="1" x14ac:dyDescent="0.25">
      <c r="A443" s="33" t="s">
        <v>46</v>
      </c>
      <c r="B443" s="42">
        <v>258</v>
      </c>
      <c r="C443" s="33" t="s">
        <v>1886</v>
      </c>
      <c r="D443" s="33" t="s">
        <v>2034</v>
      </c>
      <c r="E443" s="33" t="s">
        <v>2035</v>
      </c>
      <c r="F443" s="54"/>
      <c r="G443" s="33" t="s">
        <v>2036</v>
      </c>
      <c r="H443" s="33"/>
      <c r="I443" s="33"/>
      <c r="J443" s="33" t="s">
        <v>2037</v>
      </c>
      <c r="K443" s="33" t="s">
        <v>43</v>
      </c>
      <c r="L443" s="33" t="s">
        <v>274</v>
      </c>
      <c r="M443" s="44">
        <v>10000000</v>
      </c>
      <c r="N443" s="44">
        <v>1123847280</v>
      </c>
      <c r="O443" s="44">
        <v>15000000</v>
      </c>
      <c r="P443" s="86"/>
      <c r="Q443" s="44">
        <f t="shared" si="206"/>
        <v>1148847280</v>
      </c>
      <c r="R443" s="48">
        <v>10000000</v>
      </c>
      <c r="S443" s="48">
        <v>1123847280</v>
      </c>
      <c r="T443" s="66"/>
      <c r="U443" s="32"/>
      <c r="V443" s="32"/>
      <c r="W443" s="49"/>
      <c r="X443" s="49">
        <f t="shared" ref="X443:Z443" si="445">N443-S443</f>
        <v>0</v>
      </c>
      <c r="Y443" s="52">
        <f t="shared" si="445"/>
        <v>15000000</v>
      </c>
      <c r="Z443" s="49">
        <f t="shared" si="445"/>
        <v>0</v>
      </c>
      <c r="AA443" s="54"/>
      <c r="AB443" s="43"/>
      <c r="AC443" s="15">
        <f t="shared" si="208"/>
        <v>2</v>
      </c>
      <c r="AD443" s="15"/>
      <c r="AE443" s="6"/>
      <c r="AF443" s="6"/>
      <c r="AG443" s="6"/>
      <c r="AH443" s="6"/>
      <c r="AI443" s="6"/>
      <c r="AJ443" s="6"/>
      <c r="AK443" s="6"/>
      <c r="AL443" s="6"/>
      <c r="AM443" s="6"/>
      <c r="AN443" s="6"/>
      <c r="AO443" s="6"/>
      <c r="AP443" s="6"/>
      <c r="AQ443" s="6"/>
      <c r="AR443" s="6"/>
      <c r="AS443" s="6"/>
    </row>
    <row r="444" spans="1:45" ht="47.25" hidden="1" x14ac:dyDescent="0.25">
      <c r="A444" s="33" t="s">
        <v>35</v>
      </c>
      <c r="B444" s="42">
        <v>259</v>
      </c>
      <c r="C444" s="33" t="s">
        <v>1886</v>
      </c>
      <c r="D444" s="33" t="s">
        <v>2038</v>
      </c>
      <c r="E444" s="32"/>
      <c r="F444" s="54"/>
      <c r="G444" s="33" t="s">
        <v>2039</v>
      </c>
      <c r="H444" s="32"/>
      <c r="I444" s="32"/>
      <c r="J444" s="33" t="s">
        <v>2040</v>
      </c>
      <c r="K444" s="33" t="s">
        <v>43</v>
      </c>
      <c r="L444" s="33" t="s">
        <v>2041</v>
      </c>
      <c r="M444" s="44">
        <v>2010547710</v>
      </c>
      <c r="N444" s="45"/>
      <c r="O444" s="44">
        <v>7500000</v>
      </c>
      <c r="P444" s="86"/>
      <c r="Q444" s="44">
        <f t="shared" si="206"/>
        <v>2018047710</v>
      </c>
      <c r="R444" s="48">
        <v>2010547710</v>
      </c>
      <c r="S444" s="32"/>
      <c r="T444" s="44">
        <v>7500000</v>
      </c>
      <c r="U444" s="32"/>
      <c r="V444" s="32"/>
      <c r="W444" s="49"/>
      <c r="X444" s="49">
        <f t="shared" ref="X444:Z444" si="446">N444-S444</f>
        <v>0</v>
      </c>
      <c r="Y444" s="49">
        <f t="shared" si="446"/>
        <v>0</v>
      </c>
      <c r="Z444" s="49">
        <f t="shared" si="446"/>
        <v>0</v>
      </c>
      <c r="AA444" s="54"/>
      <c r="AB444" s="54"/>
      <c r="AC444" s="2">
        <f t="shared" si="208"/>
        <v>2</v>
      </c>
      <c r="AD444" s="6"/>
      <c r="AE444" s="6"/>
      <c r="AF444" s="6"/>
      <c r="AG444" s="6"/>
      <c r="AH444" s="6"/>
      <c r="AI444" s="6"/>
      <c r="AJ444" s="6"/>
      <c r="AK444" s="6"/>
      <c r="AL444" s="6"/>
      <c r="AM444" s="6"/>
      <c r="AN444" s="6"/>
      <c r="AO444" s="6"/>
      <c r="AP444" s="6"/>
      <c r="AQ444" s="6"/>
      <c r="AR444" s="6"/>
      <c r="AS444" s="6"/>
    </row>
    <row r="445" spans="1:45" ht="31.5" hidden="1" x14ac:dyDescent="0.25">
      <c r="A445" s="33" t="s">
        <v>52</v>
      </c>
      <c r="B445" s="42">
        <v>260</v>
      </c>
      <c r="C445" s="33" t="s">
        <v>2042</v>
      </c>
      <c r="D445" s="33" t="s">
        <v>2043</v>
      </c>
      <c r="E445" s="33"/>
      <c r="F445" s="54"/>
      <c r="G445" s="33" t="s">
        <v>2044</v>
      </c>
      <c r="H445" s="33"/>
      <c r="I445" s="33"/>
      <c r="J445" s="33" t="s">
        <v>2045</v>
      </c>
      <c r="K445" s="33" t="s">
        <v>43</v>
      </c>
      <c r="L445" s="33" t="s">
        <v>2046</v>
      </c>
      <c r="M445" s="44">
        <v>3081534920</v>
      </c>
      <c r="N445" s="45"/>
      <c r="O445" s="44">
        <v>7500000</v>
      </c>
      <c r="P445" s="86"/>
      <c r="Q445" s="44">
        <f t="shared" si="206"/>
        <v>3089034920</v>
      </c>
      <c r="R445" s="48">
        <v>3081534920</v>
      </c>
      <c r="S445" s="32"/>
      <c r="T445" s="66"/>
      <c r="U445" s="32"/>
      <c r="V445" s="32"/>
      <c r="W445" s="49"/>
      <c r="X445" s="49">
        <f t="shared" ref="X445:Z445" si="447">N445-S445</f>
        <v>0</v>
      </c>
      <c r="Y445" s="52">
        <f t="shared" si="447"/>
        <v>7500000</v>
      </c>
      <c r="Z445" s="49">
        <f t="shared" si="447"/>
        <v>0</v>
      </c>
      <c r="AA445" s="54"/>
      <c r="AB445" s="43"/>
      <c r="AC445" s="15">
        <f t="shared" si="208"/>
        <v>2</v>
      </c>
      <c r="AD445" s="15"/>
      <c r="AE445" s="6"/>
      <c r="AF445" s="6"/>
      <c r="AG445" s="6"/>
      <c r="AH445" s="6"/>
      <c r="AI445" s="6"/>
      <c r="AJ445" s="6"/>
      <c r="AK445" s="6"/>
      <c r="AL445" s="6"/>
      <c r="AM445" s="6"/>
      <c r="AN445" s="6"/>
      <c r="AO445" s="6"/>
      <c r="AP445" s="6"/>
      <c r="AQ445" s="6"/>
      <c r="AR445" s="6"/>
      <c r="AS445" s="6"/>
    </row>
    <row r="446" spans="1:45" ht="31.5" hidden="1" x14ac:dyDescent="0.25">
      <c r="A446" s="101" t="s">
        <v>35</v>
      </c>
      <c r="B446" s="42">
        <v>261</v>
      </c>
      <c r="C446" s="101" t="s">
        <v>2042</v>
      </c>
      <c r="D446" s="101" t="s">
        <v>2047</v>
      </c>
      <c r="E446" s="32"/>
      <c r="F446" s="54"/>
      <c r="G446" s="101" t="s">
        <v>2048</v>
      </c>
      <c r="H446" s="32"/>
      <c r="I446" s="32"/>
      <c r="J446" s="101" t="s">
        <v>2049</v>
      </c>
      <c r="K446" s="101" t="s">
        <v>43</v>
      </c>
      <c r="L446" s="101" t="s">
        <v>2050</v>
      </c>
      <c r="M446" s="80">
        <v>10000000</v>
      </c>
      <c r="N446" s="45"/>
      <c r="O446" s="80">
        <v>15000000</v>
      </c>
      <c r="P446" s="86"/>
      <c r="Q446" s="44">
        <f t="shared" si="206"/>
        <v>25000000</v>
      </c>
      <c r="R446" s="79">
        <v>10000000</v>
      </c>
      <c r="S446" s="32"/>
      <c r="T446" s="80">
        <v>15000000</v>
      </c>
      <c r="U446" s="32"/>
      <c r="V446" s="32"/>
      <c r="W446" s="49"/>
      <c r="X446" s="49">
        <f t="shared" ref="X446:Z446" si="448">N446-S446</f>
        <v>0</v>
      </c>
      <c r="Y446" s="49">
        <f t="shared" si="448"/>
        <v>0</v>
      </c>
      <c r="Z446" s="49">
        <f t="shared" si="448"/>
        <v>0</v>
      </c>
      <c r="AA446" s="54"/>
      <c r="AB446" s="54"/>
      <c r="AC446" s="2">
        <f t="shared" si="208"/>
        <v>2</v>
      </c>
      <c r="AD446" s="6"/>
      <c r="AE446" s="6"/>
      <c r="AF446" s="6"/>
      <c r="AG446" s="6"/>
      <c r="AH446" s="6"/>
      <c r="AI446" s="6"/>
      <c r="AJ446" s="6"/>
      <c r="AK446" s="6"/>
      <c r="AL446" s="6"/>
      <c r="AM446" s="6"/>
      <c r="AN446" s="6"/>
      <c r="AO446" s="6"/>
      <c r="AP446" s="6"/>
      <c r="AQ446" s="6"/>
      <c r="AR446" s="6"/>
      <c r="AS446" s="6"/>
    </row>
    <row r="447" spans="1:45" ht="31.5" hidden="1" x14ac:dyDescent="0.25">
      <c r="A447" s="33" t="s">
        <v>52</v>
      </c>
      <c r="B447" s="42">
        <v>262</v>
      </c>
      <c r="C447" s="33" t="s">
        <v>2042</v>
      </c>
      <c r="D447" s="33" t="s">
        <v>2051</v>
      </c>
      <c r="E447" s="32"/>
      <c r="F447" s="54"/>
      <c r="G447" s="33" t="s">
        <v>2052</v>
      </c>
      <c r="H447" s="32"/>
      <c r="I447" s="32"/>
      <c r="J447" s="33" t="s">
        <v>2053</v>
      </c>
      <c r="K447" s="33" t="s">
        <v>43</v>
      </c>
      <c r="L447" s="33" t="s">
        <v>2054</v>
      </c>
      <c r="M447" s="44">
        <v>3066157800</v>
      </c>
      <c r="N447" s="45"/>
      <c r="O447" s="44">
        <v>7500000</v>
      </c>
      <c r="P447" s="86"/>
      <c r="Q447" s="44">
        <f t="shared" si="206"/>
        <v>3073657800</v>
      </c>
      <c r="R447" s="48">
        <v>3066157800</v>
      </c>
      <c r="S447" s="32"/>
      <c r="T447" s="44">
        <v>7500000</v>
      </c>
      <c r="U447" s="32"/>
      <c r="V447" s="32"/>
      <c r="W447" s="49"/>
      <c r="X447" s="49">
        <f t="shared" ref="X447:Z447" si="449">N447-S447</f>
        <v>0</v>
      </c>
      <c r="Y447" s="49">
        <f t="shared" si="449"/>
        <v>0</v>
      </c>
      <c r="Z447" s="49">
        <f t="shared" si="449"/>
        <v>0</v>
      </c>
      <c r="AA447" s="54"/>
      <c r="AB447" s="54"/>
      <c r="AC447" s="2">
        <f t="shared" si="208"/>
        <v>2</v>
      </c>
      <c r="AD447" s="6"/>
      <c r="AE447" s="6"/>
      <c r="AF447" s="6"/>
      <c r="AG447" s="6"/>
      <c r="AH447" s="6"/>
      <c r="AI447" s="6"/>
      <c r="AJ447" s="6"/>
      <c r="AK447" s="6"/>
      <c r="AL447" s="6"/>
      <c r="AM447" s="6"/>
      <c r="AN447" s="6"/>
      <c r="AO447" s="6"/>
      <c r="AP447" s="6"/>
      <c r="AQ447" s="6"/>
      <c r="AR447" s="6"/>
      <c r="AS447" s="6"/>
    </row>
    <row r="448" spans="1:45" ht="31.5" hidden="1" x14ac:dyDescent="0.25">
      <c r="A448" s="33" t="s">
        <v>52</v>
      </c>
      <c r="B448" s="42">
        <v>263</v>
      </c>
      <c r="C448" s="33" t="s">
        <v>2042</v>
      </c>
      <c r="D448" s="33" t="s">
        <v>2055</v>
      </c>
      <c r="E448" s="32"/>
      <c r="F448" s="54"/>
      <c r="G448" s="33" t="s">
        <v>2056</v>
      </c>
      <c r="H448" s="32"/>
      <c r="I448" s="32"/>
      <c r="J448" s="33" t="s">
        <v>2057</v>
      </c>
      <c r="K448" s="33" t="s">
        <v>43</v>
      </c>
      <c r="L448" s="33" t="s">
        <v>1469</v>
      </c>
      <c r="M448" s="44">
        <v>6936573600</v>
      </c>
      <c r="N448" s="45"/>
      <c r="O448" s="44">
        <v>7500000</v>
      </c>
      <c r="P448" s="86"/>
      <c r="Q448" s="44">
        <f t="shared" si="206"/>
        <v>6944073600</v>
      </c>
      <c r="R448" s="48">
        <v>6936573600</v>
      </c>
      <c r="S448" s="32"/>
      <c r="T448" s="45">
        <v>7500000</v>
      </c>
      <c r="U448" s="32"/>
      <c r="V448" s="32"/>
      <c r="W448" s="49"/>
      <c r="X448" s="49">
        <f t="shared" ref="X448:Z448" si="450">N448-S448</f>
        <v>0</v>
      </c>
      <c r="Y448" s="49">
        <f t="shared" si="450"/>
        <v>0</v>
      </c>
      <c r="Z448" s="49">
        <f t="shared" si="450"/>
        <v>0</v>
      </c>
      <c r="AA448" s="54"/>
      <c r="AB448" s="54"/>
      <c r="AC448" s="2">
        <f t="shared" si="208"/>
        <v>2</v>
      </c>
      <c r="AD448" s="6"/>
      <c r="AE448" s="6"/>
      <c r="AF448" s="6"/>
      <c r="AG448" s="6"/>
      <c r="AH448" s="6"/>
      <c r="AI448" s="6"/>
      <c r="AJ448" s="6"/>
      <c r="AK448" s="6"/>
      <c r="AL448" s="6"/>
      <c r="AM448" s="6"/>
      <c r="AN448" s="6"/>
      <c r="AO448" s="6"/>
      <c r="AP448" s="6"/>
      <c r="AQ448" s="6"/>
      <c r="AR448" s="6"/>
      <c r="AS448" s="6"/>
    </row>
    <row r="449" spans="1:45" ht="47.25" hidden="1" x14ac:dyDescent="0.25">
      <c r="A449" s="33" t="s">
        <v>52</v>
      </c>
      <c r="B449" s="42">
        <v>264</v>
      </c>
      <c r="C449" s="33" t="s">
        <v>2042</v>
      </c>
      <c r="D449" s="33" t="s">
        <v>2058</v>
      </c>
      <c r="E449" s="32"/>
      <c r="F449" s="54"/>
      <c r="G449" s="33" t="s">
        <v>2059</v>
      </c>
      <c r="H449" s="32"/>
      <c r="I449" s="32"/>
      <c r="J449" s="33" t="s">
        <v>2060</v>
      </c>
      <c r="K449" s="33" t="s">
        <v>43</v>
      </c>
      <c r="L449" s="33" t="s">
        <v>2061</v>
      </c>
      <c r="M449" s="44">
        <v>3906644000</v>
      </c>
      <c r="N449" s="45"/>
      <c r="O449" s="44">
        <v>7500000</v>
      </c>
      <c r="P449" s="86"/>
      <c r="Q449" s="44">
        <f t="shared" si="206"/>
        <v>3914144000</v>
      </c>
      <c r="R449" s="48">
        <v>3906644000</v>
      </c>
      <c r="S449" s="32"/>
      <c r="T449" s="44">
        <v>7500000</v>
      </c>
      <c r="U449" s="32"/>
      <c r="V449" s="32"/>
      <c r="W449" s="49"/>
      <c r="X449" s="49">
        <f t="shared" ref="X449:Z449" si="451">N449-S449</f>
        <v>0</v>
      </c>
      <c r="Y449" s="49">
        <f t="shared" si="451"/>
        <v>0</v>
      </c>
      <c r="Z449" s="49">
        <f t="shared" si="451"/>
        <v>0</v>
      </c>
      <c r="AA449" s="54"/>
      <c r="AB449" s="54"/>
      <c r="AC449" s="2">
        <f t="shared" si="208"/>
        <v>2</v>
      </c>
      <c r="AD449" s="6"/>
      <c r="AE449" s="6"/>
      <c r="AF449" s="6"/>
      <c r="AG449" s="6"/>
      <c r="AH449" s="6"/>
      <c r="AI449" s="6"/>
      <c r="AJ449" s="6"/>
      <c r="AK449" s="6"/>
      <c r="AL449" s="6"/>
      <c r="AM449" s="6"/>
      <c r="AN449" s="6"/>
      <c r="AO449" s="6"/>
      <c r="AP449" s="6"/>
      <c r="AQ449" s="6"/>
      <c r="AR449" s="6"/>
      <c r="AS449" s="6"/>
    </row>
    <row r="450" spans="1:45" ht="31.5" hidden="1" x14ac:dyDescent="0.25">
      <c r="A450" s="33" t="s">
        <v>52</v>
      </c>
      <c r="B450" s="42">
        <v>265</v>
      </c>
      <c r="C450" s="33" t="s">
        <v>2042</v>
      </c>
      <c r="D450" s="33" t="s">
        <v>2062</v>
      </c>
      <c r="E450" s="33" t="s">
        <v>156</v>
      </c>
      <c r="F450" s="54"/>
      <c r="G450" s="33" t="s">
        <v>2063</v>
      </c>
      <c r="H450" s="33" t="s">
        <v>2064</v>
      </c>
      <c r="I450" s="32"/>
      <c r="J450" s="33" t="s">
        <v>2065</v>
      </c>
      <c r="K450" s="33" t="s">
        <v>43</v>
      </c>
      <c r="L450" s="33" t="s">
        <v>2066</v>
      </c>
      <c r="M450" s="44">
        <v>1851531912</v>
      </c>
      <c r="N450" s="44">
        <v>220049280</v>
      </c>
      <c r="O450" s="44">
        <v>15000000</v>
      </c>
      <c r="P450" s="86"/>
      <c r="Q450" s="44">
        <f t="shared" si="206"/>
        <v>2086581192</v>
      </c>
      <c r="R450" s="48">
        <v>1851531912</v>
      </c>
      <c r="S450" s="48">
        <v>220049280</v>
      </c>
      <c r="T450" s="44">
        <v>15000000</v>
      </c>
      <c r="U450" s="32"/>
      <c r="V450" s="32"/>
      <c r="W450" s="49"/>
      <c r="X450" s="49">
        <f t="shared" ref="X450:Z450" si="452">N450-S450</f>
        <v>0</v>
      </c>
      <c r="Y450" s="49">
        <f t="shared" si="452"/>
        <v>0</v>
      </c>
      <c r="Z450" s="49">
        <f t="shared" si="452"/>
        <v>0</v>
      </c>
      <c r="AA450" s="54"/>
      <c r="AB450" s="54"/>
      <c r="AC450" s="2">
        <f t="shared" si="208"/>
        <v>2</v>
      </c>
      <c r="AD450" s="6"/>
      <c r="AE450" s="6"/>
      <c r="AF450" s="6"/>
      <c r="AG450" s="6"/>
      <c r="AH450" s="6"/>
      <c r="AI450" s="6"/>
      <c r="AJ450" s="6"/>
      <c r="AK450" s="6"/>
      <c r="AL450" s="6"/>
      <c r="AM450" s="6"/>
      <c r="AN450" s="6"/>
      <c r="AO450" s="6"/>
      <c r="AP450" s="6"/>
      <c r="AQ450" s="6"/>
      <c r="AR450" s="6"/>
      <c r="AS450" s="6"/>
    </row>
    <row r="451" spans="1:45" ht="78" hidden="1" customHeight="1" x14ac:dyDescent="0.25">
      <c r="A451" s="33" t="s">
        <v>52</v>
      </c>
      <c r="B451" s="42">
        <v>266</v>
      </c>
      <c r="C451" s="33" t="s">
        <v>2042</v>
      </c>
      <c r="D451" s="33" t="s">
        <v>2067</v>
      </c>
      <c r="E451" s="33" t="s">
        <v>604</v>
      </c>
      <c r="F451" s="54"/>
      <c r="G451" s="33" t="s">
        <v>2068</v>
      </c>
      <c r="H451" s="33" t="s">
        <v>1759</v>
      </c>
      <c r="I451" s="32"/>
      <c r="J451" s="33" t="s">
        <v>2069</v>
      </c>
      <c r="K451" s="33" t="s">
        <v>43</v>
      </c>
      <c r="L451" s="33" t="s">
        <v>2070</v>
      </c>
      <c r="M451" s="44">
        <v>4181618839</v>
      </c>
      <c r="N451" s="44">
        <v>765880262</v>
      </c>
      <c r="O451" s="80">
        <v>15000000</v>
      </c>
      <c r="P451" s="86"/>
      <c r="Q451" s="44">
        <f t="shared" si="206"/>
        <v>4962499101</v>
      </c>
      <c r="R451" s="48">
        <v>4181618839</v>
      </c>
      <c r="S451" s="48">
        <v>765880262</v>
      </c>
      <c r="T451" s="44">
        <v>15000000</v>
      </c>
      <c r="U451" s="32"/>
      <c r="V451" s="32"/>
      <c r="W451" s="49"/>
      <c r="X451" s="49">
        <f t="shared" ref="X451:Z451" si="453">N451-S451</f>
        <v>0</v>
      </c>
      <c r="Y451" s="49">
        <f t="shared" si="453"/>
        <v>0</v>
      </c>
      <c r="Z451" s="49">
        <f t="shared" si="453"/>
        <v>0</v>
      </c>
      <c r="AA451" s="54"/>
      <c r="AB451" s="54"/>
      <c r="AC451" s="2">
        <f t="shared" si="208"/>
        <v>2</v>
      </c>
      <c r="AD451" s="6"/>
      <c r="AE451" s="6"/>
      <c r="AF451" s="6"/>
      <c r="AG451" s="6"/>
      <c r="AH451" s="6"/>
      <c r="AI451" s="6"/>
      <c r="AJ451" s="6"/>
      <c r="AK451" s="6"/>
      <c r="AL451" s="6"/>
      <c r="AM451" s="6"/>
      <c r="AN451" s="6"/>
      <c r="AO451" s="6"/>
      <c r="AP451" s="6"/>
      <c r="AQ451" s="6"/>
      <c r="AR451" s="6"/>
      <c r="AS451" s="6"/>
    </row>
    <row r="452" spans="1:45" ht="78" hidden="1" customHeight="1" x14ac:dyDescent="0.25">
      <c r="A452" s="33" t="s">
        <v>52</v>
      </c>
      <c r="B452" s="42">
        <v>267</v>
      </c>
      <c r="C452" s="33" t="s">
        <v>2042</v>
      </c>
      <c r="D452" s="33" t="s">
        <v>2071</v>
      </c>
      <c r="E452" s="33" t="s">
        <v>156</v>
      </c>
      <c r="F452" s="54"/>
      <c r="G452" s="33" t="s">
        <v>2072</v>
      </c>
      <c r="H452" s="33" t="s">
        <v>2073</v>
      </c>
      <c r="I452" s="32"/>
      <c r="J452" s="33" t="s">
        <v>2074</v>
      </c>
      <c r="K452" s="33" t="s">
        <v>43</v>
      </c>
      <c r="L452" s="33" t="s">
        <v>2075</v>
      </c>
      <c r="M452" s="44">
        <v>1794046036</v>
      </c>
      <c r="N452" s="44">
        <v>186223104</v>
      </c>
      <c r="O452" s="44">
        <v>15000000</v>
      </c>
      <c r="P452" s="86"/>
      <c r="Q452" s="44">
        <f t="shared" si="206"/>
        <v>1995269140</v>
      </c>
      <c r="R452" s="48">
        <v>1794046036</v>
      </c>
      <c r="S452" s="48">
        <v>186223104</v>
      </c>
      <c r="T452" s="44">
        <v>15000000</v>
      </c>
      <c r="U452" s="32"/>
      <c r="V452" s="32"/>
      <c r="W452" s="49"/>
      <c r="X452" s="49">
        <f t="shared" ref="X452:Z452" si="454">N452-S452</f>
        <v>0</v>
      </c>
      <c r="Y452" s="49">
        <f t="shared" si="454"/>
        <v>0</v>
      </c>
      <c r="Z452" s="49">
        <f t="shared" si="454"/>
        <v>0</v>
      </c>
      <c r="AA452" s="54"/>
      <c r="AB452" s="54"/>
      <c r="AC452" s="2">
        <f t="shared" si="208"/>
        <v>2</v>
      </c>
      <c r="AD452" s="6"/>
      <c r="AE452" s="6"/>
      <c r="AF452" s="6"/>
      <c r="AG452" s="6"/>
      <c r="AH452" s="6"/>
      <c r="AI452" s="6"/>
      <c r="AJ452" s="6"/>
      <c r="AK452" s="6"/>
      <c r="AL452" s="6"/>
      <c r="AM452" s="6"/>
      <c r="AN452" s="6"/>
      <c r="AO452" s="6"/>
      <c r="AP452" s="6"/>
      <c r="AQ452" s="6"/>
      <c r="AR452" s="6"/>
      <c r="AS452" s="6"/>
    </row>
    <row r="453" spans="1:45" ht="47.25" hidden="1" x14ac:dyDescent="0.25">
      <c r="A453" s="33" t="s">
        <v>46</v>
      </c>
      <c r="B453" s="42">
        <v>269</v>
      </c>
      <c r="C453" s="33" t="s">
        <v>37</v>
      </c>
      <c r="D453" s="33" t="s">
        <v>2076</v>
      </c>
      <c r="E453" s="32"/>
      <c r="F453" s="54"/>
      <c r="G453" s="33" t="s">
        <v>2077</v>
      </c>
      <c r="H453" s="32"/>
      <c r="I453" s="32"/>
      <c r="J453" s="33" t="s">
        <v>2078</v>
      </c>
      <c r="K453" s="33" t="s">
        <v>43</v>
      </c>
      <c r="L453" s="33" t="s">
        <v>2079</v>
      </c>
      <c r="M453" s="44">
        <v>6717999850</v>
      </c>
      <c r="N453" s="45"/>
      <c r="O453" s="44">
        <v>15000000</v>
      </c>
      <c r="P453" s="86"/>
      <c r="Q453" s="44">
        <f t="shared" si="206"/>
        <v>6732999850</v>
      </c>
      <c r="R453" s="48">
        <v>6717999850</v>
      </c>
      <c r="S453" s="32"/>
      <c r="T453" s="44">
        <v>15000000</v>
      </c>
      <c r="U453" s="32"/>
      <c r="V453" s="32"/>
      <c r="W453" s="49"/>
      <c r="X453" s="49">
        <f t="shared" ref="X453:Z453" si="455">N453-S453</f>
        <v>0</v>
      </c>
      <c r="Y453" s="49">
        <f t="shared" si="455"/>
        <v>0</v>
      </c>
      <c r="Z453" s="49">
        <f t="shared" si="455"/>
        <v>0</v>
      </c>
      <c r="AA453" s="54"/>
      <c r="AB453" s="54"/>
      <c r="AC453" s="2">
        <f t="shared" si="208"/>
        <v>2</v>
      </c>
      <c r="AD453" s="6"/>
      <c r="AE453" s="6"/>
      <c r="AF453" s="6"/>
      <c r="AG453" s="6"/>
      <c r="AH453" s="6"/>
      <c r="AI453" s="6"/>
      <c r="AJ453" s="6"/>
      <c r="AK453" s="6"/>
      <c r="AL453" s="6"/>
      <c r="AM453" s="6"/>
      <c r="AN453" s="6"/>
      <c r="AO453" s="6"/>
      <c r="AP453" s="6"/>
      <c r="AQ453" s="6"/>
      <c r="AR453" s="6"/>
      <c r="AS453" s="6"/>
    </row>
    <row r="454" spans="1:45" ht="47.25" hidden="1" x14ac:dyDescent="0.25">
      <c r="A454" s="33" t="s">
        <v>52</v>
      </c>
      <c r="B454" s="42">
        <v>271</v>
      </c>
      <c r="C454" s="33" t="s">
        <v>37</v>
      </c>
      <c r="D454" s="33" t="s">
        <v>2082</v>
      </c>
      <c r="E454" s="32"/>
      <c r="F454" s="54"/>
      <c r="G454" s="33" t="s">
        <v>2083</v>
      </c>
      <c r="H454" s="32"/>
      <c r="I454" s="32"/>
      <c r="J454" s="33" t="s">
        <v>2084</v>
      </c>
      <c r="K454" s="33" t="s">
        <v>43</v>
      </c>
      <c r="L454" s="33" t="s">
        <v>2085</v>
      </c>
      <c r="M454" s="44">
        <v>1566048680</v>
      </c>
      <c r="N454" s="45"/>
      <c r="O454" s="44">
        <v>7500000</v>
      </c>
      <c r="P454" s="86"/>
      <c r="Q454" s="44">
        <f t="shared" si="206"/>
        <v>1573548680</v>
      </c>
      <c r="R454" s="48">
        <v>1566048680</v>
      </c>
      <c r="S454" s="32"/>
      <c r="T454" s="44">
        <v>7500000</v>
      </c>
      <c r="U454" s="32"/>
      <c r="V454" s="32"/>
      <c r="W454" s="49"/>
      <c r="X454" s="49">
        <f t="shared" ref="X454:Z454" si="456">N454-S454</f>
        <v>0</v>
      </c>
      <c r="Y454" s="49">
        <f t="shared" si="456"/>
        <v>0</v>
      </c>
      <c r="Z454" s="49">
        <f t="shared" si="456"/>
        <v>0</v>
      </c>
      <c r="AA454" s="54"/>
      <c r="AB454" s="54"/>
      <c r="AC454" s="2">
        <f t="shared" si="208"/>
        <v>2</v>
      </c>
      <c r="AD454" s="6"/>
      <c r="AE454" s="6"/>
      <c r="AF454" s="6"/>
      <c r="AG454" s="6"/>
      <c r="AH454" s="6"/>
      <c r="AI454" s="6"/>
      <c r="AJ454" s="6"/>
      <c r="AK454" s="6"/>
      <c r="AL454" s="6"/>
      <c r="AM454" s="6"/>
      <c r="AN454" s="6"/>
      <c r="AO454" s="6"/>
      <c r="AP454" s="6"/>
      <c r="AQ454" s="6"/>
      <c r="AR454" s="6"/>
      <c r="AS454" s="6"/>
    </row>
    <row r="455" spans="1:45" ht="47.25" hidden="1" x14ac:dyDescent="0.25">
      <c r="A455" s="33" t="s">
        <v>52</v>
      </c>
      <c r="B455" s="42">
        <v>272</v>
      </c>
      <c r="C455" s="33" t="s">
        <v>37</v>
      </c>
      <c r="D455" s="33" t="s">
        <v>2086</v>
      </c>
      <c r="E455" s="32"/>
      <c r="F455" s="54"/>
      <c r="G455" s="33" t="s">
        <v>2087</v>
      </c>
      <c r="H455" s="32"/>
      <c r="I455" s="32"/>
      <c r="J455" s="33" t="s">
        <v>2088</v>
      </c>
      <c r="K455" s="33" t="s">
        <v>43</v>
      </c>
      <c r="L455" s="33" t="s">
        <v>2089</v>
      </c>
      <c r="M455" s="44">
        <v>1991452760</v>
      </c>
      <c r="N455" s="45"/>
      <c r="O455" s="44">
        <v>7500000</v>
      </c>
      <c r="P455" s="86"/>
      <c r="Q455" s="44">
        <f t="shared" si="206"/>
        <v>1998952760</v>
      </c>
      <c r="R455" s="48">
        <v>1991452760</v>
      </c>
      <c r="S455" s="32"/>
      <c r="T455" s="44">
        <v>7500000</v>
      </c>
      <c r="U455" s="32"/>
      <c r="V455" s="32"/>
      <c r="W455" s="49"/>
      <c r="X455" s="49">
        <f t="shared" ref="X455:Z455" si="457">N455-S455</f>
        <v>0</v>
      </c>
      <c r="Y455" s="49">
        <f t="shared" si="457"/>
        <v>0</v>
      </c>
      <c r="Z455" s="49">
        <f t="shared" si="457"/>
        <v>0</v>
      </c>
      <c r="AA455" s="54"/>
      <c r="AB455" s="54"/>
      <c r="AC455" s="2">
        <f t="shared" si="208"/>
        <v>2</v>
      </c>
      <c r="AD455" s="6"/>
      <c r="AE455" s="6"/>
      <c r="AF455" s="6"/>
      <c r="AG455" s="6"/>
      <c r="AH455" s="6"/>
      <c r="AI455" s="6"/>
      <c r="AJ455" s="6"/>
      <c r="AK455" s="6"/>
      <c r="AL455" s="6"/>
      <c r="AM455" s="6"/>
      <c r="AN455" s="6"/>
      <c r="AO455" s="6"/>
      <c r="AP455" s="6"/>
      <c r="AQ455" s="6"/>
      <c r="AR455" s="6"/>
      <c r="AS455" s="6"/>
    </row>
    <row r="456" spans="1:45" ht="63" hidden="1" x14ac:dyDescent="0.25">
      <c r="A456" s="33" t="s">
        <v>52</v>
      </c>
      <c r="B456" s="42">
        <v>273</v>
      </c>
      <c r="C456" s="33" t="s">
        <v>37</v>
      </c>
      <c r="D456" s="33" t="s">
        <v>2090</v>
      </c>
      <c r="E456" s="32"/>
      <c r="F456" s="54"/>
      <c r="G456" s="33" t="s">
        <v>2091</v>
      </c>
      <c r="H456" s="32"/>
      <c r="I456" s="32"/>
      <c r="J456" s="33" t="s">
        <v>2092</v>
      </c>
      <c r="K456" s="33" t="s">
        <v>43</v>
      </c>
      <c r="L456" s="33" t="s">
        <v>2093</v>
      </c>
      <c r="M456" s="44">
        <v>174451100</v>
      </c>
      <c r="N456" s="45"/>
      <c r="O456" s="44">
        <v>7500000</v>
      </c>
      <c r="P456" s="86"/>
      <c r="Q456" s="44">
        <f t="shared" si="206"/>
        <v>181951100</v>
      </c>
      <c r="R456" s="48">
        <v>174451100</v>
      </c>
      <c r="S456" s="32"/>
      <c r="T456" s="44">
        <v>7500000</v>
      </c>
      <c r="U456" s="32"/>
      <c r="V456" s="32"/>
      <c r="W456" s="49"/>
      <c r="X456" s="49">
        <f t="shared" ref="X456:Z456" si="458">N456-S456</f>
        <v>0</v>
      </c>
      <c r="Y456" s="49">
        <f t="shared" si="458"/>
        <v>0</v>
      </c>
      <c r="Z456" s="49">
        <f t="shared" si="458"/>
        <v>0</v>
      </c>
      <c r="AA456" s="54"/>
      <c r="AB456" s="54"/>
      <c r="AC456" s="2">
        <f t="shared" si="208"/>
        <v>2</v>
      </c>
      <c r="AD456" s="6"/>
      <c r="AE456" s="6"/>
      <c r="AF456" s="6"/>
      <c r="AG456" s="6"/>
      <c r="AH456" s="6"/>
      <c r="AI456" s="6"/>
      <c r="AJ456" s="6"/>
      <c r="AK456" s="6"/>
      <c r="AL456" s="6"/>
      <c r="AM456" s="6"/>
      <c r="AN456" s="6"/>
      <c r="AO456" s="6"/>
      <c r="AP456" s="6"/>
      <c r="AQ456" s="6"/>
      <c r="AR456" s="6"/>
      <c r="AS456" s="6"/>
    </row>
    <row r="457" spans="1:45" ht="47.25" hidden="1" x14ac:dyDescent="0.25">
      <c r="A457" s="33" t="s">
        <v>35</v>
      </c>
      <c r="B457" s="42">
        <v>274</v>
      </c>
      <c r="C457" s="33" t="s">
        <v>37</v>
      </c>
      <c r="D457" s="33" t="s">
        <v>2094</v>
      </c>
      <c r="E457" s="32"/>
      <c r="F457" s="54"/>
      <c r="G457" s="33" t="s">
        <v>2095</v>
      </c>
      <c r="H457" s="32"/>
      <c r="I457" s="32"/>
      <c r="J457" s="33" t="s">
        <v>2096</v>
      </c>
      <c r="K457" s="33" t="s">
        <v>43</v>
      </c>
      <c r="L457" s="33" t="s">
        <v>2097</v>
      </c>
      <c r="M457" s="44">
        <v>2784971220</v>
      </c>
      <c r="N457" s="45"/>
      <c r="O457" s="44">
        <v>7500000</v>
      </c>
      <c r="P457" s="86"/>
      <c r="Q457" s="44">
        <f t="shared" si="206"/>
        <v>2792471220</v>
      </c>
      <c r="R457" s="48">
        <v>2784971220</v>
      </c>
      <c r="S457" s="32"/>
      <c r="T457" s="44">
        <v>7500000</v>
      </c>
      <c r="U457" s="32"/>
      <c r="V457" s="32"/>
      <c r="W457" s="49"/>
      <c r="X457" s="49">
        <f t="shared" ref="X457:Z457" si="459">N457-S457</f>
        <v>0</v>
      </c>
      <c r="Y457" s="49">
        <f t="shared" si="459"/>
        <v>0</v>
      </c>
      <c r="Z457" s="49">
        <f t="shared" si="459"/>
        <v>0</v>
      </c>
      <c r="AA457" s="54"/>
      <c r="AB457" s="54"/>
      <c r="AC457" s="2">
        <f t="shared" si="208"/>
        <v>2</v>
      </c>
      <c r="AD457" s="6"/>
      <c r="AE457" s="6"/>
      <c r="AF457" s="6"/>
      <c r="AG457" s="6"/>
      <c r="AH457" s="6"/>
      <c r="AI457" s="6"/>
      <c r="AJ457" s="6"/>
      <c r="AK457" s="6"/>
      <c r="AL457" s="6"/>
      <c r="AM457" s="6"/>
      <c r="AN457" s="6"/>
      <c r="AO457" s="6"/>
      <c r="AP457" s="6"/>
      <c r="AQ457" s="6"/>
      <c r="AR457" s="6"/>
      <c r="AS457" s="6"/>
    </row>
    <row r="458" spans="1:45" ht="47.25" hidden="1" x14ac:dyDescent="0.25">
      <c r="A458" s="33" t="s">
        <v>35</v>
      </c>
      <c r="B458" s="42">
        <v>275</v>
      </c>
      <c r="C458" s="33" t="s">
        <v>37</v>
      </c>
      <c r="D458" s="33" t="s">
        <v>2098</v>
      </c>
      <c r="E458" s="33" t="s">
        <v>2099</v>
      </c>
      <c r="F458" s="54"/>
      <c r="G458" s="33" t="s">
        <v>2100</v>
      </c>
      <c r="H458" s="33" t="s">
        <v>2101</v>
      </c>
      <c r="I458" s="32"/>
      <c r="J458" s="33" t="s">
        <v>2102</v>
      </c>
      <c r="K458" s="33" t="s">
        <v>43</v>
      </c>
      <c r="L458" s="33" t="s">
        <v>2103</v>
      </c>
      <c r="M458" s="44">
        <v>4232294940</v>
      </c>
      <c r="N458" s="44">
        <v>752539900</v>
      </c>
      <c r="O458" s="44">
        <v>7500000</v>
      </c>
      <c r="P458" s="86"/>
      <c r="Q458" s="44">
        <f t="shared" si="206"/>
        <v>4992334840</v>
      </c>
      <c r="R458" s="48">
        <v>4232294940</v>
      </c>
      <c r="S458" s="48">
        <v>752539900</v>
      </c>
      <c r="T458" s="44">
        <v>7500000</v>
      </c>
      <c r="U458" s="32"/>
      <c r="V458" s="32"/>
      <c r="W458" s="49"/>
      <c r="X458" s="49">
        <f t="shared" ref="X458:Z458" si="460">N458-S458</f>
        <v>0</v>
      </c>
      <c r="Y458" s="49">
        <f t="shared" si="460"/>
        <v>0</v>
      </c>
      <c r="Z458" s="49">
        <f t="shared" si="460"/>
        <v>0</v>
      </c>
      <c r="AA458" s="54"/>
      <c r="AB458" s="54"/>
      <c r="AC458" s="2">
        <f t="shared" si="208"/>
        <v>2</v>
      </c>
      <c r="AD458" s="6"/>
      <c r="AE458" s="6"/>
      <c r="AF458" s="6"/>
      <c r="AG458" s="6"/>
      <c r="AH458" s="6"/>
      <c r="AI458" s="6"/>
      <c r="AJ458" s="6"/>
      <c r="AK458" s="6"/>
      <c r="AL458" s="6"/>
      <c r="AM458" s="6"/>
      <c r="AN458" s="6"/>
      <c r="AO458" s="6"/>
      <c r="AP458" s="6"/>
      <c r="AQ458" s="6"/>
      <c r="AR458" s="6"/>
      <c r="AS458" s="6"/>
    </row>
    <row r="459" spans="1:45" ht="47.25" hidden="1" x14ac:dyDescent="0.25">
      <c r="A459" s="33" t="s">
        <v>35</v>
      </c>
      <c r="B459" s="42">
        <v>276</v>
      </c>
      <c r="C459" s="33" t="s">
        <v>37</v>
      </c>
      <c r="D459" s="33" t="s">
        <v>2104</v>
      </c>
      <c r="E459" s="32"/>
      <c r="F459" s="54"/>
      <c r="G459" s="33" t="s">
        <v>2105</v>
      </c>
      <c r="H459" s="32"/>
      <c r="I459" s="32"/>
      <c r="J459" s="33" t="s">
        <v>2106</v>
      </c>
      <c r="K459" s="33" t="s">
        <v>43</v>
      </c>
      <c r="L459" s="33" t="s">
        <v>2107</v>
      </c>
      <c r="M459" s="44">
        <v>3383352800</v>
      </c>
      <c r="N459" s="45"/>
      <c r="O459" s="44">
        <v>7500000</v>
      </c>
      <c r="P459" s="86"/>
      <c r="Q459" s="44">
        <f t="shared" si="206"/>
        <v>3390852800</v>
      </c>
      <c r="R459" s="48">
        <v>3383352800</v>
      </c>
      <c r="S459" s="32"/>
      <c r="T459" s="44">
        <v>7500000</v>
      </c>
      <c r="U459" s="32"/>
      <c r="V459" s="32"/>
      <c r="W459" s="49"/>
      <c r="X459" s="49">
        <f t="shared" ref="X459:Z459" si="461">N459-S459</f>
        <v>0</v>
      </c>
      <c r="Y459" s="49">
        <f t="shared" si="461"/>
        <v>0</v>
      </c>
      <c r="Z459" s="49">
        <f t="shared" si="461"/>
        <v>0</v>
      </c>
      <c r="AA459" s="54"/>
      <c r="AB459" s="54"/>
      <c r="AC459" s="2">
        <f t="shared" si="208"/>
        <v>2</v>
      </c>
      <c r="AD459" s="6"/>
      <c r="AE459" s="6"/>
      <c r="AF459" s="6"/>
      <c r="AG459" s="6"/>
      <c r="AH459" s="6"/>
      <c r="AI459" s="6"/>
      <c r="AJ459" s="6"/>
      <c r="AK459" s="6"/>
      <c r="AL459" s="6"/>
      <c r="AM459" s="6"/>
      <c r="AN459" s="6"/>
      <c r="AO459" s="6"/>
      <c r="AP459" s="6"/>
      <c r="AQ459" s="6"/>
      <c r="AR459" s="6"/>
      <c r="AS459" s="6"/>
    </row>
    <row r="460" spans="1:45" ht="47.25" hidden="1" x14ac:dyDescent="0.25">
      <c r="A460" s="33" t="s">
        <v>60</v>
      </c>
      <c r="B460" s="42">
        <v>278</v>
      </c>
      <c r="C460" s="33" t="s">
        <v>37</v>
      </c>
      <c r="D460" s="33" t="s">
        <v>2109</v>
      </c>
      <c r="E460" s="33"/>
      <c r="F460" s="54"/>
      <c r="G460" s="33" t="s">
        <v>2110</v>
      </c>
      <c r="H460" s="33"/>
      <c r="I460" s="33"/>
      <c r="J460" s="33" t="s">
        <v>2</v>
      </c>
      <c r="K460" s="33" t="s">
        <v>43</v>
      </c>
      <c r="L460" s="33" t="s">
        <v>2111</v>
      </c>
      <c r="M460" s="44">
        <v>7304980</v>
      </c>
      <c r="N460" s="45"/>
      <c r="O460" s="44">
        <v>7500000</v>
      </c>
      <c r="P460" s="86"/>
      <c r="Q460" s="44">
        <f t="shared" si="206"/>
        <v>14804980</v>
      </c>
      <c r="R460" s="32"/>
      <c r="S460" s="32"/>
      <c r="T460" s="66"/>
      <c r="U460" s="32"/>
      <c r="V460" s="32"/>
      <c r="W460" s="49">
        <v>7304980</v>
      </c>
      <c r="X460" s="49">
        <f t="shared" ref="X460:Z460" si="462">N460-S460</f>
        <v>0</v>
      </c>
      <c r="Y460" s="52">
        <f t="shared" si="462"/>
        <v>7500000</v>
      </c>
      <c r="Z460" s="49">
        <f t="shared" si="462"/>
        <v>0</v>
      </c>
      <c r="AA460" s="69">
        <v>7304980</v>
      </c>
      <c r="AB460" s="43"/>
      <c r="AC460" s="15">
        <f t="shared" si="208"/>
        <v>2</v>
      </c>
      <c r="AD460" s="15"/>
      <c r="AE460" s="6"/>
      <c r="AF460" s="6"/>
      <c r="AG460" s="6"/>
      <c r="AH460" s="6"/>
      <c r="AI460" s="6"/>
      <c r="AJ460" s="6"/>
      <c r="AK460" s="6"/>
      <c r="AL460" s="6"/>
      <c r="AM460" s="6"/>
      <c r="AN460" s="6"/>
      <c r="AO460" s="6"/>
      <c r="AP460" s="6"/>
      <c r="AQ460" s="6"/>
      <c r="AR460" s="6"/>
      <c r="AS460" s="6"/>
    </row>
    <row r="461" spans="1:45" ht="31.5" hidden="1" x14ac:dyDescent="0.25">
      <c r="A461" s="33" t="s">
        <v>52</v>
      </c>
      <c r="B461" s="42">
        <v>280</v>
      </c>
      <c r="C461" s="33" t="s">
        <v>37</v>
      </c>
      <c r="D461" s="33" t="s">
        <v>2114</v>
      </c>
      <c r="E461" s="32"/>
      <c r="F461" s="54"/>
      <c r="G461" s="33" t="s">
        <v>2115</v>
      </c>
      <c r="H461" s="32"/>
      <c r="I461" s="32"/>
      <c r="J461" s="33" t="s">
        <v>2116</v>
      </c>
      <c r="K461" s="33" t="s">
        <v>43</v>
      </c>
      <c r="L461" s="33" t="s">
        <v>2117</v>
      </c>
      <c r="M461" s="44">
        <v>27024704</v>
      </c>
      <c r="N461" s="45"/>
      <c r="O461" s="44">
        <v>7500000</v>
      </c>
      <c r="P461" s="86"/>
      <c r="Q461" s="44">
        <f t="shared" ref="Q461:Q715" si="463">M461+N461+O461+P461</f>
        <v>34524704</v>
      </c>
      <c r="R461" s="48">
        <v>27024704</v>
      </c>
      <c r="S461" s="32"/>
      <c r="T461" s="44">
        <v>7500000</v>
      </c>
      <c r="U461" s="32"/>
      <c r="V461" s="32"/>
      <c r="W461" s="49"/>
      <c r="X461" s="49">
        <f t="shared" ref="X461:Z461" si="464">N461-S461</f>
        <v>0</v>
      </c>
      <c r="Y461" s="49">
        <f t="shared" si="464"/>
        <v>0</v>
      </c>
      <c r="Z461" s="49">
        <f t="shared" si="464"/>
        <v>0</v>
      </c>
      <c r="AA461" s="54"/>
      <c r="AB461" s="54"/>
      <c r="AC461" s="2">
        <f t="shared" ref="AC461:AC715" si="465">IF(AB461=G461,1,2)</f>
        <v>2</v>
      </c>
      <c r="AD461" s="6"/>
      <c r="AE461" s="6"/>
      <c r="AF461" s="6"/>
      <c r="AG461" s="6"/>
      <c r="AH461" s="6"/>
      <c r="AI461" s="6"/>
      <c r="AJ461" s="6"/>
      <c r="AK461" s="6"/>
      <c r="AL461" s="6"/>
      <c r="AM461" s="6"/>
      <c r="AN461" s="6"/>
      <c r="AO461" s="6"/>
      <c r="AP461" s="6"/>
      <c r="AQ461" s="6"/>
      <c r="AR461" s="6"/>
      <c r="AS461" s="6"/>
    </row>
    <row r="462" spans="1:45" ht="31.5" hidden="1" x14ac:dyDescent="0.25">
      <c r="A462" s="33" t="s">
        <v>52</v>
      </c>
      <c r="B462" s="42">
        <v>281</v>
      </c>
      <c r="C462" s="33" t="s">
        <v>37</v>
      </c>
      <c r="D462" s="33" t="s">
        <v>2118</v>
      </c>
      <c r="E462" s="32"/>
      <c r="F462" s="54"/>
      <c r="G462" s="33" t="s">
        <v>2119</v>
      </c>
      <c r="H462" s="32"/>
      <c r="I462" s="32"/>
      <c r="J462" s="33" t="s">
        <v>2120</v>
      </c>
      <c r="K462" s="33" t="s">
        <v>43</v>
      </c>
      <c r="L462" s="33" t="s">
        <v>2121</v>
      </c>
      <c r="M462" s="44">
        <v>8038952368</v>
      </c>
      <c r="N462" s="45"/>
      <c r="O462" s="44">
        <v>15000000</v>
      </c>
      <c r="P462" s="86"/>
      <c r="Q462" s="44">
        <f t="shared" si="463"/>
        <v>8053952368</v>
      </c>
      <c r="R462" s="48">
        <v>8038952368</v>
      </c>
      <c r="S462" s="32"/>
      <c r="T462" s="44">
        <v>15000000</v>
      </c>
      <c r="U462" s="32"/>
      <c r="V462" s="32"/>
      <c r="W462" s="49"/>
      <c r="X462" s="49">
        <f t="shared" ref="X462:Z462" si="466">N462-S462</f>
        <v>0</v>
      </c>
      <c r="Y462" s="49">
        <f t="shared" si="466"/>
        <v>0</v>
      </c>
      <c r="Z462" s="49">
        <f t="shared" si="466"/>
        <v>0</v>
      </c>
      <c r="AA462" s="54"/>
      <c r="AB462" s="54"/>
      <c r="AC462" s="2">
        <f t="shared" si="465"/>
        <v>2</v>
      </c>
      <c r="AD462" s="6"/>
      <c r="AE462" s="6"/>
      <c r="AF462" s="6"/>
      <c r="AG462" s="6"/>
      <c r="AH462" s="6"/>
      <c r="AI462" s="6"/>
      <c r="AJ462" s="6"/>
      <c r="AK462" s="6"/>
      <c r="AL462" s="6"/>
      <c r="AM462" s="6"/>
      <c r="AN462" s="6"/>
      <c r="AO462" s="6"/>
      <c r="AP462" s="6"/>
      <c r="AQ462" s="6"/>
      <c r="AR462" s="6"/>
      <c r="AS462" s="6"/>
    </row>
    <row r="463" spans="1:45" ht="47.25" hidden="1" x14ac:dyDescent="0.25">
      <c r="A463" s="33" t="s">
        <v>46</v>
      </c>
      <c r="B463" s="42">
        <v>284</v>
      </c>
      <c r="C463" s="33" t="s">
        <v>37</v>
      </c>
      <c r="D463" s="33" t="s">
        <v>2125</v>
      </c>
      <c r="E463" s="33" t="s">
        <v>857</v>
      </c>
      <c r="F463" s="54"/>
      <c r="G463" s="33" t="s">
        <v>2126</v>
      </c>
      <c r="H463" s="33" t="s">
        <v>2127</v>
      </c>
      <c r="I463" s="32"/>
      <c r="J463" s="33" t="s">
        <v>1434</v>
      </c>
      <c r="K463" s="33" t="s">
        <v>43</v>
      </c>
      <c r="L463" s="33" t="s">
        <v>2128</v>
      </c>
      <c r="M463" s="44">
        <v>8920129828</v>
      </c>
      <c r="N463" s="44">
        <v>80307072</v>
      </c>
      <c r="O463" s="44">
        <v>15000000</v>
      </c>
      <c r="P463" s="86"/>
      <c r="Q463" s="44">
        <f t="shared" si="463"/>
        <v>9015436900</v>
      </c>
      <c r="R463" s="48">
        <v>8920129828</v>
      </c>
      <c r="S463" s="48">
        <v>80307072</v>
      </c>
      <c r="T463" s="44">
        <v>15000000</v>
      </c>
      <c r="U463" s="32"/>
      <c r="V463" s="32"/>
      <c r="W463" s="49"/>
      <c r="X463" s="49">
        <f t="shared" ref="X463:Z463" si="467">N463-S463</f>
        <v>0</v>
      </c>
      <c r="Y463" s="49">
        <f t="shared" si="467"/>
        <v>0</v>
      </c>
      <c r="Z463" s="49">
        <f t="shared" si="467"/>
        <v>0</v>
      </c>
      <c r="AA463" s="54"/>
      <c r="AB463" s="54"/>
      <c r="AC463" s="2">
        <f t="shared" si="465"/>
        <v>2</v>
      </c>
      <c r="AD463" s="6"/>
      <c r="AE463" s="6"/>
      <c r="AF463" s="6"/>
      <c r="AG463" s="6"/>
      <c r="AH463" s="6"/>
      <c r="AI463" s="6"/>
      <c r="AJ463" s="6"/>
      <c r="AK463" s="6"/>
      <c r="AL463" s="6"/>
      <c r="AM463" s="6"/>
      <c r="AN463" s="6"/>
      <c r="AO463" s="6"/>
      <c r="AP463" s="6"/>
      <c r="AQ463" s="6"/>
      <c r="AR463" s="6"/>
      <c r="AS463" s="6"/>
    </row>
    <row r="464" spans="1:45" ht="47.25" hidden="1" x14ac:dyDescent="0.25">
      <c r="A464" s="33" t="s">
        <v>35</v>
      </c>
      <c r="B464" s="42">
        <v>287</v>
      </c>
      <c r="C464" s="33" t="s">
        <v>37</v>
      </c>
      <c r="D464" s="33" t="s">
        <v>2130</v>
      </c>
      <c r="E464" s="32"/>
      <c r="F464" s="54"/>
      <c r="G464" s="33" t="s">
        <v>2131</v>
      </c>
      <c r="H464" s="32"/>
      <c r="I464" s="32"/>
      <c r="J464" s="33" t="s">
        <v>2132</v>
      </c>
      <c r="K464" s="33" t="s">
        <v>43</v>
      </c>
      <c r="L464" s="33" t="s">
        <v>2133</v>
      </c>
      <c r="M464" s="44">
        <v>2858621000</v>
      </c>
      <c r="N464" s="45"/>
      <c r="O464" s="44">
        <v>15000000</v>
      </c>
      <c r="P464" s="86"/>
      <c r="Q464" s="44">
        <f t="shared" si="463"/>
        <v>2873621000</v>
      </c>
      <c r="R464" s="48">
        <v>2858621000</v>
      </c>
      <c r="S464" s="32"/>
      <c r="T464" s="44">
        <v>15000000</v>
      </c>
      <c r="U464" s="32"/>
      <c r="V464" s="32"/>
      <c r="W464" s="49"/>
      <c r="X464" s="49">
        <f t="shared" ref="X464:Z464" si="468">N464-S464</f>
        <v>0</v>
      </c>
      <c r="Y464" s="49">
        <f t="shared" si="468"/>
        <v>0</v>
      </c>
      <c r="Z464" s="49">
        <f t="shared" si="468"/>
        <v>0</v>
      </c>
      <c r="AA464" s="54"/>
      <c r="AB464" s="54"/>
      <c r="AC464" s="2">
        <f t="shared" si="465"/>
        <v>2</v>
      </c>
      <c r="AD464" s="6"/>
      <c r="AE464" s="6"/>
      <c r="AF464" s="6"/>
      <c r="AG464" s="6"/>
      <c r="AH464" s="6"/>
      <c r="AI464" s="6"/>
      <c r="AJ464" s="6"/>
      <c r="AK464" s="6"/>
      <c r="AL464" s="6"/>
      <c r="AM464" s="6"/>
      <c r="AN464" s="6"/>
      <c r="AO464" s="6"/>
      <c r="AP464" s="6"/>
      <c r="AQ464" s="6"/>
      <c r="AR464" s="6"/>
      <c r="AS464" s="6"/>
    </row>
    <row r="465" spans="1:45" ht="31.5" hidden="1" x14ac:dyDescent="0.25">
      <c r="A465" s="33" t="s">
        <v>46</v>
      </c>
      <c r="B465" s="42">
        <v>288</v>
      </c>
      <c r="C465" s="33" t="s">
        <v>37</v>
      </c>
      <c r="D465" s="33" t="s">
        <v>2134</v>
      </c>
      <c r="E465" s="33"/>
      <c r="F465" s="54"/>
      <c r="G465" s="33" t="s">
        <v>2135</v>
      </c>
      <c r="H465" s="33"/>
      <c r="I465" s="33"/>
      <c r="J465" s="33" t="s">
        <v>2136</v>
      </c>
      <c r="K465" s="33" t="s">
        <v>43</v>
      </c>
      <c r="L465" s="33" t="s">
        <v>2137</v>
      </c>
      <c r="M465" s="44">
        <v>1613980644</v>
      </c>
      <c r="N465" s="45"/>
      <c r="O465" s="44">
        <v>7500000</v>
      </c>
      <c r="P465" s="86"/>
      <c r="Q465" s="44">
        <f t="shared" si="463"/>
        <v>1621480644</v>
      </c>
      <c r="R465" s="48">
        <v>1613980644</v>
      </c>
      <c r="S465" s="32"/>
      <c r="T465" s="66"/>
      <c r="U465" s="32"/>
      <c r="V465" s="32"/>
      <c r="W465" s="49"/>
      <c r="X465" s="49">
        <f t="shared" ref="X465:Z465" si="469">N465-S465</f>
        <v>0</v>
      </c>
      <c r="Y465" s="52">
        <f t="shared" si="469"/>
        <v>7500000</v>
      </c>
      <c r="Z465" s="49">
        <f t="shared" si="469"/>
        <v>0</v>
      </c>
      <c r="AA465" s="54"/>
      <c r="AB465" s="43"/>
      <c r="AC465" s="15">
        <f t="shared" si="465"/>
        <v>2</v>
      </c>
      <c r="AD465" s="15"/>
      <c r="AE465" s="6"/>
      <c r="AF465" s="6"/>
      <c r="AG465" s="6"/>
      <c r="AH465" s="6"/>
      <c r="AI465" s="6"/>
      <c r="AJ465" s="6"/>
      <c r="AK465" s="6"/>
      <c r="AL465" s="6"/>
      <c r="AM465" s="6"/>
      <c r="AN465" s="6"/>
      <c r="AO465" s="6"/>
      <c r="AP465" s="6"/>
      <c r="AQ465" s="6"/>
      <c r="AR465" s="6"/>
      <c r="AS465" s="6"/>
    </row>
    <row r="466" spans="1:45" ht="31.5" hidden="1" x14ac:dyDescent="0.25">
      <c r="A466" s="33" t="s">
        <v>46</v>
      </c>
      <c r="B466" s="42">
        <v>290</v>
      </c>
      <c r="C466" s="33" t="s">
        <v>37</v>
      </c>
      <c r="D466" s="33" t="s">
        <v>2138</v>
      </c>
      <c r="E466" s="33"/>
      <c r="F466" s="54"/>
      <c r="G466" s="33" t="s">
        <v>2139</v>
      </c>
      <c r="H466" s="33"/>
      <c r="I466" s="33"/>
      <c r="J466" s="33" t="s">
        <v>2140</v>
      </c>
      <c r="K466" s="33" t="s">
        <v>43</v>
      </c>
      <c r="L466" s="33" t="s">
        <v>2141</v>
      </c>
      <c r="M466" s="44">
        <v>7632590744</v>
      </c>
      <c r="N466" s="45"/>
      <c r="O466" s="44">
        <v>15000000</v>
      </c>
      <c r="P466" s="86"/>
      <c r="Q466" s="44">
        <f t="shared" si="463"/>
        <v>7647590744</v>
      </c>
      <c r="R466" s="48">
        <v>7632590744</v>
      </c>
      <c r="S466" s="32"/>
      <c r="T466" s="66"/>
      <c r="U466" s="32"/>
      <c r="V466" s="32"/>
      <c r="W466" s="49"/>
      <c r="X466" s="49">
        <f t="shared" ref="X466:Z466" si="470">N466-S466</f>
        <v>0</v>
      </c>
      <c r="Y466" s="52">
        <f t="shared" si="470"/>
        <v>15000000</v>
      </c>
      <c r="Z466" s="49">
        <f t="shared" si="470"/>
        <v>0</v>
      </c>
      <c r="AA466" s="54"/>
      <c r="AB466" s="43"/>
      <c r="AC466" s="15">
        <f t="shared" si="465"/>
        <v>2</v>
      </c>
      <c r="AD466" s="15"/>
      <c r="AE466" s="6"/>
      <c r="AF466" s="6"/>
      <c r="AG466" s="6"/>
      <c r="AH466" s="6"/>
      <c r="AI466" s="6"/>
      <c r="AJ466" s="6"/>
      <c r="AK466" s="6"/>
      <c r="AL466" s="6"/>
      <c r="AM466" s="6"/>
      <c r="AN466" s="6"/>
      <c r="AO466" s="6"/>
      <c r="AP466" s="6"/>
      <c r="AQ466" s="6"/>
      <c r="AR466" s="6"/>
      <c r="AS466" s="6"/>
    </row>
    <row r="467" spans="1:45" ht="47.25" hidden="1" x14ac:dyDescent="0.25">
      <c r="A467" s="33" t="s">
        <v>60</v>
      </c>
      <c r="B467" s="42">
        <v>291</v>
      </c>
      <c r="C467" s="33" t="s">
        <v>37</v>
      </c>
      <c r="D467" s="33" t="s">
        <v>2142</v>
      </c>
      <c r="E467" s="33" t="s">
        <v>1923</v>
      </c>
      <c r="F467" s="54"/>
      <c r="G467" s="33" t="s">
        <v>2143</v>
      </c>
      <c r="H467" s="32"/>
      <c r="I467" s="32"/>
      <c r="J467" s="33" t="s">
        <v>2144</v>
      </c>
      <c r="K467" s="33" t="s">
        <v>43</v>
      </c>
      <c r="L467" s="33" t="s">
        <v>2145</v>
      </c>
      <c r="M467" s="44">
        <v>1875268327</v>
      </c>
      <c r="N467" s="44">
        <v>352224000</v>
      </c>
      <c r="O467" s="44">
        <v>15000000</v>
      </c>
      <c r="P467" s="86"/>
      <c r="Q467" s="44">
        <f t="shared" si="463"/>
        <v>2242492327</v>
      </c>
      <c r="R467" s="48">
        <v>1875268327</v>
      </c>
      <c r="S467" s="48">
        <v>352224000</v>
      </c>
      <c r="T467" s="44">
        <v>15000000</v>
      </c>
      <c r="U467" s="32"/>
      <c r="V467" s="32"/>
      <c r="W467" s="49"/>
      <c r="X467" s="49">
        <f t="shared" ref="X467:Z467" si="471">N467-S467</f>
        <v>0</v>
      </c>
      <c r="Y467" s="49">
        <f t="shared" si="471"/>
        <v>0</v>
      </c>
      <c r="Z467" s="49">
        <f t="shared" si="471"/>
        <v>0</v>
      </c>
      <c r="AA467" s="54"/>
      <c r="AB467" s="54"/>
      <c r="AC467" s="2">
        <f t="shared" si="465"/>
        <v>2</v>
      </c>
      <c r="AD467" s="6"/>
      <c r="AE467" s="6"/>
      <c r="AF467" s="6"/>
      <c r="AG467" s="6"/>
      <c r="AH467" s="6"/>
      <c r="AI467" s="6"/>
      <c r="AJ467" s="6"/>
      <c r="AK467" s="6"/>
      <c r="AL467" s="6"/>
      <c r="AM467" s="6"/>
      <c r="AN467" s="6"/>
      <c r="AO467" s="6"/>
      <c r="AP467" s="6"/>
      <c r="AQ467" s="6"/>
      <c r="AR467" s="6"/>
      <c r="AS467" s="6"/>
    </row>
    <row r="468" spans="1:45" ht="47.25" hidden="1" x14ac:dyDescent="0.25">
      <c r="A468" s="33" t="s">
        <v>60</v>
      </c>
      <c r="B468" s="42">
        <v>292</v>
      </c>
      <c r="C468" s="33" t="s">
        <v>37</v>
      </c>
      <c r="D468" s="33" t="s">
        <v>2146</v>
      </c>
      <c r="E468" s="33" t="s">
        <v>883</v>
      </c>
      <c r="F468" s="54"/>
      <c r="G468" s="33" t="s">
        <v>2147</v>
      </c>
      <c r="H468" s="33" t="s">
        <v>2148</v>
      </c>
      <c r="I468" s="32"/>
      <c r="J468" s="33" t="s">
        <v>2149</v>
      </c>
      <c r="K468" s="33" t="s">
        <v>43</v>
      </c>
      <c r="L468" s="33" t="s">
        <v>2150</v>
      </c>
      <c r="M468" s="44">
        <v>1054607500</v>
      </c>
      <c r="N468" s="44">
        <v>395612000</v>
      </c>
      <c r="O468" s="44">
        <v>7500000</v>
      </c>
      <c r="P468" s="86"/>
      <c r="Q468" s="44">
        <f t="shared" si="463"/>
        <v>1457719500</v>
      </c>
      <c r="R468" s="48">
        <v>1054607500</v>
      </c>
      <c r="S468" s="48">
        <v>395612000</v>
      </c>
      <c r="T468" s="44">
        <v>7500000</v>
      </c>
      <c r="U468" s="32"/>
      <c r="V468" s="32"/>
      <c r="W468" s="49"/>
      <c r="X468" s="49">
        <f t="shared" ref="X468:Z468" si="472">N468-S468</f>
        <v>0</v>
      </c>
      <c r="Y468" s="49">
        <f t="shared" si="472"/>
        <v>0</v>
      </c>
      <c r="Z468" s="49">
        <f t="shared" si="472"/>
        <v>0</v>
      </c>
      <c r="AA468" s="54"/>
      <c r="AB468" s="54"/>
      <c r="AC468" s="2">
        <f t="shared" si="465"/>
        <v>2</v>
      </c>
      <c r="AD468" s="6"/>
      <c r="AE468" s="6"/>
      <c r="AF468" s="6"/>
      <c r="AG468" s="6"/>
      <c r="AH468" s="6"/>
      <c r="AI468" s="6"/>
      <c r="AJ468" s="6"/>
      <c r="AK468" s="6"/>
      <c r="AL468" s="6"/>
      <c r="AM468" s="6"/>
      <c r="AN468" s="6"/>
      <c r="AO468" s="6"/>
      <c r="AP468" s="6"/>
      <c r="AQ468" s="6"/>
      <c r="AR468" s="6"/>
      <c r="AS468" s="6"/>
    </row>
    <row r="469" spans="1:45" ht="31.5" hidden="1" x14ac:dyDescent="0.25">
      <c r="A469" s="33" t="s">
        <v>52</v>
      </c>
      <c r="B469" s="42">
        <v>293</v>
      </c>
      <c r="C469" s="33" t="s">
        <v>37</v>
      </c>
      <c r="D469" s="33" t="s">
        <v>2151</v>
      </c>
      <c r="E469" s="32"/>
      <c r="F469" s="54"/>
      <c r="G469" s="33" t="s">
        <v>2152</v>
      </c>
      <c r="H469" s="32"/>
      <c r="I469" s="32"/>
      <c r="J469" s="33" t="s">
        <v>2153</v>
      </c>
      <c r="K469" s="33" t="s">
        <v>43</v>
      </c>
      <c r="L469" s="33" t="s">
        <v>2154</v>
      </c>
      <c r="M469" s="44">
        <v>4707710338</v>
      </c>
      <c r="N469" s="45"/>
      <c r="O469" s="44">
        <v>15000000</v>
      </c>
      <c r="P469" s="86"/>
      <c r="Q469" s="44">
        <f t="shared" si="463"/>
        <v>4722710338</v>
      </c>
      <c r="R469" s="48">
        <v>4707710338</v>
      </c>
      <c r="S469" s="32"/>
      <c r="T469" s="44">
        <v>15000000</v>
      </c>
      <c r="U469" s="32"/>
      <c r="V469" s="32"/>
      <c r="W469" s="49"/>
      <c r="X469" s="49">
        <f t="shared" ref="X469:Z469" si="473">N469-S469</f>
        <v>0</v>
      </c>
      <c r="Y469" s="49">
        <f t="shared" si="473"/>
        <v>0</v>
      </c>
      <c r="Z469" s="49">
        <f t="shared" si="473"/>
        <v>0</v>
      </c>
      <c r="AA469" s="54"/>
      <c r="AB469" s="54"/>
      <c r="AC469" s="2">
        <f t="shared" si="465"/>
        <v>2</v>
      </c>
      <c r="AD469" s="6"/>
      <c r="AE469" s="6"/>
      <c r="AF469" s="6"/>
      <c r="AG469" s="6"/>
      <c r="AH469" s="6"/>
      <c r="AI469" s="6"/>
      <c r="AJ469" s="6"/>
      <c r="AK469" s="6"/>
      <c r="AL469" s="6"/>
      <c r="AM469" s="6"/>
      <c r="AN469" s="6"/>
      <c r="AO469" s="6"/>
      <c r="AP469" s="6"/>
      <c r="AQ469" s="6"/>
      <c r="AR469" s="6"/>
      <c r="AS469" s="6"/>
    </row>
    <row r="470" spans="1:45" ht="31.5" hidden="1" x14ac:dyDescent="0.25">
      <c r="A470" s="33" t="s">
        <v>60</v>
      </c>
      <c r="B470" s="42">
        <v>294</v>
      </c>
      <c r="C470" s="33" t="s">
        <v>37</v>
      </c>
      <c r="D470" s="33" t="s">
        <v>2155</v>
      </c>
      <c r="E470" s="32"/>
      <c r="F470" s="54"/>
      <c r="G470" s="33" t="s">
        <v>2156</v>
      </c>
      <c r="H470" s="32"/>
      <c r="I470" s="32"/>
      <c r="J470" s="33" t="s">
        <v>2157</v>
      </c>
      <c r="K470" s="33" t="s">
        <v>43</v>
      </c>
      <c r="L470" s="33" t="s">
        <v>2158</v>
      </c>
      <c r="M470" s="44">
        <v>11923902764</v>
      </c>
      <c r="N470" s="45"/>
      <c r="O470" s="44">
        <v>15000000</v>
      </c>
      <c r="P470" s="86"/>
      <c r="Q470" s="44">
        <f t="shared" si="463"/>
        <v>11938902764</v>
      </c>
      <c r="R470" s="48">
        <v>11923902764</v>
      </c>
      <c r="S470" s="32"/>
      <c r="T470" s="44">
        <v>15000000</v>
      </c>
      <c r="U470" s="32"/>
      <c r="V470" s="32"/>
      <c r="W470" s="49"/>
      <c r="X470" s="49">
        <f t="shared" ref="X470:Z470" si="474">N470-S470</f>
        <v>0</v>
      </c>
      <c r="Y470" s="49">
        <f t="shared" si="474"/>
        <v>0</v>
      </c>
      <c r="Z470" s="49">
        <f t="shared" si="474"/>
        <v>0</v>
      </c>
      <c r="AA470" s="54"/>
      <c r="AB470" s="54"/>
      <c r="AC470" s="2">
        <f t="shared" si="465"/>
        <v>2</v>
      </c>
      <c r="AD470" s="6"/>
      <c r="AE470" s="6"/>
      <c r="AF470" s="6"/>
      <c r="AG470" s="6"/>
      <c r="AH470" s="6"/>
      <c r="AI470" s="6"/>
      <c r="AJ470" s="6"/>
      <c r="AK470" s="6"/>
      <c r="AL470" s="6"/>
      <c r="AM470" s="6"/>
      <c r="AN470" s="6"/>
      <c r="AO470" s="6"/>
      <c r="AP470" s="6"/>
      <c r="AQ470" s="6"/>
      <c r="AR470" s="6"/>
      <c r="AS470" s="6"/>
    </row>
    <row r="471" spans="1:45" ht="47.25" hidden="1" x14ac:dyDescent="0.25">
      <c r="A471" s="33" t="s">
        <v>35</v>
      </c>
      <c r="B471" s="42">
        <v>297</v>
      </c>
      <c r="C471" s="33" t="s">
        <v>37</v>
      </c>
      <c r="D471" s="33" t="s">
        <v>2161</v>
      </c>
      <c r="E471" s="33"/>
      <c r="F471" s="54"/>
      <c r="G471" s="33" t="s">
        <v>2163</v>
      </c>
      <c r="H471" s="33"/>
      <c r="I471" s="33"/>
      <c r="J471" s="33" t="s">
        <v>2164</v>
      </c>
      <c r="K471" s="33" t="s">
        <v>43</v>
      </c>
      <c r="L471" s="33" t="s">
        <v>2165</v>
      </c>
      <c r="M471" s="44">
        <v>0</v>
      </c>
      <c r="N471" s="45"/>
      <c r="O471" s="44">
        <v>7500000</v>
      </c>
      <c r="P471" s="86"/>
      <c r="Q471" s="44">
        <f t="shared" si="463"/>
        <v>7500000</v>
      </c>
      <c r="R471" s="42">
        <v>0</v>
      </c>
      <c r="S471" s="32"/>
      <c r="T471" s="66"/>
      <c r="U471" s="32"/>
      <c r="V471" s="32"/>
      <c r="W471" s="49"/>
      <c r="X471" s="49">
        <f t="shared" ref="X471:Z471" si="475">N471-S471</f>
        <v>0</v>
      </c>
      <c r="Y471" s="52">
        <f t="shared" si="475"/>
        <v>7500000</v>
      </c>
      <c r="Z471" s="49">
        <f t="shared" si="475"/>
        <v>0</v>
      </c>
      <c r="AA471" s="54"/>
      <c r="AB471" s="43"/>
      <c r="AC471" s="15">
        <f t="shared" si="465"/>
        <v>2</v>
      </c>
      <c r="AD471" s="15"/>
      <c r="AE471" s="6"/>
      <c r="AF471" s="6"/>
      <c r="AG471" s="6"/>
      <c r="AH471" s="6"/>
      <c r="AI471" s="6"/>
      <c r="AJ471" s="6"/>
      <c r="AK471" s="6"/>
      <c r="AL471" s="6"/>
      <c r="AM471" s="6"/>
      <c r="AN471" s="6"/>
      <c r="AO471" s="6"/>
      <c r="AP471" s="6"/>
      <c r="AQ471" s="6"/>
      <c r="AR471" s="6"/>
      <c r="AS471" s="6"/>
    </row>
    <row r="472" spans="1:45" ht="63" hidden="1" x14ac:dyDescent="0.25">
      <c r="A472" s="33" t="s">
        <v>35</v>
      </c>
      <c r="B472" s="42">
        <v>298</v>
      </c>
      <c r="C472" s="33" t="s">
        <v>37</v>
      </c>
      <c r="D472" s="33" t="s">
        <v>2166</v>
      </c>
      <c r="E472" s="33" t="s">
        <v>2167</v>
      </c>
      <c r="F472" s="54"/>
      <c r="G472" s="33" t="s">
        <v>2168</v>
      </c>
      <c r="H472" s="33" t="s">
        <v>2169</v>
      </c>
      <c r="I472" s="32"/>
      <c r="J472" s="33" t="s">
        <v>2170</v>
      </c>
      <c r="K472" s="33" t="s">
        <v>43</v>
      </c>
      <c r="L472" s="33" t="s">
        <v>2171</v>
      </c>
      <c r="M472" s="44">
        <v>2444325600</v>
      </c>
      <c r="N472" s="44">
        <v>117744973</v>
      </c>
      <c r="O472" s="44">
        <v>7500000</v>
      </c>
      <c r="P472" s="86"/>
      <c r="Q472" s="44">
        <f t="shared" si="463"/>
        <v>2569570573</v>
      </c>
      <c r="R472" s="48">
        <v>2444325600</v>
      </c>
      <c r="S472" s="48">
        <v>117744973</v>
      </c>
      <c r="T472" s="44">
        <v>7500000</v>
      </c>
      <c r="U472" s="32"/>
      <c r="V472" s="32"/>
      <c r="W472" s="49"/>
      <c r="X472" s="49">
        <f t="shared" ref="X472:Z472" si="476">N472-S472</f>
        <v>0</v>
      </c>
      <c r="Y472" s="49">
        <f t="shared" si="476"/>
        <v>0</v>
      </c>
      <c r="Z472" s="49">
        <f t="shared" si="476"/>
        <v>0</v>
      </c>
      <c r="AA472" s="54"/>
      <c r="AB472" s="54"/>
      <c r="AC472" s="2">
        <f t="shared" si="465"/>
        <v>2</v>
      </c>
      <c r="AD472" s="6"/>
      <c r="AE472" s="6"/>
      <c r="AF472" s="6"/>
      <c r="AG472" s="6"/>
      <c r="AH472" s="6"/>
      <c r="AI472" s="6"/>
      <c r="AJ472" s="6"/>
      <c r="AK472" s="6"/>
      <c r="AL472" s="6"/>
      <c r="AM472" s="6"/>
      <c r="AN472" s="6"/>
      <c r="AO472" s="6"/>
      <c r="AP472" s="6"/>
      <c r="AQ472" s="6"/>
      <c r="AR472" s="6"/>
      <c r="AS472" s="6"/>
    </row>
    <row r="473" spans="1:45" ht="47.25" hidden="1" x14ac:dyDescent="0.25">
      <c r="A473" s="33" t="s">
        <v>46</v>
      </c>
      <c r="B473" s="42">
        <v>299</v>
      </c>
      <c r="C473" s="33" t="s">
        <v>37</v>
      </c>
      <c r="D473" s="33" t="s">
        <v>2172</v>
      </c>
      <c r="E473" s="32"/>
      <c r="F473" s="54"/>
      <c r="G473" s="33" t="s">
        <v>2173</v>
      </c>
      <c r="H473" s="32"/>
      <c r="I473" s="32"/>
      <c r="J473" s="33" t="s">
        <v>2174</v>
      </c>
      <c r="K473" s="33" t="s">
        <v>43</v>
      </c>
      <c r="L473" s="33" t="s">
        <v>2175</v>
      </c>
      <c r="M473" s="44">
        <v>5876123796</v>
      </c>
      <c r="N473" s="45"/>
      <c r="O473" s="44">
        <v>7500000</v>
      </c>
      <c r="P473" s="86"/>
      <c r="Q473" s="44">
        <f t="shared" si="463"/>
        <v>5883623796</v>
      </c>
      <c r="R473" s="48">
        <v>5876123796</v>
      </c>
      <c r="S473" s="32"/>
      <c r="T473" s="44">
        <v>7500000</v>
      </c>
      <c r="U473" s="32"/>
      <c r="V473" s="32"/>
      <c r="W473" s="49"/>
      <c r="X473" s="49">
        <f t="shared" ref="X473:Z473" si="477">N473-S473</f>
        <v>0</v>
      </c>
      <c r="Y473" s="49">
        <f t="shared" si="477"/>
        <v>0</v>
      </c>
      <c r="Z473" s="49">
        <f t="shared" si="477"/>
        <v>0</v>
      </c>
      <c r="AA473" s="54"/>
      <c r="AB473" s="54"/>
      <c r="AC473" s="2">
        <f t="shared" si="465"/>
        <v>2</v>
      </c>
      <c r="AD473" s="6"/>
      <c r="AE473" s="6"/>
      <c r="AF473" s="6"/>
      <c r="AG473" s="6"/>
      <c r="AH473" s="6"/>
      <c r="AI473" s="6"/>
      <c r="AJ473" s="6"/>
      <c r="AK473" s="6"/>
      <c r="AL473" s="6"/>
      <c r="AM473" s="6"/>
      <c r="AN473" s="6"/>
      <c r="AO473" s="6"/>
      <c r="AP473" s="6"/>
      <c r="AQ473" s="6"/>
      <c r="AR473" s="6"/>
      <c r="AS473" s="6"/>
    </row>
    <row r="474" spans="1:45" ht="47.25" hidden="1" x14ac:dyDescent="0.25">
      <c r="A474" s="33" t="s">
        <v>46</v>
      </c>
      <c r="B474" s="42">
        <v>300</v>
      </c>
      <c r="C474" s="33" t="s">
        <v>37</v>
      </c>
      <c r="D474" s="33" t="s">
        <v>2176</v>
      </c>
      <c r="E474" s="32"/>
      <c r="F474" s="54"/>
      <c r="G474" s="33" t="s">
        <v>2177</v>
      </c>
      <c r="H474" s="32"/>
      <c r="I474" s="32"/>
      <c r="J474" s="33" t="s">
        <v>2178</v>
      </c>
      <c r="K474" s="33" t="s">
        <v>43</v>
      </c>
      <c r="L474" s="33" t="s">
        <v>2179</v>
      </c>
      <c r="M474" s="44">
        <v>2259157980</v>
      </c>
      <c r="N474" s="45"/>
      <c r="O474" s="44">
        <v>15000000</v>
      </c>
      <c r="P474" s="86"/>
      <c r="Q474" s="44">
        <f t="shared" si="463"/>
        <v>2274157980</v>
      </c>
      <c r="R474" s="48">
        <v>2259157980</v>
      </c>
      <c r="S474" s="32"/>
      <c r="T474" s="44">
        <v>15000000</v>
      </c>
      <c r="U474" s="32"/>
      <c r="V474" s="32"/>
      <c r="W474" s="49"/>
      <c r="X474" s="49">
        <f t="shared" ref="X474:Z474" si="478">N474-S474</f>
        <v>0</v>
      </c>
      <c r="Y474" s="49">
        <f t="shared" si="478"/>
        <v>0</v>
      </c>
      <c r="Z474" s="49">
        <f t="shared" si="478"/>
        <v>0</v>
      </c>
      <c r="AA474" s="54"/>
      <c r="AB474" s="54"/>
      <c r="AC474" s="2">
        <f t="shared" si="465"/>
        <v>2</v>
      </c>
      <c r="AD474" s="6"/>
      <c r="AE474" s="6"/>
      <c r="AF474" s="6"/>
      <c r="AG474" s="6"/>
      <c r="AH474" s="6"/>
      <c r="AI474" s="6"/>
      <c r="AJ474" s="6"/>
      <c r="AK474" s="6"/>
      <c r="AL474" s="6"/>
      <c r="AM474" s="6"/>
      <c r="AN474" s="6"/>
      <c r="AO474" s="6"/>
      <c r="AP474" s="6"/>
      <c r="AQ474" s="6"/>
      <c r="AR474" s="6"/>
      <c r="AS474" s="6"/>
    </row>
    <row r="475" spans="1:45" ht="47.25" hidden="1" x14ac:dyDescent="0.25">
      <c r="A475" s="33" t="s">
        <v>35</v>
      </c>
      <c r="B475" s="42">
        <v>302</v>
      </c>
      <c r="C475" s="33" t="s">
        <v>37</v>
      </c>
      <c r="D475" s="33" t="s">
        <v>2180</v>
      </c>
      <c r="E475" s="32"/>
      <c r="F475" s="54"/>
      <c r="G475" s="33" t="s">
        <v>2181</v>
      </c>
      <c r="H475" s="32"/>
      <c r="I475" s="32"/>
      <c r="J475" s="33" t="s">
        <v>2182</v>
      </c>
      <c r="K475" s="33" t="s">
        <v>43</v>
      </c>
      <c r="L475" s="33" t="s">
        <v>2183</v>
      </c>
      <c r="M475" s="44">
        <v>3566485286</v>
      </c>
      <c r="N475" s="45"/>
      <c r="O475" s="44">
        <v>15000000</v>
      </c>
      <c r="P475" s="86"/>
      <c r="Q475" s="44">
        <f t="shared" si="463"/>
        <v>3581485286</v>
      </c>
      <c r="R475" s="48">
        <v>3566485286</v>
      </c>
      <c r="S475" s="32"/>
      <c r="T475" s="44">
        <v>15000000</v>
      </c>
      <c r="U475" s="32"/>
      <c r="V475" s="32"/>
      <c r="W475" s="49"/>
      <c r="X475" s="49">
        <f t="shared" ref="X475:Z475" si="479">N475-S475</f>
        <v>0</v>
      </c>
      <c r="Y475" s="49">
        <f t="shared" si="479"/>
        <v>0</v>
      </c>
      <c r="Z475" s="49">
        <f t="shared" si="479"/>
        <v>0</v>
      </c>
      <c r="AA475" s="54"/>
      <c r="AB475" s="54"/>
      <c r="AC475" s="2">
        <f t="shared" si="465"/>
        <v>2</v>
      </c>
      <c r="AD475" s="6"/>
      <c r="AE475" s="6"/>
      <c r="AF475" s="6"/>
      <c r="AG475" s="6"/>
      <c r="AH475" s="6"/>
      <c r="AI475" s="6"/>
      <c r="AJ475" s="6"/>
      <c r="AK475" s="6"/>
      <c r="AL475" s="6"/>
      <c r="AM475" s="6"/>
      <c r="AN475" s="6"/>
      <c r="AO475" s="6"/>
      <c r="AP475" s="6"/>
      <c r="AQ475" s="6"/>
      <c r="AR475" s="6"/>
      <c r="AS475" s="6"/>
    </row>
    <row r="476" spans="1:45" ht="47.25" hidden="1" x14ac:dyDescent="0.25">
      <c r="A476" s="33" t="s">
        <v>52</v>
      </c>
      <c r="B476" s="42">
        <v>303</v>
      </c>
      <c r="C476" s="33" t="s">
        <v>37</v>
      </c>
      <c r="D476" s="33" t="s">
        <v>2184</v>
      </c>
      <c r="E476" s="32"/>
      <c r="F476" s="54"/>
      <c r="G476" s="33" t="s">
        <v>2185</v>
      </c>
      <c r="H476" s="32"/>
      <c r="I476" s="32"/>
      <c r="J476" s="33" t="s">
        <v>2186</v>
      </c>
      <c r="K476" s="33" t="s">
        <v>43</v>
      </c>
      <c r="L476" s="33" t="s">
        <v>2187</v>
      </c>
      <c r="M476" s="44">
        <v>861548648</v>
      </c>
      <c r="N476" s="45"/>
      <c r="O476" s="44">
        <v>7500000</v>
      </c>
      <c r="P476" s="86"/>
      <c r="Q476" s="44">
        <f t="shared" si="463"/>
        <v>869048648</v>
      </c>
      <c r="R476" s="48">
        <v>861548648</v>
      </c>
      <c r="S476" s="32"/>
      <c r="T476" s="44">
        <v>7500000</v>
      </c>
      <c r="U476" s="32"/>
      <c r="V476" s="32"/>
      <c r="W476" s="49"/>
      <c r="X476" s="49">
        <f t="shared" ref="X476:Z476" si="480">N476-S476</f>
        <v>0</v>
      </c>
      <c r="Y476" s="49">
        <f t="shared" si="480"/>
        <v>0</v>
      </c>
      <c r="Z476" s="49">
        <f t="shared" si="480"/>
        <v>0</v>
      </c>
      <c r="AA476" s="54"/>
      <c r="AB476" s="54"/>
      <c r="AC476" s="2">
        <f t="shared" si="465"/>
        <v>2</v>
      </c>
      <c r="AD476" s="6"/>
      <c r="AE476" s="6"/>
      <c r="AF476" s="6"/>
      <c r="AG476" s="6"/>
      <c r="AH476" s="6"/>
      <c r="AI476" s="6"/>
      <c r="AJ476" s="6"/>
      <c r="AK476" s="6"/>
      <c r="AL476" s="6"/>
      <c r="AM476" s="6"/>
      <c r="AN476" s="6"/>
      <c r="AO476" s="6"/>
      <c r="AP476" s="6"/>
      <c r="AQ476" s="6"/>
      <c r="AR476" s="6"/>
      <c r="AS476" s="6"/>
    </row>
    <row r="477" spans="1:45" ht="47.25" hidden="1" x14ac:dyDescent="0.25">
      <c r="A477" s="33" t="s">
        <v>52</v>
      </c>
      <c r="B477" s="42">
        <v>305</v>
      </c>
      <c r="C477" s="33" t="s">
        <v>37</v>
      </c>
      <c r="D477" s="33" t="s">
        <v>2188</v>
      </c>
      <c r="E477" s="32"/>
      <c r="F477" s="54"/>
      <c r="G477" s="33" t="s">
        <v>2189</v>
      </c>
      <c r="H477" s="32"/>
      <c r="I477" s="32"/>
      <c r="J477" s="33" t="s">
        <v>2190</v>
      </c>
      <c r="K477" s="33" t="s">
        <v>43</v>
      </c>
      <c r="L477" s="33" t="s">
        <v>2191</v>
      </c>
      <c r="M477" s="44">
        <v>454606610</v>
      </c>
      <c r="N477" s="45"/>
      <c r="O477" s="44">
        <v>15000000</v>
      </c>
      <c r="P477" s="86"/>
      <c r="Q477" s="44">
        <f t="shared" si="463"/>
        <v>469606610</v>
      </c>
      <c r="R477" s="48">
        <v>454606610</v>
      </c>
      <c r="S477" s="32"/>
      <c r="T477" s="44">
        <v>15000000</v>
      </c>
      <c r="U477" s="32"/>
      <c r="V477" s="32"/>
      <c r="W477" s="49"/>
      <c r="X477" s="49">
        <f t="shared" ref="X477:Z477" si="481">N477-S477</f>
        <v>0</v>
      </c>
      <c r="Y477" s="49">
        <f t="shared" si="481"/>
        <v>0</v>
      </c>
      <c r="Z477" s="49">
        <f t="shared" si="481"/>
        <v>0</v>
      </c>
      <c r="AA477" s="54"/>
      <c r="AB477" s="54"/>
      <c r="AC477" s="2">
        <f t="shared" si="465"/>
        <v>2</v>
      </c>
      <c r="AD477" s="6"/>
      <c r="AE477" s="6"/>
      <c r="AF477" s="6"/>
      <c r="AG477" s="6"/>
      <c r="AH477" s="6"/>
      <c r="AI477" s="6"/>
      <c r="AJ477" s="6"/>
      <c r="AK477" s="6"/>
      <c r="AL477" s="6"/>
      <c r="AM477" s="6"/>
      <c r="AN477" s="6"/>
      <c r="AO477" s="6"/>
      <c r="AP477" s="6"/>
      <c r="AQ477" s="6"/>
      <c r="AR477" s="6"/>
      <c r="AS477" s="6"/>
    </row>
    <row r="478" spans="1:45" ht="47.25" hidden="1" x14ac:dyDescent="0.25">
      <c r="A478" s="33" t="s">
        <v>35</v>
      </c>
      <c r="B478" s="42">
        <v>306</v>
      </c>
      <c r="C478" s="33" t="s">
        <v>37</v>
      </c>
      <c r="D478" s="33" t="s">
        <v>2192</v>
      </c>
      <c r="E478" s="32"/>
      <c r="F478" s="54"/>
      <c r="G478" s="33" t="s">
        <v>2193</v>
      </c>
      <c r="H478" s="32"/>
      <c r="I478" s="32"/>
      <c r="J478" s="33" t="s">
        <v>2102</v>
      </c>
      <c r="K478" s="33" t="s">
        <v>43</v>
      </c>
      <c r="L478" s="33" t="s">
        <v>2194</v>
      </c>
      <c r="M478" s="44">
        <v>2354986700</v>
      </c>
      <c r="N478" s="45"/>
      <c r="O478" s="44">
        <v>15000000</v>
      </c>
      <c r="P478" s="86"/>
      <c r="Q478" s="44">
        <f t="shared" si="463"/>
        <v>2369986700</v>
      </c>
      <c r="R478" s="48">
        <v>2354986700</v>
      </c>
      <c r="S478" s="32"/>
      <c r="T478" s="44">
        <v>15000000</v>
      </c>
      <c r="U478" s="32"/>
      <c r="V478" s="32"/>
      <c r="W478" s="49"/>
      <c r="X478" s="49">
        <f t="shared" ref="X478:Z478" si="482">N478-S478</f>
        <v>0</v>
      </c>
      <c r="Y478" s="49">
        <f t="shared" si="482"/>
        <v>0</v>
      </c>
      <c r="Z478" s="49">
        <f t="shared" si="482"/>
        <v>0</v>
      </c>
      <c r="AA478" s="54"/>
      <c r="AB478" s="54"/>
      <c r="AC478" s="2">
        <f t="shared" si="465"/>
        <v>2</v>
      </c>
      <c r="AD478" s="6"/>
      <c r="AE478" s="6"/>
      <c r="AF478" s="6"/>
      <c r="AG478" s="6"/>
      <c r="AH478" s="6"/>
      <c r="AI478" s="6"/>
      <c r="AJ478" s="6"/>
      <c r="AK478" s="6"/>
      <c r="AL478" s="6"/>
      <c r="AM478" s="6"/>
      <c r="AN478" s="6"/>
      <c r="AO478" s="6"/>
      <c r="AP478" s="6"/>
      <c r="AQ478" s="6"/>
      <c r="AR478" s="6"/>
      <c r="AS478" s="6"/>
    </row>
    <row r="479" spans="1:45" ht="47.25" hidden="1" x14ac:dyDescent="0.25">
      <c r="A479" s="33" t="s">
        <v>52</v>
      </c>
      <c r="B479" s="42">
        <v>307</v>
      </c>
      <c r="C479" s="33" t="s">
        <v>37</v>
      </c>
      <c r="D479" s="33" t="s">
        <v>2195</v>
      </c>
      <c r="E479" s="33" t="s">
        <v>450</v>
      </c>
      <c r="F479" s="54"/>
      <c r="G479" s="33" t="s">
        <v>2196</v>
      </c>
      <c r="H479" s="33" t="s">
        <v>2197</v>
      </c>
      <c r="I479" s="32"/>
      <c r="J479" s="33" t="s">
        <v>2198</v>
      </c>
      <c r="K479" s="33" t="s">
        <v>43</v>
      </c>
      <c r="L479" s="33" t="s">
        <v>2199</v>
      </c>
      <c r="M479" s="44">
        <v>3187632080</v>
      </c>
      <c r="N479" s="44">
        <v>304242048</v>
      </c>
      <c r="O479" s="44">
        <v>7500000</v>
      </c>
      <c r="P479" s="86"/>
      <c r="Q479" s="44">
        <f t="shared" si="463"/>
        <v>3499374128</v>
      </c>
      <c r="R479" s="48">
        <v>3187632080</v>
      </c>
      <c r="S479" s="48">
        <v>304242048</v>
      </c>
      <c r="T479" s="44">
        <v>7500000</v>
      </c>
      <c r="U479" s="32"/>
      <c r="V479" s="32"/>
      <c r="W479" s="49"/>
      <c r="X479" s="49">
        <f t="shared" ref="X479:Z479" si="483">N479-S479</f>
        <v>0</v>
      </c>
      <c r="Y479" s="49">
        <f t="shared" si="483"/>
        <v>0</v>
      </c>
      <c r="Z479" s="49">
        <f t="shared" si="483"/>
        <v>0</v>
      </c>
      <c r="AA479" s="54"/>
      <c r="AB479" s="54"/>
      <c r="AC479" s="2">
        <f t="shared" si="465"/>
        <v>2</v>
      </c>
      <c r="AD479" s="6"/>
      <c r="AE479" s="6"/>
      <c r="AF479" s="6"/>
      <c r="AG479" s="6"/>
      <c r="AH479" s="6"/>
      <c r="AI479" s="6"/>
      <c r="AJ479" s="6"/>
      <c r="AK479" s="6"/>
      <c r="AL479" s="6"/>
      <c r="AM479" s="6"/>
      <c r="AN479" s="6"/>
      <c r="AO479" s="6"/>
      <c r="AP479" s="6"/>
      <c r="AQ479" s="6"/>
      <c r="AR479" s="6"/>
      <c r="AS479" s="6"/>
    </row>
    <row r="480" spans="1:45" ht="47.25" hidden="1" x14ac:dyDescent="0.25">
      <c r="A480" s="33" t="s">
        <v>46</v>
      </c>
      <c r="B480" s="42">
        <v>308</v>
      </c>
      <c r="C480" s="33" t="s">
        <v>37</v>
      </c>
      <c r="D480" s="33" t="s">
        <v>2200</v>
      </c>
      <c r="E480" s="32"/>
      <c r="F480" s="54"/>
      <c r="G480" s="33" t="s">
        <v>2201</v>
      </c>
      <c r="H480" s="32"/>
      <c r="I480" s="32"/>
      <c r="J480" s="33" t="s">
        <v>2202</v>
      </c>
      <c r="K480" s="33" t="s">
        <v>43</v>
      </c>
      <c r="L480" s="33" t="s">
        <v>2203</v>
      </c>
      <c r="M480" s="44">
        <v>1759567324</v>
      </c>
      <c r="N480" s="45"/>
      <c r="O480" s="44">
        <v>7500000</v>
      </c>
      <c r="P480" s="86"/>
      <c r="Q480" s="44">
        <f t="shared" si="463"/>
        <v>1767067324</v>
      </c>
      <c r="R480" s="48">
        <v>1759567324</v>
      </c>
      <c r="S480" s="32"/>
      <c r="T480" s="44">
        <v>7500000</v>
      </c>
      <c r="U480" s="32"/>
      <c r="V480" s="32"/>
      <c r="W480" s="49"/>
      <c r="X480" s="49">
        <f t="shared" ref="X480:Z480" si="484">N480-S480</f>
        <v>0</v>
      </c>
      <c r="Y480" s="49">
        <f t="shared" si="484"/>
        <v>0</v>
      </c>
      <c r="Z480" s="49">
        <f t="shared" si="484"/>
        <v>0</v>
      </c>
      <c r="AA480" s="54"/>
      <c r="AB480" s="54"/>
      <c r="AC480" s="2">
        <f t="shared" si="465"/>
        <v>2</v>
      </c>
      <c r="AD480" s="6"/>
      <c r="AE480" s="6"/>
      <c r="AF480" s="6"/>
      <c r="AG480" s="6"/>
      <c r="AH480" s="6"/>
      <c r="AI480" s="6"/>
      <c r="AJ480" s="6"/>
      <c r="AK480" s="6"/>
      <c r="AL480" s="6"/>
      <c r="AM480" s="6"/>
      <c r="AN480" s="6"/>
      <c r="AO480" s="6"/>
      <c r="AP480" s="6"/>
      <c r="AQ480" s="6"/>
      <c r="AR480" s="6"/>
      <c r="AS480" s="6"/>
    </row>
    <row r="481" spans="1:45" ht="31.5" hidden="1" x14ac:dyDescent="0.25">
      <c r="A481" s="33" t="s">
        <v>52</v>
      </c>
      <c r="B481" s="42">
        <v>310</v>
      </c>
      <c r="C481" s="33" t="s">
        <v>37</v>
      </c>
      <c r="D481" s="33" t="s">
        <v>2204</v>
      </c>
      <c r="E481" s="33" t="s">
        <v>2205</v>
      </c>
      <c r="F481" s="54"/>
      <c r="G481" s="33" t="s">
        <v>2206</v>
      </c>
      <c r="H481" s="33" t="s">
        <v>2207</v>
      </c>
      <c r="I481" s="32"/>
      <c r="J481" s="33" t="s">
        <v>2208</v>
      </c>
      <c r="K481" s="33" t="s">
        <v>43</v>
      </c>
      <c r="L481" s="33" t="s">
        <v>2209</v>
      </c>
      <c r="M481" s="44">
        <v>4651993608</v>
      </c>
      <c r="N481" s="44">
        <v>1194625056</v>
      </c>
      <c r="O481" s="44">
        <v>15000000</v>
      </c>
      <c r="P481" s="86"/>
      <c r="Q481" s="44">
        <f t="shared" si="463"/>
        <v>5861618664</v>
      </c>
      <c r="R481" s="48">
        <v>4651993608</v>
      </c>
      <c r="S481" s="48">
        <v>1194625056</v>
      </c>
      <c r="T481" s="45">
        <v>15000000</v>
      </c>
      <c r="U481" s="32"/>
      <c r="V481" s="32"/>
      <c r="W481" s="49"/>
      <c r="X481" s="49">
        <f t="shared" ref="X481:Z481" si="485">N481-S481</f>
        <v>0</v>
      </c>
      <c r="Y481" s="49">
        <f t="shared" si="485"/>
        <v>0</v>
      </c>
      <c r="Z481" s="49">
        <f t="shared" si="485"/>
        <v>0</v>
      </c>
      <c r="AA481" s="54"/>
      <c r="AB481" s="54"/>
      <c r="AC481" s="2">
        <f t="shared" si="465"/>
        <v>2</v>
      </c>
      <c r="AD481" s="6"/>
      <c r="AE481" s="6"/>
      <c r="AF481" s="6"/>
      <c r="AG481" s="6"/>
      <c r="AH481" s="6"/>
      <c r="AI481" s="6"/>
      <c r="AJ481" s="6"/>
      <c r="AK481" s="6"/>
      <c r="AL481" s="6"/>
      <c r="AM481" s="6"/>
      <c r="AN481" s="6"/>
      <c r="AO481" s="6"/>
      <c r="AP481" s="6"/>
      <c r="AQ481" s="6"/>
      <c r="AR481" s="6"/>
      <c r="AS481" s="6"/>
    </row>
    <row r="482" spans="1:45" ht="94.5" hidden="1" x14ac:dyDescent="0.25">
      <c r="A482" s="33" t="s">
        <v>60</v>
      </c>
      <c r="B482" s="42">
        <v>311</v>
      </c>
      <c r="C482" s="33" t="s">
        <v>37</v>
      </c>
      <c r="D482" s="33" t="s">
        <v>2210</v>
      </c>
      <c r="E482" s="33"/>
      <c r="F482" s="54"/>
      <c r="G482" s="33" t="s">
        <v>2211</v>
      </c>
      <c r="H482" s="33" t="s">
        <v>2212</v>
      </c>
      <c r="I482" s="33"/>
      <c r="J482" s="33" t="s">
        <v>2213</v>
      </c>
      <c r="K482" s="33" t="s">
        <v>43</v>
      </c>
      <c r="L482" s="33" t="s">
        <v>2214</v>
      </c>
      <c r="M482" s="44">
        <v>7228048500</v>
      </c>
      <c r="N482" s="45"/>
      <c r="O482" s="44">
        <v>7500000</v>
      </c>
      <c r="P482" s="86"/>
      <c r="Q482" s="44">
        <f t="shared" si="463"/>
        <v>7235548500</v>
      </c>
      <c r="R482" s="32"/>
      <c r="S482" s="32"/>
      <c r="T482" s="66"/>
      <c r="U482" s="32"/>
      <c r="V482" s="32"/>
      <c r="W482" s="49">
        <v>7228048500</v>
      </c>
      <c r="X482" s="49">
        <f t="shared" ref="X482:Z482" si="486">N482-S482</f>
        <v>0</v>
      </c>
      <c r="Y482" s="52">
        <f t="shared" si="486"/>
        <v>7500000</v>
      </c>
      <c r="Z482" s="49">
        <f t="shared" si="486"/>
        <v>0</v>
      </c>
      <c r="AA482" s="69">
        <v>7228048500</v>
      </c>
      <c r="AB482" s="43"/>
      <c r="AC482" s="15">
        <f t="shared" si="465"/>
        <v>2</v>
      </c>
      <c r="AD482" s="15"/>
      <c r="AE482" s="6"/>
      <c r="AF482" s="6"/>
      <c r="AG482" s="6"/>
      <c r="AH482" s="6"/>
      <c r="AI482" s="6"/>
      <c r="AJ482" s="6"/>
      <c r="AK482" s="6"/>
      <c r="AL482" s="6"/>
      <c r="AM482" s="6"/>
      <c r="AN482" s="6"/>
      <c r="AO482" s="6"/>
      <c r="AP482" s="6"/>
      <c r="AQ482" s="6"/>
      <c r="AR482" s="6"/>
      <c r="AS482" s="6"/>
    </row>
    <row r="483" spans="1:45" ht="47.25" hidden="1" x14ac:dyDescent="0.25">
      <c r="A483" s="33" t="s">
        <v>60</v>
      </c>
      <c r="B483" s="42">
        <v>312</v>
      </c>
      <c r="C483" s="33" t="s">
        <v>37</v>
      </c>
      <c r="D483" s="33" t="s">
        <v>2215</v>
      </c>
      <c r="E483" s="33"/>
      <c r="F483" s="54"/>
      <c r="G483" s="33" t="s">
        <v>2216</v>
      </c>
      <c r="H483" s="33"/>
      <c r="I483" s="33"/>
      <c r="J483" s="33" t="s">
        <v>2217</v>
      </c>
      <c r="K483" s="33" t="s">
        <v>43</v>
      </c>
      <c r="L483" s="33" t="s">
        <v>2218</v>
      </c>
      <c r="M483" s="44">
        <v>0</v>
      </c>
      <c r="N483" s="45"/>
      <c r="O483" s="44">
        <v>7500000</v>
      </c>
      <c r="P483" s="86"/>
      <c r="Q483" s="44">
        <f t="shared" si="463"/>
        <v>7500000</v>
      </c>
      <c r="R483" s="42">
        <v>0</v>
      </c>
      <c r="S483" s="32"/>
      <c r="T483" s="66"/>
      <c r="U483" s="32"/>
      <c r="V483" s="32"/>
      <c r="W483" s="49"/>
      <c r="X483" s="49">
        <f t="shared" ref="X483:Z483" si="487">N483-S483</f>
        <v>0</v>
      </c>
      <c r="Y483" s="52">
        <f t="shared" si="487"/>
        <v>7500000</v>
      </c>
      <c r="Z483" s="49">
        <f t="shared" si="487"/>
        <v>0</v>
      </c>
      <c r="AA483" s="54"/>
      <c r="AB483" s="43"/>
      <c r="AC483" s="15">
        <f t="shared" si="465"/>
        <v>2</v>
      </c>
      <c r="AD483" s="15"/>
      <c r="AE483" s="6"/>
      <c r="AF483" s="6"/>
      <c r="AG483" s="6"/>
      <c r="AH483" s="6"/>
      <c r="AI483" s="6"/>
      <c r="AJ483" s="6"/>
      <c r="AK483" s="6"/>
      <c r="AL483" s="6"/>
      <c r="AM483" s="6"/>
      <c r="AN483" s="6"/>
      <c r="AO483" s="6"/>
      <c r="AP483" s="6"/>
      <c r="AQ483" s="6"/>
      <c r="AR483" s="6"/>
      <c r="AS483" s="6"/>
    </row>
    <row r="484" spans="1:45" ht="47.25" hidden="1" x14ac:dyDescent="0.25">
      <c r="A484" s="33" t="s">
        <v>52</v>
      </c>
      <c r="B484" s="42">
        <v>313</v>
      </c>
      <c r="C484" s="33" t="s">
        <v>37</v>
      </c>
      <c r="D484" s="33" t="s">
        <v>2219</v>
      </c>
      <c r="E484" s="33" t="s">
        <v>604</v>
      </c>
      <c r="F484" s="54"/>
      <c r="G484" s="33" t="s">
        <v>2220</v>
      </c>
      <c r="H484" s="33" t="s">
        <v>1585</v>
      </c>
      <c r="I484" s="33"/>
      <c r="J484" s="33" t="s">
        <v>2221</v>
      </c>
      <c r="K484" s="33" t="s">
        <v>43</v>
      </c>
      <c r="L484" s="33" t="s">
        <v>2222</v>
      </c>
      <c r="M484" s="44">
        <v>1181168502</v>
      </c>
      <c r="N484" s="44">
        <v>283193856</v>
      </c>
      <c r="O484" s="44">
        <v>7500000</v>
      </c>
      <c r="P484" s="86"/>
      <c r="Q484" s="44">
        <f t="shared" si="463"/>
        <v>1471862358</v>
      </c>
      <c r="R484" s="48">
        <v>1181168502</v>
      </c>
      <c r="S484" s="48">
        <v>283193856</v>
      </c>
      <c r="T484" s="66"/>
      <c r="U484" s="32"/>
      <c r="V484" s="32"/>
      <c r="W484" s="49"/>
      <c r="X484" s="49">
        <f t="shared" ref="X484:Z484" si="488">N484-S484</f>
        <v>0</v>
      </c>
      <c r="Y484" s="52">
        <f t="shared" si="488"/>
        <v>7500000</v>
      </c>
      <c r="Z484" s="49">
        <f t="shared" si="488"/>
        <v>0</v>
      </c>
      <c r="AA484" s="54"/>
      <c r="AB484" s="43"/>
      <c r="AC484" s="15">
        <f t="shared" si="465"/>
        <v>2</v>
      </c>
      <c r="AD484" s="15"/>
      <c r="AE484" s="6"/>
      <c r="AF484" s="6"/>
      <c r="AG484" s="6"/>
      <c r="AH484" s="6"/>
      <c r="AI484" s="6"/>
      <c r="AJ484" s="6"/>
      <c r="AK484" s="6"/>
      <c r="AL484" s="6"/>
      <c r="AM484" s="6"/>
      <c r="AN484" s="6"/>
      <c r="AO484" s="6"/>
      <c r="AP484" s="6"/>
      <c r="AQ484" s="6"/>
      <c r="AR484" s="6"/>
      <c r="AS484" s="6"/>
    </row>
    <row r="485" spans="1:45" ht="31.5" hidden="1" x14ac:dyDescent="0.25">
      <c r="A485" s="33" t="s">
        <v>52</v>
      </c>
      <c r="B485" s="42">
        <v>314</v>
      </c>
      <c r="C485" s="33" t="s">
        <v>37</v>
      </c>
      <c r="D485" s="33" t="s">
        <v>2223</v>
      </c>
      <c r="E485" s="32"/>
      <c r="F485" s="54"/>
      <c r="G485" s="33" t="s">
        <v>2224</v>
      </c>
      <c r="H485" s="32"/>
      <c r="I485" s="32"/>
      <c r="J485" s="33" t="s">
        <v>2225</v>
      </c>
      <c r="K485" s="33" t="s">
        <v>43</v>
      </c>
      <c r="L485" s="33" t="s">
        <v>2226</v>
      </c>
      <c r="M485" s="44">
        <v>1634644894</v>
      </c>
      <c r="N485" s="45"/>
      <c r="O485" s="44">
        <v>7500000</v>
      </c>
      <c r="P485" s="86"/>
      <c r="Q485" s="44">
        <f t="shared" si="463"/>
        <v>1642144894</v>
      </c>
      <c r="R485" s="48">
        <v>1634644894</v>
      </c>
      <c r="S485" s="32"/>
      <c r="T485" s="44">
        <v>7500000</v>
      </c>
      <c r="U485" s="32"/>
      <c r="V485" s="32"/>
      <c r="W485" s="49"/>
      <c r="X485" s="49">
        <f t="shared" ref="X485:Z485" si="489">N485-S485</f>
        <v>0</v>
      </c>
      <c r="Y485" s="49">
        <f t="shared" si="489"/>
        <v>0</v>
      </c>
      <c r="Z485" s="49">
        <f t="shared" si="489"/>
        <v>0</v>
      </c>
      <c r="AA485" s="54"/>
      <c r="AB485" s="54"/>
      <c r="AC485" s="2">
        <f t="shared" si="465"/>
        <v>2</v>
      </c>
      <c r="AD485" s="6"/>
      <c r="AE485" s="6"/>
      <c r="AF485" s="6"/>
      <c r="AG485" s="6"/>
      <c r="AH485" s="6"/>
      <c r="AI485" s="6"/>
      <c r="AJ485" s="6"/>
      <c r="AK485" s="6"/>
      <c r="AL485" s="6"/>
      <c r="AM485" s="6"/>
      <c r="AN485" s="6"/>
      <c r="AO485" s="6"/>
      <c r="AP485" s="6"/>
      <c r="AQ485" s="6"/>
      <c r="AR485" s="6"/>
      <c r="AS485" s="6"/>
    </row>
    <row r="486" spans="1:45" ht="31.5" hidden="1" x14ac:dyDescent="0.25">
      <c r="A486" s="33" t="s">
        <v>60</v>
      </c>
      <c r="B486" s="42">
        <v>315</v>
      </c>
      <c r="C486" s="33" t="s">
        <v>37</v>
      </c>
      <c r="D486" s="33" t="s">
        <v>2227</v>
      </c>
      <c r="E486" s="32"/>
      <c r="F486" s="54"/>
      <c r="G486" s="33" t="s">
        <v>2228</v>
      </c>
      <c r="H486" s="32"/>
      <c r="I486" s="32"/>
      <c r="J486" s="33" t="s">
        <v>2229</v>
      </c>
      <c r="K486" s="33" t="s">
        <v>43</v>
      </c>
      <c r="L486" s="33" t="s">
        <v>2230</v>
      </c>
      <c r="M486" s="44">
        <v>2916899139</v>
      </c>
      <c r="N486" s="45"/>
      <c r="O486" s="44">
        <v>7500000</v>
      </c>
      <c r="P486" s="86"/>
      <c r="Q486" s="44">
        <f t="shared" si="463"/>
        <v>2924399139</v>
      </c>
      <c r="R486" s="48">
        <v>2916899139</v>
      </c>
      <c r="S486" s="32"/>
      <c r="T486" s="44">
        <v>7500000</v>
      </c>
      <c r="U486" s="32"/>
      <c r="V486" s="32"/>
      <c r="W486" s="49"/>
      <c r="X486" s="49">
        <f t="shared" ref="X486:Z486" si="490">N486-S486</f>
        <v>0</v>
      </c>
      <c r="Y486" s="49">
        <f t="shared" si="490"/>
        <v>0</v>
      </c>
      <c r="Z486" s="49">
        <f t="shared" si="490"/>
        <v>0</v>
      </c>
      <c r="AA486" s="54"/>
      <c r="AB486" s="54"/>
      <c r="AC486" s="2">
        <f t="shared" si="465"/>
        <v>2</v>
      </c>
      <c r="AD486" s="6"/>
      <c r="AE486" s="6"/>
      <c r="AF486" s="6"/>
      <c r="AG486" s="6"/>
      <c r="AH486" s="6"/>
      <c r="AI486" s="6"/>
      <c r="AJ486" s="6"/>
      <c r="AK486" s="6"/>
      <c r="AL486" s="6"/>
      <c r="AM486" s="6"/>
      <c r="AN486" s="6"/>
      <c r="AO486" s="6"/>
      <c r="AP486" s="6"/>
      <c r="AQ486" s="6"/>
      <c r="AR486" s="6"/>
      <c r="AS486" s="6"/>
    </row>
    <row r="487" spans="1:45" ht="62.25" hidden="1" customHeight="1" x14ac:dyDescent="0.25">
      <c r="A487" s="101" t="s">
        <v>35</v>
      </c>
      <c r="B487" s="42">
        <v>316</v>
      </c>
      <c r="C487" s="101" t="s">
        <v>37</v>
      </c>
      <c r="D487" s="101" t="s">
        <v>2231</v>
      </c>
      <c r="E487" s="32"/>
      <c r="F487" s="54"/>
      <c r="G487" s="101" t="s">
        <v>2232</v>
      </c>
      <c r="H487" s="32"/>
      <c r="I487" s="32"/>
      <c r="J487" s="101" t="s">
        <v>2233</v>
      </c>
      <c r="K487" s="101" t="s">
        <v>43</v>
      </c>
      <c r="L487" s="33" t="s">
        <v>2234</v>
      </c>
      <c r="M487" s="80">
        <v>2045718784</v>
      </c>
      <c r="N487" s="45"/>
      <c r="O487" s="80">
        <v>15000000</v>
      </c>
      <c r="P487" s="86"/>
      <c r="Q487" s="44">
        <f t="shared" si="463"/>
        <v>2060718784</v>
      </c>
      <c r="R487" s="79">
        <v>2045718784</v>
      </c>
      <c r="S487" s="32"/>
      <c r="T487" s="80">
        <v>15000000</v>
      </c>
      <c r="U487" s="32"/>
      <c r="V487" s="32"/>
      <c r="W487" s="49"/>
      <c r="X487" s="49">
        <f t="shared" ref="X487:Z487" si="491">N487-S487</f>
        <v>0</v>
      </c>
      <c r="Y487" s="49">
        <f t="shared" si="491"/>
        <v>0</v>
      </c>
      <c r="Z487" s="49">
        <f t="shared" si="491"/>
        <v>0</v>
      </c>
      <c r="AA487" s="54"/>
      <c r="AB487" s="54"/>
      <c r="AC487" s="2">
        <f t="shared" si="465"/>
        <v>2</v>
      </c>
      <c r="AD487" s="6"/>
      <c r="AE487" s="6"/>
      <c r="AF487" s="6"/>
      <c r="AG487" s="6"/>
      <c r="AH487" s="6"/>
      <c r="AI487" s="6"/>
      <c r="AJ487" s="6"/>
      <c r="AK487" s="6"/>
      <c r="AL487" s="6"/>
      <c r="AM487" s="6"/>
      <c r="AN487" s="6"/>
      <c r="AO487" s="6"/>
      <c r="AP487" s="6"/>
      <c r="AQ487" s="6"/>
      <c r="AR487" s="6"/>
      <c r="AS487" s="6"/>
    </row>
    <row r="488" spans="1:45" ht="47.25" hidden="1" x14ac:dyDescent="0.25">
      <c r="A488" s="33" t="s">
        <v>60</v>
      </c>
      <c r="B488" s="42">
        <v>318</v>
      </c>
      <c r="C488" s="33" t="s">
        <v>37</v>
      </c>
      <c r="D488" s="33" t="s">
        <v>2235</v>
      </c>
      <c r="E488" s="32"/>
      <c r="F488" s="54"/>
      <c r="G488" s="33" t="s">
        <v>2236</v>
      </c>
      <c r="H488" s="32"/>
      <c r="I488" s="32"/>
      <c r="J488" s="33" t="s">
        <v>2237</v>
      </c>
      <c r="K488" s="33" t="s">
        <v>43</v>
      </c>
      <c r="L488" s="33" t="s">
        <v>2238</v>
      </c>
      <c r="M488" s="44">
        <v>698692632</v>
      </c>
      <c r="N488" s="45"/>
      <c r="O488" s="44">
        <v>7500000</v>
      </c>
      <c r="P488" s="86"/>
      <c r="Q488" s="44">
        <f t="shared" si="463"/>
        <v>706192632</v>
      </c>
      <c r="R488" s="48">
        <v>698692632</v>
      </c>
      <c r="S488" s="32"/>
      <c r="T488" s="45">
        <v>7500000</v>
      </c>
      <c r="U488" s="32"/>
      <c r="V488" s="32"/>
      <c r="W488" s="49"/>
      <c r="X488" s="49">
        <f t="shared" ref="X488:Z488" si="492">N488-S488</f>
        <v>0</v>
      </c>
      <c r="Y488" s="49">
        <f t="shared" si="492"/>
        <v>0</v>
      </c>
      <c r="Z488" s="49">
        <f t="shared" si="492"/>
        <v>0</v>
      </c>
      <c r="AA488" s="54"/>
      <c r="AB488" s="54"/>
      <c r="AC488" s="2">
        <f t="shared" si="465"/>
        <v>2</v>
      </c>
      <c r="AD488" s="6"/>
      <c r="AE488" s="6"/>
      <c r="AF488" s="6"/>
      <c r="AG488" s="6"/>
      <c r="AH488" s="6"/>
      <c r="AI488" s="6"/>
      <c r="AJ488" s="6"/>
      <c r="AK488" s="6"/>
      <c r="AL488" s="6"/>
      <c r="AM488" s="6"/>
      <c r="AN488" s="6"/>
      <c r="AO488" s="6"/>
      <c r="AP488" s="6"/>
      <c r="AQ488" s="6"/>
      <c r="AR488" s="6"/>
      <c r="AS488" s="6"/>
    </row>
    <row r="489" spans="1:45" ht="62.25" hidden="1" customHeight="1" x14ac:dyDescent="0.25">
      <c r="A489" s="33" t="s">
        <v>52</v>
      </c>
      <c r="B489" s="42">
        <v>320</v>
      </c>
      <c r="C489" s="33" t="s">
        <v>37</v>
      </c>
      <c r="D489" s="33" t="s">
        <v>2239</v>
      </c>
      <c r="E489" s="32"/>
      <c r="F489" s="54"/>
      <c r="G489" s="33" t="s">
        <v>2240</v>
      </c>
      <c r="H489" s="32"/>
      <c r="I489" s="32"/>
      <c r="J489" s="33" t="s">
        <v>2241</v>
      </c>
      <c r="K489" s="33" t="s">
        <v>43</v>
      </c>
      <c r="L489" s="33" t="s">
        <v>2242</v>
      </c>
      <c r="M489" s="44">
        <v>5629237075</v>
      </c>
      <c r="N489" s="45"/>
      <c r="O489" s="44">
        <v>15000000</v>
      </c>
      <c r="P489" s="86"/>
      <c r="Q489" s="44">
        <f t="shared" si="463"/>
        <v>5644237075</v>
      </c>
      <c r="R489" s="48">
        <v>5629237075</v>
      </c>
      <c r="S489" s="32"/>
      <c r="T489" s="44">
        <v>15000000</v>
      </c>
      <c r="U489" s="32"/>
      <c r="V489" s="32"/>
      <c r="W489" s="49"/>
      <c r="X489" s="49">
        <f t="shared" ref="X489:Z489" si="493">N489-S489</f>
        <v>0</v>
      </c>
      <c r="Y489" s="49">
        <f t="shared" si="493"/>
        <v>0</v>
      </c>
      <c r="Z489" s="49">
        <f t="shared" si="493"/>
        <v>0</v>
      </c>
      <c r="AA489" s="54"/>
      <c r="AB489" s="54"/>
      <c r="AC489" s="2">
        <f t="shared" si="465"/>
        <v>2</v>
      </c>
      <c r="AD489" s="6"/>
      <c r="AE489" s="6"/>
      <c r="AF489" s="6"/>
      <c r="AG489" s="6"/>
      <c r="AH489" s="6"/>
      <c r="AI489" s="6"/>
      <c r="AJ489" s="6"/>
      <c r="AK489" s="6"/>
      <c r="AL489" s="6"/>
      <c r="AM489" s="6"/>
      <c r="AN489" s="6"/>
      <c r="AO489" s="6"/>
      <c r="AP489" s="6"/>
      <c r="AQ489" s="6"/>
      <c r="AR489" s="6"/>
      <c r="AS489" s="6"/>
    </row>
    <row r="490" spans="1:45" ht="31.5" hidden="1" x14ac:dyDescent="0.25">
      <c r="A490" s="33" t="s">
        <v>60</v>
      </c>
      <c r="B490" s="42">
        <v>321</v>
      </c>
      <c r="C490" s="33" t="s">
        <v>37</v>
      </c>
      <c r="D490" s="33" t="s">
        <v>2243</v>
      </c>
      <c r="E490" s="33"/>
      <c r="F490" s="54"/>
      <c r="G490" s="33" t="s">
        <v>2244</v>
      </c>
      <c r="H490" s="33"/>
      <c r="I490" s="33"/>
      <c r="J490" s="33" t="s">
        <v>2245</v>
      </c>
      <c r="K490" s="33" t="s">
        <v>43</v>
      </c>
      <c r="L490" s="33" t="s">
        <v>2246</v>
      </c>
      <c r="M490" s="44">
        <v>0</v>
      </c>
      <c r="N490" s="45"/>
      <c r="O490" s="44">
        <v>7500000</v>
      </c>
      <c r="P490" s="86"/>
      <c r="Q490" s="44">
        <f t="shared" si="463"/>
        <v>7500000</v>
      </c>
      <c r="R490" s="42">
        <v>0</v>
      </c>
      <c r="S490" s="32"/>
      <c r="T490" s="66"/>
      <c r="U490" s="32"/>
      <c r="V490" s="32"/>
      <c r="W490" s="49"/>
      <c r="X490" s="49">
        <f t="shared" ref="X490:Z490" si="494">N490-S490</f>
        <v>0</v>
      </c>
      <c r="Y490" s="52">
        <f t="shared" si="494"/>
        <v>7500000</v>
      </c>
      <c r="Z490" s="49">
        <f t="shared" si="494"/>
        <v>0</v>
      </c>
      <c r="AA490" s="54"/>
      <c r="AB490" s="43"/>
      <c r="AC490" s="15">
        <f t="shared" si="465"/>
        <v>2</v>
      </c>
      <c r="AD490" s="15"/>
      <c r="AE490" s="6"/>
      <c r="AF490" s="6"/>
      <c r="AG490" s="6"/>
      <c r="AH490" s="6"/>
      <c r="AI490" s="6"/>
      <c r="AJ490" s="6"/>
      <c r="AK490" s="6"/>
      <c r="AL490" s="6"/>
      <c r="AM490" s="6"/>
      <c r="AN490" s="6"/>
      <c r="AO490" s="6"/>
      <c r="AP490" s="6"/>
      <c r="AQ490" s="6"/>
      <c r="AR490" s="6"/>
      <c r="AS490" s="6"/>
    </row>
    <row r="491" spans="1:45" ht="47.25" hidden="1" x14ac:dyDescent="0.25">
      <c r="A491" s="33" t="s">
        <v>52</v>
      </c>
      <c r="B491" s="42">
        <v>322</v>
      </c>
      <c r="C491" s="33" t="s">
        <v>37</v>
      </c>
      <c r="D491" s="33" t="s">
        <v>2247</v>
      </c>
      <c r="E491" s="32"/>
      <c r="F491" s="54"/>
      <c r="G491" s="33" t="s">
        <v>2248</v>
      </c>
      <c r="H491" s="32"/>
      <c r="I491" s="32"/>
      <c r="J491" s="33" t="s">
        <v>2249</v>
      </c>
      <c r="K491" s="33" t="s">
        <v>43</v>
      </c>
      <c r="L491" s="33" t="s">
        <v>2250</v>
      </c>
      <c r="M491" s="44">
        <v>1119302208</v>
      </c>
      <c r="N491" s="45"/>
      <c r="O491" s="44">
        <v>15000000</v>
      </c>
      <c r="P491" s="86"/>
      <c r="Q491" s="44">
        <f t="shared" si="463"/>
        <v>1134302208</v>
      </c>
      <c r="R491" s="48">
        <v>1119302208</v>
      </c>
      <c r="S491" s="32"/>
      <c r="T491" s="44">
        <v>15000000</v>
      </c>
      <c r="U491" s="32"/>
      <c r="V491" s="32"/>
      <c r="W491" s="49"/>
      <c r="X491" s="49">
        <f t="shared" ref="X491:Z491" si="495">N491-S491</f>
        <v>0</v>
      </c>
      <c r="Y491" s="49">
        <f t="shared" si="495"/>
        <v>0</v>
      </c>
      <c r="Z491" s="49">
        <f t="shared" si="495"/>
        <v>0</v>
      </c>
      <c r="AA491" s="54"/>
      <c r="AB491" s="54"/>
      <c r="AC491" s="2">
        <f t="shared" si="465"/>
        <v>2</v>
      </c>
      <c r="AD491" s="6"/>
      <c r="AE491" s="6"/>
      <c r="AF491" s="6"/>
      <c r="AG491" s="6"/>
      <c r="AH491" s="6"/>
      <c r="AI491" s="6"/>
      <c r="AJ491" s="6"/>
      <c r="AK491" s="6"/>
      <c r="AL491" s="6"/>
      <c r="AM491" s="6"/>
      <c r="AN491" s="6"/>
      <c r="AO491" s="6"/>
      <c r="AP491" s="6"/>
      <c r="AQ491" s="6"/>
      <c r="AR491" s="6"/>
      <c r="AS491" s="6"/>
    </row>
    <row r="492" spans="1:45" ht="47.25" hidden="1" x14ac:dyDescent="0.25">
      <c r="A492" s="33" t="s">
        <v>35</v>
      </c>
      <c r="B492" s="42">
        <v>324</v>
      </c>
      <c r="C492" s="33" t="s">
        <v>37</v>
      </c>
      <c r="D492" s="33" t="s">
        <v>2252</v>
      </c>
      <c r="E492" s="32"/>
      <c r="F492" s="54"/>
      <c r="G492" s="33" t="s">
        <v>2253</v>
      </c>
      <c r="H492" s="32"/>
      <c r="I492" s="32"/>
      <c r="J492" s="33" t="s">
        <v>2254</v>
      </c>
      <c r="K492" s="33" t="s">
        <v>43</v>
      </c>
      <c r="L492" s="33" t="s">
        <v>2255</v>
      </c>
      <c r="M492" s="44">
        <v>11003820410</v>
      </c>
      <c r="N492" s="45"/>
      <c r="O492" s="44">
        <v>15000000</v>
      </c>
      <c r="P492" s="86"/>
      <c r="Q492" s="44">
        <f t="shared" si="463"/>
        <v>11018820410</v>
      </c>
      <c r="R492" s="48">
        <v>11003820410</v>
      </c>
      <c r="S492" s="32"/>
      <c r="T492" s="44">
        <v>15000000</v>
      </c>
      <c r="U492" s="32"/>
      <c r="V492" s="32"/>
      <c r="W492" s="49"/>
      <c r="X492" s="49">
        <f t="shared" ref="X492:Z492" si="496">N492-S492</f>
        <v>0</v>
      </c>
      <c r="Y492" s="49">
        <f t="shared" si="496"/>
        <v>0</v>
      </c>
      <c r="Z492" s="49">
        <f t="shared" si="496"/>
        <v>0</v>
      </c>
      <c r="AA492" s="54"/>
      <c r="AB492" s="54"/>
      <c r="AC492" s="2">
        <f t="shared" si="465"/>
        <v>2</v>
      </c>
      <c r="AD492" s="6"/>
      <c r="AE492" s="6"/>
      <c r="AF492" s="6"/>
      <c r="AG492" s="6"/>
      <c r="AH492" s="6"/>
      <c r="AI492" s="6"/>
      <c r="AJ492" s="6"/>
      <c r="AK492" s="6"/>
      <c r="AL492" s="6"/>
      <c r="AM492" s="6"/>
      <c r="AN492" s="6"/>
      <c r="AO492" s="6"/>
      <c r="AP492" s="6"/>
      <c r="AQ492" s="6"/>
      <c r="AR492" s="6"/>
      <c r="AS492" s="6"/>
    </row>
    <row r="493" spans="1:45" ht="31.5" hidden="1" x14ac:dyDescent="0.25">
      <c r="A493" s="33" t="s">
        <v>60</v>
      </c>
      <c r="B493" s="42">
        <v>326</v>
      </c>
      <c r="C493" s="33" t="s">
        <v>37</v>
      </c>
      <c r="D493" s="33" t="s">
        <v>2256</v>
      </c>
      <c r="E493" s="32"/>
      <c r="F493" s="54"/>
      <c r="G493" s="33" t="s">
        <v>2257</v>
      </c>
      <c r="H493" s="32"/>
      <c r="I493" s="32"/>
      <c r="J493" s="33" t="s">
        <v>2258</v>
      </c>
      <c r="K493" s="33" t="s">
        <v>43</v>
      </c>
      <c r="L493" s="33" t="s">
        <v>2259</v>
      </c>
      <c r="M493" s="44">
        <v>8078620056</v>
      </c>
      <c r="N493" s="45"/>
      <c r="O493" s="44">
        <v>15000000</v>
      </c>
      <c r="P493" s="86"/>
      <c r="Q493" s="44">
        <f t="shared" si="463"/>
        <v>8093620056</v>
      </c>
      <c r="R493" s="48">
        <v>8078620056</v>
      </c>
      <c r="S493" s="32"/>
      <c r="T493" s="44">
        <v>15000000</v>
      </c>
      <c r="U493" s="32"/>
      <c r="V493" s="32"/>
      <c r="W493" s="49"/>
      <c r="X493" s="49">
        <f t="shared" ref="X493:Z493" si="497">N493-S493</f>
        <v>0</v>
      </c>
      <c r="Y493" s="49">
        <f t="shared" si="497"/>
        <v>0</v>
      </c>
      <c r="Z493" s="49">
        <f t="shared" si="497"/>
        <v>0</v>
      </c>
      <c r="AA493" s="54"/>
      <c r="AB493" s="54"/>
      <c r="AC493" s="2">
        <f t="shared" si="465"/>
        <v>2</v>
      </c>
      <c r="AD493" s="6"/>
      <c r="AE493" s="6"/>
      <c r="AF493" s="6"/>
      <c r="AG493" s="6"/>
      <c r="AH493" s="6"/>
      <c r="AI493" s="6"/>
      <c r="AJ493" s="6"/>
      <c r="AK493" s="6"/>
      <c r="AL493" s="6"/>
      <c r="AM493" s="6"/>
      <c r="AN493" s="6"/>
      <c r="AO493" s="6"/>
      <c r="AP493" s="6"/>
      <c r="AQ493" s="6"/>
      <c r="AR493" s="6"/>
      <c r="AS493" s="6"/>
    </row>
    <row r="494" spans="1:45" ht="31.5" hidden="1" x14ac:dyDescent="0.25">
      <c r="A494" s="33" t="s">
        <v>60</v>
      </c>
      <c r="B494" s="42">
        <v>327</v>
      </c>
      <c r="C494" s="33" t="s">
        <v>37</v>
      </c>
      <c r="D494" s="33" t="s">
        <v>2260</v>
      </c>
      <c r="E494" s="33" t="s">
        <v>1132</v>
      </c>
      <c r="F494" s="54"/>
      <c r="G494" s="33" t="s">
        <v>2261</v>
      </c>
      <c r="H494" s="33"/>
      <c r="I494" s="33"/>
      <c r="J494" s="33" t="s">
        <v>2262</v>
      </c>
      <c r="K494" s="33" t="s">
        <v>43</v>
      </c>
      <c r="L494" s="33" t="s">
        <v>2263</v>
      </c>
      <c r="M494" s="44">
        <v>2028942168</v>
      </c>
      <c r="N494" s="44">
        <v>396202200</v>
      </c>
      <c r="O494" s="44">
        <v>7500000</v>
      </c>
      <c r="P494" s="86"/>
      <c r="Q494" s="44">
        <f t="shared" si="463"/>
        <v>2432644368</v>
      </c>
      <c r="R494" s="48">
        <v>2028942168</v>
      </c>
      <c r="S494" s="48">
        <v>396202200</v>
      </c>
      <c r="T494" s="66"/>
      <c r="U494" s="32"/>
      <c r="V494" s="32"/>
      <c r="W494" s="49"/>
      <c r="X494" s="49">
        <f t="shared" ref="X494:Z494" si="498">N494-S494</f>
        <v>0</v>
      </c>
      <c r="Y494" s="52">
        <f t="shared" si="498"/>
        <v>7500000</v>
      </c>
      <c r="Z494" s="49">
        <f t="shared" si="498"/>
        <v>0</v>
      </c>
      <c r="AA494" s="54"/>
      <c r="AB494" s="43"/>
      <c r="AC494" s="15">
        <f t="shared" si="465"/>
        <v>2</v>
      </c>
      <c r="AD494" s="15"/>
      <c r="AE494" s="6"/>
      <c r="AF494" s="6"/>
      <c r="AG494" s="6"/>
      <c r="AH494" s="6"/>
      <c r="AI494" s="6"/>
      <c r="AJ494" s="6"/>
      <c r="AK494" s="6"/>
      <c r="AL494" s="6"/>
      <c r="AM494" s="6"/>
      <c r="AN494" s="6"/>
      <c r="AO494" s="6"/>
      <c r="AP494" s="6"/>
      <c r="AQ494" s="6"/>
      <c r="AR494" s="6"/>
      <c r="AS494" s="6"/>
    </row>
    <row r="495" spans="1:45" ht="47.25" hidden="1" x14ac:dyDescent="0.25">
      <c r="A495" s="33" t="s">
        <v>60</v>
      </c>
      <c r="B495" s="42">
        <v>328</v>
      </c>
      <c r="C495" s="33" t="s">
        <v>37</v>
      </c>
      <c r="D495" s="33" t="s">
        <v>2264</v>
      </c>
      <c r="E495" s="32"/>
      <c r="F495" s="54"/>
      <c r="G495" s="33" t="s">
        <v>2265</v>
      </c>
      <c r="H495" s="32"/>
      <c r="I495" s="33" t="s">
        <v>2266</v>
      </c>
      <c r="J495" s="33" t="s">
        <v>2267</v>
      </c>
      <c r="K495" s="33" t="s">
        <v>43</v>
      </c>
      <c r="L495" s="33" t="s">
        <v>2268</v>
      </c>
      <c r="M495" s="44">
        <v>2166823187</v>
      </c>
      <c r="N495" s="45"/>
      <c r="O495" s="44">
        <v>15000000</v>
      </c>
      <c r="P495" s="86"/>
      <c r="Q495" s="44">
        <f t="shared" si="463"/>
        <v>2181823187</v>
      </c>
      <c r="R495" s="48">
        <v>2166823187</v>
      </c>
      <c r="S495" s="32"/>
      <c r="T495" s="44">
        <v>15000000</v>
      </c>
      <c r="U495" s="32"/>
      <c r="V495" s="32"/>
      <c r="W495" s="49"/>
      <c r="X495" s="49">
        <f t="shared" ref="X495:Z495" si="499">N495-S495</f>
        <v>0</v>
      </c>
      <c r="Y495" s="49">
        <f t="shared" si="499"/>
        <v>0</v>
      </c>
      <c r="Z495" s="49">
        <f t="shared" si="499"/>
        <v>0</v>
      </c>
      <c r="AA495" s="54"/>
      <c r="AB495" s="54"/>
      <c r="AC495" s="2">
        <f t="shared" si="465"/>
        <v>2</v>
      </c>
      <c r="AD495" s="6"/>
      <c r="AE495" s="6"/>
      <c r="AF495" s="6"/>
      <c r="AG495" s="6"/>
      <c r="AH495" s="6"/>
      <c r="AI495" s="6"/>
      <c r="AJ495" s="6"/>
      <c r="AK495" s="6"/>
      <c r="AL495" s="6"/>
      <c r="AM495" s="6"/>
      <c r="AN495" s="6"/>
      <c r="AO495" s="6"/>
      <c r="AP495" s="6"/>
      <c r="AQ495" s="6"/>
      <c r="AR495" s="6"/>
      <c r="AS495" s="6"/>
    </row>
    <row r="496" spans="1:45" ht="31.5" hidden="1" x14ac:dyDescent="0.25">
      <c r="A496" s="33" t="s">
        <v>46</v>
      </c>
      <c r="B496" s="42">
        <v>329</v>
      </c>
      <c r="C496" s="33" t="s">
        <v>37</v>
      </c>
      <c r="D496" s="33" t="s">
        <v>2269</v>
      </c>
      <c r="E496" s="32"/>
      <c r="F496" s="54"/>
      <c r="G496" s="33" t="s">
        <v>2270</v>
      </c>
      <c r="H496" s="32"/>
      <c r="I496" s="32"/>
      <c r="J496" s="33" t="s">
        <v>2271</v>
      </c>
      <c r="K496" s="33" t="s">
        <v>43</v>
      </c>
      <c r="L496" s="33" t="s">
        <v>2272</v>
      </c>
      <c r="M496" s="44">
        <v>5427333000</v>
      </c>
      <c r="N496" s="45"/>
      <c r="O496" s="44">
        <v>7500000</v>
      </c>
      <c r="P496" s="86"/>
      <c r="Q496" s="44">
        <f t="shared" si="463"/>
        <v>5434833000</v>
      </c>
      <c r="R496" s="48">
        <v>5427333000</v>
      </c>
      <c r="S496" s="32"/>
      <c r="T496" s="44">
        <v>7500000</v>
      </c>
      <c r="U496" s="32"/>
      <c r="V496" s="32"/>
      <c r="W496" s="49"/>
      <c r="X496" s="49">
        <f t="shared" ref="X496:Z496" si="500">N496-S496</f>
        <v>0</v>
      </c>
      <c r="Y496" s="49">
        <f t="shared" si="500"/>
        <v>0</v>
      </c>
      <c r="Z496" s="49">
        <f t="shared" si="500"/>
        <v>0</v>
      </c>
      <c r="AA496" s="54"/>
      <c r="AB496" s="54"/>
      <c r="AC496" s="2">
        <f t="shared" si="465"/>
        <v>2</v>
      </c>
      <c r="AD496" s="6"/>
      <c r="AE496" s="6"/>
      <c r="AF496" s="6"/>
      <c r="AG496" s="6"/>
      <c r="AH496" s="6"/>
      <c r="AI496" s="6"/>
      <c r="AJ496" s="6"/>
      <c r="AK496" s="6"/>
      <c r="AL496" s="6"/>
      <c r="AM496" s="6"/>
      <c r="AN496" s="6"/>
      <c r="AO496" s="6"/>
      <c r="AP496" s="6"/>
      <c r="AQ496" s="6"/>
      <c r="AR496" s="6"/>
      <c r="AS496" s="6"/>
    </row>
    <row r="497" spans="1:45" ht="31.5" hidden="1" x14ac:dyDescent="0.25">
      <c r="A497" s="33" t="s">
        <v>46</v>
      </c>
      <c r="B497" s="42">
        <v>330</v>
      </c>
      <c r="C497" s="33" t="s">
        <v>37</v>
      </c>
      <c r="D497" s="33" t="s">
        <v>2273</v>
      </c>
      <c r="E497" s="32"/>
      <c r="F497" s="54"/>
      <c r="G497" s="33" t="s">
        <v>2274</v>
      </c>
      <c r="H497" s="32"/>
      <c r="I497" s="32"/>
      <c r="J497" s="33" t="s">
        <v>2275</v>
      </c>
      <c r="K497" s="33" t="s">
        <v>43</v>
      </c>
      <c r="L497" s="33" t="s">
        <v>2276</v>
      </c>
      <c r="M497" s="44">
        <v>1292171692</v>
      </c>
      <c r="N497" s="45"/>
      <c r="O497" s="44">
        <v>7500000</v>
      </c>
      <c r="P497" s="86"/>
      <c r="Q497" s="44">
        <f t="shared" si="463"/>
        <v>1299671692</v>
      </c>
      <c r="R497" s="48">
        <v>1292171692</v>
      </c>
      <c r="S497" s="32"/>
      <c r="T497" s="44">
        <v>7500000</v>
      </c>
      <c r="U497" s="32"/>
      <c r="V497" s="32"/>
      <c r="W497" s="49"/>
      <c r="X497" s="49">
        <f t="shared" ref="X497:Z497" si="501">N497-S497</f>
        <v>0</v>
      </c>
      <c r="Y497" s="49">
        <f t="shared" si="501"/>
        <v>0</v>
      </c>
      <c r="Z497" s="49">
        <f t="shared" si="501"/>
        <v>0</v>
      </c>
      <c r="AA497" s="54"/>
      <c r="AB497" s="54"/>
      <c r="AC497" s="2">
        <f t="shared" si="465"/>
        <v>2</v>
      </c>
      <c r="AD497" s="6"/>
      <c r="AE497" s="6"/>
      <c r="AF497" s="6"/>
      <c r="AG497" s="6"/>
      <c r="AH497" s="6"/>
      <c r="AI497" s="6"/>
      <c r="AJ497" s="6"/>
      <c r="AK497" s="6"/>
      <c r="AL497" s="6"/>
      <c r="AM497" s="6"/>
      <c r="AN497" s="6"/>
      <c r="AO497" s="6"/>
      <c r="AP497" s="6"/>
      <c r="AQ497" s="6"/>
      <c r="AR497" s="6"/>
      <c r="AS497" s="6"/>
    </row>
    <row r="498" spans="1:45" ht="62.25" hidden="1" customHeight="1" x14ac:dyDescent="0.25">
      <c r="A498" s="33" t="s">
        <v>46</v>
      </c>
      <c r="B498" s="42">
        <v>331</v>
      </c>
      <c r="C498" s="33" t="s">
        <v>37</v>
      </c>
      <c r="D498" s="33" t="s">
        <v>2277</v>
      </c>
      <c r="E498" s="33" t="s">
        <v>1923</v>
      </c>
      <c r="F498" s="54"/>
      <c r="G498" s="33" t="s">
        <v>2278</v>
      </c>
      <c r="H498" s="32"/>
      <c r="I498" s="32"/>
      <c r="J498" s="33" t="s">
        <v>2279</v>
      </c>
      <c r="K498" s="33" t="s">
        <v>43</v>
      </c>
      <c r="L498" s="33" t="s">
        <v>2280</v>
      </c>
      <c r="M498" s="44">
        <v>6687219200</v>
      </c>
      <c r="N498" s="44">
        <v>415250000</v>
      </c>
      <c r="O498" s="44">
        <v>7500000</v>
      </c>
      <c r="P498" s="86"/>
      <c r="Q498" s="44">
        <f t="shared" si="463"/>
        <v>7109969200</v>
      </c>
      <c r="R498" s="48">
        <v>6687219200</v>
      </c>
      <c r="S498" s="48">
        <v>415250000</v>
      </c>
      <c r="T498" s="44">
        <v>7500000</v>
      </c>
      <c r="U498" s="32"/>
      <c r="V498" s="32"/>
      <c r="W498" s="49"/>
      <c r="X498" s="49">
        <f t="shared" ref="X498:Z498" si="502">N498-S498</f>
        <v>0</v>
      </c>
      <c r="Y498" s="49">
        <f t="shared" si="502"/>
        <v>0</v>
      </c>
      <c r="Z498" s="49">
        <f t="shared" si="502"/>
        <v>0</v>
      </c>
      <c r="AA498" s="54"/>
      <c r="AB498" s="54"/>
      <c r="AC498" s="2">
        <f t="shared" si="465"/>
        <v>2</v>
      </c>
      <c r="AD498" s="6"/>
      <c r="AE498" s="6"/>
      <c r="AF498" s="6"/>
      <c r="AG498" s="6"/>
      <c r="AH498" s="6"/>
      <c r="AI498" s="6"/>
      <c r="AJ498" s="6"/>
      <c r="AK498" s="6"/>
      <c r="AL498" s="6"/>
      <c r="AM498" s="6"/>
      <c r="AN498" s="6"/>
      <c r="AO498" s="6"/>
      <c r="AP498" s="6"/>
      <c r="AQ498" s="6"/>
      <c r="AR498" s="6"/>
      <c r="AS498" s="6"/>
    </row>
    <row r="499" spans="1:45" ht="47.25" hidden="1" x14ac:dyDescent="0.25">
      <c r="A499" s="33" t="s">
        <v>60</v>
      </c>
      <c r="B499" s="42">
        <v>332</v>
      </c>
      <c r="C499" s="33" t="s">
        <v>37</v>
      </c>
      <c r="D499" s="33" t="s">
        <v>2281</v>
      </c>
      <c r="E499" s="32"/>
      <c r="F499" s="54"/>
      <c r="G499" s="33" t="s">
        <v>2282</v>
      </c>
      <c r="H499" s="32"/>
      <c r="I499" s="32"/>
      <c r="J499" s="33" t="s">
        <v>2283</v>
      </c>
      <c r="K499" s="33" t="s">
        <v>43</v>
      </c>
      <c r="L499" s="33" t="s">
        <v>2284</v>
      </c>
      <c r="M499" s="44">
        <v>1954058966</v>
      </c>
      <c r="N499" s="45"/>
      <c r="O499" s="44">
        <v>15000000</v>
      </c>
      <c r="P499" s="86"/>
      <c r="Q499" s="44">
        <f t="shared" si="463"/>
        <v>1969058966</v>
      </c>
      <c r="R499" s="48">
        <v>1954058966</v>
      </c>
      <c r="S499" s="32"/>
      <c r="T499" s="44">
        <v>15000000</v>
      </c>
      <c r="U499" s="32"/>
      <c r="V499" s="32"/>
      <c r="W499" s="49"/>
      <c r="X499" s="49">
        <f t="shared" ref="X499:Z499" si="503">N499-S499</f>
        <v>0</v>
      </c>
      <c r="Y499" s="49">
        <f t="shared" si="503"/>
        <v>0</v>
      </c>
      <c r="Z499" s="49">
        <f t="shared" si="503"/>
        <v>0</v>
      </c>
      <c r="AA499" s="54"/>
      <c r="AB499" s="54"/>
      <c r="AC499" s="2">
        <f t="shared" si="465"/>
        <v>2</v>
      </c>
      <c r="AD499" s="6"/>
      <c r="AE499" s="6"/>
      <c r="AF499" s="6"/>
      <c r="AG499" s="6"/>
      <c r="AH499" s="6"/>
      <c r="AI499" s="6"/>
      <c r="AJ499" s="6"/>
      <c r="AK499" s="6"/>
      <c r="AL499" s="6"/>
      <c r="AM499" s="6"/>
      <c r="AN499" s="6"/>
      <c r="AO499" s="6"/>
      <c r="AP499" s="6"/>
      <c r="AQ499" s="6"/>
      <c r="AR499" s="6"/>
      <c r="AS499" s="6"/>
    </row>
    <row r="500" spans="1:45" ht="47.25" hidden="1" x14ac:dyDescent="0.25">
      <c r="A500" s="33" t="s">
        <v>46</v>
      </c>
      <c r="B500" s="42">
        <v>333</v>
      </c>
      <c r="C500" s="33" t="s">
        <v>37</v>
      </c>
      <c r="D500" s="33" t="s">
        <v>2285</v>
      </c>
      <c r="E500" s="32"/>
      <c r="F500" s="54"/>
      <c r="G500" s="33" t="s">
        <v>2286</v>
      </c>
      <c r="H500" s="32"/>
      <c r="I500" s="32"/>
      <c r="J500" s="33" t="s">
        <v>2287</v>
      </c>
      <c r="K500" s="33" t="s">
        <v>43</v>
      </c>
      <c r="L500" s="33" t="s">
        <v>2288</v>
      </c>
      <c r="M500" s="44">
        <v>2411362824</v>
      </c>
      <c r="N500" s="45"/>
      <c r="O500" s="44">
        <v>7500000</v>
      </c>
      <c r="P500" s="86"/>
      <c r="Q500" s="44">
        <f t="shared" si="463"/>
        <v>2418862824</v>
      </c>
      <c r="R500" s="48">
        <v>2411362824</v>
      </c>
      <c r="S500" s="32"/>
      <c r="T500" s="44">
        <v>7500000</v>
      </c>
      <c r="U500" s="32"/>
      <c r="V500" s="32"/>
      <c r="W500" s="49"/>
      <c r="X500" s="49">
        <f t="shared" ref="X500:Z500" si="504">N500-S500</f>
        <v>0</v>
      </c>
      <c r="Y500" s="49">
        <f t="shared" si="504"/>
        <v>0</v>
      </c>
      <c r="Z500" s="49">
        <f t="shared" si="504"/>
        <v>0</v>
      </c>
      <c r="AA500" s="54"/>
      <c r="AB500" s="54"/>
      <c r="AC500" s="2">
        <f t="shared" si="465"/>
        <v>2</v>
      </c>
      <c r="AD500" s="6"/>
      <c r="AE500" s="6"/>
      <c r="AF500" s="6"/>
      <c r="AG500" s="6"/>
      <c r="AH500" s="6"/>
      <c r="AI500" s="6"/>
      <c r="AJ500" s="6"/>
      <c r="AK500" s="6"/>
      <c r="AL500" s="6"/>
      <c r="AM500" s="6"/>
      <c r="AN500" s="6"/>
      <c r="AO500" s="6"/>
      <c r="AP500" s="6"/>
      <c r="AQ500" s="6"/>
      <c r="AR500" s="6"/>
      <c r="AS500" s="6"/>
    </row>
    <row r="501" spans="1:45" ht="47.25" hidden="1" x14ac:dyDescent="0.25">
      <c r="A501" s="33" t="s">
        <v>46</v>
      </c>
      <c r="B501" s="42">
        <v>334</v>
      </c>
      <c r="C501" s="33" t="s">
        <v>37</v>
      </c>
      <c r="D501" s="33" t="s">
        <v>2289</v>
      </c>
      <c r="E501" s="32"/>
      <c r="F501" s="54"/>
      <c r="G501" s="33" t="s">
        <v>2290</v>
      </c>
      <c r="H501" s="32"/>
      <c r="I501" s="32"/>
      <c r="J501" s="33" t="s">
        <v>2291</v>
      </c>
      <c r="K501" s="33" t="s">
        <v>43</v>
      </c>
      <c r="L501" s="33" t="s">
        <v>2292</v>
      </c>
      <c r="M501" s="44">
        <v>1176308218</v>
      </c>
      <c r="N501" s="45"/>
      <c r="O501" s="44">
        <v>7500000</v>
      </c>
      <c r="P501" s="86"/>
      <c r="Q501" s="44">
        <f t="shared" si="463"/>
        <v>1183808218</v>
      </c>
      <c r="R501" s="48">
        <v>1176308218</v>
      </c>
      <c r="S501" s="32"/>
      <c r="T501" s="44">
        <v>7500000</v>
      </c>
      <c r="U501" s="32"/>
      <c r="V501" s="32"/>
      <c r="W501" s="49"/>
      <c r="X501" s="49">
        <f t="shared" ref="X501:Z501" si="505">N501-S501</f>
        <v>0</v>
      </c>
      <c r="Y501" s="49">
        <f t="shared" si="505"/>
        <v>0</v>
      </c>
      <c r="Z501" s="49">
        <f t="shared" si="505"/>
        <v>0</v>
      </c>
      <c r="AA501" s="54"/>
      <c r="AB501" s="54"/>
      <c r="AC501" s="2">
        <f t="shared" si="465"/>
        <v>2</v>
      </c>
      <c r="AD501" s="6"/>
      <c r="AE501" s="6"/>
      <c r="AF501" s="6"/>
      <c r="AG501" s="6"/>
      <c r="AH501" s="6"/>
      <c r="AI501" s="6"/>
      <c r="AJ501" s="6"/>
      <c r="AK501" s="6"/>
      <c r="AL501" s="6"/>
      <c r="AM501" s="6"/>
      <c r="AN501" s="6"/>
      <c r="AO501" s="6"/>
      <c r="AP501" s="6"/>
      <c r="AQ501" s="6"/>
      <c r="AR501" s="6"/>
      <c r="AS501" s="6"/>
    </row>
    <row r="502" spans="1:45" ht="47.25" hidden="1" x14ac:dyDescent="0.25">
      <c r="A502" s="33" t="s">
        <v>35</v>
      </c>
      <c r="B502" s="42">
        <v>335</v>
      </c>
      <c r="C502" s="33" t="s">
        <v>37</v>
      </c>
      <c r="D502" s="33" t="s">
        <v>2293</v>
      </c>
      <c r="E502" s="101" t="s">
        <v>2294</v>
      </c>
      <c r="F502" s="54"/>
      <c r="G502" s="33" t="s">
        <v>2295</v>
      </c>
      <c r="H502" s="101" t="s">
        <v>2296</v>
      </c>
      <c r="I502" s="32"/>
      <c r="J502" s="33" t="s">
        <v>2297</v>
      </c>
      <c r="K502" s="101" t="s">
        <v>43</v>
      </c>
      <c r="L502" s="33" t="s">
        <v>2298</v>
      </c>
      <c r="M502" s="44">
        <v>768083200</v>
      </c>
      <c r="N502" s="44">
        <v>1230901182</v>
      </c>
      <c r="O502" s="44">
        <v>15000000</v>
      </c>
      <c r="P502" s="86"/>
      <c r="Q502" s="44">
        <f t="shared" si="463"/>
        <v>2013984382</v>
      </c>
      <c r="R502" s="48">
        <v>768083200</v>
      </c>
      <c r="S502" s="48">
        <v>1230901182</v>
      </c>
      <c r="T502" s="44">
        <v>15000000</v>
      </c>
      <c r="U502" s="32"/>
      <c r="V502" s="32"/>
      <c r="W502" s="49"/>
      <c r="X502" s="49">
        <f t="shared" ref="X502:Z502" si="506">N502-S502</f>
        <v>0</v>
      </c>
      <c r="Y502" s="49">
        <f t="shared" si="506"/>
        <v>0</v>
      </c>
      <c r="Z502" s="49">
        <f t="shared" si="506"/>
        <v>0</v>
      </c>
      <c r="AA502" s="54"/>
      <c r="AB502" s="54"/>
      <c r="AC502" s="2">
        <f t="shared" si="465"/>
        <v>2</v>
      </c>
      <c r="AD502" s="6"/>
      <c r="AE502" s="6"/>
      <c r="AF502" s="6"/>
      <c r="AG502" s="6"/>
      <c r="AH502" s="6"/>
      <c r="AI502" s="6"/>
      <c r="AJ502" s="6"/>
      <c r="AK502" s="6"/>
      <c r="AL502" s="6"/>
      <c r="AM502" s="6"/>
      <c r="AN502" s="6"/>
      <c r="AO502" s="6"/>
      <c r="AP502" s="6"/>
      <c r="AQ502" s="6"/>
      <c r="AR502" s="6"/>
      <c r="AS502" s="6"/>
    </row>
    <row r="503" spans="1:45" ht="31.5" hidden="1" x14ac:dyDescent="0.25">
      <c r="A503" s="33" t="s">
        <v>52</v>
      </c>
      <c r="B503" s="42">
        <v>336</v>
      </c>
      <c r="C503" s="33" t="s">
        <v>37</v>
      </c>
      <c r="D503" s="33" t="s">
        <v>2299</v>
      </c>
      <c r="E503" s="32"/>
      <c r="F503" s="54"/>
      <c r="G503" s="33" t="s">
        <v>2300</v>
      </c>
      <c r="H503" s="32"/>
      <c r="I503" s="32"/>
      <c r="J503" s="33" t="s">
        <v>2301</v>
      </c>
      <c r="K503" s="33" t="s">
        <v>43</v>
      </c>
      <c r="L503" s="33" t="s">
        <v>2302</v>
      </c>
      <c r="M503" s="44">
        <v>0</v>
      </c>
      <c r="N503" s="45"/>
      <c r="O503" s="44">
        <v>7500000</v>
      </c>
      <c r="P503" s="86"/>
      <c r="Q503" s="44">
        <f t="shared" si="463"/>
        <v>7500000</v>
      </c>
      <c r="R503" s="42">
        <v>0</v>
      </c>
      <c r="S503" s="32"/>
      <c r="T503" s="44">
        <v>7500000</v>
      </c>
      <c r="U503" s="32"/>
      <c r="V503" s="32"/>
      <c r="W503" s="49"/>
      <c r="X503" s="49">
        <f t="shared" ref="X503:Z503" si="507">N503-S503</f>
        <v>0</v>
      </c>
      <c r="Y503" s="49">
        <f t="shared" si="507"/>
        <v>0</v>
      </c>
      <c r="Z503" s="49">
        <f t="shared" si="507"/>
        <v>0</v>
      </c>
      <c r="AA503" s="54"/>
      <c r="AB503" s="54"/>
      <c r="AC503" s="2">
        <f t="shared" si="465"/>
        <v>2</v>
      </c>
      <c r="AD503" s="6"/>
      <c r="AE503" s="6"/>
      <c r="AF503" s="6"/>
      <c r="AG503" s="6"/>
      <c r="AH503" s="6"/>
      <c r="AI503" s="6"/>
      <c r="AJ503" s="6"/>
      <c r="AK503" s="6"/>
      <c r="AL503" s="6"/>
      <c r="AM503" s="6"/>
      <c r="AN503" s="6"/>
      <c r="AO503" s="6"/>
      <c r="AP503" s="6"/>
      <c r="AQ503" s="6"/>
      <c r="AR503" s="6"/>
      <c r="AS503" s="6"/>
    </row>
    <row r="504" spans="1:45" ht="31.5" hidden="1" x14ac:dyDescent="0.25">
      <c r="A504" s="33" t="s">
        <v>35</v>
      </c>
      <c r="B504" s="42">
        <v>337</v>
      </c>
      <c r="C504" s="33" t="s">
        <v>37</v>
      </c>
      <c r="D504" s="33" t="s">
        <v>2303</v>
      </c>
      <c r="E504" s="32"/>
      <c r="F504" s="54"/>
      <c r="G504" s="33" t="s">
        <v>2304</v>
      </c>
      <c r="H504" s="32"/>
      <c r="I504" s="32"/>
      <c r="J504" s="33" t="s">
        <v>2305</v>
      </c>
      <c r="K504" s="33" t="s">
        <v>43</v>
      </c>
      <c r="L504" s="33" t="s">
        <v>2306</v>
      </c>
      <c r="M504" s="44">
        <v>486048836</v>
      </c>
      <c r="N504" s="45"/>
      <c r="O504" s="44">
        <v>7500000</v>
      </c>
      <c r="P504" s="86"/>
      <c r="Q504" s="44">
        <f t="shared" si="463"/>
        <v>493548836</v>
      </c>
      <c r="R504" s="48">
        <v>486048836</v>
      </c>
      <c r="S504" s="32"/>
      <c r="T504" s="44">
        <v>7500000</v>
      </c>
      <c r="U504" s="32"/>
      <c r="V504" s="32"/>
      <c r="W504" s="49"/>
      <c r="X504" s="49">
        <f t="shared" ref="X504:Z504" si="508">N504-S504</f>
        <v>0</v>
      </c>
      <c r="Y504" s="49">
        <f t="shared" si="508"/>
        <v>0</v>
      </c>
      <c r="Z504" s="49">
        <f t="shared" si="508"/>
        <v>0</v>
      </c>
      <c r="AA504" s="54"/>
      <c r="AB504" s="54"/>
      <c r="AC504" s="2">
        <f t="shared" si="465"/>
        <v>2</v>
      </c>
      <c r="AD504" s="6"/>
      <c r="AE504" s="6"/>
      <c r="AF504" s="6"/>
      <c r="AG504" s="6"/>
      <c r="AH504" s="6"/>
      <c r="AI504" s="6"/>
      <c r="AJ504" s="6"/>
      <c r="AK504" s="6"/>
      <c r="AL504" s="6"/>
      <c r="AM504" s="6"/>
      <c r="AN504" s="6"/>
      <c r="AO504" s="6"/>
      <c r="AP504" s="6"/>
      <c r="AQ504" s="6"/>
      <c r="AR504" s="6"/>
      <c r="AS504" s="6"/>
    </row>
    <row r="505" spans="1:45" ht="31.5" hidden="1" x14ac:dyDescent="0.25">
      <c r="A505" s="33" t="s">
        <v>35</v>
      </c>
      <c r="B505" s="42">
        <v>339</v>
      </c>
      <c r="C505" s="33" t="s">
        <v>37</v>
      </c>
      <c r="D505" s="33" t="s">
        <v>2307</v>
      </c>
      <c r="E505" s="32"/>
      <c r="F505" s="54"/>
      <c r="G505" s="33" t="s">
        <v>2308</v>
      </c>
      <c r="H505" s="32"/>
      <c r="I505" s="32"/>
      <c r="J505" s="33" t="s">
        <v>2309</v>
      </c>
      <c r="K505" s="33" t="s">
        <v>43</v>
      </c>
      <c r="L505" s="33" t="s">
        <v>2310</v>
      </c>
      <c r="M505" s="44">
        <v>1514795152</v>
      </c>
      <c r="N505" s="45"/>
      <c r="O505" s="44">
        <v>15000000</v>
      </c>
      <c r="P505" s="86"/>
      <c r="Q505" s="44">
        <f t="shared" si="463"/>
        <v>1529795152</v>
      </c>
      <c r="R505" s="48">
        <v>1514795152</v>
      </c>
      <c r="S505" s="32"/>
      <c r="T505" s="44">
        <v>15000000</v>
      </c>
      <c r="U505" s="32"/>
      <c r="V505" s="32"/>
      <c r="W505" s="49"/>
      <c r="X505" s="49">
        <f t="shared" ref="X505:Z505" si="509">N505-S505</f>
        <v>0</v>
      </c>
      <c r="Y505" s="49">
        <f t="shared" si="509"/>
        <v>0</v>
      </c>
      <c r="Z505" s="49">
        <f t="shared" si="509"/>
        <v>0</v>
      </c>
      <c r="AA505" s="54"/>
      <c r="AB505" s="54"/>
      <c r="AC505" s="2">
        <f t="shared" si="465"/>
        <v>2</v>
      </c>
      <c r="AD505" s="6"/>
      <c r="AE505" s="6"/>
      <c r="AF505" s="6"/>
      <c r="AG505" s="6"/>
      <c r="AH505" s="6"/>
      <c r="AI505" s="6"/>
      <c r="AJ505" s="6"/>
      <c r="AK505" s="6"/>
      <c r="AL505" s="6"/>
      <c r="AM505" s="6"/>
      <c r="AN505" s="6"/>
      <c r="AO505" s="6"/>
      <c r="AP505" s="6"/>
      <c r="AQ505" s="6"/>
      <c r="AR505" s="6"/>
      <c r="AS505" s="6"/>
    </row>
    <row r="506" spans="1:45" ht="31.5" hidden="1" x14ac:dyDescent="0.25">
      <c r="A506" s="33" t="s">
        <v>46</v>
      </c>
      <c r="B506" s="42">
        <v>340</v>
      </c>
      <c r="C506" s="33" t="s">
        <v>37</v>
      </c>
      <c r="D506" s="33" t="s">
        <v>2311</v>
      </c>
      <c r="E506" s="33"/>
      <c r="F506" s="54"/>
      <c r="G506" s="33" t="s">
        <v>2312</v>
      </c>
      <c r="H506" s="33"/>
      <c r="I506" s="33"/>
      <c r="J506" s="33" t="s">
        <v>2313</v>
      </c>
      <c r="K506" s="33" t="s">
        <v>43</v>
      </c>
      <c r="L506" s="33" t="s">
        <v>2314</v>
      </c>
      <c r="M506" s="44">
        <v>0</v>
      </c>
      <c r="N506" s="45"/>
      <c r="O506" s="44">
        <v>7500000</v>
      </c>
      <c r="P506" s="86"/>
      <c r="Q506" s="44">
        <f t="shared" si="463"/>
        <v>7500000</v>
      </c>
      <c r="R506" s="42">
        <v>0</v>
      </c>
      <c r="S506" s="32"/>
      <c r="T506" s="66"/>
      <c r="U506" s="32"/>
      <c r="V506" s="32"/>
      <c r="W506" s="49"/>
      <c r="X506" s="49">
        <f t="shared" ref="X506:Z506" si="510">N506-S506</f>
        <v>0</v>
      </c>
      <c r="Y506" s="52">
        <f t="shared" si="510"/>
        <v>7500000</v>
      </c>
      <c r="Z506" s="49">
        <f t="shared" si="510"/>
        <v>0</v>
      </c>
      <c r="AA506" s="54"/>
      <c r="AB506" s="43"/>
      <c r="AC506" s="15">
        <f t="shared" si="465"/>
        <v>2</v>
      </c>
      <c r="AD506" s="15"/>
      <c r="AE506" s="6"/>
      <c r="AF506" s="6"/>
      <c r="AG506" s="6"/>
      <c r="AH506" s="6"/>
      <c r="AI506" s="6"/>
      <c r="AJ506" s="6"/>
      <c r="AK506" s="6"/>
      <c r="AL506" s="6"/>
      <c r="AM506" s="6"/>
      <c r="AN506" s="6"/>
      <c r="AO506" s="6"/>
      <c r="AP506" s="6"/>
      <c r="AQ506" s="6"/>
      <c r="AR506" s="6"/>
      <c r="AS506" s="6"/>
    </row>
    <row r="507" spans="1:45" ht="47.25" hidden="1" x14ac:dyDescent="0.25">
      <c r="A507" s="33" t="s">
        <v>46</v>
      </c>
      <c r="B507" s="42">
        <v>342</v>
      </c>
      <c r="C507" s="33" t="s">
        <v>37</v>
      </c>
      <c r="D507" s="33" t="s">
        <v>2315</v>
      </c>
      <c r="E507" s="32"/>
      <c r="F507" s="54"/>
      <c r="G507" s="33" t="s">
        <v>2316</v>
      </c>
      <c r="H507" s="32"/>
      <c r="I507" s="32"/>
      <c r="J507" s="33" t="s">
        <v>2317</v>
      </c>
      <c r="K507" s="33" t="s">
        <v>43</v>
      </c>
      <c r="L507" s="33" t="s">
        <v>2318</v>
      </c>
      <c r="M507" s="44">
        <v>938372032</v>
      </c>
      <c r="N507" s="45"/>
      <c r="O507" s="44">
        <v>15000000</v>
      </c>
      <c r="P507" s="86"/>
      <c r="Q507" s="44">
        <f t="shared" si="463"/>
        <v>953372032</v>
      </c>
      <c r="R507" s="48">
        <v>938372032</v>
      </c>
      <c r="S507" s="32"/>
      <c r="T507" s="44">
        <v>15000000</v>
      </c>
      <c r="U507" s="32"/>
      <c r="V507" s="32"/>
      <c r="W507" s="49"/>
      <c r="X507" s="49">
        <f t="shared" ref="X507:Z507" si="511">N507-S507</f>
        <v>0</v>
      </c>
      <c r="Y507" s="49">
        <f t="shared" si="511"/>
        <v>0</v>
      </c>
      <c r="Z507" s="49">
        <f t="shared" si="511"/>
        <v>0</v>
      </c>
      <c r="AA507" s="54"/>
      <c r="AB507" s="54"/>
      <c r="AC507" s="2">
        <f t="shared" si="465"/>
        <v>2</v>
      </c>
      <c r="AD507" s="6"/>
      <c r="AE507" s="6"/>
      <c r="AF507" s="6"/>
      <c r="AG507" s="6"/>
      <c r="AH507" s="6"/>
      <c r="AI507" s="6"/>
      <c r="AJ507" s="6"/>
      <c r="AK507" s="6"/>
      <c r="AL507" s="6"/>
      <c r="AM507" s="6"/>
      <c r="AN507" s="6"/>
      <c r="AO507" s="6"/>
      <c r="AP507" s="6"/>
      <c r="AQ507" s="6"/>
      <c r="AR507" s="6"/>
      <c r="AS507" s="6"/>
    </row>
    <row r="508" spans="1:45" ht="31.5" hidden="1" x14ac:dyDescent="0.25">
      <c r="A508" s="33" t="s">
        <v>35</v>
      </c>
      <c r="B508" s="42">
        <v>343</v>
      </c>
      <c r="C508" s="33" t="s">
        <v>37</v>
      </c>
      <c r="D508" s="33" t="s">
        <v>2319</v>
      </c>
      <c r="E508" s="32"/>
      <c r="F508" s="54"/>
      <c r="G508" s="33" t="s">
        <v>2320</v>
      </c>
      <c r="H508" s="32"/>
      <c r="I508" s="32"/>
      <c r="J508" s="33" t="s">
        <v>2321</v>
      </c>
      <c r="K508" s="33" t="s">
        <v>43</v>
      </c>
      <c r="L508" s="33" t="s">
        <v>2322</v>
      </c>
      <c r="M508" s="44">
        <v>296069312</v>
      </c>
      <c r="N508" s="45"/>
      <c r="O508" s="44">
        <v>7500000</v>
      </c>
      <c r="P508" s="86"/>
      <c r="Q508" s="44">
        <f t="shared" si="463"/>
        <v>303569312</v>
      </c>
      <c r="R508" s="48">
        <v>296069312</v>
      </c>
      <c r="S508" s="32"/>
      <c r="T508" s="44">
        <v>7500000</v>
      </c>
      <c r="U508" s="32"/>
      <c r="V508" s="32"/>
      <c r="W508" s="49"/>
      <c r="X508" s="49">
        <f t="shared" ref="X508:Z508" si="512">N508-S508</f>
        <v>0</v>
      </c>
      <c r="Y508" s="49">
        <f t="shared" si="512"/>
        <v>0</v>
      </c>
      <c r="Z508" s="49">
        <f t="shared" si="512"/>
        <v>0</v>
      </c>
      <c r="AA508" s="54"/>
      <c r="AB508" s="54"/>
      <c r="AC508" s="2">
        <f t="shared" si="465"/>
        <v>2</v>
      </c>
      <c r="AD508" s="6"/>
      <c r="AE508" s="6"/>
      <c r="AF508" s="6"/>
      <c r="AG508" s="6"/>
      <c r="AH508" s="6"/>
      <c r="AI508" s="6"/>
      <c r="AJ508" s="6"/>
      <c r="AK508" s="6"/>
      <c r="AL508" s="6"/>
      <c r="AM508" s="6"/>
      <c r="AN508" s="6"/>
      <c r="AO508" s="6"/>
      <c r="AP508" s="6"/>
      <c r="AQ508" s="6"/>
      <c r="AR508" s="6"/>
      <c r="AS508" s="6"/>
    </row>
    <row r="509" spans="1:45" ht="47.25" hidden="1" x14ac:dyDescent="0.25">
      <c r="A509" s="33" t="s">
        <v>60</v>
      </c>
      <c r="B509" s="42">
        <v>345</v>
      </c>
      <c r="C509" s="33" t="s">
        <v>37</v>
      </c>
      <c r="D509" s="33" t="s">
        <v>2324</v>
      </c>
      <c r="E509" s="33"/>
      <c r="F509" s="54"/>
      <c r="G509" s="33" t="s">
        <v>2325</v>
      </c>
      <c r="H509" s="33"/>
      <c r="I509" s="33"/>
      <c r="J509" s="33" t="s">
        <v>2326</v>
      </c>
      <c r="K509" s="33" t="s">
        <v>43</v>
      </c>
      <c r="L509" s="33" t="s">
        <v>137</v>
      </c>
      <c r="M509" s="44">
        <v>10000000</v>
      </c>
      <c r="N509" s="45"/>
      <c r="O509" s="44">
        <v>15000000</v>
      </c>
      <c r="P509" s="86"/>
      <c r="Q509" s="44">
        <f t="shared" si="463"/>
        <v>25000000</v>
      </c>
      <c r="R509" s="32"/>
      <c r="S509" s="32"/>
      <c r="T509" s="66"/>
      <c r="U509" s="32"/>
      <c r="V509" s="32"/>
      <c r="W509" s="49">
        <v>10000000</v>
      </c>
      <c r="X509" s="49">
        <f t="shared" ref="X509:Z509" si="513">N509-S509</f>
        <v>0</v>
      </c>
      <c r="Y509" s="52">
        <f t="shared" si="513"/>
        <v>15000000</v>
      </c>
      <c r="Z509" s="49">
        <f t="shared" si="513"/>
        <v>0</v>
      </c>
      <c r="AA509" s="69">
        <v>10000000</v>
      </c>
      <c r="AB509" s="43"/>
      <c r="AC509" s="15">
        <f t="shared" si="465"/>
        <v>2</v>
      </c>
      <c r="AD509" s="15"/>
      <c r="AE509" s="6"/>
      <c r="AF509" s="6"/>
      <c r="AG509" s="6"/>
      <c r="AH509" s="6"/>
      <c r="AI509" s="6"/>
      <c r="AJ509" s="6"/>
      <c r="AK509" s="6"/>
      <c r="AL509" s="6"/>
      <c r="AM509" s="6"/>
      <c r="AN509" s="6"/>
      <c r="AO509" s="6"/>
      <c r="AP509" s="6"/>
      <c r="AQ509" s="6"/>
      <c r="AR509" s="6"/>
      <c r="AS509" s="6"/>
    </row>
    <row r="510" spans="1:45" ht="78" hidden="1" customHeight="1" x14ac:dyDescent="0.25">
      <c r="A510" s="33" t="s">
        <v>35</v>
      </c>
      <c r="B510" s="42">
        <v>346</v>
      </c>
      <c r="C510" s="33" t="s">
        <v>37</v>
      </c>
      <c r="D510" s="33" t="s">
        <v>2327</v>
      </c>
      <c r="E510" s="33" t="s">
        <v>857</v>
      </c>
      <c r="F510" s="54"/>
      <c r="G510" s="33" t="s">
        <v>2328</v>
      </c>
      <c r="H510" s="33" t="s">
        <v>2329</v>
      </c>
      <c r="I510" s="32"/>
      <c r="J510" s="33" t="s">
        <v>2330</v>
      </c>
      <c r="K510" s="33" t="s">
        <v>43</v>
      </c>
      <c r="L510" s="33" t="s">
        <v>2331</v>
      </c>
      <c r="M510" s="44">
        <v>11061492360</v>
      </c>
      <c r="N510" s="44">
        <v>127192000</v>
      </c>
      <c r="O510" s="44">
        <v>15000000</v>
      </c>
      <c r="P510" s="86"/>
      <c r="Q510" s="44">
        <f t="shared" si="463"/>
        <v>11203684360</v>
      </c>
      <c r="R510" s="48">
        <v>11061492360</v>
      </c>
      <c r="S510" s="48">
        <v>127192000</v>
      </c>
      <c r="T510" s="44">
        <v>15000000</v>
      </c>
      <c r="U510" s="32"/>
      <c r="V510" s="32"/>
      <c r="W510" s="49"/>
      <c r="X510" s="49">
        <f t="shared" ref="X510:Z510" si="514">N510-S510</f>
        <v>0</v>
      </c>
      <c r="Y510" s="49">
        <f t="shared" si="514"/>
        <v>0</v>
      </c>
      <c r="Z510" s="49">
        <f t="shared" si="514"/>
        <v>0</v>
      </c>
      <c r="AA510" s="54"/>
      <c r="AB510" s="54"/>
      <c r="AC510" s="2">
        <f t="shared" si="465"/>
        <v>2</v>
      </c>
      <c r="AD510" s="6"/>
      <c r="AE510" s="6"/>
      <c r="AF510" s="6"/>
      <c r="AG510" s="6"/>
      <c r="AH510" s="6"/>
      <c r="AI510" s="6"/>
      <c r="AJ510" s="6"/>
      <c r="AK510" s="6"/>
      <c r="AL510" s="6"/>
      <c r="AM510" s="6"/>
      <c r="AN510" s="6"/>
      <c r="AO510" s="6"/>
      <c r="AP510" s="6"/>
      <c r="AQ510" s="6"/>
      <c r="AR510" s="6"/>
      <c r="AS510" s="6"/>
    </row>
    <row r="511" spans="1:45" ht="47.25" hidden="1" x14ac:dyDescent="0.25">
      <c r="A511" s="33" t="s">
        <v>60</v>
      </c>
      <c r="B511" s="42">
        <v>347</v>
      </c>
      <c r="C511" s="33" t="s">
        <v>37</v>
      </c>
      <c r="D511" s="33" t="s">
        <v>2332</v>
      </c>
      <c r="E511" s="32"/>
      <c r="F511" s="54"/>
      <c r="G511" s="33" t="s">
        <v>2333</v>
      </c>
      <c r="H511" s="32"/>
      <c r="I511" s="32"/>
      <c r="J511" s="33" t="s">
        <v>2334</v>
      </c>
      <c r="K511" s="33" t="s">
        <v>43</v>
      </c>
      <c r="L511" s="33" t="s">
        <v>2335</v>
      </c>
      <c r="M511" s="44">
        <v>551324800</v>
      </c>
      <c r="N511" s="45"/>
      <c r="O511" s="44">
        <v>15000000</v>
      </c>
      <c r="P511" s="86"/>
      <c r="Q511" s="44">
        <f t="shared" si="463"/>
        <v>566324800</v>
      </c>
      <c r="R511" s="48">
        <v>551324800</v>
      </c>
      <c r="S511" s="32"/>
      <c r="T511" s="44">
        <v>15000000</v>
      </c>
      <c r="U511" s="32"/>
      <c r="V511" s="32"/>
      <c r="W511" s="49"/>
      <c r="X511" s="49">
        <f t="shared" ref="X511:Z511" si="515">N511-S511</f>
        <v>0</v>
      </c>
      <c r="Y511" s="49">
        <f t="shared" si="515"/>
        <v>0</v>
      </c>
      <c r="Z511" s="49">
        <f t="shared" si="515"/>
        <v>0</v>
      </c>
      <c r="AA511" s="54"/>
      <c r="AB511" s="54"/>
      <c r="AC511" s="2">
        <f t="shared" si="465"/>
        <v>2</v>
      </c>
      <c r="AD511" s="6"/>
      <c r="AE511" s="6"/>
      <c r="AF511" s="6"/>
      <c r="AG511" s="6"/>
      <c r="AH511" s="6"/>
      <c r="AI511" s="6"/>
      <c r="AJ511" s="6"/>
      <c r="AK511" s="6"/>
      <c r="AL511" s="6"/>
      <c r="AM511" s="6"/>
      <c r="AN511" s="6"/>
      <c r="AO511" s="6"/>
      <c r="AP511" s="6"/>
      <c r="AQ511" s="6"/>
      <c r="AR511" s="6"/>
      <c r="AS511" s="6"/>
    </row>
    <row r="512" spans="1:45" ht="31.5" hidden="1" x14ac:dyDescent="0.25">
      <c r="A512" s="33" t="s">
        <v>52</v>
      </c>
      <c r="B512" s="42">
        <v>348</v>
      </c>
      <c r="C512" s="33" t="s">
        <v>37</v>
      </c>
      <c r="D512" s="33" t="s">
        <v>2336</v>
      </c>
      <c r="E512" s="32"/>
      <c r="F512" s="54"/>
      <c r="G512" s="33" t="s">
        <v>2337</v>
      </c>
      <c r="H512" s="32"/>
      <c r="I512" s="32"/>
      <c r="J512" s="33" t="s">
        <v>2338</v>
      </c>
      <c r="K512" s="33" t="s">
        <v>43</v>
      </c>
      <c r="L512" s="33" t="s">
        <v>2339</v>
      </c>
      <c r="M512" s="44">
        <v>4341330000</v>
      </c>
      <c r="N512" s="45"/>
      <c r="O512" s="44">
        <v>7500000</v>
      </c>
      <c r="P512" s="86"/>
      <c r="Q512" s="44">
        <f t="shared" si="463"/>
        <v>4348830000</v>
      </c>
      <c r="R512" s="48">
        <v>4341330000</v>
      </c>
      <c r="S512" s="32"/>
      <c r="T512" s="44">
        <v>7500000</v>
      </c>
      <c r="U512" s="32"/>
      <c r="V512" s="32"/>
      <c r="W512" s="49"/>
      <c r="X512" s="49">
        <f t="shared" ref="X512:Z512" si="516">N512-S512</f>
        <v>0</v>
      </c>
      <c r="Y512" s="49">
        <f t="shared" si="516"/>
        <v>0</v>
      </c>
      <c r="Z512" s="49">
        <f t="shared" si="516"/>
        <v>0</v>
      </c>
      <c r="AA512" s="54"/>
      <c r="AB512" s="54"/>
      <c r="AC512" s="2">
        <f t="shared" si="465"/>
        <v>2</v>
      </c>
      <c r="AD512" s="6"/>
      <c r="AE512" s="6"/>
      <c r="AF512" s="6"/>
      <c r="AG512" s="6"/>
      <c r="AH512" s="6"/>
      <c r="AI512" s="6"/>
      <c r="AJ512" s="6"/>
      <c r="AK512" s="6"/>
      <c r="AL512" s="6"/>
      <c r="AM512" s="6"/>
      <c r="AN512" s="6"/>
      <c r="AO512" s="6"/>
      <c r="AP512" s="6"/>
      <c r="AQ512" s="6"/>
      <c r="AR512" s="6"/>
      <c r="AS512" s="6"/>
    </row>
    <row r="513" spans="1:45" ht="47.25" hidden="1" x14ac:dyDescent="0.25">
      <c r="A513" s="33" t="s">
        <v>46</v>
      </c>
      <c r="B513" s="42">
        <v>349</v>
      </c>
      <c r="C513" s="33" t="s">
        <v>37</v>
      </c>
      <c r="D513" s="33" t="s">
        <v>2340</v>
      </c>
      <c r="E513" s="32"/>
      <c r="F513" s="54"/>
      <c r="G513" s="33" t="s">
        <v>2341</v>
      </c>
      <c r="H513" s="32"/>
      <c r="I513" s="32"/>
      <c r="J513" s="33" t="s">
        <v>2342</v>
      </c>
      <c r="K513" s="33" t="s">
        <v>43</v>
      </c>
      <c r="L513" s="33" t="s">
        <v>2343</v>
      </c>
      <c r="M513" s="44">
        <v>674476192</v>
      </c>
      <c r="N513" s="45"/>
      <c r="O513" s="44">
        <v>15000000</v>
      </c>
      <c r="P513" s="86"/>
      <c r="Q513" s="44">
        <f t="shared" si="463"/>
        <v>689476192</v>
      </c>
      <c r="R513" s="48">
        <v>674476192</v>
      </c>
      <c r="S513" s="32"/>
      <c r="T513" s="44">
        <v>15000000</v>
      </c>
      <c r="U513" s="32"/>
      <c r="V513" s="32"/>
      <c r="W513" s="49"/>
      <c r="X513" s="49">
        <f t="shared" ref="X513:Z513" si="517">N513-S513</f>
        <v>0</v>
      </c>
      <c r="Y513" s="49">
        <f t="shared" si="517"/>
        <v>0</v>
      </c>
      <c r="Z513" s="49">
        <f t="shared" si="517"/>
        <v>0</v>
      </c>
      <c r="AA513" s="54"/>
      <c r="AB513" s="54"/>
      <c r="AC513" s="2">
        <f t="shared" si="465"/>
        <v>2</v>
      </c>
      <c r="AD513" s="6"/>
      <c r="AE513" s="6"/>
      <c r="AF513" s="6"/>
      <c r="AG513" s="6"/>
      <c r="AH513" s="6"/>
      <c r="AI513" s="6"/>
      <c r="AJ513" s="6"/>
      <c r="AK513" s="6"/>
      <c r="AL513" s="6"/>
      <c r="AM513" s="6"/>
      <c r="AN513" s="6"/>
      <c r="AO513" s="6"/>
      <c r="AP513" s="6"/>
      <c r="AQ513" s="6"/>
      <c r="AR513" s="6"/>
      <c r="AS513" s="6"/>
    </row>
    <row r="514" spans="1:45" ht="47.25" hidden="1" x14ac:dyDescent="0.25">
      <c r="A514" s="33" t="s">
        <v>60</v>
      </c>
      <c r="B514" s="42">
        <v>350</v>
      </c>
      <c r="C514" s="33" t="s">
        <v>37</v>
      </c>
      <c r="D514" s="33" t="s">
        <v>2344</v>
      </c>
      <c r="E514" s="32"/>
      <c r="F514" s="54"/>
      <c r="G514" s="33" t="s">
        <v>2345</v>
      </c>
      <c r="H514" s="32"/>
      <c r="I514" s="32"/>
      <c r="J514" s="33" t="s">
        <v>2346</v>
      </c>
      <c r="K514" s="33" t="s">
        <v>43</v>
      </c>
      <c r="L514" s="33" t="s">
        <v>2347</v>
      </c>
      <c r="M514" s="44">
        <v>65141933</v>
      </c>
      <c r="N514" s="45"/>
      <c r="O514" s="44">
        <v>7500000</v>
      </c>
      <c r="P514" s="86"/>
      <c r="Q514" s="44">
        <f t="shared" si="463"/>
        <v>72641933</v>
      </c>
      <c r="R514" s="48">
        <v>65141933</v>
      </c>
      <c r="S514" s="32"/>
      <c r="T514" s="44">
        <v>7500000</v>
      </c>
      <c r="U514" s="32"/>
      <c r="V514" s="32"/>
      <c r="W514" s="49"/>
      <c r="X514" s="49">
        <f t="shared" ref="X514:Z514" si="518">N514-S514</f>
        <v>0</v>
      </c>
      <c r="Y514" s="49">
        <f t="shared" si="518"/>
        <v>0</v>
      </c>
      <c r="Z514" s="49">
        <f t="shared" si="518"/>
        <v>0</v>
      </c>
      <c r="AA514" s="54"/>
      <c r="AB514" s="54"/>
      <c r="AC514" s="2">
        <f t="shared" si="465"/>
        <v>2</v>
      </c>
      <c r="AD514" s="6"/>
      <c r="AE514" s="6"/>
      <c r="AF514" s="6"/>
      <c r="AG514" s="6"/>
      <c r="AH514" s="6"/>
      <c r="AI514" s="6"/>
      <c r="AJ514" s="6"/>
      <c r="AK514" s="6"/>
      <c r="AL514" s="6"/>
      <c r="AM514" s="6"/>
      <c r="AN514" s="6"/>
      <c r="AO514" s="6"/>
      <c r="AP514" s="6"/>
      <c r="AQ514" s="6"/>
      <c r="AR514" s="6"/>
      <c r="AS514" s="6"/>
    </row>
    <row r="515" spans="1:45" ht="47.25" hidden="1" x14ac:dyDescent="0.25">
      <c r="A515" s="33" t="s">
        <v>46</v>
      </c>
      <c r="B515" s="42">
        <v>351</v>
      </c>
      <c r="C515" s="33" t="s">
        <v>37</v>
      </c>
      <c r="D515" s="33" t="s">
        <v>2348</v>
      </c>
      <c r="E515" s="32"/>
      <c r="F515" s="54"/>
      <c r="G515" s="33" t="s">
        <v>2349</v>
      </c>
      <c r="H515" s="32"/>
      <c r="I515" s="32"/>
      <c r="J515" s="33" t="s">
        <v>2350</v>
      </c>
      <c r="K515" s="33" t="s">
        <v>43</v>
      </c>
      <c r="L515" s="33" t="s">
        <v>2351</v>
      </c>
      <c r="M515" s="44">
        <v>2508309760</v>
      </c>
      <c r="N515" s="45"/>
      <c r="O515" s="44">
        <v>15000000</v>
      </c>
      <c r="P515" s="86"/>
      <c r="Q515" s="44">
        <f t="shared" si="463"/>
        <v>2523309760</v>
      </c>
      <c r="R515" s="48">
        <v>2508309760</v>
      </c>
      <c r="S515" s="32"/>
      <c r="T515" s="44">
        <v>15000000</v>
      </c>
      <c r="U515" s="32"/>
      <c r="V515" s="32"/>
      <c r="W515" s="49"/>
      <c r="X515" s="49">
        <f t="shared" ref="X515:Z515" si="519">N515-S515</f>
        <v>0</v>
      </c>
      <c r="Y515" s="49">
        <f t="shared" si="519"/>
        <v>0</v>
      </c>
      <c r="Z515" s="49">
        <f t="shared" si="519"/>
        <v>0</v>
      </c>
      <c r="AA515" s="54"/>
      <c r="AB515" s="54"/>
      <c r="AC515" s="2">
        <f t="shared" si="465"/>
        <v>2</v>
      </c>
      <c r="AD515" s="6"/>
      <c r="AE515" s="6"/>
      <c r="AF515" s="6"/>
      <c r="AG515" s="6"/>
      <c r="AH515" s="6"/>
      <c r="AI515" s="6"/>
      <c r="AJ515" s="6"/>
      <c r="AK515" s="6"/>
      <c r="AL515" s="6"/>
      <c r="AM515" s="6"/>
      <c r="AN515" s="6"/>
      <c r="AO515" s="6"/>
      <c r="AP515" s="6"/>
      <c r="AQ515" s="6"/>
      <c r="AR515" s="6"/>
      <c r="AS515" s="6"/>
    </row>
    <row r="516" spans="1:45" ht="47.25" hidden="1" x14ac:dyDescent="0.25">
      <c r="A516" s="33" t="s">
        <v>35</v>
      </c>
      <c r="B516" s="42">
        <v>352</v>
      </c>
      <c r="C516" s="33" t="s">
        <v>37</v>
      </c>
      <c r="D516" s="33" t="s">
        <v>2352</v>
      </c>
      <c r="E516" s="33"/>
      <c r="F516" s="54"/>
      <c r="G516" s="33" t="s">
        <v>2353</v>
      </c>
      <c r="H516" s="33"/>
      <c r="I516" s="33"/>
      <c r="J516" s="33" t="s">
        <v>2354</v>
      </c>
      <c r="K516" s="33" t="s">
        <v>43</v>
      </c>
      <c r="L516" s="33" t="s">
        <v>2355</v>
      </c>
      <c r="M516" s="44">
        <v>0</v>
      </c>
      <c r="N516" s="45"/>
      <c r="O516" s="44">
        <v>7500000</v>
      </c>
      <c r="P516" s="86"/>
      <c r="Q516" s="44">
        <f t="shared" si="463"/>
        <v>7500000</v>
      </c>
      <c r="R516" s="42">
        <v>0</v>
      </c>
      <c r="S516" s="32"/>
      <c r="T516" s="66"/>
      <c r="U516" s="32"/>
      <c r="V516" s="32"/>
      <c r="W516" s="49"/>
      <c r="X516" s="49">
        <f t="shared" ref="X516:Z516" si="520">N516-S516</f>
        <v>0</v>
      </c>
      <c r="Y516" s="52">
        <f t="shared" si="520"/>
        <v>7500000</v>
      </c>
      <c r="Z516" s="49">
        <f t="shared" si="520"/>
        <v>0</v>
      </c>
      <c r="AA516" s="54"/>
      <c r="AB516" s="43"/>
      <c r="AC516" s="15">
        <f t="shared" si="465"/>
        <v>2</v>
      </c>
      <c r="AD516" s="15"/>
      <c r="AE516" s="6"/>
      <c r="AF516" s="6"/>
      <c r="AG516" s="6"/>
      <c r="AH516" s="6"/>
      <c r="AI516" s="6"/>
      <c r="AJ516" s="6"/>
      <c r="AK516" s="6"/>
      <c r="AL516" s="6"/>
      <c r="AM516" s="6"/>
      <c r="AN516" s="6"/>
      <c r="AO516" s="6"/>
      <c r="AP516" s="6"/>
      <c r="AQ516" s="6"/>
      <c r="AR516" s="6"/>
      <c r="AS516" s="6"/>
    </row>
    <row r="517" spans="1:45" ht="31.5" hidden="1" x14ac:dyDescent="0.25">
      <c r="A517" s="33" t="s">
        <v>35</v>
      </c>
      <c r="B517" s="42">
        <v>353</v>
      </c>
      <c r="C517" s="33" t="s">
        <v>37</v>
      </c>
      <c r="D517" s="33" t="s">
        <v>2356</v>
      </c>
      <c r="E517" s="32"/>
      <c r="F517" s="54"/>
      <c r="G517" s="33" t="s">
        <v>2357</v>
      </c>
      <c r="H517" s="32"/>
      <c r="I517" s="32"/>
      <c r="J517" s="33" t="s">
        <v>2358</v>
      </c>
      <c r="K517" s="33" t="s">
        <v>43</v>
      </c>
      <c r="L517" s="33" t="s">
        <v>2359</v>
      </c>
      <c r="M517" s="44">
        <v>3137001240</v>
      </c>
      <c r="N517" s="45"/>
      <c r="O517" s="44">
        <v>15000000</v>
      </c>
      <c r="P517" s="86"/>
      <c r="Q517" s="44">
        <f t="shared" si="463"/>
        <v>3152001240</v>
      </c>
      <c r="R517" s="48">
        <v>3137001240</v>
      </c>
      <c r="S517" s="32"/>
      <c r="T517" s="44">
        <v>15000000</v>
      </c>
      <c r="U517" s="32"/>
      <c r="V517" s="32"/>
      <c r="W517" s="49"/>
      <c r="X517" s="49">
        <f t="shared" ref="X517:Z517" si="521">N517-S517</f>
        <v>0</v>
      </c>
      <c r="Y517" s="49">
        <f t="shared" si="521"/>
        <v>0</v>
      </c>
      <c r="Z517" s="49">
        <f t="shared" si="521"/>
        <v>0</v>
      </c>
      <c r="AA517" s="54"/>
      <c r="AB517" s="54"/>
      <c r="AC517" s="2">
        <f t="shared" si="465"/>
        <v>2</v>
      </c>
      <c r="AD517" s="6"/>
      <c r="AE517" s="6"/>
      <c r="AF517" s="6"/>
      <c r="AG517" s="6"/>
      <c r="AH517" s="6"/>
      <c r="AI517" s="6"/>
      <c r="AJ517" s="6"/>
      <c r="AK517" s="6"/>
      <c r="AL517" s="6"/>
      <c r="AM517" s="6"/>
      <c r="AN517" s="6"/>
      <c r="AO517" s="6"/>
      <c r="AP517" s="6"/>
      <c r="AQ517" s="6"/>
      <c r="AR517" s="6"/>
      <c r="AS517" s="6"/>
    </row>
    <row r="518" spans="1:45" ht="31.5" hidden="1" x14ac:dyDescent="0.25">
      <c r="A518" s="33" t="s">
        <v>35</v>
      </c>
      <c r="B518" s="42">
        <v>354</v>
      </c>
      <c r="C518" s="33" t="s">
        <v>37</v>
      </c>
      <c r="D518" s="33" t="s">
        <v>2360</v>
      </c>
      <c r="E518" s="32"/>
      <c r="F518" s="54"/>
      <c r="G518" s="33" t="s">
        <v>2361</v>
      </c>
      <c r="H518" s="32"/>
      <c r="I518" s="32"/>
      <c r="J518" s="33" t="s">
        <v>2362</v>
      </c>
      <c r="K518" s="33" t="s">
        <v>43</v>
      </c>
      <c r="L518" s="33" t="s">
        <v>2363</v>
      </c>
      <c r="M518" s="44">
        <v>2986318488</v>
      </c>
      <c r="N518" s="45"/>
      <c r="O518" s="44">
        <v>15000000</v>
      </c>
      <c r="P518" s="86"/>
      <c r="Q518" s="44">
        <f t="shared" si="463"/>
        <v>3001318488</v>
      </c>
      <c r="R518" s="48">
        <v>2986318488</v>
      </c>
      <c r="S518" s="32"/>
      <c r="T518" s="44">
        <v>15000000</v>
      </c>
      <c r="U518" s="32"/>
      <c r="V518" s="32"/>
      <c r="W518" s="49"/>
      <c r="X518" s="49">
        <f t="shared" ref="X518:Z518" si="522">N518-S518</f>
        <v>0</v>
      </c>
      <c r="Y518" s="49">
        <f t="shared" si="522"/>
        <v>0</v>
      </c>
      <c r="Z518" s="49">
        <f t="shared" si="522"/>
        <v>0</v>
      </c>
      <c r="AA518" s="54"/>
      <c r="AB518" s="54"/>
      <c r="AC518" s="2">
        <f t="shared" si="465"/>
        <v>2</v>
      </c>
      <c r="AD518" s="6"/>
      <c r="AE518" s="6"/>
      <c r="AF518" s="6"/>
      <c r="AG518" s="6"/>
      <c r="AH518" s="6"/>
      <c r="AI518" s="6"/>
      <c r="AJ518" s="6"/>
      <c r="AK518" s="6"/>
      <c r="AL518" s="6"/>
      <c r="AM518" s="6"/>
      <c r="AN518" s="6"/>
      <c r="AO518" s="6"/>
      <c r="AP518" s="6"/>
      <c r="AQ518" s="6"/>
      <c r="AR518" s="6"/>
      <c r="AS518" s="6"/>
    </row>
    <row r="519" spans="1:45" ht="47.25" hidden="1" x14ac:dyDescent="0.25">
      <c r="A519" s="33" t="s">
        <v>52</v>
      </c>
      <c r="B519" s="42">
        <v>355</v>
      </c>
      <c r="C519" s="33" t="s">
        <v>37</v>
      </c>
      <c r="D519" s="33" t="s">
        <v>2364</v>
      </c>
      <c r="E519" s="32"/>
      <c r="F519" s="54"/>
      <c r="G519" s="33" t="s">
        <v>2365</v>
      </c>
      <c r="H519" s="32"/>
      <c r="I519" s="32"/>
      <c r="J519" s="33" t="s">
        <v>2366</v>
      </c>
      <c r="K519" s="33" t="s">
        <v>43</v>
      </c>
      <c r="L519" s="33" t="s">
        <v>2367</v>
      </c>
      <c r="M519" s="44">
        <v>124614064</v>
      </c>
      <c r="N519" s="45"/>
      <c r="O519" s="44">
        <v>7500000</v>
      </c>
      <c r="P519" s="86"/>
      <c r="Q519" s="44">
        <f t="shared" si="463"/>
        <v>132114064</v>
      </c>
      <c r="R519" s="48">
        <v>124614064</v>
      </c>
      <c r="S519" s="32"/>
      <c r="T519" s="44">
        <v>7500000</v>
      </c>
      <c r="U519" s="32"/>
      <c r="V519" s="32"/>
      <c r="W519" s="49"/>
      <c r="X519" s="49">
        <f t="shared" ref="X519:Z519" si="523">N519-S519</f>
        <v>0</v>
      </c>
      <c r="Y519" s="49">
        <f t="shared" si="523"/>
        <v>0</v>
      </c>
      <c r="Z519" s="49">
        <f t="shared" si="523"/>
        <v>0</v>
      </c>
      <c r="AA519" s="54"/>
      <c r="AB519" s="54"/>
      <c r="AC519" s="2">
        <f t="shared" si="465"/>
        <v>2</v>
      </c>
      <c r="AD519" s="6"/>
      <c r="AE519" s="6"/>
      <c r="AF519" s="6"/>
      <c r="AG519" s="6"/>
      <c r="AH519" s="6"/>
      <c r="AI519" s="6"/>
      <c r="AJ519" s="6"/>
      <c r="AK519" s="6"/>
      <c r="AL519" s="6"/>
      <c r="AM519" s="6"/>
      <c r="AN519" s="6"/>
      <c r="AO519" s="6"/>
      <c r="AP519" s="6"/>
      <c r="AQ519" s="6"/>
      <c r="AR519" s="6"/>
      <c r="AS519" s="6"/>
    </row>
    <row r="520" spans="1:45" ht="31.5" hidden="1" x14ac:dyDescent="0.25">
      <c r="A520" s="33" t="s">
        <v>60</v>
      </c>
      <c r="B520" s="42">
        <v>356</v>
      </c>
      <c r="C520" s="33" t="s">
        <v>37</v>
      </c>
      <c r="D520" s="33" t="s">
        <v>2368</v>
      </c>
      <c r="E520" s="32"/>
      <c r="F520" s="54"/>
      <c r="G520" s="33" t="s">
        <v>2369</v>
      </c>
      <c r="H520" s="32"/>
      <c r="I520" s="32"/>
      <c r="J520" s="33" t="s">
        <v>2370</v>
      </c>
      <c r="K520" s="33" t="s">
        <v>43</v>
      </c>
      <c r="L520" s="33" t="s">
        <v>2371</v>
      </c>
      <c r="M520" s="44">
        <v>2246345440</v>
      </c>
      <c r="N520" s="45"/>
      <c r="O520" s="44">
        <v>15000000</v>
      </c>
      <c r="P520" s="86"/>
      <c r="Q520" s="44">
        <f t="shared" si="463"/>
        <v>2261345440</v>
      </c>
      <c r="R520" s="48">
        <v>2246345440</v>
      </c>
      <c r="S520" s="32"/>
      <c r="T520" s="44">
        <v>15000000</v>
      </c>
      <c r="U520" s="32"/>
      <c r="V520" s="32"/>
      <c r="W520" s="49"/>
      <c r="X520" s="49">
        <f t="shared" ref="X520:Z520" si="524">N520-S520</f>
        <v>0</v>
      </c>
      <c r="Y520" s="49">
        <f t="shared" si="524"/>
        <v>0</v>
      </c>
      <c r="Z520" s="49">
        <f t="shared" si="524"/>
        <v>0</v>
      </c>
      <c r="AA520" s="54"/>
      <c r="AB520" s="54"/>
      <c r="AC520" s="2">
        <f t="shared" si="465"/>
        <v>2</v>
      </c>
      <c r="AD520" s="6"/>
      <c r="AE520" s="6"/>
      <c r="AF520" s="6"/>
      <c r="AG520" s="6"/>
      <c r="AH520" s="6"/>
      <c r="AI520" s="6"/>
      <c r="AJ520" s="6"/>
      <c r="AK520" s="6"/>
      <c r="AL520" s="6"/>
      <c r="AM520" s="6"/>
      <c r="AN520" s="6"/>
      <c r="AO520" s="6"/>
      <c r="AP520" s="6"/>
      <c r="AQ520" s="6"/>
      <c r="AR520" s="6"/>
      <c r="AS520" s="6"/>
    </row>
    <row r="521" spans="1:45" ht="47.25" hidden="1" x14ac:dyDescent="0.25">
      <c r="A521" s="33" t="s">
        <v>35</v>
      </c>
      <c r="B521" s="42">
        <v>357</v>
      </c>
      <c r="C521" s="33" t="s">
        <v>37</v>
      </c>
      <c r="D521" s="33" t="s">
        <v>2372</v>
      </c>
      <c r="E521" s="32"/>
      <c r="F521" s="54"/>
      <c r="G521" s="33" t="s">
        <v>2373</v>
      </c>
      <c r="H521" s="32"/>
      <c r="I521" s="32"/>
      <c r="J521" s="33" t="s">
        <v>2374</v>
      </c>
      <c r="K521" s="33" t="s">
        <v>43</v>
      </c>
      <c r="L521" s="33" t="s">
        <v>2375</v>
      </c>
      <c r="M521" s="44">
        <v>693893100</v>
      </c>
      <c r="N521" s="45"/>
      <c r="O521" s="44">
        <v>15000000</v>
      </c>
      <c r="P521" s="86"/>
      <c r="Q521" s="44">
        <f t="shared" si="463"/>
        <v>708893100</v>
      </c>
      <c r="R521" s="48">
        <v>693893100</v>
      </c>
      <c r="S521" s="32"/>
      <c r="T521" s="44">
        <v>15000000</v>
      </c>
      <c r="U521" s="32"/>
      <c r="V521" s="32"/>
      <c r="W521" s="49"/>
      <c r="X521" s="49">
        <f t="shared" ref="X521:Z521" si="525">N521-S521</f>
        <v>0</v>
      </c>
      <c r="Y521" s="49">
        <f t="shared" si="525"/>
        <v>0</v>
      </c>
      <c r="Z521" s="49">
        <f t="shared" si="525"/>
        <v>0</v>
      </c>
      <c r="AA521" s="54"/>
      <c r="AB521" s="54"/>
      <c r="AC521" s="2">
        <f t="shared" si="465"/>
        <v>2</v>
      </c>
      <c r="AD521" s="6"/>
      <c r="AE521" s="6"/>
      <c r="AF521" s="6"/>
      <c r="AG521" s="6"/>
      <c r="AH521" s="6"/>
      <c r="AI521" s="6"/>
      <c r="AJ521" s="6"/>
      <c r="AK521" s="6"/>
      <c r="AL521" s="6"/>
      <c r="AM521" s="6"/>
      <c r="AN521" s="6"/>
      <c r="AO521" s="6"/>
      <c r="AP521" s="6"/>
      <c r="AQ521" s="6"/>
      <c r="AR521" s="6"/>
      <c r="AS521" s="6"/>
    </row>
    <row r="522" spans="1:45" ht="31.5" hidden="1" x14ac:dyDescent="0.25">
      <c r="A522" s="33" t="s">
        <v>60</v>
      </c>
      <c r="B522" s="42">
        <v>359</v>
      </c>
      <c r="C522" s="33" t="s">
        <v>37</v>
      </c>
      <c r="D522" s="33" t="s">
        <v>2376</v>
      </c>
      <c r="E522" s="33"/>
      <c r="F522" s="54"/>
      <c r="G522" s="33" t="s">
        <v>2377</v>
      </c>
      <c r="H522" s="33"/>
      <c r="I522" s="33"/>
      <c r="J522" s="33" t="s">
        <v>2378</v>
      </c>
      <c r="K522" s="33" t="s">
        <v>43</v>
      </c>
      <c r="L522" s="33" t="s">
        <v>2379</v>
      </c>
      <c r="M522" s="44">
        <v>1333962300</v>
      </c>
      <c r="N522" s="45"/>
      <c r="O522" s="44">
        <v>7500000</v>
      </c>
      <c r="P522" s="86"/>
      <c r="Q522" s="44">
        <f t="shared" si="463"/>
        <v>1341462300</v>
      </c>
      <c r="R522" s="48">
        <v>1333962300</v>
      </c>
      <c r="S522" s="32"/>
      <c r="T522" s="66"/>
      <c r="U522" s="32"/>
      <c r="V522" s="32"/>
      <c r="W522" s="49"/>
      <c r="X522" s="49">
        <f t="shared" ref="X522:Z522" si="526">N522-S522</f>
        <v>0</v>
      </c>
      <c r="Y522" s="52">
        <f t="shared" si="526"/>
        <v>7500000</v>
      </c>
      <c r="Z522" s="49">
        <f t="shared" si="526"/>
        <v>0</v>
      </c>
      <c r="AA522" s="54"/>
      <c r="AB522" s="43"/>
      <c r="AC522" s="15">
        <f t="shared" si="465"/>
        <v>2</v>
      </c>
      <c r="AD522" s="15"/>
      <c r="AE522" s="6"/>
      <c r="AF522" s="6"/>
      <c r="AG522" s="6"/>
      <c r="AH522" s="6"/>
      <c r="AI522" s="6"/>
      <c r="AJ522" s="6"/>
      <c r="AK522" s="6"/>
      <c r="AL522" s="6"/>
      <c r="AM522" s="6"/>
      <c r="AN522" s="6"/>
      <c r="AO522" s="6"/>
      <c r="AP522" s="6"/>
      <c r="AQ522" s="6"/>
      <c r="AR522" s="6"/>
      <c r="AS522" s="6"/>
    </row>
    <row r="523" spans="1:45" ht="31.5" hidden="1" x14ac:dyDescent="0.25">
      <c r="A523" s="33" t="s">
        <v>60</v>
      </c>
      <c r="B523" s="42">
        <v>360</v>
      </c>
      <c r="C523" s="33" t="s">
        <v>37</v>
      </c>
      <c r="D523" s="33" t="s">
        <v>2380</v>
      </c>
      <c r="E523" s="32"/>
      <c r="F523" s="54"/>
      <c r="G523" s="33" t="s">
        <v>2381</v>
      </c>
      <c r="H523" s="33" t="s">
        <v>2212</v>
      </c>
      <c r="I523" s="32"/>
      <c r="J523" s="33" t="s">
        <v>2382</v>
      </c>
      <c r="K523" s="33" t="s">
        <v>43</v>
      </c>
      <c r="L523" s="33" t="s">
        <v>2383</v>
      </c>
      <c r="M523" s="44">
        <v>1884646500</v>
      </c>
      <c r="N523" s="45"/>
      <c r="O523" s="44">
        <v>7500000</v>
      </c>
      <c r="P523" s="86"/>
      <c r="Q523" s="44">
        <f t="shared" si="463"/>
        <v>1892146500</v>
      </c>
      <c r="R523" s="48">
        <v>1884646500</v>
      </c>
      <c r="S523" s="32"/>
      <c r="T523" s="44">
        <v>7500000</v>
      </c>
      <c r="U523" s="32"/>
      <c r="V523" s="32"/>
      <c r="W523" s="49"/>
      <c r="X523" s="49">
        <f t="shared" ref="X523:Z523" si="527">N523-S523</f>
        <v>0</v>
      </c>
      <c r="Y523" s="49">
        <f t="shared" si="527"/>
        <v>0</v>
      </c>
      <c r="Z523" s="49">
        <f t="shared" si="527"/>
        <v>0</v>
      </c>
      <c r="AA523" s="54"/>
      <c r="AB523" s="54"/>
      <c r="AC523" s="2">
        <f t="shared" si="465"/>
        <v>2</v>
      </c>
      <c r="AD523" s="6"/>
      <c r="AE523" s="6"/>
      <c r="AF523" s="6"/>
      <c r="AG523" s="6"/>
      <c r="AH523" s="6"/>
      <c r="AI523" s="6"/>
      <c r="AJ523" s="6"/>
      <c r="AK523" s="6"/>
      <c r="AL523" s="6"/>
      <c r="AM523" s="6"/>
      <c r="AN523" s="6"/>
      <c r="AO523" s="6"/>
      <c r="AP523" s="6"/>
      <c r="AQ523" s="6"/>
      <c r="AR523" s="6"/>
      <c r="AS523" s="6"/>
    </row>
    <row r="524" spans="1:45" ht="47.25" hidden="1" x14ac:dyDescent="0.25">
      <c r="A524" s="33" t="s">
        <v>60</v>
      </c>
      <c r="B524" s="42">
        <v>361</v>
      </c>
      <c r="C524" s="33" t="s">
        <v>37</v>
      </c>
      <c r="D524" s="33" t="s">
        <v>2384</v>
      </c>
      <c r="E524" s="32"/>
      <c r="F524" s="54"/>
      <c r="G524" s="33" t="s">
        <v>2385</v>
      </c>
      <c r="H524" s="32"/>
      <c r="I524" s="32"/>
      <c r="J524" s="33" t="s">
        <v>2386</v>
      </c>
      <c r="K524" s="33" t="s">
        <v>43</v>
      </c>
      <c r="L524" s="33" t="s">
        <v>2387</v>
      </c>
      <c r="M524" s="44">
        <v>827738776</v>
      </c>
      <c r="N524" s="45"/>
      <c r="O524" s="44">
        <v>15000000</v>
      </c>
      <c r="P524" s="86"/>
      <c r="Q524" s="44">
        <f t="shared" si="463"/>
        <v>842738776</v>
      </c>
      <c r="R524" s="48">
        <v>827738776</v>
      </c>
      <c r="S524" s="32"/>
      <c r="T524" s="44">
        <v>15000000</v>
      </c>
      <c r="U524" s="32"/>
      <c r="V524" s="32"/>
      <c r="W524" s="49"/>
      <c r="X524" s="49">
        <f t="shared" ref="X524:Z524" si="528">N524-S524</f>
        <v>0</v>
      </c>
      <c r="Y524" s="49">
        <f t="shared" si="528"/>
        <v>0</v>
      </c>
      <c r="Z524" s="49">
        <f t="shared" si="528"/>
        <v>0</v>
      </c>
      <c r="AA524" s="54"/>
      <c r="AB524" s="54"/>
      <c r="AC524" s="2">
        <f t="shared" si="465"/>
        <v>2</v>
      </c>
      <c r="AD524" s="6"/>
      <c r="AE524" s="6"/>
      <c r="AF524" s="6"/>
      <c r="AG524" s="6"/>
      <c r="AH524" s="6"/>
      <c r="AI524" s="6"/>
      <c r="AJ524" s="6"/>
      <c r="AK524" s="6"/>
      <c r="AL524" s="6"/>
      <c r="AM524" s="6"/>
      <c r="AN524" s="6"/>
      <c r="AO524" s="6"/>
      <c r="AP524" s="6"/>
      <c r="AQ524" s="6"/>
      <c r="AR524" s="6"/>
      <c r="AS524" s="6"/>
    </row>
    <row r="525" spans="1:45" ht="47.25" hidden="1" x14ac:dyDescent="0.25">
      <c r="A525" s="33" t="s">
        <v>46</v>
      </c>
      <c r="B525" s="42">
        <v>362</v>
      </c>
      <c r="C525" s="33" t="s">
        <v>37</v>
      </c>
      <c r="D525" s="33" t="s">
        <v>2388</v>
      </c>
      <c r="E525" s="32"/>
      <c r="F525" s="54"/>
      <c r="G525" s="33" t="s">
        <v>2389</v>
      </c>
      <c r="H525" s="32"/>
      <c r="I525" s="32"/>
      <c r="J525" s="33" t="s">
        <v>2390</v>
      </c>
      <c r="K525" s="33" t="s">
        <v>43</v>
      </c>
      <c r="L525" s="33" t="s">
        <v>2391</v>
      </c>
      <c r="M525" s="44">
        <v>3291977680</v>
      </c>
      <c r="N525" s="45"/>
      <c r="O525" s="44">
        <v>15000000</v>
      </c>
      <c r="P525" s="86"/>
      <c r="Q525" s="44">
        <f t="shared" si="463"/>
        <v>3306977680</v>
      </c>
      <c r="R525" s="48">
        <v>3291977680</v>
      </c>
      <c r="S525" s="32"/>
      <c r="T525" s="45">
        <v>15000000</v>
      </c>
      <c r="U525" s="32"/>
      <c r="V525" s="32"/>
      <c r="W525" s="49"/>
      <c r="X525" s="49">
        <f t="shared" ref="X525:Z525" si="529">N525-S525</f>
        <v>0</v>
      </c>
      <c r="Y525" s="49">
        <f t="shared" si="529"/>
        <v>0</v>
      </c>
      <c r="Z525" s="49">
        <f t="shared" si="529"/>
        <v>0</v>
      </c>
      <c r="AA525" s="54"/>
      <c r="AB525" s="54"/>
      <c r="AC525" s="2">
        <f t="shared" si="465"/>
        <v>2</v>
      </c>
      <c r="AD525" s="6"/>
      <c r="AE525" s="6"/>
      <c r="AF525" s="6"/>
      <c r="AG525" s="6"/>
      <c r="AH525" s="6"/>
      <c r="AI525" s="6"/>
      <c r="AJ525" s="6"/>
      <c r="AK525" s="6"/>
      <c r="AL525" s="6"/>
      <c r="AM525" s="6"/>
      <c r="AN525" s="6"/>
      <c r="AO525" s="6"/>
      <c r="AP525" s="6"/>
      <c r="AQ525" s="6"/>
      <c r="AR525" s="6"/>
      <c r="AS525" s="6"/>
    </row>
    <row r="526" spans="1:45" ht="47.25" hidden="1" x14ac:dyDescent="0.25">
      <c r="A526" s="33" t="s">
        <v>46</v>
      </c>
      <c r="B526" s="42">
        <v>363</v>
      </c>
      <c r="C526" s="33" t="s">
        <v>37</v>
      </c>
      <c r="D526" s="33" t="s">
        <v>2392</v>
      </c>
      <c r="E526" s="32"/>
      <c r="F526" s="54"/>
      <c r="G526" s="33" t="s">
        <v>2393</v>
      </c>
      <c r="H526" s="32"/>
      <c r="I526" s="32"/>
      <c r="J526" s="33" t="s">
        <v>2321</v>
      </c>
      <c r="K526" s="33" t="s">
        <v>43</v>
      </c>
      <c r="L526" s="33" t="s">
        <v>2394</v>
      </c>
      <c r="M526" s="44">
        <v>937421750</v>
      </c>
      <c r="N526" s="45"/>
      <c r="O526" s="44">
        <v>7500000</v>
      </c>
      <c r="P526" s="86"/>
      <c r="Q526" s="44">
        <f t="shared" si="463"/>
        <v>944921750</v>
      </c>
      <c r="R526" s="48">
        <v>937421750</v>
      </c>
      <c r="S526" s="32"/>
      <c r="T526" s="44">
        <v>7500000</v>
      </c>
      <c r="U526" s="32"/>
      <c r="V526" s="32"/>
      <c r="W526" s="49"/>
      <c r="X526" s="49">
        <f t="shared" ref="X526:Z526" si="530">N526-S526</f>
        <v>0</v>
      </c>
      <c r="Y526" s="49">
        <f t="shared" si="530"/>
        <v>0</v>
      </c>
      <c r="Z526" s="49">
        <f t="shared" si="530"/>
        <v>0</v>
      </c>
      <c r="AA526" s="54"/>
      <c r="AB526" s="54"/>
      <c r="AC526" s="2">
        <f t="shared" si="465"/>
        <v>2</v>
      </c>
      <c r="AD526" s="6"/>
      <c r="AE526" s="6"/>
      <c r="AF526" s="6"/>
      <c r="AG526" s="6"/>
      <c r="AH526" s="6"/>
      <c r="AI526" s="6"/>
      <c r="AJ526" s="6"/>
      <c r="AK526" s="6"/>
      <c r="AL526" s="6"/>
      <c r="AM526" s="6"/>
      <c r="AN526" s="6"/>
      <c r="AO526" s="6"/>
      <c r="AP526" s="6"/>
      <c r="AQ526" s="6"/>
      <c r="AR526" s="6"/>
      <c r="AS526" s="6"/>
    </row>
    <row r="527" spans="1:45" ht="47.25" hidden="1" x14ac:dyDescent="0.25">
      <c r="A527" s="33" t="s">
        <v>52</v>
      </c>
      <c r="B527" s="42">
        <v>364</v>
      </c>
      <c r="C527" s="33" t="s">
        <v>37</v>
      </c>
      <c r="D527" s="33" t="s">
        <v>2395</v>
      </c>
      <c r="E527" s="33" t="s">
        <v>2396</v>
      </c>
      <c r="F527" s="54"/>
      <c r="G527" s="33" t="s">
        <v>2397</v>
      </c>
      <c r="H527" s="33" t="s">
        <v>2398</v>
      </c>
      <c r="I527" s="32"/>
      <c r="J527" s="33" t="s">
        <v>2399</v>
      </c>
      <c r="K527" s="33" t="s">
        <v>43</v>
      </c>
      <c r="L527" s="33" t="s">
        <v>2400</v>
      </c>
      <c r="M527" s="44">
        <v>10000000</v>
      </c>
      <c r="N527" s="44">
        <v>762996660</v>
      </c>
      <c r="O527" s="44">
        <v>15000000</v>
      </c>
      <c r="P527" s="86"/>
      <c r="Q527" s="44">
        <f t="shared" si="463"/>
        <v>787996660</v>
      </c>
      <c r="R527" s="48">
        <v>10000000</v>
      </c>
      <c r="S527" s="48">
        <v>762996660</v>
      </c>
      <c r="T527" s="44">
        <v>15000000</v>
      </c>
      <c r="U527" s="32"/>
      <c r="V527" s="32"/>
      <c r="W527" s="49"/>
      <c r="X527" s="49">
        <f t="shared" ref="X527:Z527" si="531">N527-S527</f>
        <v>0</v>
      </c>
      <c r="Y527" s="49">
        <f t="shared" si="531"/>
        <v>0</v>
      </c>
      <c r="Z527" s="49">
        <f t="shared" si="531"/>
        <v>0</v>
      </c>
      <c r="AA527" s="54"/>
      <c r="AB527" s="54"/>
      <c r="AC527" s="2">
        <f t="shared" si="465"/>
        <v>2</v>
      </c>
      <c r="AD527" s="6"/>
      <c r="AE527" s="6"/>
      <c r="AF527" s="6"/>
      <c r="AG527" s="6"/>
      <c r="AH527" s="6"/>
      <c r="AI527" s="6"/>
      <c r="AJ527" s="6"/>
      <c r="AK527" s="6"/>
      <c r="AL527" s="6"/>
      <c r="AM527" s="6"/>
      <c r="AN527" s="6"/>
      <c r="AO527" s="6"/>
      <c r="AP527" s="6"/>
      <c r="AQ527" s="6"/>
      <c r="AR527" s="6"/>
      <c r="AS527" s="6"/>
    </row>
    <row r="528" spans="1:45" ht="47.25" hidden="1" x14ac:dyDescent="0.25">
      <c r="A528" s="33" t="s">
        <v>35</v>
      </c>
      <c r="B528" s="42">
        <v>365</v>
      </c>
      <c r="C528" s="33" t="s">
        <v>37</v>
      </c>
      <c r="D528" s="33" t="s">
        <v>2401</v>
      </c>
      <c r="E528" s="33" t="s">
        <v>2402</v>
      </c>
      <c r="F528" s="54"/>
      <c r="G528" s="33" t="s">
        <v>2403</v>
      </c>
      <c r="H528" s="33" t="s">
        <v>2404</v>
      </c>
      <c r="I528" s="32"/>
      <c r="J528" s="33" t="s">
        <v>479</v>
      </c>
      <c r="K528" s="33" t="s">
        <v>43</v>
      </c>
      <c r="L528" s="33" t="s">
        <v>2405</v>
      </c>
      <c r="M528" s="44">
        <v>1975869376</v>
      </c>
      <c r="N528" s="44">
        <v>579124224</v>
      </c>
      <c r="O528" s="44">
        <v>15000000</v>
      </c>
      <c r="P528" s="86"/>
      <c r="Q528" s="44">
        <f t="shared" si="463"/>
        <v>2569993600</v>
      </c>
      <c r="R528" s="48">
        <v>1975869376</v>
      </c>
      <c r="S528" s="48">
        <v>579124224</v>
      </c>
      <c r="T528" s="44">
        <v>15000000</v>
      </c>
      <c r="U528" s="32"/>
      <c r="V528" s="32"/>
      <c r="W528" s="49"/>
      <c r="X528" s="49">
        <f t="shared" ref="X528:Z528" si="532">N528-S528</f>
        <v>0</v>
      </c>
      <c r="Y528" s="49">
        <f t="shared" si="532"/>
        <v>0</v>
      </c>
      <c r="Z528" s="49">
        <f t="shared" si="532"/>
        <v>0</v>
      </c>
      <c r="AA528" s="54"/>
      <c r="AB528" s="54"/>
      <c r="AC528" s="2">
        <f t="shared" si="465"/>
        <v>2</v>
      </c>
      <c r="AD528" s="6"/>
      <c r="AE528" s="6"/>
      <c r="AF528" s="6"/>
      <c r="AG528" s="6"/>
      <c r="AH528" s="6"/>
      <c r="AI528" s="6"/>
      <c r="AJ528" s="6"/>
      <c r="AK528" s="6"/>
      <c r="AL528" s="6"/>
      <c r="AM528" s="6"/>
      <c r="AN528" s="6"/>
      <c r="AO528" s="6"/>
      <c r="AP528" s="6"/>
      <c r="AQ528" s="6"/>
      <c r="AR528" s="6"/>
      <c r="AS528" s="6"/>
    </row>
    <row r="529" spans="1:45" ht="47.25" hidden="1" x14ac:dyDescent="0.25">
      <c r="A529" s="33" t="s">
        <v>46</v>
      </c>
      <c r="B529" s="42">
        <v>366</v>
      </c>
      <c r="C529" s="33" t="s">
        <v>37</v>
      </c>
      <c r="D529" s="33" t="s">
        <v>2406</v>
      </c>
      <c r="E529" s="33" t="s">
        <v>1923</v>
      </c>
      <c r="F529" s="54"/>
      <c r="G529" s="33" t="s">
        <v>2407</v>
      </c>
      <c r="H529" s="32"/>
      <c r="I529" s="32"/>
      <c r="J529" s="33" t="s">
        <v>2408</v>
      </c>
      <c r="K529" s="33" t="s">
        <v>43</v>
      </c>
      <c r="L529" s="33" t="s">
        <v>2409</v>
      </c>
      <c r="M529" s="44">
        <v>1715172160</v>
      </c>
      <c r="N529" s="44">
        <v>196024320</v>
      </c>
      <c r="O529" s="44">
        <v>15000000</v>
      </c>
      <c r="P529" s="86"/>
      <c r="Q529" s="44">
        <f t="shared" si="463"/>
        <v>1926196480</v>
      </c>
      <c r="R529" s="48">
        <v>1715172160</v>
      </c>
      <c r="S529" s="48">
        <v>196024320</v>
      </c>
      <c r="T529" s="44">
        <v>15000000</v>
      </c>
      <c r="U529" s="32"/>
      <c r="V529" s="32"/>
      <c r="W529" s="49"/>
      <c r="X529" s="49">
        <f t="shared" ref="X529:Z529" si="533">N529-S529</f>
        <v>0</v>
      </c>
      <c r="Y529" s="49">
        <f t="shared" si="533"/>
        <v>0</v>
      </c>
      <c r="Z529" s="49">
        <f t="shared" si="533"/>
        <v>0</v>
      </c>
      <c r="AA529" s="54"/>
      <c r="AB529" s="54"/>
      <c r="AC529" s="2">
        <f t="shared" si="465"/>
        <v>2</v>
      </c>
      <c r="AD529" s="6"/>
      <c r="AE529" s="6"/>
      <c r="AF529" s="6"/>
      <c r="AG529" s="6"/>
      <c r="AH529" s="6"/>
      <c r="AI529" s="6"/>
      <c r="AJ529" s="6"/>
      <c r="AK529" s="6"/>
      <c r="AL529" s="6"/>
      <c r="AM529" s="6"/>
      <c r="AN529" s="6"/>
      <c r="AO529" s="6"/>
      <c r="AP529" s="6"/>
      <c r="AQ529" s="6"/>
      <c r="AR529" s="6"/>
      <c r="AS529" s="6"/>
    </row>
    <row r="530" spans="1:45" ht="31.5" hidden="1" x14ac:dyDescent="0.25">
      <c r="A530" s="33" t="s">
        <v>35</v>
      </c>
      <c r="B530" s="42">
        <v>367</v>
      </c>
      <c r="C530" s="33" t="s">
        <v>37</v>
      </c>
      <c r="D530" s="33" t="s">
        <v>2410</v>
      </c>
      <c r="E530" s="32"/>
      <c r="F530" s="54"/>
      <c r="G530" s="33" t="s">
        <v>2411</v>
      </c>
      <c r="H530" s="32"/>
      <c r="I530" s="32"/>
      <c r="J530" s="33" t="s">
        <v>2412</v>
      </c>
      <c r="K530" s="33" t="s">
        <v>43</v>
      </c>
      <c r="L530" s="33" t="s">
        <v>2413</v>
      </c>
      <c r="M530" s="44">
        <v>1139494794</v>
      </c>
      <c r="N530" s="45"/>
      <c r="O530" s="44">
        <v>7500000</v>
      </c>
      <c r="P530" s="86"/>
      <c r="Q530" s="44">
        <f t="shared" si="463"/>
        <v>1146994794</v>
      </c>
      <c r="R530" s="48">
        <v>1139494794</v>
      </c>
      <c r="S530" s="32"/>
      <c r="T530" s="44">
        <v>7500000</v>
      </c>
      <c r="U530" s="32"/>
      <c r="V530" s="32"/>
      <c r="W530" s="49"/>
      <c r="X530" s="49">
        <f t="shared" ref="X530:Z530" si="534">N530-S530</f>
        <v>0</v>
      </c>
      <c r="Y530" s="49">
        <f t="shared" si="534"/>
        <v>0</v>
      </c>
      <c r="Z530" s="49">
        <f t="shared" si="534"/>
        <v>0</v>
      </c>
      <c r="AA530" s="54"/>
      <c r="AB530" s="54"/>
      <c r="AC530" s="2">
        <f t="shared" si="465"/>
        <v>2</v>
      </c>
      <c r="AD530" s="6"/>
      <c r="AE530" s="6"/>
      <c r="AF530" s="6"/>
      <c r="AG530" s="6"/>
      <c r="AH530" s="6"/>
      <c r="AI530" s="6"/>
      <c r="AJ530" s="6"/>
      <c r="AK530" s="6"/>
      <c r="AL530" s="6"/>
      <c r="AM530" s="6"/>
      <c r="AN530" s="6"/>
      <c r="AO530" s="6"/>
      <c r="AP530" s="6"/>
      <c r="AQ530" s="6"/>
      <c r="AR530" s="6"/>
      <c r="AS530" s="6"/>
    </row>
    <row r="531" spans="1:45" ht="47.25" hidden="1" x14ac:dyDescent="0.25">
      <c r="A531" s="33" t="s">
        <v>52</v>
      </c>
      <c r="B531" s="42">
        <v>368</v>
      </c>
      <c r="C531" s="33" t="s">
        <v>37</v>
      </c>
      <c r="D531" s="33" t="s">
        <v>2414</v>
      </c>
      <c r="E531" s="32"/>
      <c r="F531" s="54"/>
      <c r="G531" s="33" t="s">
        <v>2415</v>
      </c>
      <c r="H531" s="32"/>
      <c r="I531" s="32"/>
      <c r="J531" s="33" t="s">
        <v>2416</v>
      </c>
      <c r="K531" s="33" t="s">
        <v>43</v>
      </c>
      <c r="L531" s="33" t="s">
        <v>2417</v>
      </c>
      <c r="M531" s="44">
        <v>3291977680</v>
      </c>
      <c r="N531" s="45"/>
      <c r="O531" s="44">
        <v>15000000</v>
      </c>
      <c r="P531" s="86"/>
      <c r="Q531" s="44">
        <f t="shared" si="463"/>
        <v>3306977680</v>
      </c>
      <c r="R531" s="48">
        <v>3291977680</v>
      </c>
      <c r="S531" s="32"/>
      <c r="T531" s="44">
        <v>15000000</v>
      </c>
      <c r="U531" s="32"/>
      <c r="V531" s="32"/>
      <c r="W531" s="49"/>
      <c r="X531" s="49">
        <f t="shared" ref="X531:Z531" si="535">N531-S531</f>
        <v>0</v>
      </c>
      <c r="Y531" s="49">
        <f t="shared" si="535"/>
        <v>0</v>
      </c>
      <c r="Z531" s="49">
        <f t="shared" si="535"/>
        <v>0</v>
      </c>
      <c r="AA531" s="54"/>
      <c r="AB531" s="54"/>
      <c r="AC531" s="2">
        <f t="shared" si="465"/>
        <v>2</v>
      </c>
      <c r="AD531" s="6"/>
      <c r="AE531" s="6"/>
      <c r="AF531" s="6"/>
      <c r="AG531" s="6"/>
      <c r="AH531" s="6"/>
      <c r="AI531" s="6"/>
      <c r="AJ531" s="6"/>
      <c r="AK531" s="6"/>
      <c r="AL531" s="6"/>
      <c r="AM531" s="6"/>
      <c r="AN531" s="6"/>
      <c r="AO531" s="6"/>
      <c r="AP531" s="6"/>
      <c r="AQ531" s="6"/>
      <c r="AR531" s="6"/>
      <c r="AS531" s="6"/>
    </row>
    <row r="532" spans="1:45" ht="47.25" hidden="1" x14ac:dyDescent="0.25">
      <c r="A532" s="33" t="s">
        <v>60</v>
      </c>
      <c r="B532" s="42">
        <v>369</v>
      </c>
      <c r="C532" s="33" t="s">
        <v>37</v>
      </c>
      <c r="D532" s="33" t="s">
        <v>2418</v>
      </c>
      <c r="E532" s="32"/>
      <c r="F532" s="54"/>
      <c r="G532" s="33" t="s">
        <v>2419</v>
      </c>
      <c r="H532" s="32"/>
      <c r="I532" s="32"/>
      <c r="J532" s="33" t="s">
        <v>2420</v>
      </c>
      <c r="K532" s="33" t="s">
        <v>43</v>
      </c>
      <c r="L532" s="33" t="s">
        <v>2421</v>
      </c>
      <c r="M532" s="44">
        <v>923485600</v>
      </c>
      <c r="N532" s="45"/>
      <c r="O532" s="44">
        <v>15000000</v>
      </c>
      <c r="P532" s="86"/>
      <c r="Q532" s="44">
        <f t="shared" si="463"/>
        <v>938485600</v>
      </c>
      <c r="R532" s="48">
        <v>923485600</v>
      </c>
      <c r="S532" s="32"/>
      <c r="T532" s="44">
        <v>15000000</v>
      </c>
      <c r="U532" s="32"/>
      <c r="V532" s="32"/>
      <c r="W532" s="49"/>
      <c r="X532" s="49">
        <f t="shared" ref="X532:Z532" si="536">N532-S532</f>
        <v>0</v>
      </c>
      <c r="Y532" s="49">
        <f t="shared" si="536"/>
        <v>0</v>
      </c>
      <c r="Z532" s="49">
        <f t="shared" si="536"/>
        <v>0</v>
      </c>
      <c r="AA532" s="54"/>
      <c r="AB532" s="54"/>
      <c r="AC532" s="2">
        <f t="shared" si="465"/>
        <v>2</v>
      </c>
      <c r="AD532" s="6"/>
      <c r="AE532" s="6"/>
      <c r="AF532" s="6"/>
      <c r="AG532" s="6"/>
      <c r="AH532" s="6"/>
      <c r="AI532" s="6"/>
      <c r="AJ532" s="6"/>
      <c r="AK532" s="6"/>
      <c r="AL532" s="6"/>
      <c r="AM532" s="6"/>
      <c r="AN532" s="6"/>
      <c r="AO532" s="6"/>
      <c r="AP532" s="6"/>
      <c r="AQ532" s="6"/>
      <c r="AR532" s="6"/>
      <c r="AS532" s="6"/>
    </row>
    <row r="533" spans="1:45" ht="63" hidden="1" x14ac:dyDescent="0.25">
      <c r="A533" s="33" t="s">
        <v>35</v>
      </c>
      <c r="B533" s="42">
        <v>370</v>
      </c>
      <c r="C533" s="33" t="s">
        <v>37</v>
      </c>
      <c r="D533" s="33" t="s">
        <v>2422</v>
      </c>
      <c r="E533" s="33" t="s">
        <v>3145</v>
      </c>
      <c r="F533" s="54"/>
      <c r="G533" s="33" t="s">
        <v>2424</v>
      </c>
      <c r="H533" s="33" t="s">
        <v>3146</v>
      </c>
      <c r="I533" s="32"/>
      <c r="J533" s="33" t="s">
        <v>1064</v>
      </c>
      <c r="K533" s="33" t="s">
        <v>43</v>
      </c>
      <c r="L533" s="33" t="s">
        <v>2426</v>
      </c>
      <c r="M533" s="44">
        <v>2060615056</v>
      </c>
      <c r="N533" s="44">
        <v>753654790</v>
      </c>
      <c r="O533" s="44">
        <v>15000000</v>
      </c>
      <c r="P533" s="86"/>
      <c r="Q533" s="44">
        <f t="shared" si="463"/>
        <v>2829269846</v>
      </c>
      <c r="R533" s="48">
        <v>2060615056</v>
      </c>
      <c r="S533" s="48">
        <v>753654790</v>
      </c>
      <c r="T533" s="44">
        <v>15000000</v>
      </c>
      <c r="U533" s="32"/>
      <c r="V533" s="32"/>
      <c r="W533" s="49"/>
      <c r="X533" s="49">
        <f t="shared" ref="X533:Z533" si="537">N533-S533</f>
        <v>0</v>
      </c>
      <c r="Y533" s="49">
        <f t="shared" si="537"/>
        <v>0</v>
      </c>
      <c r="Z533" s="49">
        <f t="shared" si="537"/>
        <v>0</v>
      </c>
      <c r="AA533" s="54"/>
      <c r="AB533" s="54"/>
      <c r="AC533" s="2">
        <f t="shared" si="465"/>
        <v>2</v>
      </c>
      <c r="AD533" s="6"/>
      <c r="AE533" s="6"/>
      <c r="AF533" s="6"/>
      <c r="AG533" s="6"/>
      <c r="AH533" s="6"/>
      <c r="AI533" s="6"/>
      <c r="AJ533" s="6"/>
      <c r="AK533" s="6"/>
      <c r="AL533" s="6"/>
      <c r="AM533" s="6"/>
      <c r="AN533" s="6"/>
      <c r="AO533" s="6"/>
      <c r="AP533" s="6"/>
      <c r="AQ533" s="6"/>
      <c r="AR533" s="6"/>
      <c r="AS533" s="6"/>
    </row>
    <row r="534" spans="1:45" ht="31.5" hidden="1" x14ac:dyDescent="0.25">
      <c r="A534" s="33" t="s">
        <v>35</v>
      </c>
      <c r="B534" s="42">
        <v>371</v>
      </c>
      <c r="C534" s="33" t="s">
        <v>37</v>
      </c>
      <c r="D534" s="33" t="s">
        <v>2427</v>
      </c>
      <c r="E534" s="32"/>
      <c r="F534" s="54"/>
      <c r="G534" s="33" t="s">
        <v>2428</v>
      </c>
      <c r="H534" s="32"/>
      <c r="I534" s="32"/>
      <c r="J534" s="33" t="s">
        <v>2429</v>
      </c>
      <c r="K534" s="33" t="s">
        <v>43</v>
      </c>
      <c r="L534" s="33" t="s">
        <v>2430</v>
      </c>
      <c r="M534" s="44">
        <v>0</v>
      </c>
      <c r="N534" s="45"/>
      <c r="O534" s="44">
        <v>7500000</v>
      </c>
      <c r="P534" s="86"/>
      <c r="Q534" s="44">
        <f t="shared" si="463"/>
        <v>7500000</v>
      </c>
      <c r="R534" s="42">
        <v>0</v>
      </c>
      <c r="S534" s="32"/>
      <c r="T534" s="45">
        <v>7500000</v>
      </c>
      <c r="U534" s="32"/>
      <c r="V534" s="32"/>
      <c r="W534" s="49"/>
      <c r="X534" s="49">
        <f t="shared" ref="X534:Z534" si="538">N534-S534</f>
        <v>0</v>
      </c>
      <c r="Y534" s="49">
        <f t="shared" si="538"/>
        <v>0</v>
      </c>
      <c r="Z534" s="49">
        <f t="shared" si="538"/>
        <v>0</v>
      </c>
      <c r="AA534" s="54"/>
      <c r="AB534" s="54"/>
      <c r="AC534" s="2">
        <f t="shared" si="465"/>
        <v>2</v>
      </c>
      <c r="AD534" s="6"/>
      <c r="AE534" s="6"/>
      <c r="AF534" s="6"/>
      <c r="AG534" s="6"/>
      <c r="AH534" s="6"/>
      <c r="AI534" s="6"/>
      <c r="AJ534" s="6"/>
      <c r="AK534" s="6"/>
      <c r="AL534" s="6"/>
      <c r="AM534" s="6"/>
      <c r="AN534" s="6"/>
      <c r="AO534" s="6"/>
      <c r="AP534" s="6"/>
      <c r="AQ534" s="6"/>
      <c r="AR534" s="6"/>
      <c r="AS534" s="6"/>
    </row>
    <row r="535" spans="1:45" ht="47.25" hidden="1" x14ac:dyDescent="0.25">
      <c r="A535" s="33" t="s">
        <v>46</v>
      </c>
      <c r="B535" s="42">
        <v>372</v>
      </c>
      <c r="C535" s="33" t="s">
        <v>37</v>
      </c>
      <c r="D535" s="33" t="s">
        <v>2431</v>
      </c>
      <c r="E535" s="32"/>
      <c r="F535" s="54"/>
      <c r="G535" s="33" t="s">
        <v>2432</v>
      </c>
      <c r="H535" s="32"/>
      <c r="I535" s="32"/>
      <c r="J535" s="33" t="s">
        <v>2321</v>
      </c>
      <c r="K535" s="33" t="s">
        <v>43</v>
      </c>
      <c r="L535" s="33" t="s">
        <v>2433</v>
      </c>
      <c r="M535" s="44">
        <v>921360322</v>
      </c>
      <c r="N535" s="45"/>
      <c r="O535" s="44">
        <v>7500000</v>
      </c>
      <c r="P535" s="86"/>
      <c r="Q535" s="44">
        <f t="shared" si="463"/>
        <v>928860322</v>
      </c>
      <c r="R535" s="48">
        <v>921360322</v>
      </c>
      <c r="S535" s="32"/>
      <c r="T535" s="44">
        <v>7500000</v>
      </c>
      <c r="U535" s="32"/>
      <c r="V535" s="32"/>
      <c r="W535" s="49"/>
      <c r="X535" s="49">
        <f t="shared" ref="X535:Z535" si="539">N535-S535</f>
        <v>0</v>
      </c>
      <c r="Y535" s="49">
        <f t="shared" si="539"/>
        <v>0</v>
      </c>
      <c r="Z535" s="49">
        <f t="shared" si="539"/>
        <v>0</v>
      </c>
      <c r="AA535" s="54"/>
      <c r="AB535" s="54"/>
      <c r="AC535" s="2">
        <f t="shared" si="465"/>
        <v>2</v>
      </c>
      <c r="AD535" s="6"/>
      <c r="AE535" s="6"/>
      <c r="AF535" s="6"/>
      <c r="AG535" s="6"/>
      <c r="AH535" s="6"/>
      <c r="AI535" s="6"/>
      <c r="AJ535" s="6"/>
      <c r="AK535" s="6"/>
      <c r="AL535" s="6"/>
      <c r="AM535" s="6"/>
      <c r="AN535" s="6"/>
      <c r="AO535" s="6"/>
      <c r="AP535" s="6"/>
      <c r="AQ535" s="6"/>
      <c r="AR535" s="6"/>
      <c r="AS535" s="6"/>
    </row>
    <row r="536" spans="1:45" ht="31.5" hidden="1" x14ac:dyDescent="0.25">
      <c r="A536" s="33" t="s">
        <v>60</v>
      </c>
      <c r="B536" s="42">
        <v>374</v>
      </c>
      <c r="C536" s="33" t="s">
        <v>37</v>
      </c>
      <c r="D536" s="33" t="s">
        <v>2434</v>
      </c>
      <c r="E536" s="33" t="s">
        <v>2294</v>
      </c>
      <c r="F536" s="54"/>
      <c r="G536" s="33" t="s">
        <v>2435</v>
      </c>
      <c r="H536" s="32"/>
      <c r="I536" s="32"/>
      <c r="J536" s="33" t="s">
        <v>2436</v>
      </c>
      <c r="K536" s="33" t="s">
        <v>43</v>
      </c>
      <c r="L536" s="33" t="s">
        <v>2437</v>
      </c>
      <c r="M536" s="44">
        <v>1332855184</v>
      </c>
      <c r="N536" s="44">
        <v>1083625992</v>
      </c>
      <c r="O536" s="44">
        <v>15000000</v>
      </c>
      <c r="P536" s="86"/>
      <c r="Q536" s="44">
        <f t="shared" si="463"/>
        <v>2431481176</v>
      </c>
      <c r="R536" s="48">
        <v>1332855184</v>
      </c>
      <c r="S536" s="48">
        <v>1083625992</v>
      </c>
      <c r="T536" s="44">
        <v>15000000</v>
      </c>
      <c r="U536" s="32"/>
      <c r="V536" s="32"/>
      <c r="W536" s="49"/>
      <c r="X536" s="49">
        <f t="shared" ref="X536:Z536" si="540">N536-S536</f>
        <v>0</v>
      </c>
      <c r="Y536" s="49">
        <f t="shared" si="540"/>
        <v>0</v>
      </c>
      <c r="Z536" s="49">
        <f t="shared" si="540"/>
        <v>0</v>
      </c>
      <c r="AA536" s="54"/>
      <c r="AB536" s="54"/>
      <c r="AC536" s="2">
        <f t="shared" si="465"/>
        <v>2</v>
      </c>
      <c r="AD536" s="6"/>
      <c r="AE536" s="6"/>
      <c r="AF536" s="6"/>
      <c r="AG536" s="6"/>
      <c r="AH536" s="6"/>
      <c r="AI536" s="6"/>
      <c r="AJ536" s="6"/>
      <c r="AK536" s="6"/>
      <c r="AL536" s="6"/>
      <c r="AM536" s="6"/>
      <c r="AN536" s="6"/>
      <c r="AO536" s="6"/>
      <c r="AP536" s="6"/>
      <c r="AQ536" s="6"/>
      <c r="AR536" s="6"/>
      <c r="AS536" s="6"/>
    </row>
    <row r="537" spans="1:45" ht="47.25" hidden="1" x14ac:dyDescent="0.25">
      <c r="A537" s="33" t="s">
        <v>52</v>
      </c>
      <c r="B537" s="42">
        <v>375</v>
      </c>
      <c r="C537" s="33" t="s">
        <v>37</v>
      </c>
      <c r="D537" s="33" t="s">
        <v>2438</v>
      </c>
      <c r="E537" s="32"/>
      <c r="F537" s="54"/>
      <c r="G537" s="33" t="s">
        <v>2439</v>
      </c>
      <c r="H537" s="32"/>
      <c r="I537" s="32"/>
      <c r="J537" s="33" t="s">
        <v>2440</v>
      </c>
      <c r="K537" s="33" t="s">
        <v>43</v>
      </c>
      <c r="L537" s="33" t="s">
        <v>2441</v>
      </c>
      <c r="M537" s="44">
        <v>1438986832</v>
      </c>
      <c r="N537" s="45"/>
      <c r="O537" s="44">
        <v>15000000</v>
      </c>
      <c r="P537" s="86"/>
      <c r="Q537" s="44">
        <f t="shared" si="463"/>
        <v>1453986832</v>
      </c>
      <c r="R537" s="48">
        <v>1438986832</v>
      </c>
      <c r="S537" s="32"/>
      <c r="T537" s="44">
        <v>15000000</v>
      </c>
      <c r="U537" s="32"/>
      <c r="V537" s="32"/>
      <c r="W537" s="49"/>
      <c r="X537" s="49">
        <f t="shared" ref="X537:Z537" si="541">N537-S537</f>
        <v>0</v>
      </c>
      <c r="Y537" s="49">
        <f t="shared" si="541"/>
        <v>0</v>
      </c>
      <c r="Z537" s="49">
        <f t="shared" si="541"/>
        <v>0</v>
      </c>
      <c r="AA537" s="54"/>
      <c r="AB537" s="54"/>
      <c r="AC537" s="2">
        <f t="shared" si="465"/>
        <v>2</v>
      </c>
      <c r="AD537" s="6"/>
      <c r="AE537" s="6"/>
      <c r="AF537" s="6"/>
      <c r="AG537" s="6"/>
      <c r="AH537" s="6"/>
      <c r="AI537" s="6"/>
      <c r="AJ537" s="6"/>
      <c r="AK537" s="6"/>
      <c r="AL537" s="6"/>
      <c r="AM537" s="6"/>
      <c r="AN537" s="6"/>
      <c r="AO537" s="6"/>
      <c r="AP537" s="6"/>
      <c r="AQ537" s="6"/>
      <c r="AR537" s="6"/>
      <c r="AS537" s="6"/>
    </row>
    <row r="538" spans="1:45" ht="31.5" hidden="1" x14ac:dyDescent="0.25">
      <c r="A538" s="33" t="s">
        <v>52</v>
      </c>
      <c r="B538" s="42">
        <v>377</v>
      </c>
      <c r="C538" s="33" t="s">
        <v>37</v>
      </c>
      <c r="D538" s="33" t="s">
        <v>2442</v>
      </c>
      <c r="E538" s="33" t="s">
        <v>2443</v>
      </c>
      <c r="F538" s="54"/>
      <c r="G538" s="33" t="s">
        <v>2444</v>
      </c>
      <c r="H538" s="33" t="s">
        <v>2445</v>
      </c>
      <c r="I538" s="32"/>
      <c r="J538" s="33" t="s">
        <v>2446</v>
      </c>
      <c r="K538" s="33" t="s">
        <v>43</v>
      </c>
      <c r="L538" s="33" t="s">
        <v>2310</v>
      </c>
      <c r="M538" s="44">
        <v>1565965768</v>
      </c>
      <c r="N538" s="44">
        <v>410266836</v>
      </c>
      <c r="O538" s="44">
        <v>15000000</v>
      </c>
      <c r="P538" s="86"/>
      <c r="Q538" s="44">
        <f t="shared" si="463"/>
        <v>1991232604</v>
      </c>
      <c r="R538" s="48">
        <v>1565965768</v>
      </c>
      <c r="S538" s="49">
        <v>410266836</v>
      </c>
      <c r="T538" s="44">
        <v>15000000</v>
      </c>
      <c r="U538" s="32"/>
      <c r="V538" s="32"/>
      <c r="W538" s="49"/>
      <c r="X538" s="49">
        <f t="shared" ref="X538:Z538" si="542">N538-S538</f>
        <v>0</v>
      </c>
      <c r="Y538" s="49">
        <f t="shared" si="542"/>
        <v>0</v>
      </c>
      <c r="Z538" s="49">
        <f t="shared" si="542"/>
        <v>0</v>
      </c>
      <c r="AA538" s="54"/>
      <c r="AB538" s="54"/>
      <c r="AC538" s="2">
        <f t="shared" si="465"/>
        <v>2</v>
      </c>
      <c r="AD538" s="6"/>
      <c r="AE538" s="6"/>
      <c r="AF538" s="6"/>
      <c r="AG538" s="6"/>
      <c r="AH538" s="6"/>
      <c r="AI538" s="6"/>
      <c r="AJ538" s="6"/>
      <c r="AK538" s="6"/>
      <c r="AL538" s="6"/>
      <c r="AM538" s="6"/>
      <c r="AN538" s="6"/>
      <c r="AO538" s="6"/>
      <c r="AP538" s="6"/>
      <c r="AQ538" s="6"/>
      <c r="AR538" s="6"/>
      <c r="AS538" s="6"/>
    </row>
    <row r="539" spans="1:45" ht="31.5" hidden="1" x14ac:dyDescent="0.25">
      <c r="A539" s="33" t="s">
        <v>52</v>
      </c>
      <c r="B539" s="42">
        <v>378</v>
      </c>
      <c r="C539" s="33" t="s">
        <v>37</v>
      </c>
      <c r="D539" s="33" t="s">
        <v>2447</v>
      </c>
      <c r="E539" s="32"/>
      <c r="F539" s="54"/>
      <c r="G539" s="33" t="s">
        <v>2448</v>
      </c>
      <c r="H539" s="32"/>
      <c r="I539" s="32"/>
      <c r="J539" s="33" t="s">
        <v>2449</v>
      </c>
      <c r="K539" s="33" t="s">
        <v>43</v>
      </c>
      <c r="L539" s="33" t="s">
        <v>2450</v>
      </c>
      <c r="M539" s="44">
        <v>1173810916</v>
      </c>
      <c r="N539" s="45"/>
      <c r="O539" s="44">
        <v>15000000</v>
      </c>
      <c r="P539" s="86"/>
      <c r="Q539" s="44">
        <f t="shared" si="463"/>
        <v>1188810916</v>
      </c>
      <c r="R539" s="48">
        <v>1173810916</v>
      </c>
      <c r="S539" s="32"/>
      <c r="T539" s="44">
        <v>15000000</v>
      </c>
      <c r="U539" s="32"/>
      <c r="V539" s="32"/>
      <c r="W539" s="49"/>
      <c r="X539" s="49">
        <f t="shared" ref="X539:Z539" si="543">N539-S539</f>
        <v>0</v>
      </c>
      <c r="Y539" s="49">
        <f t="shared" si="543"/>
        <v>0</v>
      </c>
      <c r="Z539" s="49">
        <f t="shared" si="543"/>
        <v>0</v>
      </c>
      <c r="AA539" s="54"/>
      <c r="AB539" s="54"/>
      <c r="AC539" s="2">
        <f t="shared" si="465"/>
        <v>2</v>
      </c>
      <c r="AD539" s="6"/>
      <c r="AE539" s="6"/>
      <c r="AF539" s="6"/>
      <c r="AG539" s="6"/>
      <c r="AH539" s="6"/>
      <c r="AI539" s="6"/>
      <c r="AJ539" s="6"/>
      <c r="AK539" s="6"/>
      <c r="AL539" s="6"/>
      <c r="AM539" s="6"/>
      <c r="AN539" s="6"/>
      <c r="AO539" s="6"/>
      <c r="AP539" s="6"/>
      <c r="AQ539" s="6"/>
      <c r="AR539" s="6"/>
      <c r="AS539" s="6"/>
    </row>
    <row r="540" spans="1:45" ht="31.5" hidden="1" x14ac:dyDescent="0.25">
      <c r="A540" s="33" t="s">
        <v>52</v>
      </c>
      <c r="B540" s="42">
        <v>379</v>
      </c>
      <c r="C540" s="33" t="s">
        <v>37</v>
      </c>
      <c r="D540" s="33" t="s">
        <v>2451</v>
      </c>
      <c r="E540" s="33"/>
      <c r="F540" s="54"/>
      <c r="G540" s="33" t="s">
        <v>2452</v>
      </c>
      <c r="H540" s="33"/>
      <c r="I540" s="33"/>
      <c r="J540" s="33" t="s">
        <v>2453</v>
      </c>
      <c r="K540" s="33" t="s">
        <v>43</v>
      </c>
      <c r="L540" s="33" t="s">
        <v>2454</v>
      </c>
      <c r="M540" s="44">
        <v>1932455460</v>
      </c>
      <c r="N540" s="45"/>
      <c r="O540" s="44">
        <v>7500000</v>
      </c>
      <c r="P540" s="86"/>
      <c r="Q540" s="44">
        <f t="shared" si="463"/>
        <v>1939955460</v>
      </c>
      <c r="R540" s="48">
        <v>1932455460</v>
      </c>
      <c r="S540" s="32"/>
      <c r="T540" s="66"/>
      <c r="U540" s="32"/>
      <c r="V540" s="32"/>
      <c r="W540" s="49"/>
      <c r="X540" s="49">
        <f t="shared" ref="X540:Z540" si="544">N540-S540</f>
        <v>0</v>
      </c>
      <c r="Y540" s="52">
        <f t="shared" si="544"/>
        <v>7500000</v>
      </c>
      <c r="Z540" s="49">
        <f t="shared" si="544"/>
        <v>0</v>
      </c>
      <c r="AA540" s="54"/>
      <c r="AB540" s="43"/>
      <c r="AC540" s="15">
        <f t="shared" si="465"/>
        <v>2</v>
      </c>
      <c r="AD540" s="15"/>
      <c r="AE540" s="6"/>
      <c r="AF540" s="6"/>
      <c r="AG540" s="6"/>
      <c r="AH540" s="6"/>
      <c r="AI540" s="6"/>
      <c r="AJ540" s="6"/>
      <c r="AK540" s="6"/>
      <c r="AL540" s="6"/>
      <c r="AM540" s="6"/>
      <c r="AN540" s="6"/>
      <c r="AO540" s="6"/>
      <c r="AP540" s="6"/>
      <c r="AQ540" s="6"/>
      <c r="AR540" s="6"/>
      <c r="AS540" s="6"/>
    </row>
    <row r="541" spans="1:45" ht="47.25" hidden="1" x14ac:dyDescent="0.25">
      <c r="A541" s="33" t="s">
        <v>60</v>
      </c>
      <c r="B541" s="42">
        <v>380</v>
      </c>
      <c r="C541" s="33" t="s">
        <v>37</v>
      </c>
      <c r="D541" s="33" t="s">
        <v>2455</v>
      </c>
      <c r="E541" s="33" t="s">
        <v>2402</v>
      </c>
      <c r="F541" s="54"/>
      <c r="G541" s="33" t="s">
        <v>2456</v>
      </c>
      <c r="H541" s="33" t="s">
        <v>2457</v>
      </c>
      <c r="I541" s="32"/>
      <c r="J541" s="33" t="s">
        <v>2458</v>
      </c>
      <c r="K541" s="33" t="s">
        <v>43</v>
      </c>
      <c r="L541" s="33" t="s">
        <v>2459</v>
      </c>
      <c r="M541" s="44">
        <v>7987138183</v>
      </c>
      <c r="N541" s="44">
        <v>674307533</v>
      </c>
      <c r="O541" s="44">
        <v>15000000</v>
      </c>
      <c r="P541" s="86"/>
      <c r="Q541" s="44">
        <f t="shared" si="463"/>
        <v>8676445716</v>
      </c>
      <c r="R541" s="48">
        <v>7987138183</v>
      </c>
      <c r="S541" s="48">
        <v>674307533</v>
      </c>
      <c r="T541" s="44">
        <v>15000000</v>
      </c>
      <c r="U541" s="32"/>
      <c r="V541" s="32"/>
      <c r="W541" s="49"/>
      <c r="X541" s="49">
        <f t="shared" ref="X541:Z541" si="545">N541-S541</f>
        <v>0</v>
      </c>
      <c r="Y541" s="49">
        <f t="shared" si="545"/>
        <v>0</v>
      </c>
      <c r="Z541" s="49">
        <f t="shared" si="545"/>
        <v>0</v>
      </c>
      <c r="AA541" s="54"/>
      <c r="AB541" s="54"/>
      <c r="AC541" s="2">
        <f t="shared" si="465"/>
        <v>2</v>
      </c>
      <c r="AD541" s="6"/>
      <c r="AE541" s="6"/>
      <c r="AF541" s="6"/>
      <c r="AG541" s="6"/>
      <c r="AH541" s="6"/>
      <c r="AI541" s="6"/>
      <c r="AJ541" s="6"/>
      <c r="AK541" s="6"/>
      <c r="AL541" s="6"/>
      <c r="AM541" s="6"/>
      <c r="AN541" s="6"/>
      <c r="AO541" s="6"/>
      <c r="AP541" s="6"/>
      <c r="AQ541" s="6"/>
      <c r="AR541" s="6"/>
      <c r="AS541" s="6"/>
    </row>
    <row r="542" spans="1:45" ht="31.5" hidden="1" x14ac:dyDescent="0.25">
      <c r="A542" s="33" t="s">
        <v>60</v>
      </c>
      <c r="B542" s="42">
        <v>381</v>
      </c>
      <c r="C542" s="33" t="s">
        <v>37</v>
      </c>
      <c r="D542" s="33" t="s">
        <v>2461</v>
      </c>
      <c r="E542" s="33" t="s">
        <v>2462</v>
      </c>
      <c r="F542" s="54"/>
      <c r="G542" s="33" t="s">
        <v>2463</v>
      </c>
      <c r="H542" s="33" t="s">
        <v>2464</v>
      </c>
      <c r="I542" s="32"/>
      <c r="J542" s="33" t="s">
        <v>2465</v>
      </c>
      <c r="K542" s="33" t="s">
        <v>43</v>
      </c>
      <c r="L542" s="33" t="s">
        <v>2466</v>
      </c>
      <c r="M542" s="44">
        <v>3114350704</v>
      </c>
      <c r="N542" s="44">
        <v>818534808</v>
      </c>
      <c r="O542" s="44">
        <v>15000000</v>
      </c>
      <c r="P542" s="86"/>
      <c r="Q542" s="44">
        <f t="shared" si="463"/>
        <v>3947885512</v>
      </c>
      <c r="R542" s="48">
        <v>3114350704</v>
      </c>
      <c r="S542" s="48">
        <v>818534808</v>
      </c>
      <c r="T542" s="44">
        <v>15000000</v>
      </c>
      <c r="U542" s="32"/>
      <c r="V542" s="32"/>
      <c r="W542" s="49"/>
      <c r="X542" s="49">
        <f t="shared" ref="X542:Z542" si="546">N542-S542</f>
        <v>0</v>
      </c>
      <c r="Y542" s="49">
        <f t="shared" si="546"/>
        <v>0</v>
      </c>
      <c r="Z542" s="49">
        <f t="shared" si="546"/>
        <v>0</v>
      </c>
      <c r="AA542" s="54"/>
      <c r="AB542" s="54"/>
      <c r="AC542" s="2">
        <f t="shared" si="465"/>
        <v>2</v>
      </c>
      <c r="AD542" s="6"/>
      <c r="AE542" s="6"/>
      <c r="AF542" s="6"/>
      <c r="AG542" s="6"/>
      <c r="AH542" s="6"/>
      <c r="AI542" s="6"/>
      <c r="AJ542" s="6"/>
      <c r="AK542" s="6"/>
      <c r="AL542" s="6"/>
      <c r="AM542" s="6"/>
      <c r="AN542" s="6"/>
      <c r="AO542" s="6"/>
      <c r="AP542" s="6"/>
      <c r="AQ542" s="6"/>
      <c r="AR542" s="6"/>
      <c r="AS542" s="6"/>
    </row>
    <row r="543" spans="1:45" ht="46.5" hidden="1" customHeight="1" x14ac:dyDescent="0.25">
      <c r="A543" s="33" t="s">
        <v>52</v>
      </c>
      <c r="B543" s="42">
        <v>382</v>
      </c>
      <c r="C543" s="33" t="s">
        <v>37</v>
      </c>
      <c r="D543" s="33" t="s">
        <v>2467</v>
      </c>
      <c r="E543" s="32"/>
      <c r="F543" s="54"/>
      <c r="G543" s="33" t="s">
        <v>2468</v>
      </c>
      <c r="H543" s="32"/>
      <c r="I543" s="32"/>
      <c r="J543" s="33" t="s">
        <v>2469</v>
      </c>
      <c r="K543" s="33" t="s">
        <v>43</v>
      </c>
      <c r="L543" s="33" t="s">
        <v>2470</v>
      </c>
      <c r="M543" s="44">
        <v>1601529450</v>
      </c>
      <c r="N543" s="45"/>
      <c r="O543" s="44">
        <v>7500000</v>
      </c>
      <c r="P543" s="86"/>
      <c r="Q543" s="44">
        <f t="shared" si="463"/>
        <v>1609029450</v>
      </c>
      <c r="R543" s="48">
        <v>1601529450</v>
      </c>
      <c r="S543" s="32"/>
      <c r="T543" s="44">
        <v>7500000</v>
      </c>
      <c r="U543" s="32"/>
      <c r="V543" s="32"/>
      <c r="W543" s="49"/>
      <c r="X543" s="49">
        <f t="shared" ref="X543:Z543" si="547">N543-S543</f>
        <v>0</v>
      </c>
      <c r="Y543" s="49">
        <f t="shared" si="547"/>
        <v>0</v>
      </c>
      <c r="Z543" s="49">
        <f t="shared" si="547"/>
        <v>0</v>
      </c>
      <c r="AA543" s="54"/>
      <c r="AB543" s="54"/>
      <c r="AC543" s="2">
        <f t="shared" si="465"/>
        <v>2</v>
      </c>
      <c r="AD543" s="6"/>
      <c r="AE543" s="6"/>
      <c r="AF543" s="6"/>
      <c r="AG543" s="6"/>
      <c r="AH543" s="6"/>
      <c r="AI543" s="6"/>
      <c r="AJ543" s="6"/>
      <c r="AK543" s="6"/>
      <c r="AL543" s="6"/>
      <c r="AM543" s="6"/>
      <c r="AN543" s="6"/>
      <c r="AO543" s="6"/>
      <c r="AP543" s="6"/>
      <c r="AQ543" s="6"/>
      <c r="AR543" s="6"/>
      <c r="AS543" s="6"/>
    </row>
    <row r="544" spans="1:45" ht="47.25" hidden="1" x14ac:dyDescent="0.25">
      <c r="A544" s="33" t="s">
        <v>52</v>
      </c>
      <c r="B544" s="42">
        <v>383</v>
      </c>
      <c r="C544" s="33" t="s">
        <v>163</v>
      </c>
      <c r="D544" s="33" t="s">
        <v>2471</v>
      </c>
      <c r="E544" s="32"/>
      <c r="F544" s="54"/>
      <c r="G544" s="33" t="s">
        <v>2472</v>
      </c>
      <c r="H544" s="32"/>
      <c r="I544" s="32"/>
      <c r="J544" s="33" t="s">
        <v>2473</v>
      </c>
      <c r="K544" s="33" t="s">
        <v>43</v>
      </c>
      <c r="L544" s="33" t="s">
        <v>2474</v>
      </c>
      <c r="M544" s="44">
        <v>11297433580</v>
      </c>
      <c r="N544" s="45"/>
      <c r="O544" s="44">
        <v>15000000</v>
      </c>
      <c r="P544" s="86"/>
      <c r="Q544" s="44">
        <f t="shared" si="463"/>
        <v>11312433580</v>
      </c>
      <c r="R544" s="48">
        <v>11297433580</v>
      </c>
      <c r="S544" s="32"/>
      <c r="T544" s="44">
        <v>15000000</v>
      </c>
      <c r="U544" s="32"/>
      <c r="V544" s="32"/>
      <c r="W544" s="49"/>
      <c r="X544" s="49">
        <f t="shared" ref="X544:Z544" si="548">N544-S544</f>
        <v>0</v>
      </c>
      <c r="Y544" s="49">
        <f t="shared" si="548"/>
        <v>0</v>
      </c>
      <c r="Z544" s="49">
        <f t="shared" si="548"/>
        <v>0</v>
      </c>
      <c r="AA544" s="54"/>
      <c r="AB544" s="54"/>
      <c r="AC544" s="2">
        <f t="shared" si="465"/>
        <v>2</v>
      </c>
      <c r="AD544" s="6"/>
      <c r="AE544" s="6"/>
      <c r="AF544" s="6"/>
      <c r="AG544" s="6"/>
      <c r="AH544" s="6"/>
      <c r="AI544" s="6"/>
      <c r="AJ544" s="6"/>
      <c r="AK544" s="6"/>
      <c r="AL544" s="6"/>
      <c r="AM544" s="6"/>
      <c r="AN544" s="6"/>
      <c r="AO544" s="6"/>
      <c r="AP544" s="6"/>
      <c r="AQ544" s="6"/>
      <c r="AR544" s="6"/>
      <c r="AS544" s="6"/>
    </row>
    <row r="545" spans="1:45" ht="78.75" hidden="1" x14ac:dyDescent="0.25">
      <c r="A545" s="33" t="s">
        <v>88</v>
      </c>
      <c r="B545" s="42">
        <v>385</v>
      </c>
      <c r="C545" s="33" t="s">
        <v>163</v>
      </c>
      <c r="D545" s="33" t="s">
        <v>2476</v>
      </c>
      <c r="E545" s="33" t="s">
        <v>2477</v>
      </c>
      <c r="F545" s="54"/>
      <c r="G545" s="33" t="s">
        <v>2478</v>
      </c>
      <c r="H545" s="33"/>
      <c r="I545" s="33" t="s">
        <v>2479</v>
      </c>
      <c r="J545" s="33" t="s">
        <v>0</v>
      </c>
      <c r="K545" s="33" t="s">
        <v>43</v>
      </c>
      <c r="L545" s="33" t="s">
        <v>2480</v>
      </c>
      <c r="M545" s="44">
        <v>0</v>
      </c>
      <c r="N545" s="45"/>
      <c r="O545" s="44">
        <v>7500000</v>
      </c>
      <c r="P545" s="86"/>
      <c r="Q545" s="44">
        <f t="shared" si="463"/>
        <v>7500000</v>
      </c>
      <c r="R545" s="42">
        <v>0</v>
      </c>
      <c r="S545" s="32"/>
      <c r="T545" s="66"/>
      <c r="U545" s="32"/>
      <c r="V545" s="32"/>
      <c r="W545" s="49"/>
      <c r="X545" s="49">
        <f t="shared" ref="X545:Z545" si="549">N545-S545</f>
        <v>0</v>
      </c>
      <c r="Y545" s="52">
        <f t="shared" si="549"/>
        <v>7500000</v>
      </c>
      <c r="Z545" s="49">
        <f t="shared" si="549"/>
        <v>0</v>
      </c>
      <c r="AA545" s="54"/>
      <c r="AB545" s="43"/>
      <c r="AC545" s="15">
        <f t="shared" si="465"/>
        <v>2</v>
      </c>
      <c r="AD545" s="15"/>
      <c r="AE545" s="6"/>
      <c r="AF545" s="6"/>
      <c r="AG545" s="6"/>
      <c r="AH545" s="6"/>
      <c r="AI545" s="6"/>
      <c r="AJ545" s="6"/>
      <c r="AK545" s="6"/>
      <c r="AL545" s="6"/>
      <c r="AM545" s="6"/>
      <c r="AN545" s="6"/>
      <c r="AO545" s="6"/>
      <c r="AP545" s="6"/>
      <c r="AQ545" s="6"/>
      <c r="AR545" s="6"/>
      <c r="AS545" s="6"/>
    </row>
    <row r="546" spans="1:45" ht="47.25" hidden="1" x14ac:dyDescent="0.25">
      <c r="A546" s="33" t="s">
        <v>60</v>
      </c>
      <c r="B546" s="42">
        <v>386</v>
      </c>
      <c r="C546" s="33" t="s">
        <v>163</v>
      </c>
      <c r="D546" s="33" t="s">
        <v>2481</v>
      </c>
      <c r="E546" s="33"/>
      <c r="F546" s="54"/>
      <c r="G546" s="33" t="s">
        <v>2482</v>
      </c>
      <c r="H546" s="33"/>
      <c r="I546" s="33"/>
      <c r="J546" s="33" t="s">
        <v>2483</v>
      </c>
      <c r="K546" s="33" t="s">
        <v>43</v>
      </c>
      <c r="L546" s="33" t="s">
        <v>2484</v>
      </c>
      <c r="M546" s="44">
        <v>10000000</v>
      </c>
      <c r="N546" s="45"/>
      <c r="O546" s="44">
        <v>15000000</v>
      </c>
      <c r="P546" s="86"/>
      <c r="Q546" s="44">
        <f t="shared" si="463"/>
        <v>25000000</v>
      </c>
      <c r="R546" s="32"/>
      <c r="S546" s="32"/>
      <c r="T546" s="66"/>
      <c r="U546" s="32"/>
      <c r="V546" s="32"/>
      <c r="W546" s="49">
        <v>10000000</v>
      </c>
      <c r="X546" s="49">
        <f t="shared" ref="X546:Z546" si="550">N546-S546</f>
        <v>0</v>
      </c>
      <c r="Y546" s="52">
        <f t="shared" si="550"/>
        <v>15000000</v>
      </c>
      <c r="Z546" s="49">
        <f t="shared" si="550"/>
        <v>0</v>
      </c>
      <c r="AA546" s="102">
        <v>10000000</v>
      </c>
      <c r="AB546" s="43"/>
      <c r="AC546" s="15">
        <f t="shared" si="465"/>
        <v>2</v>
      </c>
      <c r="AD546" s="15"/>
      <c r="AE546" s="6"/>
      <c r="AF546" s="6"/>
      <c r="AG546" s="6"/>
      <c r="AH546" s="6"/>
      <c r="AI546" s="6"/>
      <c r="AJ546" s="6"/>
      <c r="AK546" s="6"/>
      <c r="AL546" s="6"/>
      <c r="AM546" s="6"/>
      <c r="AN546" s="6"/>
      <c r="AO546" s="6"/>
      <c r="AP546" s="6"/>
      <c r="AQ546" s="6"/>
      <c r="AR546" s="6"/>
      <c r="AS546" s="6"/>
    </row>
    <row r="547" spans="1:45" ht="62.25" hidden="1" customHeight="1" x14ac:dyDescent="0.25">
      <c r="A547" s="33" t="s">
        <v>60</v>
      </c>
      <c r="B547" s="42">
        <v>387</v>
      </c>
      <c r="C547" s="33" t="s">
        <v>163</v>
      </c>
      <c r="D547" s="33" t="s">
        <v>2485</v>
      </c>
      <c r="E547" s="32"/>
      <c r="F547" s="54"/>
      <c r="G547" s="33" t="s">
        <v>2486</v>
      </c>
      <c r="H547" s="32"/>
      <c r="I547" s="32"/>
      <c r="J547" s="33" t="s">
        <v>2487</v>
      </c>
      <c r="K547" s="33" t="s">
        <v>43</v>
      </c>
      <c r="L547" s="33" t="s">
        <v>2488</v>
      </c>
      <c r="M547" s="44">
        <v>316671600</v>
      </c>
      <c r="N547" s="45"/>
      <c r="O547" s="44">
        <v>7500000</v>
      </c>
      <c r="P547" s="86"/>
      <c r="Q547" s="44">
        <f t="shared" si="463"/>
        <v>324171600</v>
      </c>
      <c r="R547" s="48">
        <v>316671600</v>
      </c>
      <c r="S547" s="32"/>
      <c r="T547" s="44">
        <v>7500000</v>
      </c>
      <c r="U547" s="32"/>
      <c r="V547" s="32"/>
      <c r="W547" s="49"/>
      <c r="X547" s="49">
        <f t="shared" ref="X547:Z547" si="551">N547-S547</f>
        <v>0</v>
      </c>
      <c r="Y547" s="49">
        <f t="shared" si="551"/>
        <v>0</v>
      </c>
      <c r="Z547" s="49">
        <f t="shared" si="551"/>
        <v>0</v>
      </c>
      <c r="AA547" s="54"/>
      <c r="AB547" s="54"/>
      <c r="AC547" s="2">
        <f t="shared" si="465"/>
        <v>2</v>
      </c>
      <c r="AD547" s="6"/>
      <c r="AE547" s="6"/>
      <c r="AF547" s="6"/>
      <c r="AG547" s="6"/>
      <c r="AH547" s="6"/>
      <c r="AI547" s="6"/>
      <c r="AJ547" s="6"/>
      <c r="AK547" s="6"/>
      <c r="AL547" s="6"/>
      <c r="AM547" s="6"/>
      <c r="AN547" s="6"/>
      <c r="AO547" s="6"/>
      <c r="AP547" s="6"/>
      <c r="AQ547" s="6"/>
      <c r="AR547" s="6"/>
      <c r="AS547" s="6"/>
    </row>
    <row r="548" spans="1:45" ht="62.25" hidden="1" customHeight="1" x14ac:dyDescent="0.25">
      <c r="A548" s="33" t="s">
        <v>60</v>
      </c>
      <c r="B548" s="42">
        <v>388</v>
      </c>
      <c r="C548" s="33" t="s">
        <v>163</v>
      </c>
      <c r="D548" s="33" t="s">
        <v>2489</v>
      </c>
      <c r="E548" s="32"/>
      <c r="F548" s="54"/>
      <c r="G548" s="33" t="s">
        <v>2490</v>
      </c>
      <c r="H548" s="32"/>
      <c r="I548" s="32"/>
      <c r="J548" s="33" t="s">
        <v>2491</v>
      </c>
      <c r="K548" s="33" t="s">
        <v>43</v>
      </c>
      <c r="L548" s="33" t="s">
        <v>2492</v>
      </c>
      <c r="M548" s="44">
        <v>467090610</v>
      </c>
      <c r="N548" s="45"/>
      <c r="O548" s="44">
        <v>7500000</v>
      </c>
      <c r="P548" s="86"/>
      <c r="Q548" s="44">
        <f t="shared" si="463"/>
        <v>474590610</v>
      </c>
      <c r="R548" s="79">
        <v>467090610</v>
      </c>
      <c r="S548" s="32"/>
      <c r="T548" s="44">
        <v>7500000</v>
      </c>
      <c r="U548" s="32"/>
      <c r="V548" s="32"/>
      <c r="W548" s="49"/>
      <c r="X548" s="49">
        <f t="shared" ref="X548:Z548" si="552">N548-S548</f>
        <v>0</v>
      </c>
      <c r="Y548" s="49">
        <f t="shared" si="552"/>
        <v>0</v>
      </c>
      <c r="Z548" s="49">
        <f t="shared" si="552"/>
        <v>0</v>
      </c>
      <c r="AA548" s="54"/>
      <c r="AB548" s="54"/>
      <c r="AC548" s="2">
        <f t="shared" si="465"/>
        <v>2</v>
      </c>
      <c r="AD548" s="6"/>
      <c r="AE548" s="6"/>
      <c r="AF548" s="6"/>
      <c r="AG548" s="6"/>
      <c r="AH548" s="6"/>
      <c r="AI548" s="6"/>
      <c r="AJ548" s="6"/>
      <c r="AK548" s="6"/>
      <c r="AL548" s="6"/>
      <c r="AM548" s="6"/>
      <c r="AN548" s="6"/>
      <c r="AO548" s="6"/>
      <c r="AP548" s="6"/>
      <c r="AQ548" s="6"/>
      <c r="AR548" s="6"/>
      <c r="AS548" s="6"/>
    </row>
    <row r="549" spans="1:45" ht="47.25" hidden="1" x14ac:dyDescent="0.25">
      <c r="A549" s="33" t="s">
        <v>60</v>
      </c>
      <c r="B549" s="42">
        <v>389</v>
      </c>
      <c r="C549" s="33" t="s">
        <v>163</v>
      </c>
      <c r="D549" s="33" t="s">
        <v>2493</v>
      </c>
      <c r="E549" s="32"/>
      <c r="F549" s="54"/>
      <c r="G549" s="33" t="s">
        <v>2494</v>
      </c>
      <c r="H549" s="32"/>
      <c r="I549" s="32"/>
      <c r="J549" s="33" t="s">
        <v>2495</v>
      </c>
      <c r="K549" s="33" t="s">
        <v>43</v>
      </c>
      <c r="L549" s="33" t="s">
        <v>2496</v>
      </c>
      <c r="M549" s="44">
        <v>938372032</v>
      </c>
      <c r="N549" s="45"/>
      <c r="O549" s="44">
        <v>15000000</v>
      </c>
      <c r="P549" s="86"/>
      <c r="Q549" s="44">
        <f t="shared" si="463"/>
        <v>953372032</v>
      </c>
      <c r="R549" s="48">
        <v>938372032</v>
      </c>
      <c r="S549" s="32"/>
      <c r="T549" s="44">
        <v>15000000</v>
      </c>
      <c r="U549" s="32"/>
      <c r="V549" s="32"/>
      <c r="W549" s="49"/>
      <c r="X549" s="49">
        <f t="shared" ref="X549:Z549" si="553">N549-S549</f>
        <v>0</v>
      </c>
      <c r="Y549" s="49">
        <f t="shared" si="553"/>
        <v>0</v>
      </c>
      <c r="Z549" s="49">
        <f t="shared" si="553"/>
        <v>0</v>
      </c>
      <c r="AA549" s="54"/>
      <c r="AB549" s="54"/>
      <c r="AC549" s="2">
        <f t="shared" si="465"/>
        <v>2</v>
      </c>
      <c r="AD549" s="6"/>
      <c r="AE549" s="6"/>
      <c r="AF549" s="6"/>
      <c r="AG549" s="6"/>
      <c r="AH549" s="6"/>
      <c r="AI549" s="6"/>
      <c r="AJ549" s="6"/>
      <c r="AK549" s="6"/>
      <c r="AL549" s="6"/>
      <c r="AM549" s="6"/>
      <c r="AN549" s="6"/>
      <c r="AO549" s="6"/>
      <c r="AP549" s="6"/>
      <c r="AQ549" s="6"/>
      <c r="AR549" s="6"/>
      <c r="AS549" s="6"/>
    </row>
    <row r="550" spans="1:45" ht="47.25" hidden="1" x14ac:dyDescent="0.25">
      <c r="A550" s="33" t="s">
        <v>88</v>
      </c>
      <c r="B550" s="42">
        <v>390</v>
      </c>
      <c r="C550" s="33" t="s">
        <v>163</v>
      </c>
      <c r="D550" s="33" t="s">
        <v>2497</v>
      </c>
      <c r="E550" s="33"/>
      <c r="F550" s="54"/>
      <c r="G550" s="33" t="s">
        <v>2498</v>
      </c>
      <c r="H550" s="33"/>
      <c r="I550" s="33"/>
      <c r="J550" s="33" t="s">
        <v>2499</v>
      </c>
      <c r="K550" s="33" t="s">
        <v>43</v>
      </c>
      <c r="L550" s="33" t="s">
        <v>2500</v>
      </c>
      <c r="M550" s="44">
        <v>6416500</v>
      </c>
      <c r="N550" s="45"/>
      <c r="O550" s="44">
        <v>7500000</v>
      </c>
      <c r="P550" s="86"/>
      <c r="Q550" s="44">
        <f t="shared" si="463"/>
        <v>13916500</v>
      </c>
      <c r="R550" s="32"/>
      <c r="S550" s="32"/>
      <c r="T550" s="66"/>
      <c r="U550" s="32"/>
      <c r="V550" s="32"/>
      <c r="W550" s="49">
        <v>6416500</v>
      </c>
      <c r="X550" s="49">
        <f t="shared" ref="X550:Z550" si="554">N550-S550</f>
        <v>0</v>
      </c>
      <c r="Y550" s="52">
        <f t="shared" si="554"/>
        <v>7500000</v>
      </c>
      <c r="Z550" s="49">
        <f t="shared" si="554"/>
        <v>0</v>
      </c>
      <c r="AA550" s="73">
        <v>6416500</v>
      </c>
      <c r="AB550" s="43"/>
      <c r="AC550" s="15">
        <f t="shared" si="465"/>
        <v>2</v>
      </c>
      <c r="AD550" s="15"/>
      <c r="AE550" s="6"/>
      <c r="AF550" s="6"/>
      <c r="AG550" s="6"/>
      <c r="AH550" s="6"/>
      <c r="AI550" s="6"/>
      <c r="AJ550" s="6"/>
      <c r="AK550" s="6"/>
      <c r="AL550" s="6"/>
      <c r="AM550" s="6"/>
      <c r="AN550" s="6"/>
      <c r="AO550" s="6"/>
      <c r="AP550" s="6"/>
      <c r="AQ550" s="6"/>
      <c r="AR550" s="6"/>
      <c r="AS550" s="6"/>
    </row>
    <row r="551" spans="1:45" ht="47.25" hidden="1" x14ac:dyDescent="0.25">
      <c r="A551" s="33" t="s">
        <v>46</v>
      </c>
      <c r="B551" s="42">
        <v>391</v>
      </c>
      <c r="C551" s="33" t="s">
        <v>163</v>
      </c>
      <c r="D551" s="33" t="s">
        <v>2501</v>
      </c>
      <c r="E551" s="32"/>
      <c r="F551" s="54"/>
      <c r="G551" s="33" t="s">
        <v>2502</v>
      </c>
      <c r="H551" s="32"/>
      <c r="I551" s="32"/>
      <c r="J551" s="33" t="s">
        <v>2503</v>
      </c>
      <c r="K551" s="33" t="s">
        <v>43</v>
      </c>
      <c r="L551" s="33" t="s">
        <v>242</v>
      </c>
      <c r="M551" s="44">
        <v>1417969836</v>
      </c>
      <c r="N551" s="45"/>
      <c r="O551" s="44">
        <v>15000000</v>
      </c>
      <c r="P551" s="86"/>
      <c r="Q551" s="44">
        <f t="shared" si="463"/>
        <v>1432969836</v>
      </c>
      <c r="R551" s="48">
        <v>1417969836</v>
      </c>
      <c r="S551" s="32"/>
      <c r="T551" s="44">
        <v>15000000</v>
      </c>
      <c r="U551" s="32"/>
      <c r="V551" s="32"/>
      <c r="W551" s="49"/>
      <c r="X551" s="49">
        <f t="shared" ref="X551:Z551" si="555">N551-S551</f>
        <v>0</v>
      </c>
      <c r="Y551" s="49">
        <f t="shared" si="555"/>
        <v>0</v>
      </c>
      <c r="Z551" s="49">
        <f t="shared" si="555"/>
        <v>0</v>
      </c>
      <c r="AA551" s="54"/>
      <c r="AB551" s="54"/>
      <c r="AC551" s="2">
        <f t="shared" si="465"/>
        <v>2</v>
      </c>
      <c r="AD551" s="6"/>
      <c r="AE551" s="6"/>
      <c r="AF551" s="6"/>
      <c r="AG551" s="6"/>
      <c r="AH551" s="6"/>
      <c r="AI551" s="6"/>
      <c r="AJ551" s="6"/>
      <c r="AK551" s="6"/>
      <c r="AL551" s="6"/>
      <c r="AM551" s="6"/>
      <c r="AN551" s="6"/>
      <c r="AO551" s="6"/>
      <c r="AP551" s="6"/>
      <c r="AQ551" s="6"/>
      <c r="AR551" s="6"/>
      <c r="AS551" s="6"/>
    </row>
    <row r="552" spans="1:45" ht="47.25" hidden="1" x14ac:dyDescent="0.25">
      <c r="A552" s="33" t="s">
        <v>60</v>
      </c>
      <c r="B552" s="42">
        <v>392</v>
      </c>
      <c r="C552" s="33" t="s">
        <v>163</v>
      </c>
      <c r="D552" s="33" t="s">
        <v>2504</v>
      </c>
      <c r="E552" s="32"/>
      <c r="F552" s="54"/>
      <c r="G552" s="33" t="s">
        <v>2505</v>
      </c>
      <c r="H552" s="32"/>
      <c r="I552" s="32"/>
      <c r="J552" s="33" t="s">
        <v>2506</v>
      </c>
      <c r="K552" s="33" t="s">
        <v>43</v>
      </c>
      <c r="L552" s="33" t="s">
        <v>2507</v>
      </c>
      <c r="M552" s="44">
        <v>593759250</v>
      </c>
      <c r="N552" s="45"/>
      <c r="O552" s="44">
        <v>7500000</v>
      </c>
      <c r="P552" s="86"/>
      <c r="Q552" s="44">
        <f t="shared" si="463"/>
        <v>601259250</v>
      </c>
      <c r="R552" s="48">
        <v>593759250</v>
      </c>
      <c r="S552" s="32"/>
      <c r="T552" s="44">
        <v>7500000</v>
      </c>
      <c r="U552" s="32"/>
      <c r="V552" s="32"/>
      <c r="W552" s="49"/>
      <c r="X552" s="49">
        <f t="shared" ref="X552:Z552" si="556">N552-S552</f>
        <v>0</v>
      </c>
      <c r="Y552" s="49">
        <f t="shared" si="556"/>
        <v>0</v>
      </c>
      <c r="Z552" s="49">
        <f t="shared" si="556"/>
        <v>0</v>
      </c>
      <c r="AA552" s="54"/>
      <c r="AB552" s="54"/>
      <c r="AC552" s="2">
        <f t="shared" si="465"/>
        <v>2</v>
      </c>
      <c r="AD552" s="6"/>
      <c r="AE552" s="6"/>
      <c r="AF552" s="6"/>
      <c r="AG552" s="6"/>
      <c r="AH552" s="6"/>
      <c r="AI552" s="6"/>
      <c r="AJ552" s="6"/>
      <c r="AK552" s="6"/>
      <c r="AL552" s="6"/>
      <c r="AM552" s="6"/>
      <c r="AN552" s="6"/>
      <c r="AO552" s="6"/>
      <c r="AP552" s="6"/>
      <c r="AQ552" s="6"/>
      <c r="AR552" s="6"/>
      <c r="AS552" s="6"/>
    </row>
    <row r="553" spans="1:45" ht="47.25" hidden="1" x14ac:dyDescent="0.25">
      <c r="A553" s="33" t="s">
        <v>35</v>
      </c>
      <c r="B553" s="42">
        <v>393</v>
      </c>
      <c r="C553" s="33" t="s">
        <v>163</v>
      </c>
      <c r="D553" s="33" t="s">
        <v>2508</v>
      </c>
      <c r="E553" s="32"/>
      <c r="F553" s="54"/>
      <c r="G553" s="33" t="s">
        <v>2509</v>
      </c>
      <c r="H553" s="32"/>
      <c r="I553" s="32"/>
      <c r="J553" s="33" t="s">
        <v>2510</v>
      </c>
      <c r="K553" s="33" t="s">
        <v>43</v>
      </c>
      <c r="L553" s="33" t="s">
        <v>2511</v>
      </c>
      <c r="M553" s="44">
        <v>0</v>
      </c>
      <c r="N553" s="45"/>
      <c r="O553" s="44">
        <v>7500000</v>
      </c>
      <c r="P553" s="86"/>
      <c r="Q553" s="44">
        <f t="shared" si="463"/>
        <v>7500000</v>
      </c>
      <c r="R553" s="42">
        <v>0</v>
      </c>
      <c r="S553" s="32"/>
      <c r="T553" s="44">
        <v>7500000</v>
      </c>
      <c r="U553" s="32"/>
      <c r="V553" s="32"/>
      <c r="W553" s="49"/>
      <c r="X553" s="49">
        <f t="shared" ref="X553:Z553" si="557">N553-S553</f>
        <v>0</v>
      </c>
      <c r="Y553" s="49">
        <f t="shared" si="557"/>
        <v>0</v>
      </c>
      <c r="Z553" s="49">
        <f t="shared" si="557"/>
        <v>0</v>
      </c>
      <c r="AA553" s="54"/>
      <c r="AB553" s="54"/>
      <c r="AC553" s="2">
        <f t="shared" si="465"/>
        <v>2</v>
      </c>
      <c r="AD553" s="6"/>
      <c r="AE553" s="6"/>
      <c r="AF553" s="6"/>
      <c r="AG553" s="6"/>
      <c r="AH553" s="6"/>
      <c r="AI553" s="6"/>
      <c r="AJ553" s="6"/>
      <c r="AK553" s="6"/>
      <c r="AL553" s="6"/>
      <c r="AM553" s="6"/>
      <c r="AN553" s="6"/>
      <c r="AO553" s="6"/>
      <c r="AP553" s="6"/>
      <c r="AQ553" s="6"/>
      <c r="AR553" s="6"/>
      <c r="AS553" s="6"/>
    </row>
    <row r="554" spans="1:45" ht="47.25" hidden="1" x14ac:dyDescent="0.25">
      <c r="A554" s="33" t="s">
        <v>88</v>
      </c>
      <c r="B554" s="42">
        <v>394</v>
      </c>
      <c r="C554" s="33" t="s">
        <v>163</v>
      </c>
      <c r="D554" s="33" t="s">
        <v>2512</v>
      </c>
      <c r="E554" s="32"/>
      <c r="F554" s="54"/>
      <c r="G554" s="33" t="s">
        <v>2513</v>
      </c>
      <c r="H554" s="32"/>
      <c r="I554" s="32"/>
      <c r="J554" s="33" t="s">
        <v>2514</v>
      </c>
      <c r="K554" s="33" t="s">
        <v>43</v>
      </c>
      <c r="L554" s="33" t="s">
        <v>2515</v>
      </c>
      <c r="M554" s="44">
        <v>12385885580</v>
      </c>
      <c r="N554" s="45"/>
      <c r="O554" s="44">
        <v>15000000</v>
      </c>
      <c r="P554" s="86"/>
      <c r="Q554" s="44">
        <f t="shared" si="463"/>
        <v>12400885580</v>
      </c>
      <c r="R554" s="48">
        <v>12385885580</v>
      </c>
      <c r="S554" s="32"/>
      <c r="T554" s="44">
        <v>15000000</v>
      </c>
      <c r="U554" s="32"/>
      <c r="V554" s="32"/>
      <c r="W554" s="49"/>
      <c r="X554" s="49">
        <f t="shared" ref="X554:Z554" si="558">N554-S554</f>
        <v>0</v>
      </c>
      <c r="Y554" s="49">
        <f t="shared" si="558"/>
        <v>0</v>
      </c>
      <c r="Z554" s="49">
        <f t="shared" si="558"/>
        <v>0</v>
      </c>
      <c r="AA554" s="54"/>
      <c r="AB554" s="54"/>
      <c r="AC554" s="2">
        <f t="shared" si="465"/>
        <v>2</v>
      </c>
      <c r="AD554" s="6"/>
      <c r="AE554" s="6"/>
      <c r="AF554" s="6"/>
      <c r="AG554" s="6"/>
      <c r="AH554" s="6"/>
      <c r="AI554" s="6"/>
      <c r="AJ554" s="6"/>
      <c r="AK554" s="6"/>
      <c r="AL554" s="6"/>
      <c r="AM554" s="6"/>
      <c r="AN554" s="6"/>
      <c r="AO554" s="6"/>
      <c r="AP554" s="6"/>
      <c r="AQ554" s="6"/>
      <c r="AR554" s="6"/>
      <c r="AS554" s="6"/>
    </row>
    <row r="555" spans="1:45" ht="47.25" hidden="1" x14ac:dyDescent="0.25">
      <c r="A555" s="33" t="s">
        <v>52</v>
      </c>
      <c r="B555" s="42">
        <v>395</v>
      </c>
      <c r="C555" s="33" t="s">
        <v>163</v>
      </c>
      <c r="D555" s="33" t="s">
        <v>2516</v>
      </c>
      <c r="E555" s="32"/>
      <c r="F555" s="54"/>
      <c r="G555" s="33" t="s">
        <v>2517</v>
      </c>
      <c r="H555" s="32"/>
      <c r="I555" s="32"/>
      <c r="J555" s="33" t="s">
        <v>2518</v>
      </c>
      <c r="K555" s="33" t="s">
        <v>43</v>
      </c>
      <c r="L555" s="33" t="s">
        <v>242</v>
      </c>
      <c r="M555" s="44">
        <v>1322232264</v>
      </c>
      <c r="N555" s="45"/>
      <c r="O555" s="44">
        <v>15000000</v>
      </c>
      <c r="P555" s="86"/>
      <c r="Q555" s="44">
        <f t="shared" si="463"/>
        <v>1337232264</v>
      </c>
      <c r="R555" s="48">
        <v>1322232264</v>
      </c>
      <c r="S555" s="32"/>
      <c r="T555" s="44">
        <v>15000000</v>
      </c>
      <c r="U555" s="32"/>
      <c r="V555" s="32"/>
      <c r="W555" s="49"/>
      <c r="X555" s="49">
        <f t="shared" ref="X555:Z555" si="559">N555-S555</f>
        <v>0</v>
      </c>
      <c r="Y555" s="49">
        <f t="shared" si="559"/>
        <v>0</v>
      </c>
      <c r="Z555" s="49">
        <f t="shared" si="559"/>
        <v>0</v>
      </c>
      <c r="AA555" s="54"/>
      <c r="AB555" s="54"/>
      <c r="AC555" s="2">
        <f t="shared" si="465"/>
        <v>2</v>
      </c>
      <c r="AD555" s="6"/>
      <c r="AE555" s="6"/>
      <c r="AF555" s="6"/>
      <c r="AG555" s="6"/>
      <c r="AH555" s="6"/>
      <c r="AI555" s="6"/>
      <c r="AJ555" s="6"/>
      <c r="AK555" s="6"/>
      <c r="AL555" s="6"/>
      <c r="AM555" s="6"/>
      <c r="AN555" s="6"/>
      <c r="AO555" s="6"/>
      <c r="AP555" s="6"/>
      <c r="AQ555" s="6"/>
      <c r="AR555" s="6"/>
      <c r="AS555" s="6"/>
    </row>
    <row r="556" spans="1:45" ht="47.25" hidden="1" x14ac:dyDescent="0.25">
      <c r="A556" s="33" t="s">
        <v>35</v>
      </c>
      <c r="B556" s="42">
        <v>398</v>
      </c>
      <c r="C556" s="33" t="s">
        <v>163</v>
      </c>
      <c r="D556" s="33" t="s">
        <v>2521</v>
      </c>
      <c r="E556" s="32"/>
      <c r="F556" s="54"/>
      <c r="G556" s="33" t="s">
        <v>2522</v>
      </c>
      <c r="H556" s="32"/>
      <c r="I556" s="32"/>
      <c r="J556" s="33" t="s">
        <v>2523</v>
      </c>
      <c r="K556" s="33" t="s">
        <v>43</v>
      </c>
      <c r="L556" s="33" t="s">
        <v>2524</v>
      </c>
      <c r="M556" s="44">
        <v>32537495820</v>
      </c>
      <c r="N556" s="45"/>
      <c r="O556" s="44">
        <v>15000000</v>
      </c>
      <c r="P556" s="86"/>
      <c r="Q556" s="44">
        <f t="shared" si="463"/>
        <v>32552495820</v>
      </c>
      <c r="R556" s="48">
        <v>32537495820</v>
      </c>
      <c r="S556" s="32"/>
      <c r="T556" s="45">
        <v>15000000</v>
      </c>
      <c r="U556" s="32"/>
      <c r="V556" s="32"/>
      <c r="W556" s="49"/>
      <c r="X556" s="49">
        <f t="shared" ref="X556:Z556" si="560">N556-S556</f>
        <v>0</v>
      </c>
      <c r="Y556" s="49">
        <f t="shared" si="560"/>
        <v>0</v>
      </c>
      <c r="Z556" s="49">
        <f t="shared" si="560"/>
        <v>0</v>
      </c>
      <c r="AA556" s="54"/>
      <c r="AB556" s="54"/>
      <c r="AC556" s="2">
        <f t="shared" si="465"/>
        <v>2</v>
      </c>
      <c r="AD556" s="6"/>
      <c r="AE556" s="6"/>
      <c r="AF556" s="6"/>
      <c r="AG556" s="6"/>
      <c r="AH556" s="6"/>
      <c r="AI556" s="6"/>
      <c r="AJ556" s="6"/>
      <c r="AK556" s="6"/>
      <c r="AL556" s="6"/>
      <c r="AM556" s="6"/>
      <c r="AN556" s="6"/>
      <c r="AO556" s="6"/>
      <c r="AP556" s="6"/>
      <c r="AQ556" s="6"/>
      <c r="AR556" s="6"/>
      <c r="AS556" s="6"/>
    </row>
    <row r="557" spans="1:45" ht="47.25" hidden="1" x14ac:dyDescent="0.25">
      <c r="A557" s="33" t="s">
        <v>46</v>
      </c>
      <c r="B557" s="42">
        <v>399</v>
      </c>
      <c r="C557" s="33" t="s">
        <v>163</v>
      </c>
      <c r="D557" s="33" t="s">
        <v>2525</v>
      </c>
      <c r="E557" s="33" t="s">
        <v>2526</v>
      </c>
      <c r="F557" s="54"/>
      <c r="G557" s="33" t="s">
        <v>2527</v>
      </c>
      <c r="H557" s="32"/>
      <c r="I557" s="32"/>
      <c r="J557" s="33" t="s">
        <v>2528</v>
      </c>
      <c r="K557" s="33" t="s">
        <v>43</v>
      </c>
      <c r="L557" s="33" t="s">
        <v>713</v>
      </c>
      <c r="M557" s="44">
        <v>813568192</v>
      </c>
      <c r="N557" s="44">
        <v>98912520</v>
      </c>
      <c r="O557" s="44">
        <v>15000000</v>
      </c>
      <c r="P557" s="86"/>
      <c r="Q557" s="44">
        <f t="shared" si="463"/>
        <v>927480712</v>
      </c>
      <c r="R557" s="48">
        <v>813568192</v>
      </c>
      <c r="S557" s="48">
        <v>98912520</v>
      </c>
      <c r="T557" s="45">
        <v>15000000</v>
      </c>
      <c r="U557" s="32"/>
      <c r="V557" s="32"/>
      <c r="W557" s="49"/>
      <c r="X557" s="49">
        <f t="shared" ref="X557:Z557" si="561">N557-S557</f>
        <v>0</v>
      </c>
      <c r="Y557" s="49">
        <f t="shared" si="561"/>
        <v>0</v>
      </c>
      <c r="Z557" s="49">
        <f t="shared" si="561"/>
        <v>0</v>
      </c>
      <c r="AA557" s="54"/>
      <c r="AB557" s="54"/>
      <c r="AC557" s="2">
        <f t="shared" si="465"/>
        <v>2</v>
      </c>
      <c r="AD557" s="6"/>
      <c r="AE557" s="6"/>
      <c r="AF557" s="6"/>
      <c r="AG557" s="6"/>
      <c r="AH557" s="6"/>
      <c r="AI557" s="6"/>
      <c r="AJ557" s="6"/>
      <c r="AK557" s="6"/>
      <c r="AL557" s="6"/>
      <c r="AM557" s="6"/>
      <c r="AN557" s="6"/>
      <c r="AO557" s="6"/>
      <c r="AP557" s="6"/>
      <c r="AQ557" s="6"/>
      <c r="AR557" s="6"/>
      <c r="AS557" s="6"/>
    </row>
    <row r="558" spans="1:45" ht="47.25" hidden="1" x14ac:dyDescent="0.25">
      <c r="A558" s="33" t="s">
        <v>35</v>
      </c>
      <c r="B558" s="42">
        <v>401</v>
      </c>
      <c r="C558" s="33" t="s">
        <v>163</v>
      </c>
      <c r="D558" s="33" t="s">
        <v>2529</v>
      </c>
      <c r="E558" s="32"/>
      <c r="F558" s="54"/>
      <c r="G558" s="33" t="s">
        <v>2530</v>
      </c>
      <c r="H558" s="32"/>
      <c r="I558" s="32"/>
      <c r="J558" s="33" t="s">
        <v>2531</v>
      </c>
      <c r="K558" s="33" t="s">
        <v>43</v>
      </c>
      <c r="L558" s="33" t="s">
        <v>2532</v>
      </c>
      <c r="M558" s="44">
        <v>1621052482</v>
      </c>
      <c r="N558" s="45"/>
      <c r="O558" s="44">
        <v>7500000</v>
      </c>
      <c r="P558" s="86"/>
      <c r="Q558" s="44">
        <f t="shared" si="463"/>
        <v>1628552482</v>
      </c>
      <c r="R558" s="48">
        <v>1621052482</v>
      </c>
      <c r="S558" s="32"/>
      <c r="T558" s="44">
        <v>7500000</v>
      </c>
      <c r="U558" s="32"/>
      <c r="V558" s="32"/>
      <c r="W558" s="49"/>
      <c r="X558" s="49">
        <f t="shared" ref="X558:Z558" si="562">N558-S558</f>
        <v>0</v>
      </c>
      <c r="Y558" s="49">
        <f t="shared" si="562"/>
        <v>0</v>
      </c>
      <c r="Z558" s="49">
        <f t="shared" si="562"/>
        <v>0</v>
      </c>
      <c r="AA558" s="54"/>
      <c r="AB558" s="54"/>
      <c r="AC558" s="2">
        <f t="shared" si="465"/>
        <v>2</v>
      </c>
      <c r="AD558" s="6"/>
      <c r="AE558" s="6"/>
      <c r="AF558" s="6"/>
      <c r="AG558" s="6"/>
      <c r="AH558" s="6"/>
      <c r="AI558" s="6"/>
      <c r="AJ558" s="6"/>
      <c r="AK558" s="6"/>
      <c r="AL558" s="6"/>
      <c r="AM558" s="6"/>
      <c r="AN558" s="6"/>
      <c r="AO558" s="6"/>
      <c r="AP558" s="6"/>
      <c r="AQ558" s="6"/>
      <c r="AR558" s="6"/>
      <c r="AS558" s="6"/>
    </row>
    <row r="559" spans="1:45" ht="47.25" hidden="1" x14ac:dyDescent="0.25">
      <c r="A559" s="33" t="s">
        <v>46</v>
      </c>
      <c r="B559" s="42">
        <v>403</v>
      </c>
      <c r="C559" s="33" t="s">
        <v>163</v>
      </c>
      <c r="D559" s="33" t="s">
        <v>2533</v>
      </c>
      <c r="E559" s="32"/>
      <c r="F559" s="54"/>
      <c r="G559" s="33" t="s">
        <v>2534</v>
      </c>
      <c r="H559" s="32"/>
      <c r="I559" s="32"/>
      <c r="J559" s="33" t="s">
        <v>2535</v>
      </c>
      <c r="K559" s="33" t="s">
        <v>43</v>
      </c>
      <c r="L559" s="33" t="s">
        <v>242</v>
      </c>
      <c r="M559" s="44">
        <v>1938637001</v>
      </c>
      <c r="N559" s="45"/>
      <c r="O559" s="44">
        <v>15000000</v>
      </c>
      <c r="P559" s="86"/>
      <c r="Q559" s="44">
        <f t="shared" si="463"/>
        <v>1953637001</v>
      </c>
      <c r="R559" s="48">
        <v>1938637001</v>
      </c>
      <c r="S559" s="32"/>
      <c r="T559" s="44">
        <v>15000000</v>
      </c>
      <c r="U559" s="32"/>
      <c r="V559" s="32"/>
      <c r="W559" s="49"/>
      <c r="X559" s="49">
        <f t="shared" ref="X559:Z559" si="563">N559-S559</f>
        <v>0</v>
      </c>
      <c r="Y559" s="49">
        <f t="shared" si="563"/>
        <v>0</v>
      </c>
      <c r="Z559" s="49">
        <f t="shared" si="563"/>
        <v>0</v>
      </c>
      <c r="AA559" s="54"/>
      <c r="AB559" s="54"/>
      <c r="AC559" s="2">
        <f t="shared" si="465"/>
        <v>2</v>
      </c>
      <c r="AD559" s="6"/>
      <c r="AE559" s="6"/>
      <c r="AF559" s="6"/>
      <c r="AG559" s="6"/>
      <c r="AH559" s="6"/>
      <c r="AI559" s="6"/>
      <c r="AJ559" s="6"/>
      <c r="AK559" s="6"/>
      <c r="AL559" s="6"/>
      <c r="AM559" s="6"/>
      <c r="AN559" s="6"/>
      <c r="AO559" s="6"/>
      <c r="AP559" s="6"/>
      <c r="AQ559" s="6"/>
      <c r="AR559" s="6"/>
      <c r="AS559" s="6"/>
    </row>
    <row r="560" spans="1:45" ht="47.25" hidden="1" x14ac:dyDescent="0.25">
      <c r="A560" s="33" t="s">
        <v>52</v>
      </c>
      <c r="B560" s="42">
        <v>404</v>
      </c>
      <c r="C560" s="33" t="s">
        <v>163</v>
      </c>
      <c r="D560" s="33" t="s">
        <v>2536</v>
      </c>
      <c r="E560" s="32"/>
      <c r="F560" s="54"/>
      <c r="G560" s="33" t="s">
        <v>2537</v>
      </c>
      <c r="H560" s="32"/>
      <c r="I560" s="32"/>
      <c r="J560" s="33" t="s">
        <v>2538</v>
      </c>
      <c r="K560" s="33" t="s">
        <v>43</v>
      </c>
      <c r="L560" s="33" t="s">
        <v>2539</v>
      </c>
      <c r="M560" s="44">
        <v>1137670028</v>
      </c>
      <c r="N560" s="45"/>
      <c r="O560" s="44">
        <v>7500000</v>
      </c>
      <c r="P560" s="86"/>
      <c r="Q560" s="44">
        <f t="shared" si="463"/>
        <v>1145170028</v>
      </c>
      <c r="R560" s="48">
        <v>1137670028</v>
      </c>
      <c r="S560" s="32"/>
      <c r="T560" s="44">
        <v>7500000</v>
      </c>
      <c r="U560" s="32"/>
      <c r="V560" s="32"/>
      <c r="W560" s="49"/>
      <c r="X560" s="49">
        <f t="shared" ref="X560:Z560" si="564">N560-S560</f>
        <v>0</v>
      </c>
      <c r="Y560" s="49">
        <f t="shared" si="564"/>
        <v>0</v>
      </c>
      <c r="Z560" s="49">
        <f t="shared" si="564"/>
        <v>0</v>
      </c>
      <c r="AA560" s="54"/>
      <c r="AB560" s="54"/>
      <c r="AC560" s="2">
        <f t="shared" si="465"/>
        <v>2</v>
      </c>
      <c r="AD560" s="6"/>
      <c r="AE560" s="6"/>
      <c r="AF560" s="6"/>
      <c r="AG560" s="6"/>
      <c r="AH560" s="6"/>
      <c r="AI560" s="6"/>
      <c r="AJ560" s="6"/>
      <c r="AK560" s="6"/>
      <c r="AL560" s="6"/>
      <c r="AM560" s="6"/>
      <c r="AN560" s="6"/>
      <c r="AO560" s="6"/>
      <c r="AP560" s="6"/>
      <c r="AQ560" s="6"/>
      <c r="AR560" s="6"/>
      <c r="AS560" s="6"/>
    </row>
    <row r="561" spans="1:45" ht="47.25" hidden="1" x14ac:dyDescent="0.25">
      <c r="A561" s="33" t="s">
        <v>88</v>
      </c>
      <c r="B561" s="42">
        <v>406</v>
      </c>
      <c r="C561" s="33" t="s">
        <v>163</v>
      </c>
      <c r="D561" s="33" t="s">
        <v>2540</v>
      </c>
      <c r="E561" s="32"/>
      <c r="F561" s="54"/>
      <c r="G561" s="33" t="s">
        <v>2541</v>
      </c>
      <c r="H561" s="32"/>
      <c r="I561" s="32"/>
      <c r="J561" s="33" t="s">
        <v>2542</v>
      </c>
      <c r="K561" s="33" t="s">
        <v>43</v>
      </c>
      <c r="L561" s="33" t="s">
        <v>2543</v>
      </c>
      <c r="M561" s="44">
        <v>4967225580</v>
      </c>
      <c r="N561" s="45"/>
      <c r="O561" s="44">
        <v>7500000</v>
      </c>
      <c r="P561" s="86"/>
      <c r="Q561" s="44">
        <f t="shared" si="463"/>
        <v>4974725580</v>
      </c>
      <c r="R561" s="52">
        <v>4967225580</v>
      </c>
      <c r="S561" s="32"/>
      <c r="T561" s="44">
        <v>7500000</v>
      </c>
      <c r="U561" s="32"/>
      <c r="V561" s="32"/>
      <c r="W561" s="49"/>
      <c r="X561" s="49">
        <f t="shared" ref="X561:Z561" si="565">N561-S561</f>
        <v>0</v>
      </c>
      <c r="Y561" s="49">
        <f t="shared" si="565"/>
        <v>0</v>
      </c>
      <c r="Z561" s="49">
        <f t="shared" si="565"/>
        <v>0</v>
      </c>
      <c r="AA561" s="54"/>
      <c r="AB561" s="54"/>
      <c r="AC561" s="2">
        <f t="shared" si="465"/>
        <v>2</v>
      </c>
      <c r="AD561" s="6"/>
      <c r="AE561" s="6"/>
      <c r="AF561" s="6"/>
      <c r="AG561" s="6"/>
      <c r="AH561" s="6"/>
      <c r="AI561" s="6"/>
      <c r="AJ561" s="6"/>
      <c r="AK561" s="6"/>
      <c r="AL561" s="6"/>
      <c r="AM561" s="6"/>
      <c r="AN561" s="6"/>
      <c r="AO561" s="6"/>
      <c r="AP561" s="6"/>
      <c r="AQ561" s="6"/>
      <c r="AR561" s="6"/>
      <c r="AS561" s="6"/>
    </row>
    <row r="562" spans="1:45" ht="47.25" hidden="1" x14ac:dyDescent="0.25">
      <c r="A562" s="33" t="s">
        <v>88</v>
      </c>
      <c r="B562" s="42">
        <v>407</v>
      </c>
      <c r="C562" s="33" t="s">
        <v>163</v>
      </c>
      <c r="D562" s="33" t="s">
        <v>2544</v>
      </c>
      <c r="E562" s="33"/>
      <c r="F562" s="54"/>
      <c r="G562" s="33" t="s">
        <v>2545</v>
      </c>
      <c r="H562" s="33"/>
      <c r="I562" s="33"/>
      <c r="J562" s="33" t="s">
        <v>2546</v>
      </c>
      <c r="K562" s="33" t="s">
        <v>43</v>
      </c>
      <c r="L562" s="33" t="s">
        <v>2547</v>
      </c>
      <c r="M562" s="44">
        <v>10000000</v>
      </c>
      <c r="N562" s="45"/>
      <c r="O562" s="44">
        <v>15000000</v>
      </c>
      <c r="P562" s="86"/>
      <c r="Q562" s="44">
        <f t="shared" si="463"/>
        <v>25000000</v>
      </c>
      <c r="R562" s="32"/>
      <c r="S562" s="32"/>
      <c r="T562" s="66"/>
      <c r="U562" s="32"/>
      <c r="V562" s="32"/>
      <c r="W562" s="49">
        <v>10000000</v>
      </c>
      <c r="X562" s="49">
        <f t="shared" ref="X562:Z562" si="566">N562-S562</f>
        <v>0</v>
      </c>
      <c r="Y562" s="52">
        <f t="shared" si="566"/>
        <v>15000000</v>
      </c>
      <c r="Z562" s="49">
        <f t="shared" si="566"/>
        <v>0</v>
      </c>
      <c r="AA562" s="73">
        <v>10000000</v>
      </c>
      <c r="AB562" s="43"/>
      <c r="AC562" s="15">
        <f t="shared" si="465"/>
        <v>2</v>
      </c>
      <c r="AD562" s="15"/>
      <c r="AE562" s="6"/>
      <c r="AF562" s="6"/>
      <c r="AG562" s="6"/>
      <c r="AH562" s="6"/>
      <c r="AI562" s="6"/>
      <c r="AJ562" s="6"/>
      <c r="AK562" s="6"/>
      <c r="AL562" s="6"/>
      <c r="AM562" s="6"/>
      <c r="AN562" s="6"/>
      <c r="AO562" s="6"/>
      <c r="AP562" s="6"/>
      <c r="AQ562" s="6"/>
      <c r="AR562" s="6"/>
      <c r="AS562" s="6"/>
    </row>
    <row r="563" spans="1:45" ht="47.25" hidden="1" x14ac:dyDescent="0.25">
      <c r="A563" s="33" t="s">
        <v>52</v>
      </c>
      <c r="B563" s="42">
        <v>408</v>
      </c>
      <c r="C563" s="33" t="s">
        <v>163</v>
      </c>
      <c r="D563" s="33" t="s">
        <v>2548</v>
      </c>
      <c r="E563" s="33"/>
      <c r="F563" s="54"/>
      <c r="G563" s="33" t="s">
        <v>2549</v>
      </c>
      <c r="H563" s="33"/>
      <c r="I563" s="33"/>
      <c r="J563" s="33" t="s">
        <v>2550</v>
      </c>
      <c r="K563" s="33" t="s">
        <v>43</v>
      </c>
      <c r="L563" s="33" t="s">
        <v>2551</v>
      </c>
      <c r="M563" s="44">
        <v>6525000</v>
      </c>
      <c r="N563" s="45"/>
      <c r="O563" s="44">
        <v>7500000</v>
      </c>
      <c r="P563" s="86"/>
      <c r="Q563" s="44">
        <f t="shared" si="463"/>
        <v>14025000</v>
      </c>
      <c r="R563" s="32"/>
      <c r="S563" s="32"/>
      <c r="T563" s="66"/>
      <c r="U563" s="32"/>
      <c r="V563" s="32"/>
      <c r="W563" s="49">
        <v>6525000</v>
      </c>
      <c r="X563" s="49">
        <f t="shared" ref="X563:Z563" si="567">N563-S563</f>
        <v>0</v>
      </c>
      <c r="Y563" s="52">
        <f t="shared" si="567"/>
        <v>7500000</v>
      </c>
      <c r="Z563" s="49">
        <f t="shared" si="567"/>
        <v>0</v>
      </c>
      <c r="AA563" s="69">
        <v>6525000</v>
      </c>
      <c r="AB563" s="43"/>
      <c r="AC563" s="15">
        <f t="shared" si="465"/>
        <v>2</v>
      </c>
      <c r="AD563" s="15"/>
      <c r="AE563" s="6"/>
      <c r="AF563" s="6"/>
      <c r="AG563" s="6"/>
      <c r="AH563" s="6"/>
      <c r="AI563" s="6"/>
      <c r="AJ563" s="6"/>
      <c r="AK563" s="6"/>
      <c r="AL563" s="6"/>
      <c r="AM563" s="6"/>
      <c r="AN563" s="6"/>
      <c r="AO563" s="6"/>
      <c r="AP563" s="6"/>
      <c r="AQ563" s="6"/>
      <c r="AR563" s="6"/>
      <c r="AS563" s="6"/>
    </row>
    <row r="564" spans="1:45" ht="47.25" hidden="1" x14ac:dyDescent="0.25">
      <c r="A564" s="33" t="s">
        <v>35</v>
      </c>
      <c r="B564" s="42">
        <v>409</v>
      </c>
      <c r="C564" s="33" t="s">
        <v>163</v>
      </c>
      <c r="D564" s="33" t="s">
        <v>2552</v>
      </c>
      <c r="E564" s="33"/>
      <c r="F564" s="54"/>
      <c r="G564" s="33" t="s">
        <v>2553</v>
      </c>
      <c r="H564" s="33"/>
      <c r="I564" s="33" t="s">
        <v>969</v>
      </c>
      <c r="J564" s="33" t="s">
        <v>2554</v>
      </c>
      <c r="K564" s="33" t="s">
        <v>43</v>
      </c>
      <c r="L564" s="33" t="s">
        <v>2555</v>
      </c>
      <c r="M564" s="44">
        <v>0</v>
      </c>
      <c r="N564" s="45"/>
      <c r="O564" s="44">
        <v>7500000</v>
      </c>
      <c r="P564" s="86"/>
      <c r="Q564" s="44">
        <f t="shared" si="463"/>
        <v>7500000</v>
      </c>
      <c r="R564" s="42">
        <v>0</v>
      </c>
      <c r="S564" s="32"/>
      <c r="T564" s="66"/>
      <c r="U564" s="32"/>
      <c r="V564" s="32"/>
      <c r="W564" s="49"/>
      <c r="X564" s="49">
        <f t="shared" ref="X564:Z564" si="568">N564-S564</f>
        <v>0</v>
      </c>
      <c r="Y564" s="52">
        <f t="shared" si="568"/>
        <v>7500000</v>
      </c>
      <c r="Z564" s="49">
        <f t="shared" si="568"/>
        <v>0</v>
      </c>
      <c r="AA564" s="54"/>
      <c r="AB564" s="43"/>
      <c r="AC564" s="15">
        <f t="shared" si="465"/>
        <v>2</v>
      </c>
      <c r="AD564" s="15"/>
      <c r="AE564" s="6"/>
      <c r="AF564" s="6"/>
      <c r="AG564" s="6"/>
      <c r="AH564" s="6"/>
      <c r="AI564" s="6"/>
      <c r="AJ564" s="6"/>
      <c r="AK564" s="6"/>
      <c r="AL564" s="6"/>
      <c r="AM564" s="6"/>
      <c r="AN564" s="6"/>
      <c r="AO564" s="6"/>
      <c r="AP564" s="6"/>
      <c r="AQ564" s="6"/>
      <c r="AR564" s="6"/>
      <c r="AS564" s="6"/>
    </row>
    <row r="565" spans="1:45" ht="47.25" hidden="1" x14ac:dyDescent="0.25">
      <c r="A565" s="33" t="s">
        <v>88</v>
      </c>
      <c r="B565" s="42">
        <v>412</v>
      </c>
      <c r="C565" s="33" t="s">
        <v>163</v>
      </c>
      <c r="D565" s="33" t="s">
        <v>2556</v>
      </c>
      <c r="E565" s="32"/>
      <c r="F565" s="54"/>
      <c r="G565" s="33" t="s">
        <v>2557</v>
      </c>
      <c r="H565" s="32"/>
      <c r="I565" s="32"/>
      <c r="J565" s="33" t="s">
        <v>2558</v>
      </c>
      <c r="K565" s="33" t="s">
        <v>43</v>
      </c>
      <c r="L565" s="33" t="s">
        <v>2559</v>
      </c>
      <c r="M565" s="44">
        <v>2422464300</v>
      </c>
      <c r="N565" s="45"/>
      <c r="O565" s="44">
        <v>7500000</v>
      </c>
      <c r="P565" s="86"/>
      <c r="Q565" s="44">
        <f t="shared" si="463"/>
        <v>2429964300</v>
      </c>
      <c r="R565" s="52">
        <v>2422464300</v>
      </c>
      <c r="S565" s="32"/>
      <c r="T565" s="44">
        <v>7500000</v>
      </c>
      <c r="U565" s="32"/>
      <c r="V565" s="32"/>
      <c r="W565" s="49"/>
      <c r="X565" s="49">
        <f t="shared" ref="X565:Z565" si="569">N565-S565</f>
        <v>0</v>
      </c>
      <c r="Y565" s="49">
        <f t="shared" si="569"/>
        <v>0</v>
      </c>
      <c r="Z565" s="49">
        <f t="shared" si="569"/>
        <v>0</v>
      </c>
      <c r="AA565" s="54"/>
      <c r="AB565" s="54"/>
      <c r="AC565" s="2">
        <f t="shared" si="465"/>
        <v>2</v>
      </c>
      <c r="AD565" s="6"/>
      <c r="AE565" s="6"/>
      <c r="AF565" s="6"/>
      <c r="AG565" s="6"/>
      <c r="AH565" s="6"/>
      <c r="AI565" s="6"/>
      <c r="AJ565" s="6"/>
      <c r="AK565" s="6"/>
      <c r="AL565" s="6"/>
      <c r="AM565" s="6"/>
      <c r="AN565" s="6"/>
      <c r="AO565" s="6"/>
      <c r="AP565" s="6"/>
      <c r="AQ565" s="6"/>
      <c r="AR565" s="6"/>
      <c r="AS565" s="6"/>
    </row>
    <row r="566" spans="1:45" ht="47.25" hidden="1" x14ac:dyDescent="0.25">
      <c r="A566" s="33" t="s">
        <v>46</v>
      </c>
      <c r="B566" s="42">
        <v>413</v>
      </c>
      <c r="C566" s="33" t="s">
        <v>163</v>
      </c>
      <c r="D566" s="33" t="s">
        <v>2561</v>
      </c>
      <c r="E566" s="32"/>
      <c r="F566" s="54"/>
      <c r="G566" s="33" t="s">
        <v>2562</v>
      </c>
      <c r="H566" s="32"/>
      <c r="I566" s="32"/>
      <c r="J566" s="33" t="s">
        <v>2563</v>
      </c>
      <c r="K566" s="33" t="s">
        <v>43</v>
      </c>
      <c r="L566" s="33" t="s">
        <v>2564</v>
      </c>
      <c r="M566" s="44">
        <v>2392845896</v>
      </c>
      <c r="N566" s="45"/>
      <c r="O566" s="44">
        <v>7500000</v>
      </c>
      <c r="P566" s="86"/>
      <c r="Q566" s="44">
        <f t="shared" si="463"/>
        <v>2400345896</v>
      </c>
      <c r="R566" s="48">
        <v>2392845896</v>
      </c>
      <c r="S566" s="32"/>
      <c r="T566" s="44">
        <v>7500000</v>
      </c>
      <c r="U566" s="32"/>
      <c r="V566" s="32"/>
      <c r="W566" s="49"/>
      <c r="X566" s="49">
        <f t="shared" ref="X566:Z566" si="570">N566-S566</f>
        <v>0</v>
      </c>
      <c r="Y566" s="49">
        <f t="shared" si="570"/>
        <v>0</v>
      </c>
      <c r="Z566" s="49">
        <f t="shared" si="570"/>
        <v>0</v>
      </c>
      <c r="AA566" s="54"/>
      <c r="AB566" s="54"/>
      <c r="AC566" s="2">
        <f t="shared" si="465"/>
        <v>2</v>
      </c>
      <c r="AD566" s="6"/>
      <c r="AE566" s="6"/>
      <c r="AF566" s="6"/>
      <c r="AG566" s="6"/>
      <c r="AH566" s="6"/>
      <c r="AI566" s="6"/>
      <c r="AJ566" s="6"/>
      <c r="AK566" s="6"/>
      <c r="AL566" s="6"/>
      <c r="AM566" s="6"/>
      <c r="AN566" s="6"/>
      <c r="AO566" s="6"/>
      <c r="AP566" s="6"/>
      <c r="AQ566" s="6"/>
      <c r="AR566" s="6"/>
      <c r="AS566" s="6"/>
    </row>
    <row r="567" spans="1:45" ht="47.25" hidden="1" x14ac:dyDescent="0.25">
      <c r="A567" s="33" t="s">
        <v>52</v>
      </c>
      <c r="B567" s="42">
        <v>414</v>
      </c>
      <c r="C567" s="33" t="s">
        <v>163</v>
      </c>
      <c r="D567" s="33" t="s">
        <v>2565</v>
      </c>
      <c r="E567" s="32"/>
      <c r="F567" s="54"/>
      <c r="G567" s="33" t="s">
        <v>2566</v>
      </c>
      <c r="H567" s="32"/>
      <c r="I567" s="32"/>
      <c r="J567" s="33" t="s">
        <v>2567</v>
      </c>
      <c r="K567" s="33" t="s">
        <v>43</v>
      </c>
      <c r="L567" s="33" t="s">
        <v>2568</v>
      </c>
      <c r="M567" s="44">
        <v>3732755792</v>
      </c>
      <c r="N567" s="45"/>
      <c r="O567" s="44">
        <v>15000000</v>
      </c>
      <c r="P567" s="86"/>
      <c r="Q567" s="44">
        <f t="shared" si="463"/>
        <v>3747755792</v>
      </c>
      <c r="R567" s="48">
        <v>3732755792</v>
      </c>
      <c r="S567" s="32"/>
      <c r="T567" s="44">
        <v>15000000</v>
      </c>
      <c r="U567" s="32"/>
      <c r="V567" s="32"/>
      <c r="W567" s="49"/>
      <c r="X567" s="49">
        <f t="shared" ref="X567:Z567" si="571">N567-S567</f>
        <v>0</v>
      </c>
      <c r="Y567" s="49">
        <f t="shared" si="571"/>
        <v>0</v>
      </c>
      <c r="Z567" s="49">
        <f t="shared" si="571"/>
        <v>0</v>
      </c>
      <c r="AA567" s="54"/>
      <c r="AB567" s="54"/>
      <c r="AC567" s="2">
        <f t="shared" si="465"/>
        <v>2</v>
      </c>
      <c r="AD567" s="6"/>
      <c r="AE567" s="6"/>
      <c r="AF567" s="6"/>
      <c r="AG567" s="6"/>
      <c r="AH567" s="6"/>
      <c r="AI567" s="6"/>
      <c r="AJ567" s="6"/>
      <c r="AK567" s="6"/>
      <c r="AL567" s="6"/>
      <c r="AM567" s="6"/>
      <c r="AN567" s="6"/>
      <c r="AO567" s="6"/>
      <c r="AP567" s="6"/>
      <c r="AQ567" s="6"/>
      <c r="AR567" s="6"/>
      <c r="AS567" s="6"/>
    </row>
    <row r="568" spans="1:45" ht="47.25" hidden="1" x14ac:dyDescent="0.25">
      <c r="A568" s="33" t="s">
        <v>88</v>
      </c>
      <c r="B568" s="42">
        <v>415</v>
      </c>
      <c r="C568" s="33" t="s">
        <v>163</v>
      </c>
      <c r="D568" s="33" t="s">
        <v>2569</v>
      </c>
      <c r="E568" s="32"/>
      <c r="F568" s="54"/>
      <c r="G568" s="33" t="s">
        <v>2570</v>
      </c>
      <c r="H568" s="32"/>
      <c r="I568" s="32"/>
      <c r="J568" s="33" t="s">
        <v>2571</v>
      </c>
      <c r="K568" s="33" t="s">
        <v>43</v>
      </c>
      <c r="L568" s="33" t="s">
        <v>2572</v>
      </c>
      <c r="M568" s="44">
        <v>585805584</v>
      </c>
      <c r="N568" s="45"/>
      <c r="O568" s="44">
        <v>7500000</v>
      </c>
      <c r="P568" s="86"/>
      <c r="Q568" s="44">
        <f t="shared" si="463"/>
        <v>593305584</v>
      </c>
      <c r="R568" s="52">
        <v>585805584</v>
      </c>
      <c r="S568" s="32"/>
      <c r="T568" s="44">
        <v>7500000</v>
      </c>
      <c r="U568" s="32"/>
      <c r="V568" s="32"/>
      <c r="W568" s="49"/>
      <c r="X568" s="49">
        <f t="shared" ref="X568:Z568" si="572">N568-S568</f>
        <v>0</v>
      </c>
      <c r="Y568" s="49">
        <f t="shared" si="572"/>
        <v>0</v>
      </c>
      <c r="Z568" s="49">
        <f t="shared" si="572"/>
        <v>0</v>
      </c>
      <c r="AA568" s="54"/>
      <c r="AB568" s="54"/>
      <c r="AC568" s="2">
        <f t="shared" si="465"/>
        <v>2</v>
      </c>
      <c r="AD568" s="6"/>
      <c r="AE568" s="6"/>
      <c r="AF568" s="6"/>
      <c r="AG568" s="6"/>
      <c r="AH568" s="6"/>
      <c r="AI568" s="6"/>
      <c r="AJ568" s="6"/>
      <c r="AK568" s="6"/>
      <c r="AL568" s="6"/>
      <c r="AM568" s="6"/>
      <c r="AN568" s="6"/>
      <c r="AO568" s="6"/>
      <c r="AP568" s="6"/>
      <c r="AQ568" s="6"/>
      <c r="AR568" s="6"/>
      <c r="AS568" s="6"/>
    </row>
    <row r="569" spans="1:45" ht="47.25" hidden="1" x14ac:dyDescent="0.25">
      <c r="A569" s="33" t="s">
        <v>60</v>
      </c>
      <c r="B569" s="42">
        <v>416</v>
      </c>
      <c r="C569" s="33" t="s">
        <v>163</v>
      </c>
      <c r="D569" s="33" t="s">
        <v>2573</v>
      </c>
      <c r="E569" s="32"/>
      <c r="F569" s="54"/>
      <c r="G569" s="33" t="s">
        <v>2574</v>
      </c>
      <c r="H569" s="32"/>
      <c r="I569" s="32"/>
      <c r="J569" s="33" t="s">
        <v>2575</v>
      </c>
      <c r="K569" s="33" t="s">
        <v>43</v>
      </c>
      <c r="L569" s="33" t="s">
        <v>2576</v>
      </c>
      <c r="M569" s="44">
        <v>2508309760</v>
      </c>
      <c r="N569" s="45"/>
      <c r="O569" s="44">
        <v>15000000</v>
      </c>
      <c r="P569" s="86"/>
      <c r="Q569" s="44">
        <f t="shared" si="463"/>
        <v>2523309760</v>
      </c>
      <c r="R569" s="48">
        <v>2508309760</v>
      </c>
      <c r="S569" s="32"/>
      <c r="T569" s="44">
        <v>15000000</v>
      </c>
      <c r="U569" s="32"/>
      <c r="V569" s="32"/>
      <c r="W569" s="49"/>
      <c r="X569" s="49">
        <f t="shared" ref="X569:Z569" si="573">N569-S569</f>
        <v>0</v>
      </c>
      <c r="Y569" s="49">
        <f t="shared" si="573"/>
        <v>0</v>
      </c>
      <c r="Z569" s="49">
        <f t="shared" si="573"/>
        <v>0</v>
      </c>
      <c r="AA569" s="54"/>
      <c r="AB569" s="54"/>
      <c r="AC569" s="2">
        <f t="shared" si="465"/>
        <v>2</v>
      </c>
      <c r="AD569" s="6"/>
      <c r="AE569" s="6"/>
      <c r="AF569" s="6"/>
      <c r="AG569" s="6"/>
      <c r="AH569" s="6"/>
      <c r="AI569" s="6"/>
      <c r="AJ569" s="6"/>
      <c r="AK569" s="6"/>
      <c r="AL569" s="6"/>
      <c r="AM569" s="6"/>
      <c r="AN569" s="6"/>
      <c r="AO569" s="6"/>
      <c r="AP569" s="6"/>
      <c r="AQ569" s="6"/>
      <c r="AR569" s="6"/>
      <c r="AS569" s="6"/>
    </row>
    <row r="570" spans="1:45" ht="47.25" hidden="1" x14ac:dyDescent="0.25">
      <c r="A570" s="33" t="s">
        <v>88</v>
      </c>
      <c r="B570" s="42">
        <v>417</v>
      </c>
      <c r="C570" s="33" t="s">
        <v>163</v>
      </c>
      <c r="D570" s="33" t="s">
        <v>2577</v>
      </c>
      <c r="E570" s="33"/>
      <c r="F570" s="54"/>
      <c r="G570" s="33" t="s">
        <v>2578</v>
      </c>
      <c r="H570" s="33"/>
      <c r="I570" s="33"/>
      <c r="J570" s="33" t="s">
        <v>2579</v>
      </c>
      <c r="K570" s="33" t="s">
        <v>43</v>
      </c>
      <c r="L570" s="33" t="s">
        <v>2580</v>
      </c>
      <c r="M570" s="44">
        <v>0</v>
      </c>
      <c r="N570" s="45"/>
      <c r="O570" s="44">
        <v>7500000</v>
      </c>
      <c r="P570" s="86"/>
      <c r="Q570" s="44">
        <f t="shared" si="463"/>
        <v>7500000</v>
      </c>
      <c r="R570" s="42">
        <v>0</v>
      </c>
      <c r="S570" s="32"/>
      <c r="T570" s="66"/>
      <c r="U570" s="32"/>
      <c r="V570" s="32"/>
      <c r="W570" s="49"/>
      <c r="X570" s="49">
        <f t="shared" ref="X570:Z570" si="574">N570-S570</f>
        <v>0</v>
      </c>
      <c r="Y570" s="52">
        <f t="shared" si="574"/>
        <v>7500000</v>
      </c>
      <c r="Z570" s="49">
        <f t="shared" si="574"/>
        <v>0</v>
      </c>
      <c r="AA570" s="54"/>
      <c r="AB570" s="43"/>
      <c r="AC570" s="15">
        <f t="shared" si="465"/>
        <v>2</v>
      </c>
      <c r="AD570" s="15"/>
      <c r="AE570" s="6"/>
      <c r="AF570" s="6"/>
      <c r="AG570" s="6"/>
      <c r="AH570" s="6"/>
      <c r="AI570" s="6"/>
      <c r="AJ570" s="6"/>
      <c r="AK570" s="6"/>
      <c r="AL570" s="6"/>
      <c r="AM570" s="6"/>
      <c r="AN570" s="6"/>
      <c r="AO570" s="6"/>
      <c r="AP570" s="6"/>
      <c r="AQ570" s="6"/>
      <c r="AR570" s="6"/>
      <c r="AS570" s="6"/>
    </row>
    <row r="571" spans="1:45" ht="47.25" hidden="1" x14ac:dyDescent="0.25">
      <c r="A571" s="33" t="s">
        <v>60</v>
      </c>
      <c r="B571" s="42">
        <v>418</v>
      </c>
      <c r="C571" s="33" t="s">
        <v>163</v>
      </c>
      <c r="D571" s="33" t="s">
        <v>2581</v>
      </c>
      <c r="E571" s="32"/>
      <c r="F571" s="54"/>
      <c r="G571" s="33" t="s">
        <v>2582</v>
      </c>
      <c r="H571" s="32"/>
      <c r="I571" s="32"/>
      <c r="J571" s="33" t="s">
        <v>2583</v>
      </c>
      <c r="K571" s="33" t="s">
        <v>43</v>
      </c>
      <c r="L571" s="33" t="s">
        <v>2584</v>
      </c>
      <c r="M571" s="44">
        <v>515507992</v>
      </c>
      <c r="N571" s="45"/>
      <c r="O571" s="44">
        <v>7500000</v>
      </c>
      <c r="P571" s="86"/>
      <c r="Q571" s="44">
        <f t="shared" si="463"/>
        <v>523007992</v>
      </c>
      <c r="R571" s="79">
        <v>515507992</v>
      </c>
      <c r="S571" s="32"/>
      <c r="T571" s="44">
        <v>7500000</v>
      </c>
      <c r="U571" s="32"/>
      <c r="V571" s="32"/>
      <c r="W571" s="49"/>
      <c r="X571" s="49">
        <f t="shared" ref="X571:Z571" si="575">N571-S571</f>
        <v>0</v>
      </c>
      <c r="Y571" s="49">
        <f t="shared" si="575"/>
        <v>0</v>
      </c>
      <c r="Z571" s="49">
        <f t="shared" si="575"/>
        <v>0</v>
      </c>
      <c r="AA571" s="54"/>
      <c r="AB571" s="54"/>
      <c r="AC571" s="2">
        <f t="shared" si="465"/>
        <v>2</v>
      </c>
      <c r="AD571" s="6"/>
      <c r="AE571" s="6"/>
      <c r="AF571" s="6"/>
      <c r="AG571" s="6"/>
      <c r="AH571" s="6"/>
      <c r="AI571" s="6"/>
      <c r="AJ571" s="6"/>
      <c r="AK571" s="6"/>
      <c r="AL571" s="6"/>
      <c r="AM571" s="6"/>
      <c r="AN571" s="6"/>
      <c r="AO571" s="6"/>
      <c r="AP571" s="6"/>
      <c r="AQ571" s="6"/>
      <c r="AR571" s="6"/>
      <c r="AS571" s="6"/>
    </row>
    <row r="572" spans="1:45" ht="62.25" hidden="1" customHeight="1" x14ac:dyDescent="0.25">
      <c r="A572" s="33" t="s">
        <v>52</v>
      </c>
      <c r="B572" s="42">
        <v>419</v>
      </c>
      <c r="C572" s="33" t="s">
        <v>163</v>
      </c>
      <c r="D572" s="33" t="s">
        <v>2585</v>
      </c>
      <c r="E572" s="32"/>
      <c r="F572" s="54"/>
      <c r="G572" s="33" t="s">
        <v>2586</v>
      </c>
      <c r="H572" s="32"/>
      <c r="I572" s="32"/>
      <c r="J572" s="33" t="s">
        <v>2587</v>
      </c>
      <c r="K572" s="33" t="s">
        <v>43</v>
      </c>
      <c r="L572" s="33" t="s">
        <v>2588</v>
      </c>
      <c r="M572" s="44">
        <v>1967943264</v>
      </c>
      <c r="N572" s="45"/>
      <c r="O572" s="44">
        <v>7500000</v>
      </c>
      <c r="P572" s="86"/>
      <c r="Q572" s="44">
        <f t="shared" si="463"/>
        <v>1975443264</v>
      </c>
      <c r="R572" s="48">
        <v>1967943264</v>
      </c>
      <c r="S572" s="32"/>
      <c r="T572" s="44">
        <v>7500000</v>
      </c>
      <c r="U572" s="32"/>
      <c r="V572" s="32"/>
      <c r="W572" s="49"/>
      <c r="X572" s="49">
        <f t="shared" ref="X572:Z572" si="576">N572-S572</f>
        <v>0</v>
      </c>
      <c r="Y572" s="49">
        <f t="shared" si="576"/>
        <v>0</v>
      </c>
      <c r="Z572" s="49">
        <f t="shared" si="576"/>
        <v>0</v>
      </c>
      <c r="AA572" s="54"/>
      <c r="AB572" s="54"/>
      <c r="AC572" s="2">
        <f t="shared" si="465"/>
        <v>2</v>
      </c>
      <c r="AD572" s="6"/>
      <c r="AE572" s="6"/>
      <c r="AF572" s="6"/>
      <c r="AG572" s="6"/>
      <c r="AH572" s="6"/>
      <c r="AI572" s="6"/>
      <c r="AJ572" s="6"/>
      <c r="AK572" s="6"/>
      <c r="AL572" s="6"/>
      <c r="AM572" s="6"/>
      <c r="AN572" s="6"/>
      <c r="AO572" s="6"/>
      <c r="AP572" s="6"/>
      <c r="AQ572" s="6"/>
      <c r="AR572" s="6"/>
      <c r="AS572" s="6"/>
    </row>
    <row r="573" spans="1:45" ht="47.25" hidden="1" x14ac:dyDescent="0.25">
      <c r="A573" s="33" t="s">
        <v>52</v>
      </c>
      <c r="B573" s="42">
        <v>420</v>
      </c>
      <c r="C573" s="33" t="s">
        <v>163</v>
      </c>
      <c r="D573" s="33" t="s">
        <v>2589</v>
      </c>
      <c r="E573" s="33"/>
      <c r="F573" s="54"/>
      <c r="G573" s="33" t="s">
        <v>2590</v>
      </c>
      <c r="H573" s="33"/>
      <c r="I573" s="33"/>
      <c r="J573" s="33" t="s">
        <v>2591</v>
      </c>
      <c r="K573" s="33" t="s">
        <v>43</v>
      </c>
      <c r="L573" s="33" t="s">
        <v>2592</v>
      </c>
      <c r="M573" s="44">
        <v>3075917326</v>
      </c>
      <c r="N573" s="45"/>
      <c r="O573" s="44">
        <v>7500000</v>
      </c>
      <c r="P573" s="86"/>
      <c r="Q573" s="44">
        <f t="shared" si="463"/>
        <v>3083417326</v>
      </c>
      <c r="R573" s="32"/>
      <c r="S573" s="32"/>
      <c r="T573" s="66"/>
      <c r="U573" s="32"/>
      <c r="V573" s="32"/>
      <c r="W573" s="49">
        <v>3075917326</v>
      </c>
      <c r="X573" s="49">
        <f t="shared" ref="X573:Z573" si="577">N573-S573</f>
        <v>0</v>
      </c>
      <c r="Y573" s="52">
        <f t="shared" si="577"/>
        <v>7500000</v>
      </c>
      <c r="Z573" s="49">
        <f t="shared" si="577"/>
        <v>0</v>
      </c>
      <c r="AA573" s="69">
        <v>3075917326</v>
      </c>
      <c r="AB573" s="43"/>
      <c r="AC573" s="15">
        <f t="shared" si="465"/>
        <v>2</v>
      </c>
      <c r="AD573" s="15"/>
      <c r="AE573" s="6"/>
      <c r="AF573" s="6"/>
      <c r="AG573" s="6"/>
      <c r="AH573" s="6"/>
      <c r="AI573" s="6"/>
      <c r="AJ573" s="6"/>
      <c r="AK573" s="6"/>
      <c r="AL573" s="6"/>
      <c r="AM573" s="6"/>
      <c r="AN573" s="6"/>
      <c r="AO573" s="6"/>
      <c r="AP573" s="6"/>
      <c r="AQ573" s="6"/>
      <c r="AR573" s="6"/>
      <c r="AS573" s="6"/>
    </row>
    <row r="574" spans="1:45" ht="47.25" hidden="1" x14ac:dyDescent="0.25">
      <c r="A574" s="33" t="s">
        <v>60</v>
      </c>
      <c r="B574" s="42">
        <v>421</v>
      </c>
      <c r="C574" s="33" t="s">
        <v>163</v>
      </c>
      <c r="D574" s="33" t="s">
        <v>2593</v>
      </c>
      <c r="E574" s="32"/>
      <c r="F574" s="54"/>
      <c r="G574" s="33" t="s">
        <v>2594</v>
      </c>
      <c r="H574" s="32"/>
      <c r="I574" s="32"/>
      <c r="J574" s="33" t="s">
        <v>2595</v>
      </c>
      <c r="K574" s="33" t="s">
        <v>43</v>
      </c>
      <c r="L574" s="33" t="s">
        <v>2596</v>
      </c>
      <c r="M574" s="44">
        <v>10850167780</v>
      </c>
      <c r="N574" s="45"/>
      <c r="O574" s="44">
        <v>15000000</v>
      </c>
      <c r="P574" s="86"/>
      <c r="Q574" s="44">
        <f t="shared" si="463"/>
        <v>10865167780</v>
      </c>
      <c r="R574" s="48">
        <v>10850167780</v>
      </c>
      <c r="S574" s="32"/>
      <c r="T574" s="44">
        <v>15000000</v>
      </c>
      <c r="U574" s="32"/>
      <c r="V574" s="32"/>
      <c r="W574" s="49"/>
      <c r="X574" s="49">
        <f t="shared" ref="X574:Z574" si="578">N574-S574</f>
        <v>0</v>
      </c>
      <c r="Y574" s="49">
        <f t="shared" si="578"/>
        <v>0</v>
      </c>
      <c r="Z574" s="49">
        <f t="shared" si="578"/>
        <v>0</v>
      </c>
      <c r="AA574" s="54"/>
      <c r="AB574" s="54"/>
      <c r="AC574" s="2">
        <f t="shared" si="465"/>
        <v>2</v>
      </c>
      <c r="AD574" s="6"/>
      <c r="AE574" s="6"/>
      <c r="AF574" s="6"/>
      <c r="AG574" s="6"/>
      <c r="AH574" s="6"/>
      <c r="AI574" s="6"/>
      <c r="AJ574" s="6"/>
      <c r="AK574" s="6"/>
      <c r="AL574" s="6"/>
      <c r="AM574" s="6"/>
      <c r="AN574" s="6"/>
      <c r="AO574" s="6"/>
      <c r="AP574" s="6"/>
      <c r="AQ574" s="6"/>
      <c r="AR574" s="6"/>
      <c r="AS574" s="6"/>
    </row>
    <row r="575" spans="1:45" ht="47.25" hidden="1" x14ac:dyDescent="0.25">
      <c r="A575" s="33" t="s">
        <v>46</v>
      </c>
      <c r="B575" s="42">
        <v>422</v>
      </c>
      <c r="C575" s="33" t="s">
        <v>163</v>
      </c>
      <c r="D575" s="33" t="s">
        <v>2597</v>
      </c>
      <c r="E575" s="32"/>
      <c r="F575" s="54"/>
      <c r="G575" s="33" t="s">
        <v>2598</v>
      </c>
      <c r="H575" s="32"/>
      <c r="I575" s="32"/>
      <c r="J575" s="33" t="s">
        <v>2599</v>
      </c>
      <c r="K575" s="33" t="s">
        <v>43</v>
      </c>
      <c r="L575" s="33" t="s">
        <v>2600</v>
      </c>
      <c r="M575" s="44">
        <v>963584580</v>
      </c>
      <c r="N575" s="45"/>
      <c r="O575" s="44">
        <v>7500000</v>
      </c>
      <c r="P575" s="86"/>
      <c r="Q575" s="44">
        <f t="shared" si="463"/>
        <v>971084580</v>
      </c>
      <c r="R575" s="48">
        <v>963584580</v>
      </c>
      <c r="S575" s="32"/>
      <c r="T575" s="44">
        <v>7500000</v>
      </c>
      <c r="U575" s="32"/>
      <c r="V575" s="32"/>
      <c r="W575" s="49"/>
      <c r="X575" s="49">
        <f t="shared" ref="X575:Z575" si="579">N575-S575</f>
        <v>0</v>
      </c>
      <c r="Y575" s="49">
        <f t="shared" si="579"/>
        <v>0</v>
      </c>
      <c r="Z575" s="49">
        <f t="shared" si="579"/>
        <v>0</v>
      </c>
      <c r="AA575" s="54"/>
      <c r="AB575" s="54"/>
      <c r="AC575" s="2">
        <f t="shared" si="465"/>
        <v>2</v>
      </c>
      <c r="AD575" s="6"/>
      <c r="AE575" s="6"/>
      <c r="AF575" s="6"/>
      <c r="AG575" s="6"/>
      <c r="AH575" s="6"/>
      <c r="AI575" s="6"/>
      <c r="AJ575" s="6"/>
      <c r="AK575" s="6"/>
      <c r="AL575" s="6"/>
      <c r="AM575" s="6"/>
      <c r="AN575" s="6"/>
      <c r="AO575" s="6"/>
      <c r="AP575" s="6"/>
      <c r="AQ575" s="6"/>
      <c r="AR575" s="6"/>
      <c r="AS575" s="6"/>
    </row>
    <row r="576" spans="1:45" ht="63" hidden="1" x14ac:dyDescent="0.25">
      <c r="A576" s="33" t="s">
        <v>46</v>
      </c>
      <c r="B576" s="42">
        <v>423</v>
      </c>
      <c r="C576" s="33" t="s">
        <v>163</v>
      </c>
      <c r="D576" s="33" t="s">
        <v>2601</v>
      </c>
      <c r="E576" s="32"/>
      <c r="F576" s="54"/>
      <c r="G576" s="33" t="s">
        <v>2602</v>
      </c>
      <c r="H576" s="32"/>
      <c r="I576" s="32"/>
      <c r="J576" s="33" t="s">
        <v>2603</v>
      </c>
      <c r="K576" s="33" t="s">
        <v>43</v>
      </c>
      <c r="L576" s="33" t="s">
        <v>2604</v>
      </c>
      <c r="M576" s="44">
        <v>7215729060</v>
      </c>
      <c r="N576" s="45"/>
      <c r="O576" s="44">
        <v>15000000</v>
      </c>
      <c r="P576" s="86"/>
      <c r="Q576" s="44">
        <f t="shared" si="463"/>
        <v>7230729060</v>
      </c>
      <c r="R576" s="48">
        <v>7215729060</v>
      </c>
      <c r="S576" s="32"/>
      <c r="T576" s="44">
        <v>15000000</v>
      </c>
      <c r="U576" s="32"/>
      <c r="V576" s="32"/>
      <c r="W576" s="49"/>
      <c r="X576" s="49">
        <f t="shared" ref="X576:Z576" si="580">N576-S576</f>
        <v>0</v>
      </c>
      <c r="Y576" s="49">
        <f t="shared" si="580"/>
        <v>0</v>
      </c>
      <c r="Z576" s="49">
        <f t="shared" si="580"/>
        <v>0</v>
      </c>
      <c r="AA576" s="54"/>
      <c r="AB576" s="54"/>
      <c r="AC576" s="2">
        <f t="shared" si="465"/>
        <v>2</v>
      </c>
      <c r="AD576" s="6"/>
      <c r="AE576" s="6"/>
      <c r="AF576" s="6"/>
      <c r="AG576" s="6"/>
      <c r="AH576" s="6"/>
      <c r="AI576" s="6"/>
      <c r="AJ576" s="6"/>
      <c r="AK576" s="6"/>
      <c r="AL576" s="6"/>
      <c r="AM576" s="6"/>
      <c r="AN576" s="6"/>
      <c r="AO576" s="6"/>
      <c r="AP576" s="6"/>
      <c r="AQ576" s="6"/>
      <c r="AR576" s="6"/>
      <c r="AS576" s="6"/>
    </row>
    <row r="577" spans="1:45" ht="47.25" hidden="1" x14ac:dyDescent="0.25">
      <c r="A577" s="33" t="s">
        <v>52</v>
      </c>
      <c r="B577" s="42">
        <v>424</v>
      </c>
      <c r="C577" s="33" t="s">
        <v>163</v>
      </c>
      <c r="D577" s="33" t="s">
        <v>2605</v>
      </c>
      <c r="E577" s="32"/>
      <c r="F577" s="54"/>
      <c r="G577" s="33" t="s">
        <v>2606</v>
      </c>
      <c r="H577" s="32"/>
      <c r="I577" s="32"/>
      <c r="J577" s="33" t="s">
        <v>2607</v>
      </c>
      <c r="K577" s="33" t="s">
        <v>43</v>
      </c>
      <c r="L577" s="33" t="s">
        <v>2608</v>
      </c>
      <c r="M577" s="44">
        <v>0</v>
      </c>
      <c r="N577" s="45"/>
      <c r="O577" s="44">
        <v>7500000</v>
      </c>
      <c r="P577" s="86"/>
      <c r="Q577" s="44">
        <f t="shared" si="463"/>
        <v>7500000</v>
      </c>
      <c r="R577" s="42">
        <v>0</v>
      </c>
      <c r="S577" s="32"/>
      <c r="T577" s="44">
        <v>7500000</v>
      </c>
      <c r="U577" s="32"/>
      <c r="V577" s="32"/>
      <c r="W577" s="49"/>
      <c r="X577" s="49">
        <f t="shared" ref="X577:Z577" si="581">N577-S577</f>
        <v>0</v>
      </c>
      <c r="Y577" s="49">
        <f t="shared" si="581"/>
        <v>0</v>
      </c>
      <c r="Z577" s="49">
        <f t="shared" si="581"/>
        <v>0</v>
      </c>
      <c r="AA577" s="54"/>
      <c r="AB577" s="54"/>
      <c r="AC577" s="2">
        <f t="shared" si="465"/>
        <v>2</v>
      </c>
      <c r="AD577" s="6"/>
      <c r="AE577" s="6"/>
      <c r="AF577" s="6"/>
      <c r="AG577" s="6"/>
      <c r="AH577" s="6"/>
      <c r="AI577" s="6"/>
      <c r="AJ577" s="6"/>
      <c r="AK577" s="6"/>
      <c r="AL577" s="6"/>
      <c r="AM577" s="6"/>
      <c r="AN577" s="6"/>
      <c r="AO577" s="6"/>
      <c r="AP577" s="6"/>
      <c r="AQ577" s="6"/>
      <c r="AR577" s="6"/>
      <c r="AS577" s="6"/>
    </row>
    <row r="578" spans="1:45" ht="47.25" hidden="1" x14ac:dyDescent="0.25">
      <c r="A578" s="33" t="s">
        <v>60</v>
      </c>
      <c r="B578" s="42">
        <v>425</v>
      </c>
      <c r="C578" s="33" t="s">
        <v>163</v>
      </c>
      <c r="D578" s="33" t="s">
        <v>2609</v>
      </c>
      <c r="E578" s="32"/>
      <c r="F578" s="54"/>
      <c r="G578" s="33" t="s">
        <v>2610</v>
      </c>
      <c r="H578" s="33" t="s">
        <v>2611</v>
      </c>
      <c r="I578" s="32"/>
      <c r="J578" s="33" t="s">
        <v>2612</v>
      </c>
      <c r="K578" s="33" t="s">
        <v>43</v>
      </c>
      <c r="L578" s="33" t="s">
        <v>2613</v>
      </c>
      <c r="M578" s="44">
        <v>803736494</v>
      </c>
      <c r="N578" s="45"/>
      <c r="O578" s="44">
        <v>7500000</v>
      </c>
      <c r="P578" s="86"/>
      <c r="Q578" s="44">
        <f t="shared" si="463"/>
        <v>811236494</v>
      </c>
      <c r="R578" s="48">
        <v>803736494</v>
      </c>
      <c r="S578" s="32"/>
      <c r="T578" s="44">
        <v>7500000</v>
      </c>
      <c r="U578" s="32"/>
      <c r="V578" s="32"/>
      <c r="W578" s="49"/>
      <c r="X578" s="49">
        <f t="shared" ref="X578:Z578" si="582">N578-S578</f>
        <v>0</v>
      </c>
      <c r="Y578" s="49">
        <f t="shared" si="582"/>
        <v>0</v>
      </c>
      <c r="Z578" s="49">
        <f t="shared" si="582"/>
        <v>0</v>
      </c>
      <c r="AA578" s="54"/>
      <c r="AB578" s="54"/>
      <c r="AC578" s="2">
        <f t="shared" si="465"/>
        <v>2</v>
      </c>
      <c r="AD578" s="6"/>
      <c r="AE578" s="6"/>
      <c r="AF578" s="6"/>
      <c r="AG578" s="6"/>
      <c r="AH578" s="6"/>
      <c r="AI578" s="6"/>
      <c r="AJ578" s="6"/>
      <c r="AK578" s="6"/>
      <c r="AL578" s="6"/>
      <c r="AM578" s="6"/>
      <c r="AN578" s="6"/>
      <c r="AO578" s="6"/>
      <c r="AP578" s="6"/>
      <c r="AQ578" s="6"/>
      <c r="AR578" s="6"/>
      <c r="AS578" s="6"/>
    </row>
    <row r="579" spans="1:45" ht="47.25" hidden="1" x14ac:dyDescent="0.25">
      <c r="A579" s="33" t="s">
        <v>88</v>
      </c>
      <c r="B579" s="42">
        <v>426</v>
      </c>
      <c r="C579" s="33" t="s">
        <v>163</v>
      </c>
      <c r="D579" s="33" t="s">
        <v>2614</v>
      </c>
      <c r="E579" s="32"/>
      <c r="F579" s="54"/>
      <c r="G579" s="33" t="s">
        <v>2615</v>
      </c>
      <c r="H579" s="32"/>
      <c r="I579" s="32"/>
      <c r="J579" s="33" t="s">
        <v>2616</v>
      </c>
      <c r="K579" s="33" t="s">
        <v>43</v>
      </c>
      <c r="L579" s="33" t="s">
        <v>2617</v>
      </c>
      <c r="M579" s="44">
        <v>135006020</v>
      </c>
      <c r="N579" s="45"/>
      <c r="O579" s="44">
        <v>7500000</v>
      </c>
      <c r="P579" s="86"/>
      <c r="Q579" s="44">
        <f t="shared" si="463"/>
        <v>142506020</v>
      </c>
      <c r="R579" s="48">
        <v>135006020</v>
      </c>
      <c r="S579" s="32"/>
      <c r="T579" s="44">
        <v>7500000</v>
      </c>
      <c r="U579" s="32"/>
      <c r="V579" s="32"/>
      <c r="W579" s="49"/>
      <c r="X579" s="49">
        <f t="shared" ref="X579:Z579" si="583">N579-S579</f>
        <v>0</v>
      </c>
      <c r="Y579" s="49">
        <f t="shared" si="583"/>
        <v>0</v>
      </c>
      <c r="Z579" s="49">
        <f t="shared" si="583"/>
        <v>0</v>
      </c>
      <c r="AA579" s="54"/>
      <c r="AB579" s="54"/>
      <c r="AC579" s="2">
        <f t="shared" si="465"/>
        <v>2</v>
      </c>
      <c r="AD579" s="6"/>
      <c r="AE579" s="6"/>
      <c r="AF579" s="6"/>
      <c r="AG579" s="6"/>
      <c r="AH579" s="6"/>
      <c r="AI579" s="6"/>
      <c r="AJ579" s="6"/>
      <c r="AK579" s="6"/>
      <c r="AL579" s="6"/>
      <c r="AM579" s="6"/>
      <c r="AN579" s="6"/>
      <c r="AO579" s="6"/>
      <c r="AP579" s="6"/>
      <c r="AQ579" s="6"/>
      <c r="AR579" s="6"/>
      <c r="AS579" s="6"/>
    </row>
    <row r="580" spans="1:45" ht="31.5" hidden="1" x14ac:dyDescent="0.25">
      <c r="A580" s="33" t="s">
        <v>52</v>
      </c>
      <c r="B580" s="42">
        <v>428</v>
      </c>
      <c r="C580" s="33" t="s">
        <v>47</v>
      </c>
      <c r="D580" s="33" t="s">
        <v>2618</v>
      </c>
      <c r="E580" s="32"/>
      <c r="F580" s="54"/>
      <c r="G580" s="33" t="s">
        <v>2619</v>
      </c>
      <c r="H580" s="32"/>
      <c r="I580" s="32"/>
      <c r="J580" s="33" t="s">
        <v>2620</v>
      </c>
      <c r="K580" s="33" t="s">
        <v>43</v>
      </c>
      <c r="L580" s="33" t="s">
        <v>2621</v>
      </c>
      <c r="M580" s="44">
        <v>356131600</v>
      </c>
      <c r="N580" s="45"/>
      <c r="O580" s="44">
        <v>7500000</v>
      </c>
      <c r="P580" s="86"/>
      <c r="Q580" s="44">
        <f t="shared" si="463"/>
        <v>363631600</v>
      </c>
      <c r="R580" s="48">
        <v>356131600</v>
      </c>
      <c r="S580" s="32"/>
      <c r="T580" s="44">
        <v>7500000</v>
      </c>
      <c r="U580" s="32"/>
      <c r="V580" s="32"/>
      <c r="W580" s="49"/>
      <c r="X580" s="49">
        <f t="shared" ref="X580:Z580" si="584">N580-S580</f>
        <v>0</v>
      </c>
      <c r="Y580" s="49">
        <f t="shared" si="584"/>
        <v>0</v>
      </c>
      <c r="Z580" s="49">
        <f t="shared" si="584"/>
        <v>0</v>
      </c>
      <c r="AA580" s="54"/>
      <c r="AB580" s="54"/>
      <c r="AC580" s="2">
        <f t="shared" si="465"/>
        <v>2</v>
      </c>
      <c r="AD580" s="6"/>
      <c r="AE580" s="6"/>
      <c r="AF580" s="6"/>
      <c r="AG580" s="6"/>
      <c r="AH580" s="6"/>
      <c r="AI580" s="6"/>
      <c r="AJ580" s="6"/>
      <c r="AK580" s="6"/>
      <c r="AL580" s="6"/>
      <c r="AM580" s="6"/>
      <c r="AN580" s="6"/>
      <c r="AO580" s="6"/>
      <c r="AP580" s="6"/>
      <c r="AQ580" s="6"/>
      <c r="AR580" s="6"/>
      <c r="AS580" s="6"/>
    </row>
    <row r="581" spans="1:45" ht="31.5" hidden="1" x14ac:dyDescent="0.25">
      <c r="A581" s="33" t="s">
        <v>88</v>
      </c>
      <c r="B581" s="42">
        <v>429</v>
      </c>
      <c r="C581" s="33" t="s">
        <v>47</v>
      </c>
      <c r="D581" s="33" t="s">
        <v>2622</v>
      </c>
      <c r="E581" s="32"/>
      <c r="F581" s="54"/>
      <c r="G581" s="33" t="s">
        <v>2623</v>
      </c>
      <c r="H581" s="32"/>
      <c r="I581" s="32"/>
      <c r="J581" s="33" t="s">
        <v>2624</v>
      </c>
      <c r="K581" s="33" t="s">
        <v>43</v>
      </c>
      <c r="L581" s="33" t="s">
        <v>2625</v>
      </c>
      <c r="M581" s="44">
        <v>3113721600</v>
      </c>
      <c r="N581" s="45"/>
      <c r="O581" s="44">
        <v>15000000</v>
      </c>
      <c r="P581" s="86"/>
      <c r="Q581" s="44">
        <f t="shared" si="463"/>
        <v>3128721600</v>
      </c>
      <c r="R581" s="52">
        <v>3113721600</v>
      </c>
      <c r="S581" s="32"/>
      <c r="T581" s="44">
        <v>15000000</v>
      </c>
      <c r="U581" s="32"/>
      <c r="V581" s="32"/>
      <c r="W581" s="49"/>
      <c r="X581" s="49">
        <f t="shared" ref="X581:Z581" si="585">N581-S581</f>
        <v>0</v>
      </c>
      <c r="Y581" s="49">
        <f t="shared" si="585"/>
        <v>0</v>
      </c>
      <c r="Z581" s="49">
        <f t="shared" si="585"/>
        <v>0</v>
      </c>
      <c r="AA581" s="54"/>
      <c r="AB581" s="54"/>
      <c r="AC581" s="2">
        <f t="shared" si="465"/>
        <v>2</v>
      </c>
      <c r="AD581" s="6"/>
      <c r="AE581" s="6"/>
      <c r="AF581" s="6"/>
      <c r="AG581" s="6"/>
      <c r="AH581" s="6"/>
      <c r="AI581" s="6"/>
      <c r="AJ581" s="6"/>
      <c r="AK581" s="6"/>
      <c r="AL581" s="6"/>
      <c r="AM581" s="6"/>
      <c r="AN581" s="6"/>
      <c r="AO581" s="6"/>
      <c r="AP581" s="6"/>
      <c r="AQ581" s="6"/>
      <c r="AR581" s="6"/>
      <c r="AS581" s="6"/>
    </row>
    <row r="582" spans="1:45" ht="31.5" hidden="1" x14ac:dyDescent="0.25">
      <c r="A582" s="33" t="s">
        <v>60</v>
      </c>
      <c r="B582" s="42">
        <v>430</v>
      </c>
      <c r="C582" s="33" t="s">
        <v>47</v>
      </c>
      <c r="D582" s="33" t="s">
        <v>2626</v>
      </c>
      <c r="E582" s="32"/>
      <c r="F582" s="54"/>
      <c r="G582" s="33" t="s">
        <v>2627</v>
      </c>
      <c r="H582" s="32"/>
      <c r="I582" s="32"/>
      <c r="J582" s="33" t="s">
        <v>2628</v>
      </c>
      <c r="K582" s="33" t="s">
        <v>43</v>
      </c>
      <c r="L582" s="33" t="s">
        <v>2629</v>
      </c>
      <c r="M582" s="44">
        <v>3291977680</v>
      </c>
      <c r="N582" s="45"/>
      <c r="O582" s="44">
        <v>15000000</v>
      </c>
      <c r="P582" s="86"/>
      <c r="Q582" s="44">
        <f t="shared" si="463"/>
        <v>3306977680</v>
      </c>
      <c r="R582" s="79">
        <v>3291977680</v>
      </c>
      <c r="S582" s="32"/>
      <c r="T582" s="44">
        <v>15000000</v>
      </c>
      <c r="U582" s="32"/>
      <c r="V582" s="32"/>
      <c r="W582" s="49"/>
      <c r="X582" s="49">
        <f t="shared" ref="X582:Z582" si="586">N582-S582</f>
        <v>0</v>
      </c>
      <c r="Y582" s="49">
        <f t="shared" si="586"/>
        <v>0</v>
      </c>
      <c r="Z582" s="49">
        <f t="shared" si="586"/>
        <v>0</v>
      </c>
      <c r="AA582" s="54"/>
      <c r="AB582" s="54"/>
      <c r="AC582" s="2">
        <f t="shared" si="465"/>
        <v>2</v>
      </c>
      <c r="AD582" s="6"/>
      <c r="AE582" s="6"/>
      <c r="AF582" s="6"/>
      <c r="AG582" s="6"/>
      <c r="AH582" s="6"/>
      <c r="AI582" s="6"/>
      <c r="AJ582" s="6"/>
      <c r="AK582" s="6"/>
      <c r="AL582" s="6"/>
      <c r="AM582" s="6"/>
      <c r="AN582" s="6"/>
      <c r="AO582" s="6"/>
      <c r="AP582" s="6"/>
      <c r="AQ582" s="6"/>
      <c r="AR582" s="6"/>
      <c r="AS582" s="6"/>
    </row>
    <row r="583" spans="1:45" ht="31.5" hidden="1" x14ac:dyDescent="0.25">
      <c r="A583" s="33" t="s">
        <v>60</v>
      </c>
      <c r="B583" s="42">
        <v>431</v>
      </c>
      <c r="C583" s="33" t="s">
        <v>47</v>
      </c>
      <c r="D583" s="33" t="s">
        <v>2630</v>
      </c>
      <c r="E583" s="32"/>
      <c r="F583" s="54"/>
      <c r="G583" s="33" t="s">
        <v>2631</v>
      </c>
      <c r="H583" s="33" t="s">
        <v>2632</v>
      </c>
      <c r="I583" s="32"/>
      <c r="J583" s="33" t="s">
        <v>2633</v>
      </c>
      <c r="K583" s="33" t="s">
        <v>43</v>
      </c>
      <c r="L583" s="33" t="s">
        <v>2634</v>
      </c>
      <c r="M583" s="44">
        <v>1490425300</v>
      </c>
      <c r="N583" s="45"/>
      <c r="O583" s="44">
        <v>15000000</v>
      </c>
      <c r="P583" s="86"/>
      <c r="Q583" s="44">
        <f t="shared" si="463"/>
        <v>1505425300</v>
      </c>
      <c r="R583" s="79">
        <v>1490425300</v>
      </c>
      <c r="S583" s="32"/>
      <c r="T583" s="44">
        <v>15000000</v>
      </c>
      <c r="U583" s="32"/>
      <c r="V583" s="32"/>
      <c r="W583" s="49"/>
      <c r="X583" s="49">
        <f t="shared" ref="X583:Z583" si="587">N583-S583</f>
        <v>0</v>
      </c>
      <c r="Y583" s="49">
        <f t="shared" si="587"/>
        <v>0</v>
      </c>
      <c r="Z583" s="49">
        <f t="shared" si="587"/>
        <v>0</v>
      </c>
      <c r="AA583" s="54"/>
      <c r="AB583" s="54"/>
      <c r="AC583" s="2">
        <f t="shared" si="465"/>
        <v>2</v>
      </c>
      <c r="AD583" s="6"/>
      <c r="AE583" s="6"/>
      <c r="AF583" s="6"/>
      <c r="AG583" s="6"/>
      <c r="AH583" s="6"/>
      <c r="AI583" s="6"/>
      <c r="AJ583" s="6"/>
      <c r="AK583" s="6"/>
      <c r="AL583" s="6"/>
      <c r="AM583" s="6"/>
      <c r="AN583" s="6"/>
      <c r="AO583" s="6"/>
      <c r="AP583" s="6"/>
      <c r="AQ583" s="6"/>
      <c r="AR583" s="6"/>
      <c r="AS583" s="6"/>
    </row>
    <row r="584" spans="1:45" ht="31.5" hidden="1" x14ac:dyDescent="0.25">
      <c r="A584" s="33" t="s">
        <v>60</v>
      </c>
      <c r="B584" s="42">
        <v>432</v>
      </c>
      <c r="C584" s="33" t="s">
        <v>47</v>
      </c>
      <c r="D584" s="33" t="s">
        <v>2635</v>
      </c>
      <c r="E584" s="32"/>
      <c r="F584" s="54"/>
      <c r="G584" s="33" t="s">
        <v>2636</v>
      </c>
      <c r="H584" s="32"/>
      <c r="I584" s="32"/>
      <c r="J584" s="33" t="s">
        <v>2637</v>
      </c>
      <c r="K584" s="33" t="s">
        <v>43</v>
      </c>
      <c r="L584" s="33" t="s">
        <v>2638</v>
      </c>
      <c r="M584" s="44">
        <v>938372032</v>
      </c>
      <c r="N584" s="45"/>
      <c r="O584" s="44">
        <v>15000000</v>
      </c>
      <c r="P584" s="86"/>
      <c r="Q584" s="44">
        <f t="shared" si="463"/>
        <v>953372032</v>
      </c>
      <c r="R584" s="48">
        <v>938372032</v>
      </c>
      <c r="S584" s="32"/>
      <c r="T584" s="44">
        <v>15000000</v>
      </c>
      <c r="U584" s="32"/>
      <c r="V584" s="32"/>
      <c r="W584" s="49"/>
      <c r="X584" s="49">
        <f t="shared" ref="X584:Z584" si="588">N584-S584</f>
        <v>0</v>
      </c>
      <c r="Y584" s="49">
        <f t="shared" si="588"/>
        <v>0</v>
      </c>
      <c r="Z584" s="49">
        <f t="shared" si="588"/>
        <v>0</v>
      </c>
      <c r="AA584" s="54"/>
      <c r="AB584" s="54"/>
      <c r="AC584" s="2">
        <f t="shared" si="465"/>
        <v>2</v>
      </c>
      <c r="AD584" s="6"/>
      <c r="AE584" s="6"/>
      <c r="AF584" s="6"/>
      <c r="AG584" s="6"/>
      <c r="AH584" s="6"/>
      <c r="AI584" s="6"/>
      <c r="AJ584" s="6"/>
      <c r="AK584" s="6"/>
      <c r="AL584" s="6"/>
      <c r="AM584" s="6"/>
      <c r="AN584" s="6"/>
      <c r="AO584" s="6"/>
      <c r="AP584" s="6"/>
      <c r="AQ584" s="6"/>
      <c r="AR584" s="6"/>
      <c r="AS584" s="6"/>
    </row>
    <row r="585" spans="1:45" ht="31.5" hidden="1" x14ac:dyDescent="0.25">
      <c r="A585" s="33" t="s">
        <v>35</v>
      </c>
      <c r="B585" s="42">
        <v>433</v>
      </c>
      <c r="C585" s="33" t="s">
        <v>47</v>
      </c>
      <c r="D585" s="33" t="s">
        <v>2639</v>
      </c>
      <c r="E585" s="33" t="s">
        <v>2640</v>
      </c>
      <c r="F585" s="54"/>
      <c r="G585" s="33" t="s">
        <v>2641</v>
      </c>
      <c r="H585" s="33" t="s">
        <v>2642</v>
      </c>
      <c r="I585" s="32"/>
      <c r="J585" s="33" t="s">
        <v>2643</v>
      </c>
      <c r="K585" s="33" t="s">
        <v>43</v>
      </c>
      <c r="L585" s="33" t="s">
        <v>2644</v>
      </c>
      <c r="M585" s="44">
        <v>749331672</v>
      </c>
      <c r="N585" s="44">
        <v>37628928</v>
      </c>
      <c r="O585" s="44">
        <v>7500000</v>
      </c>
      <c r="P585" s="86"/>
      <c r="Q585" s="44">
        <f t="shared" si="463"/>
        <v>794460600</v>
      </c>
      <c r="R585" s="48">
        <v>749331672</v>
      </c>
      <c r="S585" s="49">
        <v>37628928</v>
      </c>
      <c r="T585" s="44">
        <v>7500000</v>
      </c>
      <c r="U585" s="32"/>
      <c r="V585" s="32"/>
      <c r="W585" s="49"/>
      <c r="X585" s="49">
        <f t="shared" ref="X585:Z585" si="589">N585-S585</f>
        <v>0</v>
      </c>
      <c r="Y585" s="49">
        <f t="shared" si="589"/>
        <v>0</v>
      </c>
      <c r="Z585" s="49">
        <f t="shared" si="589"/>
        <v>0</v>
      </c>
      <c r="AA585" s="54"/>
      <c r="AB585" s="54"/>
      <c r="AC585" s="2">
        <f t="shared" si="465"/>
        <v>2</v>
      </c>
      <c r="AD585" s="6"/>
      <c r="AE585" s="6"/>
      <c r="AF585" s="6"/>
      <c r="AG585" s="6"/>
      <c r="AH585" s="6"/>
      <c r="AI585" s="6"/>
      <c r="AJ585" s="6"/>
      <c r="AK585" s="6"/>
      <c r="AL585" s="6"/>
      <c r="AM585" s="6"/>
      <c r="AN585" s="6"/>
      <c r="AO585" s="6"/>
      <c r="AP585" s="6"/>
      <c r="AQ585" s="6"/>
      <c r="AR585" s="6"/>
      <c r="AS585" s="6"/>
    </row>
    <row r="586" spans="1:45" ht="31.5" hidden="1" x14ac:dyDescent="0.25">
      <c r="A586" s="33" t="s">
        <v>52</v>
      </c>
      <c r="B586" s="42">
        <v>435</v>
      </c>
      <c r="C586" s="33" t="s">
        <v>47</v>
      </c>
      <c r="D586" s="33" t="s">
        <v>2646</v>
      </c>
      <c r="E586" s="33" t="s">
        <v>2647</v>
      </c>
      <c r="F586" s="54"/>
      <c r="G586" s="33" t="s">
        <v>2648</v>
      </c>
      <c r="H586" s="33" t="s">
        <v>2649</v>
      </c>
      <c r="I586" s="33"/>
      <c r="J586" s="33" t="s">
        <v>2650</v>
      </c>
      <c r="K586" s="33" t="s">
        <v>43</v>
      </c>
      <c r="L586" s="33" t="s">
        <v>2651</v>
      </c>
      <c r="M586" s="44">
        <v>15629867106</v>
      </c>
      <c r="N586" s="44">
        <v>1473748861</v>
      </c>
      <c r="O586" s="44">
        <v>7500000</v>
      </c>
      <c r="P586" s="86"/>
      <c r="Q586" s="44">
        <f t="shared" si="463"/>
        <v>17111115967</v>
      </c>
      <c r="R586" s="32"/>
      <c r="S586" s="33"/>
      <c r="T586" s="66"/>
      <c r="U586" s="32"/>
      <c r="V586" s="32"/>
      <c r="W586" s="49">
        <v>15629867106</v>
      </c>
      <c r="X586" s="52">
        <f t="shared" ref="X586:Z586" si="590">N586-S586</f>
        <v>1473748861</v>
      </c>
      <c r="Y586" s="52">
        <f t="shared" si="590"/>
        <v>7500000</v>
      </c>
      <c r="Z586" s="49">
        <f t="shared" si="590"/>
        <v>0</v>
      </c>
      <c r="AA586" s="69">
        <v>15629867106</v>
      </c>
      <c r="AB586" s="43"/>
      <c r="AC586" s="15">
        <f t="shared" si="465"/>
        <v>2</v>
      </c>
      <c r="AD586" s="15"/>
      <c r="AE586" s="6"/>
      <c r="AF586" s="6"/>
      <c r="AG586" s="6"/>
      <c r="AH586" s="6"/>
      <c r="AI586" s="6"/>
      <c r="AJ586" s="6"/>
      <c r="AK586" s="6"/>
      <c r="AL586" s="6"/>
      <c r="AM586" s="6"/>
      <c r="AN586" s="6"/>
      <c r="AO586" s="6"/>
      <c r="AP586" s="6"/>
      <c r="AQ586" s="6"/>
      <c r="AR586" s="6"/>
      <c r="AS586" s="6"/>
    </row>
    <row r="587" spans="1:45" ht="31.5" hidden="1" x14ac:dyDescent="0.25">
      <c r="A587" s="33" t="s">
        <v>46</v>
      </c>
      <c r="B587" s="42">
        <v>436</v>
      </c>
      <c r="C587" s="33" t="s">
        <v>47</v>
      </c>
      <c r="D587" s="33" t="s">
        <v>2652</v>
      </c>
      <c r="E587" s="33" t="s">
        <v>1028</v>
      </c>
      <c r="F587" s="54"/>
      <c r="G587" s="33" t="s">
        <v>2653</v>
      </c>
      <c r="H587" s="33" t="s">
        <v>2654</v>
      </c>
      <c r="I587" s="32"/>
      <c r="J587" s="33" t="s">
        <v>2655</v>
      </c>
      <c r="K587" s="33" t="s">
        <v>43</v>
      </c>
      <c r="L587" s="33" t="s">
        <v>2656</v>
      </c>
      <c r="M587" s="44">
        <v>2887795865</v>
      </c>
      <c r="N587" s="44">
        <v>38730048</v>
      </c>
      <c r="O587" s="44">
        <v>7500000</v>
      </c>
      <c r="P587" s="86"/>
      <c r="Q587" s="44">
        <f t="shared" si="463"/>
        <v>2934025913</v>
      </c>
      <c r="R587" s="48">
        <v>2887795865</v>
      </c>
      <c r="S587" s="49">
        <v>38730048</v>
      </c>
      <c r="T587" s="45">
        <v>7500000</v>
      </c>
      <c r="U587" s="32"/>
      <c r="V587" s="32"/>
      <c r="W587" s="49"/>
      <c r="X587" s="49">
        <f t="shared" ref="X587:Z587" si="591">N587-S587</f>
        <v>0</v>
      </c>
      <c r="Y587" s="49">
        <f t="shared" si="591"/>
        <v>0</v>
      </c>
      <c r="Z587" s="49">
        <f t="shared" si="591"/>
        <v>0</v>
      </c>
      <c r="AA587" s="54"/>
      <c r="AB587" s="54"/>
      <c r="AC587" s="2">
        <f t="shared" si="465"/>
        <v>2</v>
      </c>
      <c r="AD587" s="6"/>
      <c r="AE587" s="6"/>
      <c r="AF587" s="6"/>
      <c r="AG587" s="6"/>
      <c r="AH587" s="6"/>
      <c r="AI587" s="6"/>
      <c r="AJ587" s="6"/>
      <c r="AK587" s="6"/>
      <c r="AL587" s="6"/>
      <c r="AM587" s="6"/>
      <c r="AN587" s="6"/>
      <c r="AO587" s="6"/>
      <c r="AP587" s="6"/>
      <c r="AQ587" s="6"/>
      <c r="AR587" s="6"/>
      <c r="AS587" s="6"/>
    </row>
    <row r="588" spans="1:45" ht="31.5" hidden="1" x14ac:dyDescent="0.25">
      <c r="A588" s="33" t="s">
        <v>35</v>
      </c>
      <c r="B588" s="42">
        <v>437</v>
      </c>
      <c r="C588" s="33" t="s">
        <v>47</v>
      </c>
      <c r="D588" s="33" t="s">
        <v>2657</v>
      </c>
      <c r="E588" s="33"/>
      <c r="F588" s="54"/>
      <c r="G588" s="33" t="s">
        <v>2658</v>
      </c>
      <c r="H588" s="33"/>
      <c r="I588" s="33"/>
      <c r="J588" s="33" t="s">
        <v>2659</v>
      </c>
      <c r="K588" s="33" t="s">
        <v>43</v>
      </c>
      <c r="L588" s="33" t="s">
        <v>2660</v>
      </c>
      <c r="M588" s="44">
        <v>51726960</v>
      </c>
      <c r="N588" s="45"/>
      <c r="O588" s="44">
        <v>7500000</v>
      </c>
      <c r="P588" s="86"/>
      <c r="Q588" s="44">
        <f t="shared" si="463"/>
        <v>59226960</v>
      </c>
      <c r="R588" s="48">
        <v>51726960</v>
      </c>
      <c r="S588" s="32"/>
      <c r="T588" s="66"/>
      <c r="U588" s="32"/>
      <c r="V588" s="32"/>
      <c r="W588" s="49"/>
      <c r="X588" s="49">
        <f t="shared" ref="X588:Z588" si="592">N588-S588</f>
        <v>0</v>
      </c>
      <c r="Y588" s="52">
        <f t="shared" si="592"/>
        <v>7500000</v>
      </c>
      <c r="Z588" s="49">
        <f t="shared" si="592"/>
        <v>0</v>
      </c>
      <c r="AA588" s="54"/>
      <c r="AB588" s="43"/>
      <c r="AC588" s="15">
        <f t="shared" si="465"/>
        <v>2</v>
      </c>
      <c r="AD588" s="15"/>
      <c r="AE588" s="6"/>
      <c r="AF588" s="6"/>
      <c r="AG588" s="6"/>
      <c r="AH588" s="6"/>
      <c r="AI588" s="6"/>
      <c r="AJ588" s="6"/>
      <c r="AK588" s="6"/>
      <c r="AL588" s="6"/>
      <c r="AM588" s="6"/>
      <c r="AN588" s="6"/>
      <c r="AO588" s="6"/>
      <c r="AP588" s="6"/>
      <c r="AQ588" s="6"/>
      <c r="AR588" s="6"/>
      <c r="AS588" s="6"/>
    </row>
    <row r="589" spans="1:45" ht="31.5" hidden="1" x14ac:dyDescent="0.25">
      <c r="A589" s="33" t="s">
        <v>46</v>
      </c>
      <c r="B589" s="42">
        <v>438</v>
      </c>
      <c r="C589" s="33" t="s">
        <v>47</v>
      </c>
      <c r="D589" s="33" t="s">
        <v>2661</v>
      </c>
      <c r="E589" s="33"/>
      <c r="F589" s="54"/>
      <c r="G589" s="33" t="s">
        <v>2662</v>
      </c>
      <c r="H589" s="33"/>
      <c r="I589" s="33"/>
      <c r="J589" s="33" t="s">
        <v>2663</v>
      </c>
      <c r="K589" s="33" t="s">
        <v>43</v>
      </c>
      <c r="L589" s="33" t="s">
        <v>2664</v>
      </c>
      <c r="M589" s="44">
        <v>2988121529</v>
      </c>
      <c r="N589" s="45"/>
      <c r="O589" s="44">
        <v>7500000</v>
      </c>
      <c r="P589" s="86"/>
      <c r="Q589" s="44">
        <f t="shared" si="463"/>
        <v>2995621529</v>
      </c>
      <c r="R589" s="48">
        <v>2988121529</v>
      </c>
      <c r="S589" s="32"/>
      <c r="T589" s="66"/>
      <c r="U589" s="32"/>
      <c r="V589" s="32"/>
      <c r="W589" s="49"/>
      <c r="X589" s="49">
        <f t="shared" ref="X589:Z589" si="593">N589-S589</f>
        <v>0</v>
      </c>
      <c r="Y589" s="52">
        <f t="shared" si="593"/>
        <v>7500000</v>
      </c>
      <c r="Z589" s="49">
        <f t="shared" si="593"/>
        <v>0</v>
      </c>
      <c r="AA589" s="54"/>
      <c r="AB589" s="43"/>
      <c r="AC589" s="15">
        <f t="shared" si="465"/>
        <v>2</v>
      </c>
      <c r="AD589" s="15"/>
      <c r="AE589" s="6"/>
      <c r="AF589" s="6"/>
      <c r="AG589" s="6"/>
      <c r="AH589" s="6"/>
      <c r="AI589" s="6"/>
      <c r="AJ589" s="6"/>
      <c r="AK589" s="6"/>
      <c r="AL589" s="6"/>
      <c r="AM589" s="6"/>
      <c r="AN589" s="6"/>
      <c r="AO589" s="6"/>
      <c r="AP589" s="6"/>
      <c r="AQ589" s="6"/>
      <c r="AR589" s="6"/>
      <c r="AS589" s="6"/>
    </row>
    <row r="590" spans="1:45" ht="62.25" hidden="1" customHeight="1" x14ac:dyDescent="0.25">
      <c r="A590" s="33" t="s">
        <v>46</v>
      </c>
      <c r="B590" s="42">
        <v>439</v>
      </c>
      <c r="C590" s="33" t="s">
        <v>47</v>
      </c>
      <c r="D590" s="33" t="s">
        <v>2665</v>
      </c>
      <c r="E590" s="32"/>
      <c r="F590" s="54"/>
      <c r="G590" s="33" t="s">
        <v>2666</v>
      </c>
      <c r="H590" s="32"/>
      <c r="I590" s="32"/>
      <c r="J590" s="33" t="s">
        <v>2667</v>
      </c>
      <c r="K590" s="33" t="s">
        <v>43</v>
      </c>
      <c r="L590" s="33" t="s">
        <v>2668</v>
      </c>
      <c r="M590" s="44">
        <v>2121301600</v>
      </c>
      <c r="N590" s="45"/>
      <c r="O590" s="44">
        <v>7500000</v>
      </c>
      <c r="P590" s="86"/>
      <c r="Q590" s="44">
        <f t="shared" si="463"/>
        <v>2128801600</v>
      </c>
      <c r="R590" s="48">
        <v>2121301600</v>
      </c>
      <c r="S590" s="32"/>
      <c r="T590" s="44">
        <v>7500000</v>
      </c>
      <c r="U590" s="32"/>
      <c r="V590" s="32"/>
      <c r="W590" s="49"/>
      <c r="X590" s="49">
        <f t="shared" ref="X590:Z590" si="594">N590-S590</f>
        <v>0</v>
      </c>
      <c r="Y590" s="49">
        <f t="shared" si="594"/>
        <v>0</v>
      </c>
      <c r="Z590" s="49">
        <f t="shared" si="594"/>
        <v>0</v>
      </c>
      <c r="AA590" s="54"/>
      <c r="AB590" s="54"/>
      <c r="AC590" s="2">
        <f t="shared" si="465"/>
        <v>2</v>
      </c>
      <c r="AD590" s="6"/>
      <c r="AE590" s="6"/>
      <c r="AF590" s="6"/>
      <c r="AG590" s="6"/>
      <c r="AH590" s="6"/>
      <c r="AI590" s="6"/>
      <c r="AJ590" s="6"/>
      <c r="AK590" s="6"/>
      <c r="AL590" s="6"/>
      <c r="AM590" s="6"/>
      <c r="AN590" s="6"/>
      <c r="AO590" s="6"/>
      <c r="AP590" s="6"/>
      <c r="AQ590" s="6"/>
      <c r="AR590" s="6"/>
      <c r="AS590" s="6"/>
    </row>
    <row r="591" spans="1:45" ht="31.5" hidden="1" x14ac:dyDescent="0.25">
      <c r="A591" s="33" t="s">
        <v>35</v>
      </c>
      <c r="B591" s="42">
        <v>441</v>
      </c>
      <c r="C591" s="33" t="s">
        <v>47</v>
      </c>
      <c r="D591" s="33" t="s">
        <v>2670</v>
      </c>
      <c r="E591" s="32"/>
      <c r="F591" s="54"/>
      <c r="G591" s="33" t="s">
        <v>2671</v>
      </c>
      <c r="H591" s="32"/>
      <c r="I591" s="32"/>
      <c r="J591" s="33" t="s">
        <v>2672</v>
      </c>
      <c r="K591" s="33" t="s">
        <v>43</v>
      </c>
      <c r="L591" s="33" t="s">
        <v>2673</v>
      </c>
      <c r="M591" s="44">
        <v>4606383064</v>
      </c>
      <c r="N591" s="45"/>
      <c r="O591" s="44">
        <v>15000000</v>
      </c>
      <c r="P591" s="86"/>
      <c r="Q591" s="44">
        <f t="shared" si="463"/>
        <v>4621383064</v>
      </c>
      <c r="R591" s="48">
        <v>4606383064</v>
      </c>
      <c r="S591" s="32"/>
      <c r="T591" s="44">
        <v>15000000</v>
      </c>
      <c r="U591" s="32"/>
      <c r="V591" s="32"/>
      <c r="W591" s="49"/>
      <c r="X591" s="49">
        <f t="shared" ref="X591:Z591" si="595">N591-S591</f>
        <v>0</v>
      </c>
      <c r="Y591" s="49">
        <f t="shared" si="595"/>
        <v>0</v>
      </c>
      <c r="Z591" s="49">
        <f t="shared" si="595"/>
        <v>0</v>
      </c>
      <c r="AA591" s="54"/>
      <c r="AB591" s="54"/>
      <c r="AC591" s="2">
        <f t="shared" si="465"/>
        <v>2</v>
      </c>
      <c r="AD591" s="6"/>
      <c r="AE591" s="6"/>
      <c r="AF591" s="6"/>
      <c r="AG591" s="6"/>
      <c r="AH591" s="6"/>
      <c r="AI591" s="6"/>
      <c r="AJ591" s="6"/>
      <c r="AK591" s="6"/>
      <c r="AL591" s="6"/>
      <c r="AM591" s="6"/>
      <c r="AN591" s="6"/>
      <c r="AO591" s="6"/>
      <c r="AP591" s="6"/>
      <c r="AQ591" s="6"/>
      <c r="AR591" s="6"/>
      <c r="AS591" s="6"/>
    </row>
    <row r="592" spans="1:45" ht="31.5" hidden="1" x14ac:dyDescent="0.25">
      <c r="A592" s="33" t="s">
        <v>88</v>
      </c>
      <c r="B592" s="42">
        <v>443</v>
      </c>
      <c r="C592" s="33" t="s">
        <v>47</v>
      </c>
      <c r="D592" s="33" t="s">
        <v>2675</v>
      </c>
      <c r="E592" s="32"/>
      <c r="F592" s="54"/>
      <c r="G592" s="33" t="s">
        <v>2676</v>
      </c>
      <c r="H592" s="32"/>
      <c r="I592" s="32"/>
      <c r="J592" s="33" t="s">
        <v>2677</v>
      </c>
      <c r="K592" s="33" t="s">
        <v>43</v>
      </c>
      <c r="L592" s="33" t="s">
        <v>2678</v>
      </c>
      <c r="M592" s="44">
        <v>11944033780</v>
      </c>
      <c r="N592" s="45"/>
      <c r="O592" s="44">
        <v>15000000</v>
      </c>
      <c r="P592" s="86"/>
      <c r="Q592" s="44">
        <f t="shared" si="463"/>
        <v>11959033780</v>
      </c>
      <c r="R592" s="48">
        <v>11944033780</v>
      </c>
      <c r="S592" s="32"/>
      <c r="T592" s="44">
        <v>15000000</v>
      </c>
      <c r="U592" s="32"/>
      <c r="V592" s="32"/>
      <c r="W592" s="49"/>
      <c r="X592" s="49">
        <f t="shared" ref="X592:Z592" si="596">N592-S592</f>
        <v>0</v>
      </c>
      <c r="Y592" s="49">
        <f t="shared" si="596"/>
        <v>0</v>
      </c>
      <c r="Z592" s="49">
        <f t="shared" si="596"/>
        <v>0</v>
      </c>
      <c r="AA592" s="54"/>
      <c r="AB592" s="54"/>
      <c r="AC592" s="2">
        <f t="shared" si="465"/>
        <v>2</v>
      </c>
      <c r="AD592" s="6"/>
      <c r="AE592" s="6"/>
      <c r="AF592" s="6"/>
      <c r="AG592" s="6"/>
      <c r="AH592" s="6"/>
      <c r="AI592" s="6"/>
      <c r="AJ592" s="6"/>
      <c r="AK592" s="6"/>
      <c r="AL592" s="6"/>
      <c r="AM592" s="6"/>
      <c r="AN592" s="6"/>
      <c r="AO592" s="6"/>
      <c r="AP592" s="6"/>
      <c r="AQ592" s="6"/>
      <c r="AR592" s="6"/>
      <c r="AS592" s="6"/>
    </row>
    <row r="593" spans="1:45" ht="31.5" hidden="1" x14ac:dyDescent="0.25">
      <c r="A593" s="33" t="s">
        <v>46</v>
      </c>
      <c r="B593" s="42">
        <v>444</v>
      </c>
      <c r="C593" s="33" t="s">
        <v>47</v>
      </c>
      <c r="D593" s="33" t="s">
        <v>2679</v>
      </c>
      <c r="E593" s="32"/>
      <c r="F593" s="54"/>
      <c r="G593" s="33" t="s">
        <v>2680</v>
      </c>
      <c r="H593" s="32"/>
      <c r="I593" s="32"/>
      <c r="J593" s="33" t="s">
        <v>2681</v>
      </c>
      <c r="K593" s="33" t="s">
        <v>43</v>
      </c>
      <c r="L593" s="33" t="s">
        <v>2682</v>
      </c>
      <c r="M593" s="44">
        <v>672852940</v>
      </c>
      <c r="N593" s="45"/>
      <c r="O593" s="44">
        <v>7500000</v>
      </c>
      <c r="P593" s="86"/>
      <c r="Q593" s="44">
        <f t="shared" si="463"/>
        <v>680352940</v>
      </c>
      <c r="R593" s="49">
        <v>672852940</v>
      </c>
      <c r="S593" s="32"/>
      <c r="T593" s="44">
        <v>7500000</v>
      </c>
      <c r="U593" s="32"/>
      <c r="V593" s="32"/>
      <c r="W593" s="49"/>
      <c r="X593" s="49">
        <f t="shared" ref="X593:Z593" si="597">N593-S593</f>
        <v>0</v>
      </c>
      <c r="Y593" s="49">
        <f t="shared" si="597"/>
        <v>0</v>
      </c>
      <c r="Z593" s="49">
        <f t="shared" si="597"/>
        <v>0</v>
      </c>
      <c r="AA593" s="69"/>
      <c r="AB593" s="54"/>
      <c r="AC593" s="2">
        <f t="shared" si="465"/>
        <v>2</v>
      </c>
      <c r="AD593" s="6"/>
      <c r="AE593" s="6"/>
      <c r="AF593" s="6"/>
      <c r="AG593" s="6"/>
      <c r="AH593" s="6"/>
      <c r="AI593" s="6"/>
      <c r="AJ593" s="6"/>
      <c r="AK593" s="6"/>
      <c r="AL593" s="6"/>
      <c r="AM593" s="6"/>
      <c r="AN593" s="6"/>
      <c r="AO593" s="6"/>
      <c r="AP593" s="6"/>
      <c r="AQ593" s="6"/>
      <c r="AR593" s="6"/>
      <c r="AS593" s="6"/>
    </row>
    <row r="594" spans="1:45" ht="31.5" hidden="1" x14ac:dyDescent="0.25">
      <c r="A594" s="33" t="s">
        <v>35</v>
      </c>
      <c r="B594" s="42">
        <v>445</v>
      </c>
      <c r="C594" s="33" t="s">
        <v>47</v>
      </c>
      <c r="D594" s="33" t="s">
        <v>2683</v>
      </c>
      <c r="E594" s="32"/>
      <c r="F594" s="54"/>
      <c r="G594" s="33" t="s">
        <v>2684</v>
      </c>
      <c r="H594" s="32"/>
      <c r="I594" s="32"/>
      <c r="J594" s="33" t="s">
        <v>2685</v>
      </c>
      <c r="K594" s="33" t="s">
        <v>43</v>
      </c>
      <c r="L594" s="33" t="s">
        <v>2686</v>
      </c>
      <c r="M594" s="44">
        <v>2508309760</v>
      </c>
      <c r="N594" s="45"/>
      <c r="O594" s="44">
        <v>15000000</v>
      </c>
      <c r="P594" s="86"/>
      <c r="Q594" s="44">
        <f t="shared" si="463"/>
        <v>2523309760</v>
      </c>
      <c r="R594" s="48">
        <v>2508309760</v>
      </c>
      <c r="S594" s="32"/>
      <c r="T594" s="44">
        <v>15000000</v>
      </c>
      <c r="U594" s="32"/>
      <c r="V594" s="32"/>
      <c r="W594" s="49"/>
      <c r="X594" s="49">
        <f t="shared" ref="X594:Z594" si="598">N594-S594</f>
        <v>0</v>
      </c>
      <c r="Y594" s="49">
        <f t="shared" si="598"/>
        <v>0</v>
      </c>
      <c r="Z594" s="49">
        <f t="shared" si="598"/>
        <v>0</v>
      </c>
      <c r="AA594" s="54"/>
      <c r="AB594" s="54"/>
      <c r="AC594" s="2">
        <f t="shared" si="465"/>
        <v>2</v>
      </c>
      <c r="AD594" s="6"/>
      <c r="AE594" s="6"/>
      <c r="AF594" s="6"/>
      <c r="AG594" s="6"/>
      <c r="AH594" s="6"/>
      <c r="AI594" s="6"/>
      <c r="AJ594" s="6"/>
      <c r="AK594" s="6"/>
      <c r="AL594" s="6"/>
      <c r="AM594" s="6"/>
      <c r="AN594" s="6"/>
      <c r="AO594" s="6"/>
      <c r="AP594" s="6"/>
      <c r="AQ594" s="6"/>
      <c r="AR594" s="6"/>
      <c r="AS594" s="6"/>
    </row>
    <row r="595" spans="1:45" ht="31.5" hidden="1" x14ac:dyDescent="0.25">
      <c r="A595" s="33" t="s">
        <v>60</v>
      </c>
      <c r="B595" s="42">
        <v>446</v>
      </c>
      <c r="C595" s="33" t="s">
        <v>47</v>
      </c>
      <c r="D595" s="33" t="s">
        <v>2687</v>
      </c>
      <c r="E595" s="32"/>
      <c r="F595" s="54"/>
      <c r="G595" s="33" t="s">
        <v>2688</v>
      </c>
      <c r="H595" s="32"/>
      <c r="I595" s="32"/>
      <c r="J595" s="33" t="s">
        <v>2689</v>
      </c>
      <c r="K595" s="33" t="s">
        <v>43</v>
      </c>
      <c r="L595" s="33" t="s">
        <v>2690</v>
      </c>
      <c r="M595" s="44">
        <v>696677520</v>
      </c>
      <c r="N595" s="45"/>
      <c r="O595" s="44">
        <v>7500000</v>
      </c>
      <c r="P595" s="86"/>
      <c r="Q595" s="44">
        <f t="shared" si="463"/>
        <v>704177520</v>
      </c>
      <c r="R595" s="79">
        <v>696677520</v>
      </c>
      <c r="S595" s="32"/>
      <c r="T595" s="44">
        <v>7500000</v>
      </c>
      <c r="U595" s="32"/>
      <c r="V595" s="32"/>
      <c r="W595" s="49"/>
      <c r="X595" s="49">
        <f t="shared" ref="X595:Z595" si="599">N595-S595</f>
        <v>0</v>
      </c>
      <c r="Y595" s="49">
        <f t="shared" si="599"/>
        <v>0</v>
      </c>
      <c r="Z595" s="49">
        <f t="shared" si="599"/>
        <v>0</v>
      </c>
      <c r="AA595" s="54"/>
      <c r="AB595" s="54"/>
      <c r="AC595" s="2">
        <f t="shared" si="465"/>
        <v>2</v>
      </c>
      <c r="AD595" s="6"/>
      <c r="AE595" s="6"/>
      <c r="AF595" s="6"/>
      <c r="AG595" s="6"/>
      <c r="AH595" s="6"/>
      <c r="AI595" s="6"/>
      <c r="AJ595" s="6"/>
      <c r="AK595" s="6"/>
      <c r="AL595" s="6"/>
      <c r="AM595" s="6"/>
      <c r="AN595" s="6"/>
      <c r="AO595" s="6"/>
      <c r="AP595" s="6"/>
      <c r="AQ595" s="6"/>
      <c r="AR595" s="6"/>
      <c r="AS595" s="6"/>
    </row>
    <row r="596" spans="1:45" ht="31.5" hidden="1" x14ac:dyDescent="0.25">
      <c r="A596" s="33" t="s">
        <v>46</v>
      </c>
      <c r="B596" s="42">
        <v>449</v>
      </c>
      <c r="C596" s="33" t="s">
        <v>47</v>
      </c>
      <c r="D596" s="33" t="s">
        <v>2692</v>
      </c>
      <c r="E596" s="32"/>
      <c r="F596" s="54"/>
      <c r="G596" s="33" t="s">
        <v>2693</v>
      </c>
      <c r="H596" s="32"/>
      <c r="I596" s="32"/>
      <c r="J596" s="33" t="s">
        <v>2694</v>
      </c>
      <c r="K596" s="33" t="s">
        <v>43</v>
      </c>
      <c r="L596" s="33" t="s">
        <v>2695</v>
      </c>
      <c r="M596" s="44">
        <v>1491958086</v>
      </c>
      <c r="N596" s="45"/>
      <c r="O596" s="44">
        <v>7500000</v>
      </c>
      <c r="P596" s="86"/>
      <c r="Q596" s="44">
        <f t="shared" si="463"/>
        <v>1499458086</v>
      </c>
      <c r="R596" s="48">
        <v>1491958086</v>
      </c>
      <c r="S596" s="32"/>
      <c r="T596" s="44">
        <v>7500000</v>
      </c>
      <c r="U596" s="32"/>
      <c r="V596" s="32"/>
      <c r="W596" s="49"/>
      <c r="X596" s="49">
        <f t="shared" ref="X596:Z596" si="600">N596-S596</f>
        <v>0</v>
      </c>
      <c r="Y596" s="49">
        <f t="shared" si="600"/>
        <v>0</v>
      </c>
      <c r="Z596" s="49">
        <f t="shared" si="600"/>
        <v>0</v>
      </c>
      <c r="AA596" s="54"/>
      <c r="AB596" s="54"/>
      <c r="AC596" s="2">
        <f t="shared" si="465"/>
        <v>2</v>
      </c>
      <c r="AD596" s="6"/>
      <c r="AE596" s="6"/>
      <c r="AF596" s="6"/>
      <c r="AG596" s="6"/>
      <c r="AH596" s="6"/>
      <c r="AI596" s="6"/>
      <c r="AJ596" s="6"/>
      <c r="AK596" s="6"/>
      <c r="AL596" s="6"/>
      <c r="AM596" s="6"/>
      <c r="AN596" s="6"/>
      <c r="AO596" s="6"/>
      <c r="AP596" s="6"/>
      <c r="AQ596" s="6"/>
      <c r="AR596" s="6"/>
      <c r="AS596" s="6"/>
    </row>
    <row r="597" spans="1:45" ht="31.5" hidden="1" x14ac:dyDescent="0.25">
      <c r="A597" s="33" t="s">
        <v>35</v>
      </c>
      <c r="B597" s="42">
        <v>450</v>
      </c>
      <c r="C597" s="33" t="s">
        <v>47</v>
      </c>
      <c r="D597" s="33" t="s">
        <v>2696</v>
      </c>
      <c r="E597" s="33" t="s">
        <v>2697</v>
      </c>
      <c r="F597" s="54"/>
      <c r="G597" s="33" t="s">
        <v>2698</v>
      </c>
      <c r="H597" s="32"/>
      <c r="I597" s="32"/>
      <c r="J597" s="33" t="s">
        <v>2699</v>
      </c>
      <c r="K597" s="33" t="s">
        <v>43</v>
      </c>
      <c r="L597" s="33" t="s">
        <v>2700</v>
      </c>
      <c r="M597" s="44">
        <v>2330983840</v>
      </c>
      <c r="N597" s="44">
        <v>316785560</v>
      </c>
      <c r="O597" s="44">
        <v>15000000</v>
      </c>
      <c r="P597" s="86"/>
      <c r="Q597" s="44">
        <f t="shared" si="463"/>
        <v>2662769400</v>
      </c>
      <c r="R597" s="48">
        <v>2330983840</v>
      </c>
      <c r="S597" s="48">
        <v>316785560</v>
      </c>
      <c r="T597" s="44">
        <v>15000000</v>
      </c>
      <c r="U597" s="32"/>
      <c r="V597" s="32"/>
      <c r="W597" s="49"/>
      <c r="X597" s="49">
        <f t="shared" ref="X597:Z597" si="601">N597-S597</f>
        <v>0</v>
      </c>
      <c r="Y597" s="49">
        <f t="shared" si="601"/>
        <v>0</v>
      </c>
      <c r="Z597" s="49">
        <f t="shared" si="601"/>
        <v>0</v>
      </c>
      <c r="AA597" s="54"/>
      <c r="AB597" s="54"/>
      <c r="AC597" s="2">
        <f t="shared" si="465"/>
        <v>2</v>
      </c>
      <c r="AD597" s="6"/>
      <c r="AE597" s="6"/>
      <c r="AF597" s="6"/>
      <c r="AG597" s="6"/>
      <c r="AH597" s="6"/>
      <c r="AI597" s="6"/>
      <c r="AJ597" s="6"/>
      <c r="AK597" s="6"/>
      <c r="AL597" s="6"/>
      <c r="AM597" s="6"/>
      <c r="AN597" s="6"/>
      <c r="AO597" s="6"/>
      <c r="AP597" s="6"/>
      <c r="AQ597" s="6"/>
      <c r="AR597" s="6"/>
      <c r="AS597" s="6"/>
    </row>
    <row r="598" spans="1:45" ht="31.5" hidden="1" x14ac:dyDescent="0.25">
      <c r="A598" s="33" t="s">
        <v>60</v>
      </c>
      <c r="B598" s="42">
        <v>451</v>
      </c>
      <c r="C598" s="33" t="s">
        <v>47</v>
      </c>
      <c r="D598" s="33" t="s">
        <v>2701</v>
      </c>
      <c r="E598" s="32"/>
      <c r="F598" s="54"/>
      <c r="G598" s="33" t="s">
        <v>2702</v>
      </c>
      <c r="H598" s="32"/>
      <c r="I598" s="32"/>
      <c r="J598" s="33" t="s">
        <v>2703</v>
      </c>
      <c r="K598" s="33" t="s">
        <v>43</v>
      </c>
      <c r="L598" s="33" t="s">
        <v>2704</v>
      </c>
      <c r="M598" s="44">
        <v>6729310220</v>
      </c>
      <c r="N598" s="45"/>
      <c r="O598" s="44">
        <v>15000000</v>
      </c>
      <c r="P598" s="86"/>
      <c r="Q598" s="44">
        <f t="shared" si="463"/>
        <v>6744310220</v>
      </c>
      <c r="R598" s="79">
        <v>6729310220</v>
      </c>
      <c r="S598" s="32"/>
      <c r="T598" s="44">
        <v>15000000</v>
      </c>
      <c r="U598" s="32"/>
      <c r="V598" s="32"/>
      <c r="W598" s="49"/>
      <c r="X598" s="49">
        <f t="shared" ref="X598:Z598" si="602">N598-S598</f>
        <v>0</v>
      </c>
      <c r="Y598" s="49">
        <f t="shared" si="602"/>
        <v>0</v>
      </c>
      <c r="Z598" s="49">
        <f t="shared" si="602"/>
        <v>0</v>
      </c>
      <c r="AA598" s="54"/>
      <c r="AB598" s="54"/>
      <c r="AC598" s="2">
        <f t="shared" si="465"/>
        <v>2</v>
      </c>
      <c r="AD598" s="6"/>
      <c r="AE598" s="6"/>
      <c r="AF598" s="6"/>
      <c r="AG598" s="6"/>
      <c r="AH598" s="6"/>
      <c r="AI598" s="6"/>
      <c r="AJ598" s="6"/>
      <c r="AK598" s="6"/>
      <c r="AL598" s="6"/>
      <c r="AM598" s="6"/>
      <c r="AN598" s="6"/>
      <c r="AO598" s="6"/>
      <c r="AP598" s="6"/>
      <c r="AQ598" s="6"/>
      <c r="AR598" s="6"/>
      <c r="AS598" s="6"/>
    </row>
    <row r="599" spans="1:45" ht="31.5" hidden="1" x14ac:dyDescent="0.25">
      <c r="A599" s="33" t="s">
        <v>35</v>
      </c>
      <c r="B599" s="42">
        <v>452</v>
      </c>
      <c r="C599" s="33" t="s">
        <v>47</v>
      </c>
      <c r="D599" s="33" t="s">
        <v>2705</v>
      </c>
      <c r="E599" s="32"/>
      <c r="F599" s="54"/>
      <c r="G599" s="33" t="s">
        <v>2706</v>
      </c>
      <c r="H599" s="32"/>
      <c r="I599" s="32"/>
      <c r="J599" s="33" t="s">
        <v>2707</v>
      </c>
      <c r="K599" s="33" t="s">
        <v>43</v>
      </c>
      <c r="L599" s="33" t="s">
        <v>2708</v>
      </c>
      <c r="M599" s="44">
        <v>1850880899</v>
      </c>
      <c r="N599" s="45"/>
      <c r="O599" s="44">
        <v>7500000</v>
      </c>
      <c r="P599" s="86"/>
      <c r="Q599" s="44">
        <f t="shared" si="463"/>
        <v>1858380899</v>
      </c>
      <c r="R599" s="48">
        <v>1850880899</v>
      </c>
      <c r="S599" s="32"/>
      <c r="T599" s="44">
        <v>7500000</v>
      </c>
      <c r="U599" s="32"/>
      <c r="V599" s="32"/>
      <c r="W599" s="49"/>
      <c r="X599" s="49">
        <f t="shared" ref="X599:Z599" si="603">N599-S599</f>
        <v>0</v>
      </c>
      <c r="Y599" s="49">
        <f t="shared" si="603"/>
        <v>0</v>
      </c>
      <c r="Z599" s="49">
        <f t="shared" si="603"/>
        <v>0</v>
      </c>
      <c r="AA599" s="54"/>
      <c r="AB599" s="54"/>
      <c r="AC599" s="2">
        <f t="shared" si="465"/>
        <v>2</v>
      </c>
      <c r="AD599" s="6"/>
      <c r="AE599" s="6"/>
      <c r="AF599" s="6"/>
      <c r="AG599" s="6"/>
      <c r="AH599" s="6"/>
      <c r="AI599" s="6"/>
      <c r="AJ599" s="6"/>
      <c r="AK599" s="6"/>
      <c r="AL599" s="6"/>
      <c r="AM599" s="6"/>
      <c r="AN599" s="6"/>
      <c r="AO599" s="6"/>
      <c r="AP599" s="6"/>
      <c r="AQ599" s="6"/>
      <c r="AR599" s="6"/>
      <c r="AS599" s="6"/>
    </row>
    <row r="600" spans="1:45" ht="31.5" hidden="1" x14ac:dyDescent="0.25">
      <c r="A600" s="33" t="s">
        <v>60</v>
      </c>
      <c r="B600" s="42">
        <v>453</v>
      </c>
      <c r="C600" s="33" t="s">
        <v>47</v>
      </c>
      <c r="D600" s="33" t="s">
        <v>2709</v>
      </c>
      <c r="E600" s="33"/>
      <c r="F600" s="54"/>
      <c r="G600" s="33" t="s">
        <v>2710</v>
      </c>
      <c r="H600" s="33"/>
      <c r="I600" s="33" t="s">
        <v>85</v>
      </c>
      <c r="J600" s="33" t="s">
        <v>2711</v>
      </c>
      <c r="K600" s="33" t="s">
        <v>43</v>
      </c>
      <c r="L600" s="33" t="s">
        <v>2712</v>
      </c>
      <c r="M600" s="44">
        <v>634835870</v>
      </c>
      <c r="N600" s="45"/>
      <c r="O600" s="44">
        <v>3750000</v>
      </c>
      <c r="P600" s="86"/>
      <c r="Q600" s="44">
        <f t="shared" si="463"/>
        <v>638585870</v>
      </c>
      <c r="R600" s="32"/>
      <c r="S600" s="32"/>
      <c r="T600" s="66"/>
      <c r="U600" s="32"/>
      <c r="V600" s="32"/>
      <c r="W600" s="49">
        <v>634835870</v>
      </c>
      <c r="X600" s="49">
        <f t="shared" ref="X600:Z600" si="604">N600-S600</f>
        <v>0</v>
      </c>
      <c r="Y600" s="52">
        <f t="shared" si="604"/>
        <v>3750000</v>
      </c>
      <c r="Z600" s="49">
        <f t="shared" si="604"/>
        <v>0</v>
      </c>
      <c r="AA600" s="69">
        <v>634835870</v>
      </c>
      <c r="AB600" s="43"/>
      <c r="AC600" s="15">
        <f t="shared" si="465"/>
        <v>2</v>
      </c>
      <c r="AD600" s="15"/>
      <c r="AE600" s="6"/>
      <c r="AF600" s="6"/>
      <c r="AG600" s="6"/>
      <c r="AH600" s="6"/>
      <c r="AI600" s="6"/>
      <c r="AJ600" s="6"/>
      <c r="AK600" s="6"/>
      <c r="AL600" s="6"/>
      <c r="AM600" s="6"/>
      <c r="AN600" s="6"/>
      <c r="AO600" s="6"/>
      <c r="AP600" s="6"/>
      <c r="AQ600" s="6"/>
      <c r="AR600" s="6"/>
      <c r="AS600" s="6"/>
    </row>
    <row r="601" spans="1:45" ht="31.5" hidden="1" x14ac:dyDescent="0.25">
      <c r="A601" s="33" t="s">
        <v>88</v>
      </c>
      <c r="B601" s="42">
        <v>454</v>
      </c>
      <c r="C601" s="33" t="s">
        <v>47</v>
      </c>
      <c r="D601" s="33" t="s">
        <v>2713</v>
      </c>
      <c r="E601" s="33"/>
      <c r="F601" s="54"/>
      <c r="G601" s="33" t="s">
        <v>2714</v>
      </c>
      <c r="H601" s="33"/>
      <c r="I601" s="33"/>
      <c r="J601" s="33" t="s">
        <v>2715</v>
      </c>
      <c r="K601" s="33" t="s">
        <v>43</v>
      </c>
      <c r="L601" s="33" t="s">
        <v>2716</v>
      </c>
      <c r="M601" s="44">
        <v>0</v>
      </c>
      <c r="N601" s="45"/>
      <c r="O601" s="44">
        <v>7500000</v>
      </c>
      <c r="P601" s="86"/>
      <c r="Q601" s="44">
        <f t="shared" si="463"/>
        <v>7500000</v>
      </c>
      <c r="R601" s="42">
        <v>0</v>
      </c>
      <c r="S601" s="32"/>
      <c r="T601" s="66"/>
      <c r="U601" s="32"/>
      <c r="V601" s="32"/>
      <c r="W601" s="49"/>
      <c r="X601" s="49">
        <f t="shared" ref="X601:Z601" si="605">N601-S601</f>
        <v>0</v>
      </c>
      <c r="Y601" s="52">
        <f t="shared" si="605"/>
        <v>7500000</v>
      </c>
      <c r="Z601" s="49">
        <f t="shared" si="605"/>
        <v>0</v>
      </c>
      <c r="AA601" s="54"/>
      <c r="AB601" s="43"/>
      <c r="AC601" s="15">
        <f t="shared" si="465"/>
        <v>2</v>
      </c>
      <c r="AD601" s="15"/>
      <c r="AE601" s="6"/>
      <c r="AF601" s="6"/>
      <c r="AG601" s="6"/>
      <c r="AH601" s="6"/>
      <c r="AI601" s="6"/>
      <c r="AJ601" s="6"/>
      <c r="AK601" s="6"/>
      <c r="AL601" s="6"/>
      <c r="AM601" s="6"/>
      <c r="AN601" s="6"/>
      <c r="AO601" s="6"/>
      <c r="AP601" s="6"/>
      <c r="AQ601" s="6"/>
      <c r="AR601" s="6"/>
      <c r="AS601" s="6"/>
    </row>
    <row r="602" spans="1:45" ht="31.5" hidden="1" x14ac:dyDescent="0.25">
      <c r="A602" s="33" t="s">
        <v>60</v>
      </c>
      <c r="B602" s="42">
        <v>455</v>
      </c>
      <c r="C602" s="33" t="s">
        <v>47</v>
      </c>
      <c r="D602" s="33" t="s">
        <v>2717</v>
      </c>
      <c r="E602" s="32"/>
      <c r="F602" s="54"/>
      <c r="G602" s="33" t="s">
        <v>2718</v>
      </c>
      <c r="H602" s="32"/>
      <c r="I602" s="32"/>
      <c r="J602" s="33" t="s">
        <v>2719</v>
      </c>
      <c r="K602" s="33" t="s">
        <v>43</v>
      </c>
      <c r="L602" s="33" t="s">
        <v>1162</v>
      </c>
      <c r="M602" s="44">
        <v>1786505570</v>
      </c>
      <c r="N602" s="45"/>
      <c r="O602" s="44">
        <v>15000000</v>
      </c>
      <c r="P602" s="86"/>
      <c r="Q602" s="44">
        <f t="shared" si="463"/>
        <v>1801505570</v>
      </c>
      <c r="R602" s="48">
        <v>1786505570</v>
      </c>
      <c r="S602" s="32"/>
      <c r="T602" s="44">
        <v>15000000</v>
      </c>
      <c r="U602" s="32"/>
      <c r="V602" s="32"/>
      <c r="W602" s="49"/>
      <c r="X602" s="49">
        <f t="shared" ref="X602:Z602" si="606">N602-S602</f>
        <v>0</v>
      </c>
      <c r="Y602" s="49">
        <f t="shared" si="606"/>
        <v>0</v>
      </c>
      <c r="Z602" s="49">
        <f t="shared" si="606"/>
        <v>0</v>
      </c>
      <c r="AA602" s="54"/>
      <c r="AB602" s="54"/>
      <c r="AC602" s="2">
        <f t="shared" si="465"/>
        <v>2</v>
      </c>
      <c r="AD602" s="6"/>
      <c r="AE602" s="6"/>
      <c r="AF602" s="6"/>
      <c r="AG602" s="6"/>
      <c r="AH602" s="6"/>
      <c r="AI602" s="6"/>
      <c r="AJ602" s="6"/>
      <c r="AK602" s="6"/>
      <c r="AL602" s="6"/>
      <c r="AM602" s="6"/>
      <c r="AN602" s="6"/>
      <c r="AO602" s="6"/>
      <c r="AP602" s="6"/>
      <c r="AQ602" s="6"/>
      <c r="AR602" s="6"/>
      <c r="AS602" s="6"/>
    </row>
    <row r="603" spans="1:45" ht="31.5" hidden="1" x14ac:dyDescent="0.25">
      <c r="A603" s="33" t="s">
        <v>88</v>
      </c>
      <c r="B603" s="42">
        <v>457</v>
      </c>
      <c r="C603" s="33" t="s">
        <v>47</v>
      </c>
      <c r="D603" s="33" t="s">
        <v>2720</v>
      </c>
      <c r="E603" s="32"/>
      <c r="F603" s="54"/>
      <c r="G603" s="33" t="s">
        <v>2721</v>
      </c>
      <c r="H603" s="32"/>
      <c r="I603" s="32"/>
      <c r="J603" s="33" t="s">
        <v>2722</v>
      </c>
      <c r="K603" s="33" t="s">
        <v>43</v>
      </c>
      <c r="L603" s="33" t="s">
        <v>2723</v>
      </c>
      <c r="M603" s="44">
        <v>3193648512</v>
      </c>
      <c r="N603" s="45"/>
      <c r="O603" s="44">
        <v>15000000</v>
      </c>
      <c r="P603" s="86"/>
      <c r="Q603" s="44">
        <f t="shared" si="463"/>
        <v>3208648512</v>
      </c>
      <c r="R603" s="48">
        <v>3193648512</v>
      </c>
      <c r="S603" s="32"/>
      <c r="T603" s="44">
        <v>15000000</v>
      </c>
      <c r="U603" s="32"/>
      <c r="V603" s="32"/>
      <c r="W603" s="49"/>
      <c r="X603" s="49">
        <f t="shared" ref="X603:Z603" si="607">N603-S603</f>
        <v>0</v>
      </c>
      <c r="Y603" s="49">
        <f t="shared" si="607"/>
        <v>0</v>
      </c>
      <c r="Z603" s="49">
        <f t="shared" si="607"/>
        <v>0</v>
      </c>
      <c r="AA603" s="54"/>
      <c r="AB603" s="54"/>
      <c r="AC603" s="2">
        <f t="shared" si="465"/>
        <v>2</v>
      </c>
      <c r="AD603" s="6"/>
      <c r="AE603" s="6"/>
      <c r="AF603" s="6"/>
      <c r="AG603" s="6"/>
      <c r="AH603" s="6"/>
      <c r="AI603" s="6"/>
      <c r="AJ603" s="6"/>
      <c r="AK603" s="6"/>
      <c r="AL603" s="6"/>
      <c r="AM603" s="6"/>
      <c r="AN603" s="6"/>
      <c r="AO603" s="6"/>
      <c r="AP603" s="6"/>
      <c r="AQ603" s="6"/>
      <c r="AR603" s="6"/>
      <c r="AS603" s="6"/>
    </row>
    <row r="604" spans="1:45" ht="31.5" hidden="1" x14ac:dyDescent="0.25">
      <c r="A604" s="33" t="s">
        <v>88</v>
      </c>
      <c r="B604" s="42">
        <v>458</v>
      </c>
      <c r="C604" s="33" t="s">
        <v>47</v>
      </c>
      <c r="D604" s="33" t="s">
        <v>2724</v>
      </c>
      <c r="E604" s="32"/>
      <c r="F604" s="54"/>
      <c r="G604" s="33" t="s">
        <v>2725</v>
      </c>
      <c r="H604" s="32"/>
      <c r="I604" s="32"/>
      <c r="J604" s="33" t="s">
        <v>2726</v>
      </c>
      <c r="K604" s="33" t="s">
        <v>43</v>
      </c>
      <c r="L604" s="33" t="s">
        <v>2727</v>
      </c>
      <c r="M604" s="44">
        <v>1952469640</v>
      </c>
      <c r="N604" s="45"/>
      <c r="O604" s="44">
        <v>7500000</v>
      </c>
      <c r="P604" s="86"/>
      <c r="Q604" s="44">
        <f t="shared" si="463"/>
        <v>1959969640</v>
      </c>
      <c r="R604" s="52">
        <v>1952469640</v>
      </c>
      <c r="S604" s="32"/>
      <c r="T604" s="44">
        <v>7500000</v>
      </c>
      <c r="U604" s="32"/>
      <c r="V604" s="32"/>
      <c r="W604" s="49"/>
      <c r="X604" s="49">
        <f t="shared" ref="X604:Z604" si="608">N604-S604</f>
        <v>0</v>
      </c>
      <c r="Y604" s="49">
        <f t="shared" si="608"/>
        <v>0</v>
      </c>
      <c r="Z604" s="49">
        <f t="shared" si="608"/>
        <v>0</v>
      </c>
      <c r="AA604" s="54"/>
      <c r="AB604" s="54"/>
      <c r="AC604" s="2">
        <f t="shared" si="465"/>
        <v>2</v>
      </c>
      <c r="AD604" s="6"/>
      <c r="AE604" s="6"/>
      <c r="AF604" s="6"/>
      <c r="AG604" s="6"/>
      <c r="AH604" s="6"/>
      <c r="AI604" s="6"/>
      <c r="AJ604" s="6"/>
      <c r="AK604" s="6"/>
      <c r="AL604" s="6"/>
      <c r="AM604" s="6"/>
      <c r="AN604" s="6"/>
      <c r="AO604" s="6"/>
      <c r="AP604" s="6"/>
      <c r="AQ604" s="6"/>
      <c r="AR604" s="6"/>
      <c r="AS604" s="6"/>
    </row>
    <row r="605" spans="1:45" ht="62.25" hidden="1" customHeight="1" x14ac:dyDescent="0.25">
      <c r="A605" s="33" t="s">
        <v>88</v>
      </c>
      <c r="B605" s="42">
        <v>459</v>
      </c>
      <c r="C605" s="33" t="s">
        <v>47</v>
      </c>
      <c r="D605" s="33" t="s">
        <v>2728</v>
      </c>
      <c r="E605" s="33" t="s">
        <v>377</v>
      </c>
      <c r="F605" s="54"/>
      <c r="G605" s="33" t="s">
        <v>2729</v>
      </c>
      <c r="H605" s="33" t="s">
        <v>2730</v>
      </c>
      <c r="I605" s="33"/>
      <c r="J605" s="33" t="s">
        <v>2731</v>
      </c>
      <c r="K605" s="33" t="s">
        <v>43</v>
      </c>
      <c r="L605" s="33" t="s">
        <v>2732</v>
      </c>
      <c r="M605" s="44">
        <v>42946103602</v>
      </c>
      <c r="N605" s="44">
        <v>1821979150</v>
      </c>
      <c r="O605" s="44">
        <v>7500000</v>
      </c>
      <c r="P605" s="86"/>
      <c r="Q605" s="44">
        <f t="shared" si="463"/>
        <v>44775582752</v>
      </c>
      <c r="R605" s="52">
        <v>42946103602</v>
      </c>
      <c r="S605" s="48">
        <v>1821979150</v>
      </c>
      <c r="T605" s="66"/>
      <c r="U605" s="32"/>
      <c r="V605" s="32"/>
      <c r="W605" s="49"/>
      <c r="X605" s="49">
        <f t="shared" ref="X605:Z605" si="609">N605-S605</f>
        <v>0</v>
      </c>
      <c r="Y605" s="52">
        <f t="shared" si="609"/>
        <v>7500000</v>
      </c>
      <c r="Z605" s="49">
        <f t="shared" si="609"/>
        <v>0</v>
      </c>
      <c r="AA605" s="54"/>
      <c r="AB605" s="43"/>
      <c r="AC605" s="15">
        <f t="shared" si="465"/>
        <v>2</v>
      </c>
      <c r="AD605" s="15"/>
      <c r="AE605" s="6"/>
      <c r="AF605" s="6"/>
      <c r="AG605" s="6"/>
      <c r="AH605" s="6"/>
      <c r="AI605" s="6"/>
      <c r="AJ605" s="6"/>
      <c r="AK605" s="6"/>
      <c r="AL605" s="6"/>
      <c r="AM605" s="6"/>
      <c r="AN605" s="6"/>
      <c r="AO605" s="6"/>
      <c r="AP605" s="6"/>
      <c r="AQ605" s="6"/>
      <c r="AR605" s="6"/>
      <c r="AS605" s="6"/>
    </row>
    <row r="606" spans="1:45" ht="31.5" hidden="1" x14ac:dyDescent="0.25">
      <c r="A606" s="33" t="s">
        <v>60</v>
      </c>
      <c r="B606" s="42">
        <v>460</v>
      </c>
      <c r="C606" s="33" t="s">
        <v>47</v>
      </c>
      <c r="D606" s="33" t="s">
        <v>2733</v>
      </c>
      <c r="E606" s="32"/>
      <c r="F606" s="54"/>
      <c r="G606" s="33" t="s">
        <v>2734</v>
      </c>
      <c r="H606" s="32"/>
      <c r="I606" s="32"/>
      <c r="J606" s="33" t="s">
        <v>2735</v>
      </c>
      <c r="K606" s="33" t="s">
        <v>43</v>
      </c>
      <c r="L606" s="33" t="s">
        <v>2736</v>
      </c>
      <c r="M606" s="44">
        <v>25138264737</v>
      </c>
      <c r="N606" s="45"/>
      <c r="O606" s="44">
        <v>15000000</v>
      </c>
      <c r="P606" s="86"/>
      <c r="Q606" s="44">
        <f t="shared" si="463"/>
        <v>25153264737</v>
      </c>
      <c r="R606" s="48">
        <v>25138264737</v>
      </c>
      <c r="S606" s="32"/>
      <c r="T606" s="44">
        <v>15000000</v>
      </c>
      <c r="U606" s="32"/>
      <c r="V606" s="32"/>
      <c r="W606" s="49"/>
      <c r="X606" s="49">
        <f t="shared" ref="X606:Z606" si="610">N606-S606</f>
        <v>0</v>
      </c>
      <c r="Y606" s="49">
        <f t="shared" si="610"/>
        <v>0</v>
      </c>
      <c r="Z606" s="49">
        <f t="shared" si="610"/>
        <v>0</v>
      </c>
      <c r="AA606" s="54"/>
      <c r="AB606" s="54"/>
      <c r="AC606" s="2">
        <f t="shared" si="465"/>
        <v>2</v>
      </c>
      <c r="AD606" s="6"/>
      <c r="AE606" s="6"/>
      <c r="AF606" s="6"/>
      <c r="AG606" s="6"/>
      <c r="AH606" s="6"/>
      <c r="AI606" s="6"/>
      <c r="AJ606" s="6"/>
      <c r="AK606" s="6"/>
      <c r="AL606" s="6"/>
      <c r="AM606" s="6"/>
      <c r="AN606" s="6"/>
      <c r="AO606" s="6"/>
      <c r="AP606" s="6"/>
      <c r="AQ606" s="6"/>
      <c r="AR606" s="6"/>
      <c r="AS606" s="6"/>
    </row>
    <row r="607" spans="1:45" ht="31.5" hidden="1" x14ac:dyDescent="0.25">
      <c r="A607" s="33" t="s">
        <v>88</v>
      </c>
      <c r="B607" s="42">
        <v>461</v>
      </c>
      <c r="C607" s="33" t="s">
        <v>47</v>
      </c>
      <c r="D607" s="33" t="s">
        <v>2737</v>
      </c>
      <c r="E607" s="32"/>
      <c r="F607" s="54"/>
      <c r="G607" s="33" t="s">
        <v>2738</v>
      </c>
      <c r="H607" s="32"/>
      <c r="I607" s="32"/>
      <c r="J607" s="33" t="s">
        <v>2739</v>
      </c>
      <c r="K607" s="33" t="s">
        <v>43</v>
      </c>
      <c r="L607" s="33" t="s">
        <v>2740</v>
      </c>
      <c r="M607" s="44">
        <v>1315436172</v>
      </c>
      <c r="N607" s="45"/>
      <c r="O607" s="44">
        <v>15000000</v>
      </c>
      <c r="P607" s="86"/>
      <c r="Q607" s="44">
        <f t="shared" si="463"/>
        <v>1330436172</v>
      </c>
      <c r="R607" s="52">
        <v>1315436172</v>
      </c>
      <c r="S607" s="32"/>
      <c r="T607" s="44">
        <v>15000000</v>
      </c>
      <c r="U607" s="32"/>
      <c r="V607" s="32"/>
      <c r="W607" s="49"/>
      <c r="X607" s="49">
        <f t="shared" ref="X607:Z607" si="611">N607-S607</f>
        <v>0</v>
      </c>
      <c r="Y607" s="49">
        <f t="shared" si="611"/>
        <v>0</v>
      </c>
      <c r="Z607" s="49">
        <f t="shared" si="611"/>
        <v>0</v>
      </c>
      <c r="AA607" s="54"/>
      <c r="AB607" s="54"/>
      <c r="AC607" s="2">
        <f t="shared" si="465"/>
        <v>2</v>
      </c>
      <c r="AD607" s="6"/>
      <c r="AE607" s="6"/>
      <c r="AF607" s="6"/>
      <c r="AG607" s="6"/>
      <c r="AH607" s="6"/>
      <c r="AI607" s="6"/>
      <c r="AJ607" s="6"/>
      <c r="AK607" s="6"/>
      <c r="AL607" s="6"/>
      <c r="AM607" s="6"/>
      <c r="AN607" s="6"/>
      <c r="AO607" s="6"/>
      <c r="AP607" s="6"/>
      <c r="AQ607" s="6"/>
      <c r="AR607" s="6"/>
      <c r="AS607" s="6"/>
    </row>
    <row r="608" spans="1:45" ht="62.25" hidden="1" customHeight="1" x14ac:dyDescent="0.25">
      <c r="A608" s="33" t="s">
        <v>35</v>
      </c>
      <c r="B608" s="42">
        <v>462</v>
      </c>
      <c r="C608" s="33" t="s">
        <v>47</v>
      </c>
      <c r="D608" s="33" t="s">
        <v>2741</v>
      </c>
      <c r="E608" s="32"/>
      <c r="F608" s="54"/>
      <c r="G608" s="33" t="s">
        <v>2742</v>
      </c>
      <c r="H608" s="32"/>
      <c r="I608" s="32"/>
      <c r="J608" s="33" t="s">
        <v>2743</v>
      </c>
      <c r="K608" s="33" t="s">
        <v>43</v>
      </c>
      <c r="L608" s="33" t="s">
        <v>2744</v>
      </c>
      <c r="M608" s="44">
        <v>456882641</v>
      </c>
      <c r="N608" s="45"/>
      <c r="O608" s="44">
        <v>7500000</v>
      </c>
      <c r="P608" s="86"/>
      <c r="Q608" s="44">
        <f t="shared" si="463"/>
        <v>464382641</v>
      </c>
      <c r="R608" s="48">
        <v>456882641</v>
      </c>
      <c r="S608" s="32"/>
      <c r="T608" s="44">
        <v>7500000</v>
      </c>
      <c r="U608" s="32"/>
      <c r="V608" s="32"/>
      <c r="W608" s="49"/>
      <c r="X608" s="49">
        <f t="shared" ref="X608:Z608" si="612">N608-S608</f>
        <v>0</v>
      </c>
      <c r="Y608" s="49">
        <f t="shared" si="612"/>
        <v>0</v>
      </c>
      <c r="Z608" s="49">
        <f t="shared" si="612"/>
        <v>0</v>
      </c>
      <c r="AA608" s="54"/>
      <c r="AB608" s="54"/>
      <c r="AC608" s="2">
        <f t="shared" si="465"/>
        <v>2</v>
      </c>
      <c r="AD608" s="6"/>
      <c r="AE608" s="6"/>
      <c r="AF608" s="6"/>
      <c r="AG608" s="6"/>
      <c r="AH608" s="6"/>
      <c r="AI608" s="6"/>
      <c r="AJ608" s="6"/>
      <c r="AK608" s="6"/>
      <c r="AL608" s="6"/>
      <c r="AM608" s="6"/>
      <c r="AN608" s="6"/>
      <c r="AO608" s="6"/>
      <c r="AP608" s="6"/>
      <c r="AQ608" s="6"/>
      <c r="AR608" s="6"/>
      <c r="AS608" s="6"/>
    </row>
    <row r="609" spans="1:45" ht="31.5" hidden="1" x14ac:dyDescent="0.25">
      <c r="A609" s="33" t="s">
        <v>52</v>
      </c>
      <c r="B609" s="42">
        <v>463</v>
      </c>
      <c r="C609" s="33" t="s">
        <v>47</v>
      </c>
      <c r="D609" s="33" t="s">
        <v>2746</v>
      </c>
      <c r="E609" s="32"/>
      <c r="F609" s="54"/>
      <c r="G609" s="33" t="s">
        <v>2747</v>
      </c>
      <c r="H609" s="32"/>
      <c r="I609" s="32"/>
      <c r="J609" s="33" t="s">
        <v>2748</v>
      </c>
      <c r="K609" s="33" t="s">
        <v>43</v>
      </c>
      <c r="L609" s="33" t="s">
        <v>2749</v>
      </c>
      <c r="M609" s="44">
        <v>2133943076</v>
      </c>
      <c r="N609" s="45"/>
      <c r="O609" s="44">
        <v>15000000</v>
      </c>
      <c r="P609" s="86"/>
      <c r="Q609" s="44">
        <f t="shared" si="463"/>
        <v>2148943076</v>
      </c>
      <c r="R609" s="48">
        <v>2133943076</v>
      </c>
      <c r="S609" s="32"/>
      <c r="T609" s="44">
        <v>15000000</v>
      </c>
      <c r="U609" s="32"/>
      <c r="V609" s="32"/>
      <c r="W609" s="49"/>
      <c r="X609" s="49">
        <f t="shared" ref="X609:Z609" si="613">N609-S609</f>
        <v>0</v>
      </c>
      <c r="Y609" s="49">
        <f t="shared" si="613"/>
        <v>0</v>
      </c>
      <c r="Z609" s="49">
        <f t="shared" si="613"/>
        <v>0</v>
      </c>
      <c r="AA609" s="54"/>
      <c r="AB609" s="54"/>
      <c r="AC609" s="2">
        <f t="shared" si="465"/>
        <v>2</v>
      </c>
      <c r="AD609" s="6"/>
      <c r="AE609" s="6"/>
      <c r="AF609" s="6"/>
      <c r="AG609" s="6"/>
      <c r="AH609" s="6"/>
      <c r="AI609" s="6"/>
      <c r="AJ609" s="6"/>
      <c r="AK609" s="6"/>
      <c r="AL609" s="6"/>
      <c r="AM609" s="6"/>
      <c r="AN609" s="6"/>
      <c r="AO609" s="6"/>
      <c r="AP609" s="6"/>
      <c r="AQ609" s="6"/>
      <c r="AR609" s="6"/>
      <c r="AS609" s="6"/>
    </row>
    <row r="610" spans="1:45" ht="31.5" hidden="1" x14ac:dyDescent="0.25">
      <c r="A610" s="33" t="s">
        <v>46</v>
      </c>
      <c r="B610" s="42">
        <v>464</v>
      </c>
      <c r="C610" s="33" t="s">
        <v>47</v>
      </c>
      <c r="D610" s="33" t="s">
        <v>2753</v>
      </c>
      <c r="E610" s="32"/>
      <c r="F610" s="54"/>
      <c r="G610" s="33" t="s">
        <v>2754</v>
      </c>
      <c r="H610" s="32"/>
      <c r="I610" s="32"/>
      <c r="J610" s="33" t="s">
        <v>2755</v>
      </c>
      <c r="K610" s="33" t="s">
        <v>43</v>
      </c>
      <c r="L610" s="33" t="s">
        <v>2756</v>
      </c>
      <c r="M610" s="44">
        <v>212669251</v>
      </c>
      <c r="N610" s="45"/>
      <c r="O610" s="44">
        <v>7500000</v>
      </c>
      <c r="P610" s="86"/>
      <c r="Q610" s="44">
        <f t="shared" si="463"/>
        <v>220169251</v>
      </c>
      <c r="R610" s="48">
        <v>212669251</v>
      </c>
      <c r="S610" s="32"/>
      <c r="T610" s="44">
        <v>7500000</v>
      </c>
      <c r="U610" s="32"/>
      <c r="V610" s="32"/>
      <c r="W610" s="49"/>
      <c r="X610" s="49">
        <f t="shared" ref="X610:Z610" si="614">N610-S610</f>
        <v>0</v>
      </c>
      <c r="Y610" s="49">
        <f t="shared" si="614"/>
        <v>0</v>
      </c>
      <c r="Z610" s="49">
        <f t="shared" si="614"/>
        <v>0</v>
      </c>
      <c r="AA610" s="54"/>
      <c r="AB610" s="54"/>
      <c r="AC610" s="2">
        <f t="shared" si="465"/>
        <v>2</v>
      </c>
      <c r="AD610" s="6"/>
      <c r="AE610" s="6"/>
      <c r="AF610" s="6"/>
      <c r="AG610" s="6"/>
      <c r="AH610" s="6"/>
      <c r="AI610" s="6"/>
      <c r="AJ610" s="6"/>
      <c r="AK610" s="6"/>
      <c r="AL610" s="6"/>
      <c r="AM610" s="6"/>
      <c r="AN610" s="6"/>
      <c r="AO610" s="6"/>
      <c r="AP610" s="6"/>
      <c r="AQ610" s="6"/>
      <c r="AR610" s="6"/>
      <c r="AS610" s="6"/>
    </row>
    <row r="611" spans="1:45" ht="31.5" hidden="1" x14ac:dyDescent="0.25">
      <c r="A611" s="33" t="s">
        <v>52</v>
      </c>
      <c r="B611" s="42">
        <v>465</v>
      </c>
      <c r="C611" s="33" t="s">
        <v>47</v>
      </c>
      <c r="D611" s="33" t="s">
        <v>2757</v>
      </c>
      <c r="E611" s="32"/>
      <c r="F611" s="54"/>
      <c r="G611" s="33" t="s">
        <v>2758</v>
      </c>
      <c r="H611" s="32"/>
      <c r="I611" s="32"/>
      <c r="J611" s="33" t="s">
        <v>2759</v>
      </c>
      <c r="K611" s="33" t="s">
        <v>43</v>
      </c>
      <c r="L611" s="33" t="s">
        <v>2760</v>
      </c>
      <c r="M611" s="44">
        <v>1529398466</v>
      </c>
      <c r="N611" s="45"/>
      <c r="O611" s="44">
        <v>7500000</v>
      </c>
      <c r="P611" s="86"/>
      <c r="Q611" s="44">
        <f t="shared" si="463"/>
        <v>1536898466</v>
      </c>
      <c r="R611" s="48">
        <v>1529398466</v>
      </c>
      <c r="S611" s="32"/>
      <c r="T611" s="44">
        <v>7500000</v>
      </c>
      <c r="U611" s="32"/>
      <c r="V611" s="32"/>
      <c r="W611" s="49"/>
      <c r="X611" s="49">
        <f t="shared" ref="X611:Z611" si="615">N611-S611</f>
        <v>0</v>
      </c>
      <c r="Y611" s="49">
        <f t="shared" si="615"/>
        <v>0</v>
      </c>
      <c r="Z611" s="49">
        <f t="shared" si="615"/>
        <v>0</v>
      </c>
      <c r="AA611" s="54"/>
      <c r="AB611" s="54"/>
      <c r="AC611" s="2">
        <f t="shared" si="465"/>
        <v>2</v>
      </c>
      <c r="AD611" s="6"/>
      <c r="AE611" s="6"/>
      <c r="AF611" s="6"/>
      <c r="AG611" s="6"/>
      <c r="AH611" s="6"/>
      <c r="AI611" s="6"/>
      <c r="AJ611" s="6"/>
      <c r="AK611" s="6"/>
      <c r="AL611" s="6"/>
      <c r="AM611" s="6"/>
      <c r="AN611" s="6"/>
      <c r="AO611" s="6"/>
      <c r="AP611" s="6"/>
      <c r="AQ611" s="6"/>
      <c r="AR611" s="6"/>
      <c r="AS611" s="6"/>
    </row>
    <row r="612" spans="1:45" ht="31.5" hidden="1" x14ac:dyDescent="0.25">
      <c r="A612" s="33" t="s">
        <v>52</v>
      </c>
      <c r="B612" s="42">
        <v>467</v>
      </c>
      <c r="C612" s="33" t="s">
        <v>47</v>
      </c>
      <c r="D612" s="33" t="s">
        <v>2761</v>
      </c>
      <c r="E612" s="32"/>
      <c r="F612" s="54"/>
      <c r="G612" s="33" t="s">
        <v>2762</v>
      </c>
      <c r="H612" s="32"/>
      <c r="I612" s="32"/>
      <c r="J612" s="33" t="s">
        <v>2763</v>
      </c>
      <c r="K612" s="33" t="s">
        <v>43</v>
      </c>
      <c r="L612" s="33" t="s">
        <v>2764</v>
      </c>
      <c r="M612" s="44">
        <v>693114964</v>
      </c>
      <c r="N612" s="45"/>
      <c r="O612" s="44">
        <v>15000000</v>
      </c>
      <c r="P612" s="86"/>
      <c r="Q612" s="44">
        <f t="shared" si="463"/>
        <v>708114964</v>
      </c>
      <c r="R612" s="48">
        <v>693114964</v>
      </c>
      <c r="S612" s="32"/>
      <c r="T612" s="44">
        <v>15000000</v>
      </c>
      <c r="U612" s="32"/>
      <c r="V612" s="32"/>
      <c r="W612" s="49"/>
      <c r="X612" s="49">
        <f t="shared" ref="X612:Z612" si="616">N612-S612</f>
        <v>0</v>
      </c>
      <c r="Y612" s="49">
        <f t="shared" si="616"/>
        <v>0</v>
      </c>
      <c r="Z612" s="49">
        <f t="shared" si="616"/>
        <v>0</v>
      </c>
      <c r="AA612" s="54"/>
      <c r="AB612" s="54"/>
      <c r="AC612" s="2">
        <f t="shared" si="465"/>
        <v>2</v>
      </c>
      <c r="AD612" s="6"/>
      <c r="AE612" s="6"/>
      <c r="AF612" s="6"/>
      <c r="AG612" s="6"/>
      <c r="AH612" s="6"/>
      <c r="AI612" s="6"/>
      <c r="AJ612" s="6"/>
      <c r="AK612" s="6"/>
      <c r="AL612" s="6"/>
      <c r="AM612" s="6"/>
      <c r="AN612" s="6"/>
      <c r="AO612" s="6"/>
      <c r="AP612" s="6"/>
      <c r="AQ612" s="6"/>
      <c r="AR612" s="6"/>
      <c r="AS612" s="6"/>
    </row>
    <row r="613" spans="1:45" ht="31.5" hidden="1" x14ac:dyDescent="0.25">
      <c r="A613" s="33" t="s">
        <v>88</v>
      </c>
      <c r="B613" s="42">
        <v>468</v>
      </c>
      <c r="C613" s="33" t="s">
        <v>47</v>
      </c>
      <c r="D613" s="33" t="s">
        <v>2765</v>
      </c>
      <c r="E613" s="32"/>
      <c r="F613" s="54"/>
      <c r="G613" s="33" t="s">
        <v>2766</v>
      </c>
      <c r="H613" s="32"/>
      <c r="I613" s="32"/>
      <c r="J613" s="33" t="s">
        <v>2767</v>
      </c>
      <c r="K613" s="33" t="s">
        <v>43</v>
      </c>
      <c r="L613" s="33" t="s">
        <v>2768</v>
      </c>
      <c r="M613" s="44">
        <v>37588800</v>
      </c>
      <c r="N613" s="45"/>
      <c r="O613" s="44">
        <v>7500000</v>
      </c>
      <c r="P613" s="86"/>
      <c r="Q613" s="44">
        <f t="shared" si="463"/>
        <v>45088800</v>
      </c>
      <c r="R613" s="52">
        <v>37588800</v>
      </c>
      <c r="S613" s="32"/>
      <c r="T613" s="44">
        <v>7500000</v>
      </c>
      <c r="U613" s="32"/>
      <c r="V613" s="32"/>
      <c r="W613" s="49"/>
      <c r="X613" s="49">
        <f t="shared" ref="X613:Z613" si="617">N613-S613</f>
        <v>0</v>
      </c>
      <c r="Y613" s="49">
        <f t="shared" si="617"/>
        <v>0</v>
      </c>
      <c r="Z613" s="49">
        <f t="shared" si="617"/>
        <v>0</v>
      </c>
      <c r="AA613" s="54"/>
      <c r="AB613" s="54"/>
      <c r="AC613" s="2">
        <f t="shared" si="465"/>
        <v>2</v>
      </c>
      <c r="AD613" s="6"/>
      <c r="AE613" s="6"/>
      <c r="AF613" s="6"/>
      <c r="AG613" s="6"/>
      <c r="AH613" s="6"/>
      <c r="AI613" s="6"/>
      <c r="AJ613" s="6"/>
      <c r="AK613" s="6"/>
      <c r="AL613" s="6"/>
      <c r="AM613" s="6"/>
      <c r="AN613" s="6"/>
      <c r="AO613" s="6"/>
      <c r="AP613" s="6"/>
      <c r="AQ613" s="6"/>
      <c r="AR613" s="6"/>
      <c r="AS613" s="6"/>
    </row>
    <row r="614" spans="1:45" ht="31.5" hidden="1" x14ac:dyDescent="0.25">
      <c r="A614" s="33" t="s">
        <v>35</v>
      </c>
      <c r="B614" s="42">
        <v>469</v>
      </c>
      <c r="C614" s="33" t="s">
        <v>47</v>
      </c>
      <c r="D614" s="33" t="s">
        <v>2769</v>
      </c>
      <c r="E614" s="33" t="s">
        <v>2770</v>
      </c>
      <c r="F614" s="54"/>
      <c r="G614" s="33" t="s">
        <v>2771</v>
      </c>
      <c r="H614" s="32"/>
      <c r="I614" s="32"/>
      <c r="J614" s="33" t="s">
        <v>2772</v>
      </c>
      <c r="K614" s="33" t="s">
        <v>43</v>
      </c>
      <c r="L614" s="33" t="s">
        <v>2773</v>
      </c>
      <c r="M614" s="44">
        <v>7705087400</v>
      </c>
      <c r="N614" s="44">
        <v>1014623280</v>
      </c>
      <c r="O614" s="44">
        <v>15000000</v>
      </c>
      <c r="P614" s="86"/>
      <c r="Q614" s="44">
        <f t="shared" si="463"/>
        <v>8734710680</v>
      </c>
      <c r="R614" s="48">
        <v>7705087400</v>
      </c>
      <c r="S614" s="48">
        <v>1014623280</v>
      </c>
      <c r="T614" s="44">
        <v>15000000</v>
      </c>
      <c r="U614" s="32"/>
      <c r="V614" s="32"/>
      <c r="W614" s="49"/>
      <c r="X614" s="49">
        <f t="shared" ref="X614:Z614" si="618">N614-S614</f>
        <v>0</v>
      </c>
      <c r="Y614" s="49">
        <f t="shared" si="618"/>
        <v>0</v>
      </c>
      <c r="Z614" s="49">
        <f t="shared" si="618"/>
        <v>0</v>
      </c>
      <c r="AA614" s="54"/>
      <c r="AB614" s="54"/>
      <c r="AC614" s="2">
        <f t="shared" si="465"/>
        <v>2</v>
      </c>
      <c r="AD614" s="6"/>
      <c r="AE614" s="6"/>
      <c r="AF614" s="6"/>
      <c r="AG614" s="6"/>
      <c r="AH614" s="6"/>
      <c r="AI614" s="6"/>
      <c r="AJ614" s="6"/>
      <c r="AK614" s="6"/>
      <c r="AL614" s="6"/>
      <c r="AM614" s="6"/>
      <c r="AN614" s="6"/>
      <c r="AO614" s="6"/>
      <c r="AP614" s="6"/>
      <c r="AQ614" s="6"/>
      <c r="AR614" s="6"/>
      <c r="AS614" s="6"/>
    </row>
    <row r="615" spans="1:45" ht="31.5" hidden="1" x14ac:dyDescent="0.25">
      <c r="A615" s="33" t="s">
        <v>52</v>
      </c>
      <c r="B615" s="42">
        <v>470</v>
      </c>
      <c r="C615" s="33" t="s">
        <v>47</v>
      </c>
      <c r="D615" s="33" t="s">
        <v>2774</v>
      </c>
      <c r="E615" s="33" t="s">
        <v>2775</v>
      </c>
      <c r="F615" s="54"/>
      <c r="G615" s="33" t="s">
        <v>2776</v>
      </c>
      <c r="H615" s="33" t="s">
        <v>2777</v>
      </c>
      <c r="I615" s="32"/>
      <c r="J615" s="33" t="s">
        <v>2778</v>
      </c>
      <c r="K615" s="33" t="s">
        <v>43</v>
      </c>
      <c r="L615" s="33" t="s">
        <v>2779</v>
      </c>
      <c r="M615" s="44">
        <v>2275010156</v>
      </c>
      <c r="N615" s="44">
        <v>937174816</v>
      </c>
      <c r="O615" s="44">
        <v>7500000</v>
      </c>
      <c r="P615" s="86"/>
      <c r="Q615" s="44">
        <f t="shared" si="463"/>
        <v>3219684972</v>
      </c>
      <c r="R615" s="48">
        <v>2275010156</v>
      </c>
      <c r="S615" s="48">
        <v>937174816</v>
      </c>
      <c r="T615" s="44">
        <v>7500000</v>
      </c>
      <c r="U615" s="32"/>
      <c r="V615" s="32"/>
      <c r="W615" s="49"/>
      <c r="X615" s="49">
        <f t="shared" ref="X615:Z615" si="619">N615-S615</f>
        <v>0</v>
      </c>
      <c r="Y615" s="49">
        <f t="shared" si="619"/>
        <v>0</v>
      </c>
      <c r="Z615" s="49">
        <f t="shared" si="619"/>
        <v>0</v>
      </c>
      <c r="AA615" s="54"/>
      <c r="AB615" s="54"/>
      <c r="AC615" s="2">
        <f t="shared" si="465"/>
        <v>2</v>
      </c>
      <c r="AD615" s="6"/>
      <c r="AE615" s="6"/>
      <c r="AF615" s="6"/>
      <c r="AG615" s="6"/>
      <c r="AH615" s="6"/>
      <c r="AI615" s="6"/>
      <c r="AJ615" s="6"/>
      <c r="AK615" s="6"/>
      <c r="AL615" s="6"/>
      <c r="AM615" s="6"/>
      <c r="AN615" s="6"/>
      <c r="AO615" s="6"/>
      <c r="AP615" s="6"/>
      <c r="AQ615" s="6"/>
      <c r="AR615" s="6"/>
      <c r="AS615" s="6"/>
    </row>
    <row r="616" spans="1:45" ht="31.5" hidden="1" x14ac:dyDescent="0.25">
      <c r="A616" s="33" t="s">
        <v>52</v>
      </c>
      <c r="B616" s="42">
        <v>471</v>
      </c>
      <c r="C616" s="33" t="s">
        <v>47</v>
      </c>
      <c r="D616" s="33" t="s">
        <v>2780</v>
      </c>
      <c r="E616" s="32"/>
      <c r="F616" s="54"/>
      <c r="G616" s="33" t="s">
        <v>2781</v>
      </c>
      <c r="H616" s="32"/>
      <c r="I616" s="32"/>
      <c r="J616" s="33" t="s">
        <v>2782</v>
      </c>
      <c r="K616" s="33" t="s">
        <v>43</v>
      </c>
      <c r="L616" s="33" t="s">
        <v>2783</v>
      </c>
      <c r="M616" s="44">
        <v>2904186194</v>
      </c>
      <c r="N616" s="45"/>
      <c r="O616" s="44">
        <v>7500000</v>
      </c>
      <c r="P616" s="86"/>
      <c r="Q616" s="44">
        <f t="shared" si="463"/>
        <v>2911686194</v>
      </c>
      <c r="R616" s="48">
        <v>2904186194</v>
      </c>
      <c r="S616" s="32"/>
      <c r="T616" s="44">
        <v>7500000</v>
      </c>
      <c r="U616" s="32"/>
      <c r="V616" s="32"/>
      <c r="W616" s="49"/>
      <c r="X616" s="49">
        <f t="shared" ref="X616:Z616" si="620">N616-S616</f>
        <v>0</v>
      </c>
      <c r="Y616" s="49">
        <f t="shared" si="620"/>
        <v>0</v>
      </c>
      <c r="Z616" s="49">
        <f t="shared" si="620"/>
        <v>0</v>
      </c>
      <c r="AA616" s="54"/>
      <c r="AB616" s="54"/>
      <c r="AC616" s="2">
        <f t="shared" si="465"/>
        <v>2</v>
      </c>
      <c r="AD616" s="6"/>
      <c r="AE616" s="6"/>
      <c r="AF616" s="6"/>
      <c r="AG616" s="6"/>
      <c r="AH616" s="6"/>
      <c r="AI616" s="6"/>
      <c r="AJ616" s="6"/>
      <c r="AK616" s="6"/>
      <c r="AL616" s="6"/>
      <c r="AM616" s="6"/>
      <c r="AN616" s="6"/>
      <c r="AO616" s="6"/>
      <c r="AP616" s="6"/>
      <c r="AQ616" s="6"/>
      <c r="AR616" s="6"/>
      <c r="AS616" s="6"/>
    </row>
    <row r="617" spans="1:45" ht="31.5" hidden="1" x14ac:dyDescent="0.25">
      <c r="A617" s="33" t="s">
        <v>52</v>
      </c>
      <c r="B617" s="42">
        <v>472</v>
      </c>
      <c r="C617" s="33" t="s">
        <v>47</v>
      </c>
      <c r="D617" s="33" t="s">
        <v>2784</v>
      </c>
      <c r="E617" s="32"/>
      <c r="F617" s="54"/>
      <c r="G617" s="33" t="s">
        <v>2785</v>
      </c>
      <c r="H617" s="32"/>
      <c r="I617" s="32"/>
      <c r="J617" s="33" t="s">
        <v>2786</v>
      </c>
      <c r="K617" s="33" t="s">
        <v>43</v>
      </c>
      <c r="L617" s="33" t="s">
        <v>2787</v>
      </c>
      <c r="M617" s="44">
        <v>562558528</v>
      </c>
      <c r="N617" s="45"/>
      <c r="O617" s="44">
        <v>15000000</v>
      </c>
      <c r="P617" s="86"/>
      <c r="Q617" s="44">
        <f t="shared" si="463"/>
        <v>577558528</v>
      </c>
      <c r="R617" s="48">
        <v>562558528</v>
      </c>
      <c r="S617" s="32"/>
      <c r="T617" s="44">
        <v>15000000</v>
      </c>
      <c r="U617" s="32"/>
      <c r="V617" s="32"/>
      <c r="W617" s="49"/>
      <c r="X617" s="49">
        <f t="shared" ref="X617:Z617" si="621">N617-S617</f>
        <v>0</v>
      </c>
      <c r="Y617" s="49">
        <f t="shared" si="621"/>
        <v>0</v>
      </c>
      <c r="Z617" s="49">
        <f t="shared" si="621"/>
        <v>0</v>
      </c>
      <c r="AA617" s="54"/>
      <c r="AB617" s="54"/>
      <c r="AC617" s="2">
        <f t="shared" si="465"/>
        <v>2</v>
      </c>
      <c r="AD617" s="6"/>
      <c r="AE617" s="6"/>
      <c r="AF617" s="6"/>
      <c r="AG617" s="6"/>
      <c r="AH617" s="6"/>
      <c r="AI617" s="6"/>
      <c r="AJ617" s="6"/>
      <c r="AK617" s="6"/>
      <c r="AL617" s="6"/>
      <c r="AM617" s="6"/>
      <c r="AN617" s="6"/>
      <c r="AO617" s="6"/>
      <c r="AP617" s="6"/>
      <c r="AQ617" s="6"/>
      <c r="AR617" s="6"/>
      <c r="AS617" s="6"/>
    </row>
    <row r="618" spans="1:45" ht="31.5" hidden="1" x14ac:dyDescent="0.25">
      <c r="A618" s="33" t="s">
        <v>60</v>
      </c>
      <c r="B618" s="42">
        <v>473</v>
      </c>
      <c r="C618" s="33" t="s">
        <v>47</v>
      </c>
      <c r="D618" s="33" t="s">
        <v>2788</v>
      </c>
      <c r="E618" s="33" t="s">
        <v>2789</v>
      </c>
      <c r="F618" s="54"/>
      <c r="G618" s="33" t="s">
        <v>2790</v>
      </c>
      <c r="H618" s="33" t="s">
        <v>2791</v>
      </c>
      <c r="I618" s="32"/>
      <c r="J618" s="33" t="s">
        <v>2792</v>
      </c>
      <c r="K618" s="33" t="s">
        <v>43</v>
      </c>
      <c r="L618" s="33" t="s">
        <v>2793</v>
      </c>
      <c r="M618" s="44">
        <v>7291876999</v>
      </c>
      <c r="N618" s="44">
        <v>7483383371</v>
      </c>
      <c r="O618" s="44">
        <v>7500000</v>
      </c>
      <c r="P618" s="86"/>
      <c r="Q618" s="44">
        <f t="shared" si="463"/>
        <v>14782760370</v>
      </c>
      <c r="R618" s="48">
        <v>7291876999</v>
      </c>
      <c r="S618" s="48">
        <v>7483383371</v>
      </c>
      <c r="T618" s="44">
        <v>7500000</v>
      </c>
      <c r="U618" s="32"/>
      <c r="V618" s="32"/>
      <c r="W618" s="49"/>
      <c r="X618" s="49">
        <f t="shared" ref="X618:Z618" si="622">N618-S618</f>
        <v>0</v>
      </c>
      <c r="Y618" s="49">
        <f t="shared" si="622"/>
        <v>0</v>
      </c>
      <c r="Z618" s="49">
        <f t="shared" si="622"/>
        <v>0</v>
      </c>
      <c r="AA618" s="54"/>
      <c r="AB618" s="54"/>
      <c r="AC618" s="2">
        <f t="shared" si="465"/>
        <v>2</v>
      </c>
      <c r="AD618" s="6"/>
      <c r="AE618" s="6"/>
      <c r="AF618" s="6"/>
      <c r="AG618" s="6"/>
      <c r="AH618" s="6"/>
      <c r="AI618" s="6"/>
      <c r="AJ618" s="6"/>
      <c r="AK618" s="6"/>
      <c r="AL618" s="6"/>
      <c r="AM618" s="6"/>
      <c r="AN618" s="6"/>
      <c r="AO618" s="6"/>
      <c r="AP618" s="6"/>
      <c r="AQ618" s="6"/>
      <c r="AR618" s="6"/>
      <c r="AS618" s="6"/>
    </row>
    <row r="619" spans="1:45" ht="31.5" hidden="1" x14ac:dyDescent="0.25">
      <c r="A619" s="33" t="s">
        <v>60</v>
      </c>
      <c r="B619" s="42">
        <v>474</v>
      </c>
      <c r="C619" s="33" t="s">
        <v>47</v>
      </c>
      <c r="D619" s="33" t="s">
        <v>2794</v>
      </c>
      <c r="E619" s="32"/>
      <c r="F619" s="54"/>
      <c r="G619" s="33" t="s">
        <v>2795</v>
      </c>
      <c r="H619" s="32"/>
      <c r="I619" s="32"/>
      <c r="J619" s="33" t="s">
        <v>2796</v>
      </c>
      <c r="K619" s="33" t="s">
        <v>43</v>
      </c>
      <c r="L619" s="33" t="s">
        <v>242</v>
      </c>
      <c r="M619" s="44">
        <v>919227558</v>
      </c>
      <c r="N619" s="45"/>
      <c r="O619" s="44">
        <v>15000000</v>
      </c>
      <c r="P619" s="86"/>
      <c r="Q619" s="44">
        <f t="shared" si="463"/>
        <v>934227558</v>
      </c>
      <c r="R619" s="48">
        <v>919227558</v>
      </c>
      <c r="S619" s="32"/>
      <c r="T619" s="44">
        <v>15000000</v>
      </c>
      <c r="U619" s="32"/>
      <c r="V619" s="32"/>
      <c r="W619" s="49"/>
      <c r="X619" s="49">
        <f t="shared" ref="X619:Z619" si="623">N619-S619</f>
        <v>0</v>
      </c>
      <c r="Y619" s="49">
        <f t="shared" si="623"/>
        <v>0</v>
      </c>
      <c r="Z619" s="49">
        <f t="shared" si="623"/>
        <v>0</v>
      </c>
      <c r="AA619" s="54"/>
      <c r="AB619" s="54"/>
      <c r="AC619" s="2">
        <f t="shared" si="465"/>
        <v>2</v>
      </c>
      <c r="AD619" s="6"/>
      <c r="AE619" s="6"/>
      <c r="AF619" s="6"/>
      <c r="AG619" s="6"/>
      <c r="AH619" s="6"/>
      <c r="AI619" s="6"/>
      <c r="AJ619" s="6"/>
      <c r="AK619" s="6"/>
      <c r="AL619" s="6"/>
      <c r="AM619" s="6"/>
      <c r="AN619" s="6"/>
      <c r="AO619" s="6"/>
      <c r="AP619" s="6"/>
      <c r="AQ619" s="6"/>
      <c r="AR619" s="6"/>
      <c r="AS619" s="6"/>
    </row>
    <row r="620" spans="1:45" ht="31.5" hidden="1" x14ac:dyDescent="0.25">
      <c r="A620" s="33" t="s">
        <v>88</v>
      </c>
      <c r="B620" s="42">
        <v>475</v>
      </c>
      <c r="C620" s="33" t="s">
        <v>47</v>
      </c>
      <c r="D620" s="33" t="s">
        <v>2797</v>
      </c>
      <c r="E620" s="32"/>
      <c r="F620" s="54"/>
      <c r="G620" s="33" t="s">
        <v>2798</v>
      </c>
      <c r="H620" s="32"/>
      <c r="I620" s="32"/>
      <c r="J620" s="33" t="s">
        <v>2799</v>
      </c>
      <c r="K620" s="33" t="s">
        <v>43</v>
      </c>
      <c r="L620" s="33" t="s">
        <v>2800</v>
      </c>
      <c r="M620" s="44">
        <v>8961548836</v>
      </c>
      <c r="N620" s="45"/>
      <c r="O620" s="44">
        <v>7500000</v>
      </c>
      <c r="P620" s="86"/>
      <c r="Q620" s="44">
        <f t="shared" si="463"/>
        <v>8969048836</v>
      </c>
      <c r="R620" s="48">
        <v>8961548836</v>
      </c>
      <c r="S620" s="32"/>
      <c r="T620" s="44">
        <v>7500000</v>
      </c>
      <c r="U620" s="32"/>
      <c r="V620" s="32"/>
      <c r="W620" s="49"/>
      <c r="X620" s="49">
        <f t="shared" ref="X620:Z620" si="624">N620-S620</f>
        <v>0</v>
      </c>
      <c r="Y620" s="49">
        <f t="shared" si="624"/>
        <v>0</v>
      </c>
      <c r="Z620" s="49">
        <f t="shared" si="624"/>
        <v>0</v>
      </c>
      <c r="AA620" s="54"/>
      <c r="AB620" s="54"/>
      <c r="AC620" s="2">
        <f t="shared" si="465"/>
        <v>2</v>
      </c>
      <c r="AD620" s="6"/>
      <c r="AE620" s="6"/>
      <c r="AF620" s="6"/>
      <c r="AG620" s="6"/>
      <c r="AH620" s="6"/>
      <c r="AI620" s="6"/>
      <c r="AJ620" s="6"/>
      <c r="AK620" s="6"/>
      <c r="AL620" s="6"/>
      <c r="AM620" s="6"/>
      <c r="AN620" s="6"/>
      <c r="AO620" s="6"/>
      <c r="AP620" s="6"/>
      <c r="AQ620" s="6"/>
      <c r="AR620" s="6"/>
      <c r="AS620" s="6"/>
    </row>
    <row r="621" spans="1:45" ht="31.5" hidden="1" x14ac:dyDescent="0.25">
      <c r="A621" s="33" t="s">
        <v>88</v>
      </c>
      <c r="B621" s="42">
        <v>477</v>
      </c>
      <c r="C621" s="33" t="s">
        <v>47</v>
      </c>
      <c r="D621" s="33" t="s">
        <v>2804</v>
      </c>
      <c r="E621" s="32"/>
      <c r="F621" s="54"/>
      <c r="G621" s="33" t="s">
        <v>2805</v>
      </c>
      <c r="H621" s="32"/>
      <c r="I621" s="32"/>
      <c r="J621" s="33" t="s">
        <v>2806</v>
      </c>
      <c r="K621" s="33" t="s">
        <v>43</v>
      </c>
      <c r="L621" s="33" t="s">
        <v>2807</v>
      </c>
      <c r="M621" s="44">
        <v>4075525074</v>
      </c>
      <c r="N621" s="45"/>
      <c r="O621" s="44">
        <v>15000000</v>
      </c>
      <c r="P621" s="86"/>
      <c r="Q621" s="44">
        <f t="shared" si="463"/>
        <v>4090525074</v>
      </c>
      <c r="R621" s="52">
        <v>4075525074</v>
      </c>
      <c r="S621" s="32"/>
      <c r="T621" s="44">
        <v>15000000</v>
      </c>
      <c r="U621" s="32"/>
      <c r="V621" s="32"/>
      <c r="W621" s="49"/>
      <c r="X621" s="49">
        <f t="shared" ref="X621:Z621" si="625">N621-S621</f>
        <v>0</v>
      </c>
      <c r="Y621" s="49">
        <f t="shared" si="625"/>
        <v>0</v>
      </c>
      <c r="Z621" s="49">
        <f t="shared" si="625"/>
        <v>0</v>
      </c>
      <c r="AA621" s="54"/>
      <c r="AB621" s="54"/>
      <c r="AC621" s="2">
        <f t="shared" si="465"/>
        <v>2</v>
      </c>
      <c r="AD621" s="6"/>
      <c r="AE621" s="6"/>
      <c r="AF621" s="6"/>
      <c r="AG621" s="6"/>
      <c r="AH621" s="6"/>
      <c r="AI621" s="6"/>
      <c r="AJ621" s="6"/>
      <c r="AK621" s="6"/>
      <c r="AL621" s="6"/>
      <c r="AM621" s="6"/>
      <c r="AN621" s="6"/>
      <c r="AO621" s="6"/>
      <c r="AP621" s="6"/>
      <c r="AQ621" s="6"/>
      <c r="AR621" s="6"/>
      <c r="AS621" s="6"/>
    </row>
    <row r="622" spans="1:45" ht="31.5" hidden="1" x14ac:dyDescent="0.25">
      <c r="A622" s="33" t="s">
        <v>35</v>
      </c>
      <c r="B622" s="42">
        <v>478</v>
      </c>
      <c r="C622" s="33" t="s">
        <v>47</v>
      </c>
      <c r="D622" s="33" t="s">
        <v>2809</v>
      </c>
      <c r="E622" s="32"/>
      <c r="F622" s="54"/>
      <c r="G622" s="33" t="s">
        <v>2810</v>
      </c>
      <c r="H622" s="32"/>
      <c r="I622" s="32"/>
      <c r="J622" s="33" t="s">
        <v>2811</v>
      </c>
      <c r="K622" s="33" t="s">
        <v>43</v>
      </c>
      <c r="L622" s="33" t="s">
        <v>2783</v>
      </c>
      <c r="M622" s="44">
        <v>2187891160</v>
      </c>
      <c r="N622" s="45"/>
      <c r="O622" s="44">
        <v>7500000</v>
      </c>
      <c r="P622" s="86"/>
      <c r="Q622" s="44">
        <f t="shared" si="463"/>
        <v>2195391160</v>
      </c>
      <c r="R622" s="48">
        <v>2187891160</v>
      </c>
      <c r="S622" s="32"/>
      <c r="T622" s="44">
        <v>7500000</v>
      </c>
      <c r="U622" s="32"/>
      <c r="V622" s="32"/>
      <c r="W622" s="49"/>
      <c r="X622" s="49">
        <f t="shared" ref="X622:Z622" si="626">N622-S622</f>
        <v>0</v>
      </c>
      <c r="Y622" s="49">
        <f t="shared" si="626"/>
        <v>0</v>
      </c>
      <c r="Z622" s="49">
        <f t="shared" si="626"/>
        <v>0</v>
      </c>
      <c r="AA622" s="54"/>
      <c r="AB622" s="54"/>
      <c r="AC622" s="2">
        <f t="shared" si="465"/>
        <v>2</v>
      </c>
      <c r="AD622" s="6"/>
      <c r="AE622" s="6"/>
      <c r="AF622" s="6"/>
      <c r="AG622" s="6"/>
      <c r="AH622" s="6"/>
      <c r="AI622" s="6"/>
      <c r="AJ622" s="6"/>
      <c r="AK622" s="6"/>
      <c r="AL622" s="6"/>
      <c r="AM622" s="6"/>
      <c r="AN622" s="6"/>
      <c r="AO622" s="6"/>
      <c r="AP622" s="6"/>
      <c r="AQ622" s="6"/>
      <c r="AR622" s="6"/>
      <c r="AS622" s="6"/>
    </row>
    <row r="623" spans="1:45" ht="31.5" hidden="1" x14ac:dyDescent="0.25">
      <c r="A623" s="33" t="s">
        <v>52</v>
      </c>
      <c r="B623" s="42">
        <v>479</v>
      </c>
      <c r="C623" s="33" t="s">
        <v>47</v>
      </c>
      <c r="D623" s="33" t="s">
        <v>2812</v>
      </c>
      <c r="E623" s="33"/>
      <c r="F623" s="54"/>
      <c r="G623" s="33" t="s">
        <v>2813</v>
      </c>
      <c r="H623" s="33"/>
      <c r="I623" s="33"/>
      <c r="J623" s="33" t="s">
        <v>2814</v>
      </c>
      <c r="K623" s="33" t="s">
        <v>43</v>
      </c>
      <c r="L623" s="33" t="s">
        <v>2815</v>
      </c>
      <c r="M623" s="44">
        <v>68947648</v>
      </c>
      <c r="N623" s="45"/>
      <c r="O623" s="44">
        <v>7500000</v>
      </c>
      <c r="P623" s="86"/>
      <c r="Q623" s="44">
        <f t="shared" si="463"/>
        <v>76447648</v>
      </c>
      <c r="R623" s="32"/>
      <c r="S623" s="32"/>
      <c r="T623" s="66"/>
      <c r="U623" s="32"/>
      <c r="V623" s="32"/>
      <c r="W623" s="49">
        <v>68947648</v>
      </c>
      <c r="X623" s="49">
        <f t="shared" ref="X623:Z623" si="627">N623-S623</f>
        <v>0</v>
      </c>
      <c r="Y623" s="52">
        <f t="shared" si="627"/>
        <v>7500000</v>
      </c>
      <c r="Z623" s="49">
        <f t="shared" si="627"/>
        <v>0</v>
      </c>
      <c r="AA623" s="69">
        <v>68947648</v>
      </c>
      <c r="AB623" s="43"/>
      <c r="AC623" s="15">
        <f t="shared" si="465"/>
        <v>2</v>
      </c>
      <c r="AD623" s="15"/>
      <c r="AE623" s="6"/>
      <c r="AF623" s="6"/>
      <c r="AG623" s="6"/>
      <c r="AH623" s="6"/>
      <c r="AI623" s="6"/>
      <c r="AJ623" s="6"/>
      <c r="AK623" s="6"/>
      <c r="AL623" s="6"/>
      <c r="AM623" s="6"/>
      <c r="AN623" s="6"/>
      <c r="AO623" s="6"/>
      <c r="AP623" s="6"/>
      <c r="AQ623" s="6"/>
      <c r="AR623" s="6"/>
      <c r="AS623" s="6"/>
    </row>
    <row r="624" spans="1:45" ht="31.5" hidden="1" x14ac:dyDescent="0.25">
      <c r="A624" s="33" t="s">
        <v>60</v>
      </c>
      <c r="B624" s="42">
        <v>480</v>
      </c>
      <c r="C624" s="33" t="s">
        <v>47</v>
      </c>
      <c r="D624" s="33" t="s">
        <v>2816</v>
      </c>
      <c r="E624" s="32"/>
      <c r="F624" s="54"/>
      <c r="G624" s="33" t="s">
        <v>2817</v>
      </c>
      <c r="H624" s="32"/>
      <c r="I624" s="32"/>
      <c r="J624" s="33" t="s">
        <v>2818</v>
      </c>
      <c r="K624" s="33" t="s">
        <v>43</v>
      </c>
      <c r="L624" s="33" t="s">
        <v>2819</v>
      </c>
      <c r="M624" s="44">
        <v>1308108292</v>
      </c>
      <c r="N624" s="45"/>
      <c r="O624" s="44">
        <v>7500000</v>
      </c>
      <c r="P624" s="86"/>
      <c r="Q624" s="44">
        <f t="shared" si="463"/>
        <v>1315608292</v>
      </c>
      <c r="R624" s="48">
        <v>1308108292</v>
      </c>
      <c r="S624" s="32"/>
      <c r="T624" s="44">
        <v>7500000</v>
      </c>
      <c r="U624" s="32"/>
      <c r="V624" s="32"/>
      <c r="W624" s="49"/>
      <c r="X624" s="49">
        <f t="shared" ref="X624:Z624" si="628">N624-S624</f>
        <v>0</v>
      </c>
      <c r="Y624" s="49">
        <f t="shared" si="628"/>
        <v>0</v>
      </c>
      <c r="Z624" s="49">
        <f t="shared" si="628"/>
        <v>0</v>
      </c>
      <c r="AA624" s="54"/>
      <c r="AB624" s="54"/>
      <c r="AC624" s="2">
        <f t="shared" si="465"/>
        <v>2</v>
      </c>
      <c r="AD624" s="6"/>
      <c r="AE624" s="6"/>
      <c r="AF624" s="6"/>
      <c r="AG624" s="6"/>
      <c r="AH624" s="6"/>
      <c r="AI624" s="6"/>
      <c r="AJ624" s="6"/>
      <c r="AK624" s="6"/>
      <c r="AL624" s="6"/>
      <c r="AM624" s="6"/>
      <c r="AN624" s="6"/>
      <c r="AO624" s="6"/>
      <c r="AP624" s="6"/>
      <c r="AQ624" s="6"/>
      <c r="AR624" s="6"/>
      <c r="AS624" s="6"/>
    </row>
    <row r="625" spans="1:45" ht="62.25" hidden="1" customHeight="1" x14ac:dyDescent="0.25">
      <c r="A625" s="33" t="s">
        <v>46</v>
      </c>
      <c r="B625" s="42">
        <v>481</v>
      </c>
      <c r="C625" s="33" t="s">
        <v>47</v>
      </c>
      <c r="D625" s="33" t="s">
        <v>2820</v>
      </c>
      <c r="E625" s="33" t="s">
        <v>2821</v>
      </c>
      <c r="F625" s="54"/>
      <c r="G625" s="33" t="s">
        <v>2822</v>
      </c>
      <c r="H625" s="33" t="s">
        <v>2823</v>
      </c>
      <c r="I625" s="32"/>
      <c r="J625" s="33" t="s">
        <v>2824</v>
      </c>
      <c r="K625" s="33" t="s">
        <v>43</v>
      </c>
      <c r="L625" s="33" t="s">
        <v>2825</v>
      </c>
      <c r="M625" s="44">
        <v>2157190380</v>
      </c>
      <c r="N625" s="44">
        <v>64769833</v>
      </c>
      <c r="O625" s="44">
        <v>15000000</v>
      </c>
      <c r="P625" s="86"/>
      <c r="Q625" s="44">
        <f t="shared" si="463"/>
        <v>2236960213</v>
      </c>
      <c r="R625" s="48">
        <v>2157190380</v>
      </c>
      <c r="S625" s="48">
        <v>64769833</v>
      </c>
      <c r="T625" s="44">
        <v>15000000</v>
      </c>
      <c r="U625" s="32"/>
      <c r="V625" s="32"/>
      <c r="W625" s="49"/>
      <c r="X625" s="49">
        <f t="shared" ref="X625:Z625" si="629">N625-S625</f>
        <v>0</v>
      </c>
      <c r="Y625" s="49">
        <f t="shared" si="629"/>
        <v>0</v>
      </c>
      <c r="Z625" s="49">
        <f t="shared" si="629"/>
        <v>0</v>
      </c>
      <c r="AA625" s="54"/>
      <c r="AB625" s="54"/>
      <c r="AC625" s="2">
        <f t="shared" si="465"/>
        <v>2</v>
      </c>
      <c r="AD625" s="6"/>
      <c r="AE625" s="6"/>
      <c r="AF625" s="6"/>
      <c r="AG625" s="6"/>
      <c r="AH625" s="6"/>
      <c r="AI625" s="6"/>
      <c r="AJ625" s="6"/>
      <c r="AK625" s="6"/>
      <c r="AL625" s="6"/>
      <c r="AM625" s="6"/>
      <c r="AN625" s="6"/>
      <c r="AO625" s="6"/>
      <c r="AP625" s="6"/>
      <c r="AQ625" s="6"/>
      <c r="AR625" s="6"/>
      <c r="AS625" s="6"/>
    </row>
    <row r="626" spans="1:45" ht="62.25" hidden="1" customHeight="1" x14ac:dyDescent="0.25">
      <c r="A626" s="33" t="s">
        <v>46</v>
      </c>
      <c r="B626" s="42">
        <v>482</v>
      </c>
      <c r="C626" s="33" t="s">
        <v>124</v>
      </c>
      <c r="D626" s="33" t="s">
        <v>2826</v>
      </c>
      <c r="E626" s="33" t="s">
        <v>2827</v>
      </c>
      <c r="F626" s="54"/>
      <c r="G626" s="33" t="s">
        <v>2828</v>
      </c>
      <c r="H626" s="33" t="s">
        <v>2829</v>
      </c>
      <c r="I626" s="32"/>
      <c r="J626" s="33" t="s">
        <v>2830</v>
      </c>
      <c r="K626" s="33" t="s">
        <v>43</v>
      </c>
      <c r="L626" s="33" t="s">
        <v>2831</v>
      </c>
      <c r="M626" s="44">
        <v>1694829034</v>
      </c>
      <c r="N626" s="44">
        <v>89809650</v>
      </c>
      <c r="O626" s="44">
        <v>15000000</v>
      </c>
      <c r="P626" s="86"/>
      <c r="Q626" s="44">
        <f t="shared" si="463"/>
        <v>1799638684</v>
      </c>
      <c r="R626" s="48">
        <v>1694829034</v>
      </c>
      <c r="S626" s="48">
        <v>89809650</v>
      </c>
      <c r="T626" s="44">
        <v>15000000</v>
      </c>
      <c r="U626" s="32"/>
      <c r="V626" s="32"/>
      <c r="W626" s="49"/>
      <c r="X626" s="49">
        <f t="shared" ref="X626:Z626" si="630">N626-S626</f>
        <v>0</v>
      </c>
      <c r="Y626" s="49">
        <f t="shared" si="630"/>
        <v>0</v>
      </c>
      <c r="Z626" s="49">
        <f t="shared" si="630"/>
        <v>0</v>
      </c>
      <c r="AA626" s="54"/>
      <c r="AB626" s="54"/>
      <c r="AC626" s="2">
        <f t="shared" si="465"/>
        <v>2</v>
      </c>
      <c r="AD626" s="6"/>
      <c r="AE626" s="6"/>
      <c r="AF626" s="6"/>
      <c r="AG626" s="6"/>
      <c r="AH626" s="6"/>
      <c r="AI626" s="6"/>
      <c r="AJ626" s="6"/>
      <c r="AK626" s="6"/>
      <c r="AL626" s="6"/>
      <c r="AM626" s="6"/>
      <c r="AN626" s="6"/>
      <c r="AO626" s="6"/>
      <c r="AP626" s="6"/>
      <c r="AQ626" s="6"/>
      <c r="AR626" s="6"/>
      <c r="AS626" s="6"/>
    </row>
    <row r="627" spans="1:45" ht="47.25" hidden="1" x14ac:dyDescent="0.25">
      <c r="A627" s="33" t="s">
        <v>35</v>
      </c>
      <c r="B627" s="42">
        <v>484</v>
      </c>
      <c r="C627" s="33" t="s">
        <v>124</v>
      </c>
      <c r="D627" s="33" t="s">
        <v>2833</v>
      </c>
      <c r="E627" s="33" t="s">
        <v>2834</v>
      </c>
      <c r="F627" s="54"/>
      <c r="G627" s="33" t="s">
        <v>2835</v>
      </c>
      <c r="H627" s="33" t="s">
        <v>2836</v>
      </c>
      <c r="I627" s="103" t="s">
        <v>2837</v>
      </c>
      <c r="J627" s="33" t="s">
        <v>2840</v>
      </c>
      <c r="K627" s="33" t="s">
        <v>43</v>
      </c>
      <c r="L627" s="33" t="s">
        <v>2841</v>
      </c>
      <c r="M627" s="44">
        <v>0</v>
      </c>
      <c r="N627" s="44">
        <v>8678312412</v>
      </c>
      <c r="O627" s="44">
        <v>7500000</v>
      </c>
      <c r="P627" s="86"/>
      <c r="Q627" s="44">
        <f t="shared" si="463"/>
        <v>8685812412</v>
      </c>
      <c r="R627" s="42">
        <v>0</v>
      </c>
      <c r="S627" s="33"/>
      <c r="T627" s="66"/>
      <c r="U627" s="32"/>
      <c r="V627" s="32"/>
      <c r="W627" s="49"/>
      <c r="X627" s="52">
        <f t="shared" ref="X627:Z627" si="631">N627-S627</f>
        <v>8678312412</v>
      </c>
      <c r="Y627" s="52">
        <f t="shared" si="631"/>
        <v>7500000</v>
      </c>
      <c r="Z627" s="49">
        <f t="shared" si="631"/>
        <v>0</v>
      </c>
      <c r="AA627" s="43"/>
      <c r="AB627" s="43"/>
      <c r="AC627" s="15">
        <f t="shared" si="465"/>
        <v>2</v>
      </c>
      <c r="AD627" s="15"/>
      <c r="AE627" s="6"/>
      <c r="AF627" s="6"/>
      <c r="AG627" s="6"/>
      <c r="AH627" s="6"/>
      <c r="AI627" s="6"/>
      <c r="AJ627" s="6"/>
      <c r="AK627" s="6"/>
      <c r="AL627" s="6"/>
      <c r="AM627" s="6"/>
      <c r="AN627" s="6"/>
      <c r="AO627" s="6"/>
      <c r="AP627" s="6"/>
      <c r="AQ627" s="6"/>
      <c r="AR627" s="6"/>
      <c r="AS627" s="6"/>
    </row>
    <row r="628" spans="1:45" ht="31.5" hidden="1" x14ac:dyDescent="0.25">
      <c r="A628" s="33" t="s">
        <v>88</v>
      </c>
      <c r="B628" s="42">
        <v>486</v>
      </c>
      <c r="C628" s="33" t="s">
        <v>124</v>
      </c>
      <c r="D628" s="33" t="s">
        <v>2844</v>
      </c>
      <c r="E628" s="33" t="s">
        <v>2845</v>
      </c>
      <c r="F628" s="54"/>
      <c r="G628" s="33" t="s">
        <v>2846</v>
      </c>
      <c r="H628" s="33"/>
      <c r="I628" s="33"/>
      <c r="J628" s="33" t="s">
        <v>2847</v>
      </c>
      <c r="K628" s="33" t="s">
        <v>43</v>
      </c>
      <c r="L628" s="33" t="s">
        <v>2848</v>
      </c>
      <c r="M628" s="44">
        <v>34664233908</v>
      </c>
      <c r="N628" s="44">
        <v>21702116352</v>
      </c>
      <c r="O628" s="44">
        <v>7500000</v>
      </c>
      <c r="P628" s="86"/>
      <c r="Q628" s="44">
        <f t="shared" si="463"/>
        <v>56373850260</v>
      </c>
      <c r="R628" s="48">
        <v>34664233908</v>
      </c>
      <c r="S628" s="48">
        <v>21702116352</v>
      </c>
      <c r="T628" s="66"/>
      <c r="U628" s="32"/>
      <c r="V628" s="32"/>
      <c r="W628" s="49"/>
      <c r="X628" s="49">
        <f t="shared" ref="X628:Z628" si="632">N628-S628</f>
        <v>0</v>
      </c>
      <c r="Y628" s="52">
        <f t="shared" si="632"/>
        <v>7500000</v>
      </c>
      <c r="Z628" s="49">
        <f t="shared" si="632"/>
        <v>0</v>
      </c>
      <c r="AA628" s="54"/>
      <c r="AB628" s="43"/>
      <c r="AC628" s="15">
        <f t="shared" si="465"/>
        <v>2</v>
      </c>
      <c r="AD628" s="15"/>
      <c r="AE628" s="6"/>
      <c r="AF628" s="6"/>
      <c r="AG628" s="6"/>
      <c r="AH628" s="6"/>
      <c r="AI628" s="6"/>
      <c r="AJ628" s="6"/>
      <c r="AK628" s="6"/>
      <c r="AL628" s="6"/>
      <c r="AM628" s="6"/>
      <c r="AN628" s="6"/>
      <c r="AO628" s="6"/>
      <c r="AP628" s="6"/>
      <c r="AQ628" s="6"/>
      <c r="AR628" s="6"/>
      <c r="AS628" s="6"/>
    </row>
    <row r="629" spans="1:45" ht="31.5" hidden="1" x14ac:dyDescent="0.25">
      <c r="A629" s="33" t="s">
        <v>46</v>
      </c>
      <c r="B629" s="42">
        <v>487</v>
      </c>
      <c r="C629" s="33" t="s">
        <v>124</v>
      </c>
      <c r="D629" s="33" t="s">
        <v>2849</v>
      </c>
      <c r="E629" s="33" t="s">
        <v>617</v>
      </c>
      <c r="F629" s="54"/>
      <c r="G629" s="33" t="s">
        <v>2850</v>
      </c>
      <c r="H629" s="33" t="s">
        <v>2851</v>
      </c>
      <c r="I629" s="32"/>
      <c r="J629" s="33" t="s">
        <v>2852</v>
      </c>
      <c r="K629" s="33" t="s">
        <v>43</v>
      </c>
      <c r="L629" s="33" t="s">
        <v>2853</v>
      </c>
      <c r="M629" s="44">
        <v>7983138800</v>
      </c>
      <c r="N629" s="63">
        <v>4114228044</v>
      </c>
      <c r="O629" s="44">
        <v>7500000</v>
      </c>
      <c r="P629" s="86"/>
      <c r="Q629" s="44">
        <f t="shared" si="463"/>
        <v>12104866844</v>
      </c>
      <c r="R629" s="48">
        <v>7983138800</v>
      </c>
      <c r="S629" s="48">
        <v>4114228044</v>
      </c>
      <c r="T629" s="44">
        <v>7500000</v>
      </c>
      <c r="U629" s="32"/>
      <c r="V629" s="32"/>
      <c r="W629" s="49"/>
      <c r="X629" s="49">
        <f t="shared" ref="X629:Z629" si="633">N629-S629</f>
        <v>0</v>
      </c>
      <c r="Y629" s="49">
        <f t="shared" si="633"/>
        <v>0</v>
      </c>
      <c r="Z629" s="49">
        <f t="shared" si="633"/>
        <v>0</v>
      </c>
      <c r="AA629" s="54"/>
      <c r="AB629" s="54"/>
      <c r="AC629" s="2">
        <f t="shared" si="465"/>
        <v>2</v>
      </c>
      <c r="AD629" s="6"/>
      <c r="AE629" s="6"/>
      <c r="AF629" s="6"/>
      <c r="AG629" s="6"/>
      <c r="AH629" s="6"/>
      <c r="AI629" s="6"/>
      <c r="AJ629" s="6"/>
      <c r="AK629" s="6"/>
      <c r="AL629" s="6"/>
      <c r="AM629" s="6"/>
      <c r="AN629" s="6"/>
      <c r="AO629" s="6"/>
      <c r="AP629" s="6"/>
      <c r="AQ629" s="6"/>
      <c r="AR629" s="6"/>
      <c r="AS629" s="6"/>
    </row>
    <row r="630" spans="1:45" ht="31.5" hidden="1" x14ac:dyDescent="0.25">
      <c r="A630" s="33" t="s">
        <v>35</v>
      </c>
      <c r="B630" s="42">
        <v>490</v>
      </c>
      <c r="C630" s="33" t="s">
        <v>124</v>
      </c>
      <c r="D630" s="33" t="s">
        <v>2854</v>
      </c>
      <c r="E630" s="32"/>
      <c r="F630" s="54"/>
      <c r="G630" s="33" t="s">
        <v>2855</v>
      </c>
      <c r="H630" s="32"/>
      <c r="I630" s="32"/>
      <c r="J630" s="33" t="s">
        <v>2856</v>
      </c>
      <c r="K630" s="33" t="s">
        <v>43</v>
      </c>
      <c r="L630" s="33" t="s">
        <v>2857</v>
      </c>
      <c r="M630" s="44">
        <v>75048522880</v>
      </c>
      <c r="N630" s="45"/>
      <c r="O630" s="44">
        <v>7500000</v>
      </c>
      <c r="P630" s="86"/>
      <c r="Q630" s="44">
        <f t="shared" si="463"/>
        <v>75056022880</v>
      </c>
      <c r="R630" s="48">
        <v>75048522880</v>
      </c>
      <c r="S630" s="32"/>
      <c r="T630" s="44">
        <v>7500000</v>
      </c>
      <c r="U630" s="32"/>
      <c r="V630" s="32"/>
      <c r="W630" s="49"/>
      <c r="X630" s="49">
        <f t="shared" ref="X630:Z630" si="634">N630-S630</f>
        <v>0</v>
      </c>
      <c r="Y630" s="49">
        <f t="shared" si="634"/>
        <v>0</v>
      </c>
      <c r="Z630" s="49">
        <f t="shared" si="634"/>
        <v>0</v>
      </c>
      <c r="AA630" s="54"/>
      <c r="AB630" s="54"/>
      <c r="AC630" s="2">
        <f t="shared" si="465"/>
        <v>2</v>
      </c>
      <c r="AD630" s="6"/>
      <c r="AE630" s="6"/>
      <c r="AF630" s="6"/>
      <c r="AG630" s="6"/>
      <c r="AH630" s="6"/>
      <c r="AI630" s="6"/>
      <c r="AJ630" s="6"/>
      <c r="AK630" s="6"/>
      <c r="AL630" s="6"/>
      <c r="AM630" s="6"/>
      <c r="AN630" s="6"/>
      <c r="AO630" s="6"/>
      <c r="AP630" s="6"/>
      <c r="AQ630" s="6"/>
      <c r="AR630" s="6"/>
      <c r="AS630" s="6"/>
    </row>
    <row r="631" spans="1:45" ht="31.5" hidden="1" x14ac:dyDescent="0.25">
      <c r="A631" s="33" t="s">
        <v>88</v>
      </c>
      <c r="B631" s="42">
        <v>492</v>
      </c>
      <c r="C631" s="33" t="s">
        <v>124</v>
      </c>
      <c r="D631" s="33" t="s">
        <v>2858</v>
      </c>
      <c r="E631" s="33" t="s">
        <v>2859</v>
      </c>
      <c r="F631" s="54"/>
      <c r="G631" s="33" t="s">
        <v>2860</v>
      </c>
      <c r="H631" s="33" t="s">
        <v>2861</v>
      </c>
      <c r="I631" s="33" t="s">
        <v>2266</v>
      </c>
      <c r="J631" s="33" t="s">
        <v>2862</v>
      </c>
      <c r="K631" s="33" t="s">
        <v>43</v>
      </c>
      <c r="L631" s="33" t="s">
        <v>2863</v>
      </c>
      <c r="M631" s="44">
        <v>4066555149</v>
      </c>
      <c r="N631" s="44">
        <v>385272600</v>
      </c>
      <c r="O631" s="44">
        <v>15000000</v>
      </c>
      <c r="P631" s="86"/>
      <c r="Q631" s="44">
        <f t="shared" si="463"/>
        <v>4466827749</v>
      </c>
      <c r="R631" s="52">
        <v>4066555149</v>
      </c>
      <c r="S631" s="48">
        <v>385272600</v>
      </c>
      <c r="T631" s="44">
        <v>15000000</v>
      </c>
      <c r="U631" s="32"/>
      <c r="V631" s="32"/>
      <c r="W631" s="49"/>
      <c r="X631" s="49">
        <f t="shared" ref="X631:Z631" si="635">N631-S631</f>
        <v>0</v>
      </c>
      <c r="Y631" s="49">
        <f t="shared" si="635"/>
        <v>0</v>
      </c>
      <c r="Z631" s="49">
        <f t="shared" si="635"/>
        <v>0</v>
      </c>
      <c r="AA631" s="54"/>
      <c r="AB631" s="54"/>
      <c r="AC631" s="2">
        <f t="shared" si="465"/>
        <v>2</v>
      </c>
      <c r="AD631" s="6"/>
      <c r="AE631" s="6"/>
      <c r="AF631" s="6"/>
      <c r="AG631" s="6"/>
      <c r="AH631" s="6"/>
      <c r="AI631" s="6"/>
      <c r="AJ631" s="6"/>
      <c r="AK631" s="6"/>
      <c r="AL631" s="6"/>
      <c r="AM631" s="6"/>
      <c r="AN631" s="6"/>
      <c r="AO631" s="6"/>
      <c r="AP631" s="6"/>
      <c r="AQ631" s="6"/>
      <c r="AR631" s="6"/>
      <c r="AS631" s="6"/>
    </row>
    <row r="632" spans="1:45" ht="47.25" hidden="1" x14ac:dyDescent="0.25">
      <c r="A632" s="33" t="s">
        <v>35</v>
      </c>
      <c r="B632" s="42">
        <v>496</v>
      </c>
      <c r="C632" s="33" t="s">
        <v>124</v>
      </c>
      <c r="D632" s="33" t="s">
        <v>2868</v>
      </c>
      <c r="E632" s="33"/>
      <c r="F632" s="54"/>
      <c r="G632" s="33" t="s">
        <v>2869</v>
      </c>
      <c r="H632" s="33"/>
      <c r="I632" s="33"/>
      <c r="J632" s="33" t="s">
        <v>2018</v>
      </c>
      <c r="K632" s="33" t="s">
        <v>43</v>
      </c>
      <c r="L632" s="33" t="s">
        <v>2870</v>
      </c>
      <c r="M632" s="44">
        <v>537732800</v>
      </c>
      <c r="N632" s="45"/>
      <c r="O632" s="44">
        <v>7500000</v>
      </c>
      <c r="P632" s="86"/>
      <c r="Q632" s="44">
        <f t="shared" si="463"/>
        <v>545232800</v>
      </c>
      <c r="R632" s="48">
        <v>537732800</v>
      </c>
      <c r="S632" s="32"/>
      <c r="T632" s="66"/>
      <c r="U632" s="32"/>
      <c r="V632" s="32"/>
      <c r="W632" s="49"/>
      <c r="X632" s="49">
        <f t="shared" ref="X632:Z632" si="636">N632-S632</f>
        <v>0</v>
      </c>
      <c r="Y632" s="52">
        <f t="shared" si="636"/>
        <v>7500000</v>
      </c>
      <c r="Z632" s="49">
        <f t="shared" si="636"/>
        <v>0</v>
      </c>
      <c r="AA632" s="54"/>
      <c r="AB632" s="43"/>
      <c r="AC632" s="15">
        <f t="shared" si="465"/>
        <v>2</v>
      </c>
      <c r="AD632" s="15"/>
      <c r="AE632" s="6"/>
      <c r="AF632" s="6"/>
      <c r="AG632" s="6"/>
      <c r="AH632" s="6"/>
      <c r="AI632" s="6"/>
      <c r="AJ632" s="6"/>
      <c r="AK632" s="6"/>
      <c r="AL632" s="6"/>
      <c r="AM632" s="6"/>
      <c r="AN632" s="6"/>
      <c r="AO632" s="6"/>
      <c r="AP632" s="6"/>
      <c r="AQ632" s="6"/>
      <c r="AR632" s="6"/>
      <c r="AS632" s="6"/>
    </row>
    <row r="633" spans="1:45" ht="47.25" hidden="1" x14ac:dyDescent="0.25">
      <c r="A633" s="33" t="s">
        <v>60</v>
      </c>
      <c r="B633" s="42">
        <v>497</v>
      </c>
      <c r="C633" s="33" t="s">
        <v>124</v>
      </c>
      <c r="D633" s="33" t="s">
        <v>2871</v>
      </c>
      <c r="E633" s="32"/>
      <c r="F633" s="54"/>
      <c r="G633" s="33" t="s">
        <v>2872</v>
      </c>
      <c r="H633" s="32"/>
      <c r="I633" s="32"/>
      <c r="J633" s="33" t="s">
        <v>2873</v>
      </c>
      <c r="K633" s="33" t="s">
        <v>43</v>
      </c>
      <c r="L633" s="33" t="s">
        <v>2874</v>
      </c>
      <c r="M633" s="44">
        <v>642104448</v>
      </c>
      <c r="N633" s="45"/>
      <c r="O633" s="44">
        <v>7500000</v>
      </c>
      <c r="P633" s="86"/>
      <c r="Q633" s="44">
        <f t="shared" si="463"/>
        <v>649604448</v>
      </c>
      <c r="R633" s="48">
        <v>642104448</v>
      </c>
      <c r="S633" s="32"/>
      <c r="T633" s="44">
        <v>7500000</v>
      </c>
      <c r="U633" s="32"/>
      <c r="V633" s="32"/>
      <c r="W633" s="49"/>
      <c r="X633" s="49">
        <f t="shared" ref="X633:Z633" si="637">N633-S633</f>
        <v>0</v>
      </c>
      <c r="Y633" s="49">
        <f t="shared" si="637"/>
        <v>0</v>
      </c>
      <c r="Z633" s="49">
        <f t="shared" si="637"/>
        <v>0</v>
      </c>
      <c r="AA633" s="54"/>
      <c r="AB633" s="54"/>
      <c r="AC633" s="2">
        <f t="shared" si="465"/>
        <v>2</v>
      </c>
      <c r="AD633" s="6"/>
      <c r="AE633" s="6"/>
      <c r="AF633" s="6"/>
      <c r="AG633" s="6"/>
      <c r="AH633" s="6"/>
      <c r="AI633" s="6"/>
      <c r="AJ633" s="6"/>
      <c r="AK633" s="6"/>
      <c r="AL633" s="6"/>
      <c r="AM633" s="6"/>
      <c r="AN633" s="6"/>
      <c r="AO633" s="6"/>
      <c r="AP633" s="6"/>
      <c r="AQ633" s="6"/>
      <c r="AR633" s="6"/>
      <c r="AS633" s="6"/>
    </row>
    <row r="634" spans="1:45" ht="47.25" hidden="1" x14ac:dyDescent="0.25">
      <c r="A634" s="33" t="s">
        <v>35</v>
      </c>
      <c r="B634" s="42">
        <v>498</v>
      </c>
      <c r="C634" s="33" t="s">
        <v>124</v>
      </c>
      <c r="D634" s="33" t="s">
        <v>2875</v>
      </c>
      <c r="E634" s="32"/>
      <c r="F634" s="54"/>
      <c r="G634" s="33" t="s">
        <v>2876</v>
      </c>
      <c r="H634" s="32"/>
      <c r="I634" s="32"/>
      <c r="J634" s="33" t="s">
        <v>2877</v>
      </c>
      <c r="K634" s="33" t="s">
        <v>43</v>
      </c>
      <c r="L634" s="33" t="s">
        <v>2878</v>
      </c>
      <c r="M634" s="44">
        <v>3193098044</v>
      </c>
      <c r="N634" s="45"/>
      <c r="O634" s="44">
        <v>15000000</v>
      </c>
      <c r="P634" s="86"/>
      <c r="Q634" s="44">
        <f t="shared" si="463"/>
        <v>3208098044</v>
      </c>
      <c r="R634" s="48">
        <v>3193098044</v>
      </c>
      <c r="S634" s="32"/>
      <c r="T634" s="44">
        <v>15000000</v>
      </c>
      <c r="U634" s="32"/>
      <c r="V634" s="32"/>
      <c r="W634" s="49"/>
      <c r="X634" s="49">
        <f t="shared" ref="X634:Z634" si="638">N634-S634</f>
        <v>0</v>
      </c>
      <c r="Y634" s="49">
        <f t="shared" si="638"/>
        <v>0</v>
      </c>
      <c r="Z634" s="49">
        <f t="shared" si="638"/>
        <v>0</v>
      </c>
      <c r="AA634" s="54"/>
      <c r="AB634" s="54"/>
      <c r="AC634" s="2">
        <f t="shared" si="465"/>
        <v>2</v>
      </c>
      <c r="AD634" s="6"/>
      <c r="AE634" s="6"/>
      <c r="AF634" s="6"/>
      <c r="AG634" s="6"/>
      <c r="AH634" s="6"/>
      <c r="AI634" s="6"/>
      <c r="AJ634" s="6"/>
      <c r="AK634" s="6"/>
      <c r="AL634" s="6"/>
      <c r="AM634" s="6"/>
      <c r="AN634" s="6"/>
      <c r="AO634" s="6"/>
      <c r="AP634" s="6"/>
      <c r="AQ634" s="6"/>
      <c r="AR634" s="6"/>
      <c r="AS634" s="6"/>
    </row>
    <row r="635" spans="1:45" ht="31.5" hidden="1" x14ac:dyDescent="0.25">
      <c r="A635" s="33" t="s">
        <v>52</v>
      </c>
      <c r="B635" s="42">
        <v>499</v>
      </c>
      <c r="C635" s="33" t="s">
        <v>124</v>
      </c>
      <c r="D635" s="33" t="s">
        <v>2879</v>
      </c>
      <c r="E635" s="32"/>
      <c r="F635" s="54"/>
      <c r="G635" s="33" t="s">
        <v>2880</v>
      </c>
      <c r="H635" s="32"/>
      <c r="I635" s="32"/>
      <c r="J635" s="33" t="s">
        <v>2881</v>
      </c>
      <c r="K635" s="33" t="s">
        <v>43</v>
      </c>
      <c r="L635" s="33" t="s">
        <v>2882</v>
      </c>
      <c r="M635" s="44">
        <v>1244988472</v>
      </c>
      <c r="N635" s="45"/>
      <c r="O635" s="44">
        <v>7500000</v>
      </c>
      <c r="P635" s="86"/>
      <c r="Q635" s="44">
        <f t="shared" si="463"/>
        <v>1252488472</v>
      </c>
      <c r="R635" s="48">
        <v>1244988472</v>
      </c>
      <c r="S635" s="32"/>
      <c r="T635" s="44">
        <v>7500000</v>
      </c>
      <c r="U635" s="32"/>
      <c r="V635" s="32"/>
      <c r="W635" s="49"/>
      <c r="X635" s="49">
        <f t="shared" ref="X635:Z635" si="639">N635-S635</f>
        <v>0</v>
      </c>
      <c r="Y635" s="49">
        <f t="shared" si="639"/>
        <v>0</v>
      </c>
      <c r="Z635" s="49">
        <f t="shared" si="639"/>
        <v>0</v>
      </c>
      <c r="AA635" s="54"/>
      <c r="AB635" s="54"/>
      <c r="AC635" s="2">
        <f t="shared" si="465"/>
        <v>2</v>
      </c>
      <c r="AD635" s="6"/>
      <c r="AE635" s="6"/>
      <c r="AF635" s="6"/>
      <c r="AG635" s="6"/>
      <c r="AH635" s="6"/>
      <c r="AI635" s="6"/>
      <c r="AJ635" s="6"/>
      <c r="AK635" s="6"/>
      <c r="AL635" s="6"/>
      <c r="AM635" s="6"/>
      <c r="AN635" s="6"/>
      <c r="AO635" s="6"/>
      <c r="AP635" s="6"/>
      <c r="AQ635" s="6"/>
      <c r="AR635" s="6"/>
      <c r="AS635" s="6"/>
    </row>
    <row r="636" spans="1:45" ht="47.25" hidden="1" x14ac:dyDescent="0.25">
      <c r="A636" s="33" t="s">
        <v>46</v>
      </c>
      <c r="B636" s="42">
        <v>500</v>
      </c>
      <c r="C636" s="33" t="s">
        <v>124</v>
      </c>
      <c r="D636" s="33" t="s">
        <v>2883</v>
      </c>
      <c r="E636" s="32"/>
      <c r="F636" s="54"/>
      <c r="G636" s="33" t="s">
        <v>2884</v>
      </c>
      <c r="H636" s="32"/>
      <c r="I636" s="32"/>
      <c r="J636" s="33" t="s">
        <v>2885</v>
      </c>
      <c r="K636" s="33" t="s">
        <v>43</v>
      </c>
      <c r="L636" s="33" t="s">
        <v>2886</v>
      </c>
      <c r="M636" s="44">
        <v>2224532404</v>
      </c>
      <c r="N636" s="45"/>
      <c r="O636" s="44">
        <v>15000000</v>
      </c>
      <c r="P636" s="86"/>
      <c r="Q636" s="44">
        <f t="shared" si="463"/>
        <v>2239532404</v>
      </c>
      <c r="R636" s="48">
        <v>2224532404</v>
      </c>
      <c r="S636" s="32"/>
      <c r="T636" s="44">
        <v>15000000</v>
      </c>
      <c r="U636" s="32"/>
      <c r="V636" s="32"/>
      <c r="W636" s="49"/>
      <c r="X636" s="49">
        <f t="shared" ref="X636:Z636" si="640">N636-S636</f>
        <v>0</v>
      </c>
      <c r="Y636" s="49">
        <f t="shared" si="640"/>
        <v>0</v>
      </c>
      <c r="Z636" s="49">
        <f t="shared" si="640"/>
        <v>0</v>
      </c>
      <c r="AA636" s="54"/>
      <c r="AB636" s="54"/>
      <c r="AC636" s="2">
        <f t="shared" si="465"/>
        <v>2</v>
      </c>
      <c r="AD636" s="6"/>
      <c r="AE636" s="6"/>
      <c r="AF636" s="6"/>
      <c r="AG636" s="6"/>
      <c r="AH636" s="6"/>
      <c r="AI636" s="6"/>
      <c r="AJ636" s="6"/>
      <c r="AK636" s="6"/>
      <c r="AL636" s="6"/>
      <c r="AM636" s="6"/>
      <c r="AN636" s="6"/>
      <c r="AO636" s="6"/>
      <c r="AP636" s="6"/>
      <c r="AQ636" s="6"/>
      <c r="AR636" s="6"/>
      <c r="AS636" s="6"/>
    </row>
    <row r="637" spans="1:45" ht="31.5" hidden="1" x14ac:dyDescent="0.25">
      <c r="A637" s="33" t="s">
        <v>46</v>
      </c>
      <c r="B637" s="42">
        <v>501</v>
      </c>
      <c r="C637" s="33" t="s">
        <v>124</v>
      </c>
      <c r="D637" s="33" t="s">
        <v>2887</v>
      </c>
      <c r="E637" s="32"/>
      <c r="F637" s="54"/>
      <c r="G637" s="33" t="s">
        <v>2888</v>
      </c>
      <c r="H637" s="32"/>
      <c r="I637" s="32"/>
      <c r="J637" s="33" t="s">
        <v>2889</v>
      </c>
      <c r="K637" s="33" t="s">
        <v>43</v>
      </c>
      <c r="L637" s="33" t="s">
        <v>2890</v>
      </c>
      <c r="M637" s="44">
        <v>3356354008</v>
      </c>
      <c r="N637" s="45"/>
      <c r="O637" s="44">
        <v>15000000</v>
      </c>
      <c r="P637" s="86"/>
      <c r="Q637" s="44">
        <f t="shared" si="463"/>
        <v>3371354008</v>
      </c>
      <c r="R637" s="48">
        <v>3356354008</v>
      </c>
      <c r="S637" s="32"/>
      <c r="T637" s="44">
        <v>15000000</v>
      </c>
      <c r="U637" s="32"/>
      <c r="V637" s="32"/>
      <c r="W637" s="49"/>
      <c r="X637" s="49">
        <f t="shared" ref="X637:Z637" si="641">N637-S637</f>
        <v>0</v>
      </c>
      <c r="Y637" s="49">
        <f t="shared" si="641"/>
        <v>0</v>
      </c>
      <c r="Z637" s="49">
        <f t="shared" si="641"/>
        <v>0</v>
      </c>
      <c r="AA637" s="54"/>
      <c r="AB637" s="54"/>
      <c r="AC637" s="2">
        <f t="shared" si="465"/>
        <v>2</v>
      </c>
      <c r="AD637" s="6"/>
      <c r="AE637" s="6"/>
      <c r="AF637" s="6"/>
      <c r="AG637" s="6"/>
      <c r="AH637" s="6"/>
      <c r="AI637" s="6"/>
      <c r="AJ637" s="6"/>
      <c r="AK637" s="6"/>
      <c r="AL637" s="6"/>
      <c r="AM637" s="6"/>
      <c r="AN637" s="6"/>
      <c r="AO637" s="6"/>
      <c r="AP637" s="6"/>
      <c r="AQ637" s="6"/>
      <c r="AR637" s="6"/>
      <c r="AS637" s="6"/>
    </row>
    <row r="638" spans="1:45" ht="31.5" hidden="1" x14ac:dyDescent="0.25">
      <c r="A638" s="33" t="s">
        <v>88</v>
      </c>
      <c r="B638" s="42">
        <v>502</v>
      </c>
      <c r="C638" s="33" t="s">
        <v>124</v>
      </c>
      <c r="D638" s="33" t="s">
        <v>2891</v>
      </c>
      <c r="E638" s="33" t="s">
        <v>1821</v>
      </c>
      <c r="F638" s="54"/>
      <c r="G638" s="33" t="s">
        <v>2892</v>
      </c>
      <c r="H638" s="33" t="s">
        <v>2893</v>
      </c>
      <c r="I638" s="32"/>
      <c r="J638" s="33" t="s">
        <v>2894</v>
      </c>
      <c r="K638" s="33" t="s">
        <v>43</v>
      </c>
      <c r="L638" s="33" t="s">
        <v>2895</v>
      </c>
      <c r="M638" s="44">
        <v>5266510920</v>
      </c>
      <c r="N638" s="44">
        <v>737485460</v>
      </c>
      <c r="O638" s="44">
        <v>7500000</v>
      </c>
      <c r="P638" s="86"/>
      <c r="Q638" s="44">
        <f t="shared" si="463"/>
        <v>6011496380</v>
      </c>
      <c r="R638" s="48">
        <v>5266510920</v>
      </c>
      <c r="S638" s="48">
        <v>737485460</v>
      </c>
      <c r="T638" s="44">
        <v>7500000</v>
      </c>
      <c r="U638" s="32"/>
      <c r="V638" s="32"/>
      <c r="W638" s="49"/>
      <c r="X638" s="49">
        <f t="shared" ref="X638:Z638" si="642">N638-S638</f>
        <v>0</v>
      </c>
      <c r="Y638" s="49">
        <f t="shared" si="642"/>
        <v>0</v>
      </c>
      <c r="Z638" s="49">
        <f t="shared" si="642"/>
        <v>0</v>
      </c>
      <c r="AA638" s="54"/>
      <c r="AB638" s="54"/>
      <c r="AC638" s="2">
        <f t="shared" si="465"/>
        <v>2</v>
      </c>
      <c r="AD638" s="6"/>
      <c r="AE638" s="6"/>
      <c r="AF638" s="6"/>
      <c r="AG638" s="6"/>
      <c r="AH638" s="6"/>
      <c r="AI638" s="6"/>
      <c r="AJ638" s="6"/>
      <c r="AK638" s="6"/>
      <c r="AL638" s="6"/>
      <c r="AM638" s="6"/>
      <c r="AN638" s="6"/>
      <c r="AO638" s="6"/>
      <c r="AP638" s="6"/>
      <c r="AQ638" s="6"/>
      <c r="AR638" s="6"/>
      <c r="AS638" s="6"/>
    </row>
    <row r="639" spans="1:45" ht="31.5" hidden="1" x14ac:dyDescent="0.25">
      <c r="A639" s="33" t="s">
        <v>60</v>
      </c>
      <c r="B639" s="42">
        <v>504</v>
      </c>
      <c r="C639" s="33" t="s">
        <v>124</v>
      </c>
      <c r="D639" s="33" t="s">
        <v>2896</v>
      </c>
      <c r="E639" s="33"/>
      <c r="F639" s="54"/>
      <c r="G639" s="33" t="s">
        <v>2897</v>
      </c>
      <c r="H639" s="33"/>
      <c r="I639" s="33"/>
      <c r="J639" s="33" t="s">
        <v>2898</v>
      </c>
      <c r="K639" s="33" t="s">
        <v>43</v>
      </c>
      <c r="L639" s="33" t="s">
        <v>2899</v>
      </c>
      <c r="M639" s="44">
        <v>754321600</v>
      </c>
      <c r="N639" s="45"/>
      <c r="O639" s="44">
        <v>15000000</v>
      </c>
      <c r="P639" s="86"/>
      <c r="Q639" s="44">
        <f t="shared" si="463"/>
        <v>769321600</v>
      </c>
      <c r="R639" s="48">
        <v>754321600</v>
      </c>
      <c r="S639" s="32"/>
      <c r="T639" s="66"/>
      <c r="U639" s="32"/>
      <c r="V639" s="32"/>
      <c r="W639" s="49"/>
      <c r="X639" s="49">
        <f t="shared" ref="X639:Z639" si="643">N639-S639</f>
        <v>0</v>
      </c>
      <c r="Y639" s="52">
        <f t="shared" si="643"/>
        <v>15000000</v>
      </c>
      <c r="Z639" s="49">
        <f t="shared" si="643"/>
        <v>0</v>
      </c>
      <c r="AA639" s="54"/>
      <c r="AB639" s="43"/>
      <c r="AC639" s="15">
        <f t="shared" si="465"/>
        <v>2</v>
      </c>
      <c r="AD639" s="15"/>
      <c r="AE639" s="6"/>
      <c r="AF639" s="6"/>
      <c r="AG639" s="6"/>
      <c r="AH639" s="6"/>
      <c r="AI639" s="6"/>
      <c r="AJ639" s="6"/>
      <c r="AK639" s="6"/>
      <c r="AL639" s="6"/>
      <c r="AM639" s="6"/>
      <c r="AN639" s="6"/>
      <c r="AO639" s="6"/>
      <c r="AP639" s="6"/>
      <c r="AQ639" s="6"/>
      <c r="AR639" s="6"/>
      <c r="AS639" s="6"/>
    </row>
    <row r="640" spans="1:45" ht="31.5" hidden="1" x14ac:dyDescent="0.25">
      <c r="A640" s="33" t="s">
        <v>88</v>
      </c>
      <c r="B640" s="42">
        <v>505</v>
      </c>
      <c r="C640" s="33" t="s">
        <v>124</v>
      </c>
      <c r="D640" s="33" t="s">
        <v>2900</v>
      </c>
      <c r="E640" s="32"/>
      <c r="F640" s="54"/>
      <c r="G640" s="33" t="s">
        <v>2901</v>
      </c>
      <c r="H640" s="32"/>
      <c r="I640" s="32"/>
      <c r="J640" s="33" t="s">
        <v>2902</v>
      </c>
      <c r="K640" s="33" t="s">
        <v>43</v>
      </c>
      <c r="L640" s="33" t="s">
        <v>2903</v>
      </c>
      <c r="M640" s="44">
        <v>1084083840</v>
      </c>
      <c r="N640" s="45"/>
      <c r="O640" s="44">
        <v>7500000</v>
      </c>
      <c r="P640" s="86"/>
      <c r="Q640" s="44">
        <f t="shared" si="463"/>
        <v>1091583840</v>
      </c>
      <c r="R640" s="48">
        <v>1084083840</v>
      </c>
      <c r="S640" s="32"/>
      <c r="T640" s="44">
        <v>7500000</v>
      </c>
      <c r="U640" s="32"/>
      <c r="V640" s="32"/>
      <c r="W640" s="49"/>
      <c r="X640" s="49">
        <f t="shared" ref="X640:Z640" si="644">N640-S640</f>
        <v>0</v>
      </c>
      <c r="Y640" s="49">
        <f t="shared" si="644"/>
        <v>0</v>
      </c>
      <c r="Z640" s="49">
        <f t="shared" si="644"/>
        <v>0</v>
      </c>
      <c r="AA640" s="54"/>
      <c r="AB640" s="54"/>
      <c r="AC640" s="2">
        <f t="shared" si="465"/>
        <v>2</v>
      </c>
      <c r="AD640" s="6"/>
      <c r="AE640" s="6"/>
      <c r="AF640" s="6"/>
      <c r="AG640" s="6"/>
      <c r="AH640" s="6"/>
      <c r="AI640" s="6"/>
      <c r="AJ640" s="6"/>
      <c r="AK640" s="6"/>
      <c r="AL640" s="6"/>
      <c r="AM640" s="6"/>
      <c r="AN640" s="6"/>
      <c r="AO640" s="6"/>
      <c r="AP640" s="6"/>
      <c r="AQ640" s="6"/>
      <c r="AR640" s="6"/>
      <c r="AS640" s="6"/>
    </row>
    <row r="641" spans="1:45" ht="31.5" hidden="1" x14ac:dyDescent="0.25">
      <c r="A641" s="33" t="s">
        <v>46</v>
      </c>
      <c r="B641" s="42">
        <v>507</v>
      </c>
      <c r="C641" s="33" t="s">
        <v>124</v>
      </c>
      <c r="D641" s="33" t="s">
        <v>2904</v>
      </c>
      <c r="E641" s="32"/>
      <c r="F641" s="54"/>
      <c r="G641" s="33" t="s">
        <v>2905</v>
      </c>
      <c r="H641" s="32"/>
      <c r="I641" s="32"/>
      <c r="J641" s="33" t="s">
        <v>2906</v>
      </c>
      <c r="K641" s="33" t="s">
        <v>43</v>
      </c>
      <c r="L641" s="33" t="s">
        <v>2907</v>
      </c>
      <c r="M641" s="44">
        <v>4157817700</v>
      </c>
      <c r="N641" s="45"/>
      <c r="O641" s="44">
        <v>15000000</v>
      </c>
      <c r="P641" s="86"/>
      <c r="Q641" s="44">
        <f t="shared" si="463"/>
        <v>4172817700</v>
      </c>
      <c r="R641" s="48">
        <v>4157817700</v>
      </c>
      <c r="S641" s="32"/>
      <c r="T641" s="44">
        <v>15000000</v>
      </c>
      <c r="U641" s="32"/>
      <c r="V641" s="32"/>
      <c r="W641" s="49"/>
      <c r="X641" s="49">
        <f t="shared" ref="X641:Z641" si="645">N641-S641</f>
        <v>0</v>
      </c>
      <c r="Y641" s="49">
        <f t="shared" si="645"/>
        <v>0</v>
      </c>
      <c r="Z641" s="49">
        <f t="shared" si="645"/>
        <v>0</v>
      </c>
      <c r="AA641" s="54"/>
      <c r="AB641" s="54"/>
      <c r="AC641" s="2">
        <f t="shared" si="465"/>
        <v>2</v>
      </c>
      <c r="AD641" s="6"/>
      <c r="AE641" s="6"/>
      <c r="AF641" s="6"/>
      <c r="AG641" s="6"/>
      <c r="AH641" s="6"/>
      <c r="AI641" s="6"/>
      <c r="AJ641" s="6"/>
      <c r="AK641" s="6"/>
      <c r="AL641" s="6"/>
      <c r="AM641" s="6"/>
      <c r="AN641" s="6"/>
      <c r="AO641" s="6"/>
      <c r="AP641" s="6"/>
      <c r="AQ641" s="6"/>
      <c r="AR641" s="6"/>
      <c r="AS641" s="6"/>
    </row>
    <row r="642" spans="1:45" ht="31.5" hidden="1" x14ac:dyDescent="0.25">
      <c r="A642" s="33" t="s">
        <v>60</v>
      </c>
      <c r="B642" s="42">
        <v>508</v>
      </c>
      <c r="C642" s="33" t="s">
        <v>124</v>
      </c>
      <c r="D642" s="33" t="s">
        <v>2908</v>
      </c>
      <c r="E642" s="32"/>
      <c r="F642" s="54"/>
      <c r="G642" s="33" t="s">
        <v>2909</v>
      </c>
      <c r="H642" s="32"/>
      <c r="I642" s="32"/>
      <c r="J642" s="33" t="s">
        <v>2910</v>
      </c>
      <c r="K642" s="33" t="s">
        <v>43</v>
      </c>
      <c r="L642" s="33" t="s">
        <v>2911</v>
      </c>
      <c r="M642" s="44">
        <v>2456562500</v>
      </c>
      <c r="N642" s="45"/>
      <c r="O642" s="44">
        <v>15000000</v>
      </c>
      <c r="P642" s="86"/>
      <c r="Q642" s="44">
        <f t="shared" si="463"/>
        <v>2471562500</v>
      </c>
      <c r="R642" s="48">
        <v>2456562500</v>
      </c>
      <c r="S642" s="32"/>
      <c r="T642" s="44">
        <v>15000000</v>
      </c>
      <c r="U642" s="32"/>
      <c r="V642" s="32"/>
      <c r="W642" s="49"/>
      <c r="X642" s="49">
        <f t="shared" ref="X642:Z642" si="646">N642-S642</f>
        <v>0</v>
      </c>
      <c r="Y642" s="49">
        <f t="shared" si="646"/>
        <v>0</v>
      </c>
      <c r="Z642" s="49">
        <f t="shared" si="646"/>
        <v>0</v>
      </c>
      <c r="AA642" s="54"/>
      <c r="AB642" s="54"/>
      <c r="AC642" s="2">
        <f t="shared" si="465"/>
        <v>2</v>
      </c>
      <c r="AD642" s="6"/>
      <c r="AE642" s="6"/>
      <c r="AF642" s="6"/>
      <c r="AG642" s="6"/>
      <c r="AH642" s="6"/>
      <c r="AI642" s="6"/>
      <c r="AJ642" s="6"/>
      <c r="AK642" s="6"/>
      <c r="AL642" s="6"/>
      <c r="AM642" s="6"/>
      <c r="AN642" s="6"/>
      <c r="AO642" s="6"/>
      <c r="AP642" s="6"/>
      <c r="AQ642" s="6"/>
      <c r="AR642" s="6"/>
      <c r="AS642" s="6"/>
    </row>
    <row r="643" spans="1:45" ht="31.5" hidden="1" x14ac:dyDescent="0.25">
      <c r="A643" s="33" t="s">
        <v>60</v>
      </c>
      <c r="B643" s="42">
        <v>509</v>
      </c>
      <c r="C643" s="33" t="s">
        <v>124</v>
      </c>
      <c r="D643" s="33" t="s">
        <v>2912</v>
      </c>
      <c r="E643" s="32"/>
      <c r="F643" s="54"/>
      <c r="G643" s="33" t="s">
        <v>2913</v>
      </c>
      <c r="H643" s="32"/>
      <c r="I643" s="32"/>
      <c r="J643" s="33" t="s">
        <v>2914</v>
      </c>
      <c r="K643" s="33" t="s">
        <v>43</v>
      </c>
      <c r="L643" s="33" t="s">
        <v>2915</v>
      </c>
      <c r="M643" s="44">
        <v>6601856928</v>
      </c>
      <c r="N643" s="45"/>
      <c r="O643" s="44">
        <v>7500000</v>
      </c>
      <c r="P643" s="86"/>
      <c r="Q643" s="44">
        <f t="shared" si="463"/>
        <v>6609356928</v>
      </c>
      <c r="R643" s="48">
        <v>6601856928</v>
      </c>
      <c r="S643" s="32"/>
      <c r="T643" s="44">
        <v>7500000</v>
      </c>
      <c r="U643" s="32"/>
      <c r="V643" s="32"/>
      <c r="W643" s="49"/>
      <c r="X643" s="49">
        <f t="shared" ref="X643:Z643" si="647">N643-S643</f>
        <v>0</v>
      </c>
      <c r="Y643" s="49">
        <f t="shared" si="647"/>
        <v>0</v>
      </c>
      <c r="Z643" s="49">
        <f t="shared" si="647"/>
        <v>0</v>
      </c>
      <c r="AA643" s="54"/>
      <c r="AB643" s="54"/>
      <c r="AC643" s="2">
        <f t="shared" si="465"/>
        <v>2</v>
      </c>
      <c r="AD643" s="6"/>
      <c r="AE643" s="6"/>
      <c r="AF643" s="6"/>
      <c r="AG643" s="6"/>
      <c r="AH643" s="6"/>
      <c r="AI643" s="6"/>
      <c r="AJ643" s="6"/>
      <c r="AK643" s="6"/>
      <c r="AL643" s="6"/>
      <c r="AM643" s="6"/>
      <c r="AN643" s="6"/>
      <c r="AO643" s="6"/>
      <c r="AP643" s="6"/>
      <c r="AQ643" s="6"/>
      <c r="AR643" s="6"/>
      <c r="AS643" s="6"/>
    </row>
    <row r="644" spans="1:45" ht="31.5" hidden="1" x14ac:dyDescent="0.25">
      <c r="A644" s="33" t="s">
        <v>35</v>
      </c>
      <c r="B644" s="42">
        <v>510</v>
      </c>
      <c r="C644" s="33" t="s">
        <v>124</v>
      </c>
      <c r="D644" s="33" t="s">
        <v>2916</v>
      </c>
      <c r="E644" s="33" t="s">
        <v>2917</v>
      </c>
      <c r="F644" s="54"/>
      <c r="G644" s="33" t="s">
        <v>2918</v>
      </c>
      <c r="H644" s="33" t="s">
        <v>2919</v>
      </c>
      <c r="I644" s="33" t="s">
        <v>85</v>
      </c>
      <c r="J644" s="33" t="s">
        <v>2920</v>
      </c>
      <c r="K644" s="33" t="s">
        <v>43</v>
      </c>
      <c r="L644" s="33" t="s">
        <v>2921</v>
      </c>
      <c r="M644" s="44">
        <v>0</v>
      </c>
      <c r="N644" s="44">
        <v>14059528830</v>
      </c>
      <c r="O644" s="44">
        <v>3750000</v>
      </c>
      <c r="P644" s="86"/>
      <c r="Q644" s="44">
        <f t="shared" si="463"/>
        <v>14063278830</v>
      </c>
      <c r="R644" s="42">
        <v>0</v>
      </c>
      <c r="S644" s="48">
        <v>14059528830</v>
      </c>
      <c r="T644" s="45">
        <v>3750000</v>
      </c>
      <c r="U644" s="32"/>
      <c r="V644" s="32"/>
      <c r="W644" s="49"/>
      <c r="X644" s="49">
        <f t="shared" ref="X644:Z644" si="648">N644-S644</f>
        <v>0</v>
      </c>
      <c r="Y644" s="49">
        <f t="shared" si="648"/>
        <v>0</v>
      </c>
      <c r="Z644" s="49">
        <f t="shared" si="648"/>
        <v>0</v>
      </c>
      <c r="AA644" s="54"/>
      <c r="AB644" s="54"/>
      <c r="AC644" s="2">
        <f t="shared" si="465"/>
        <v>2</v>
      </c>
      <c r="AD644" s="6"/>
      <c r="AE644" s="6"/>
      <c r="AF644" s="6"/>
      <c r="AG644" s="6"/>
      <c r="AH644" s="6"/>
      <c r="AI644" s="6"/>
      <c r="AJ644" s="6"/>
      <c r="AK644" s="6"/>
      <c r="AL644" s="6"/>
      <c r="AM644" s="6"/>
      <c r="AN644" s="6"/>
      <c r="AO644" s="6"/>
      <c r="AP644" s="6"/>
      <c r="AQ644" s="6"/>
      <c r="AR644" s="6"/>
      <c r="AS644" s="6"/>
    </row>
    <row r="645" spans="1:45" ht="31.5" hidden="1" x14ac:dyDescent="0.25">
      <c r="A645" s="33" t="s">
        <v>88</v>
      </c>
      <c r="B645" s="42">
        <v>513</v>
      </c>
      <c r="C645" s="33" t="s">
        <v>124</v>
      </c>
      <c r="D645" s="33" t="s">
        <v>2922</v>
      </c>
      <c r="E645" s="33"/>
      <c r="F645" s="54"/>
      <c r="G645" s="33" t="s">
        <v>2923</v>
      </c>
      <c r="H645" s="33"/>
      <c r="I645" s="33"/>
      <c r="J645" s="33" t="s">
        <v>2924</v>
      </c>
      <c r="K645" s="33" t="s">
        <v>43</v>
      </c>
      <c r="L645" s="33" t="s">
        <v>2925</v>
      </c>
      <c r="M645" s="44">
        <v>8035637053</v>
      </c>
      <c r="N645" s="45"/>
      <c r="O645" s="44">
        <v>15000000</v>
      </c>
      <c r="P645" s="86"/>
      <c r="Q645" s="44">
        <f t="shared" si="463"/>
        <v>8050637053</v>
      </c>
      <c r="R645" s="32"/>
      <c r="S645" s="32"/>
      <c r="T645" s="66"/>
      <c r="U645" s="32"/>
      <c r="V645" s="32"/>
      <c r="W645" s="49">
        <v>8035637053</v>
      </c>
      <c r="X645" s="49">
        <f t="shared" ref="X645:Z645" si="649">N645-S645</f>
        <v>0</v>
      </c>
      <c r="Y645" s="52">
        <f t="shared" si="649"/>
        <v>15000000</v>
      </c>
      <c r="Z645" s="49">
        <f t="shared" si="649"/>
        <v>0</v>
      </c>
      <c r="AA645" s="73">
        <v>8035637053</v>
      </c>
      <c r="AB645" s="43"/>
      <c r="AC645" s="15">
        <f t="shared" si="465"/>
        <v>2</v>
      </c>
      <c r="AD645" s="15"/>
      <c r="AE645" s="6"/>
      <c r="AF645" s="6"/>
      <c r="AG645" s="6"/>
      <c r="AH645" s="6"/>
      <c r="AI645" s="6"/>
      <c r="AJ645" s="6"/>
      <c r="AK645" s="6"/>
      <c r="AL645" s="6"/>
      <c r="AM645" s="6"/>
      <c r="AN645" s="6"/>
      <c r="AO645" s="6"/>
      <c r="AP645" s="6"/>
      <c r="AQ645" s="6"/>
      <c r="AR645" s="6"/>
      <c r="AS645" s="6"/>
    </row>
    <row r="646" spans="1:45" ht="31.5" hidden="1" x14ac:dyDescent="0.25">
      <c r="A646" s="33" t="s">
        <v>60</v>
      </c>
      <c r="B646" s="42">
        <v>514</v>
      </c>
      <c r="C646" s="33" t="s">
        <v>124</v>
      </c>
      <c r="D646" s="33" t="s">
        <v>2927</v>
      </c>
      <c r="E646" s="32"/>
      <c r="F646" s="54"/>
      <c r="G646" s="33" t="s">
        <v>2928</v>
      </c>
      <c r="H646" s="32"/>
      <c r="I646" s="32"/>
      <c r="J646" s="33" t="s">
        <v>2929</v>
      </c>
      <c r="K646" s="33" t="s">
        <v>43</v>
      </c>
      <c r="L646" s="33" t="s">
        <v>2911</v>
      </c>
      <c r="M646" s="44">
        <v>3779809872</v>
      </c>
      <c r="N646" s="45"/>
      <c r="O646" s="44">
        <v>15000000</v>
      </c>
      <c r="P646" s="86"/>
      <c r="Q646" s="44">
        <f t="shared" si="463"/>
        <v>3794809872</v>
      </c>
      <c r="R646" s="48">
        <v>3779809872</v>
      </c>
      <c r="S646" s="32"/>
      <c r="T646" s="44">
        <v>15000000</v>
      </c>
      <c r="U646" s="32"/>
      <c r="V646" s="32"/>
      <c r="W646" s="49"/>
      <c r="X646" s="49">
        <f t="shared" ref="X646:Z646" si="650">N646-S646</f>
        <v>0</v>
      </c>
      <c r="Y646" s="49">
        <f t="shared" si="650"/>
        <v>0</v>
      </c>
      <c r="Z646" s="49">
        <f t="shared" si="650"/>
        <v>0</v>
      </c>
      <c r="AA646" s="54"/>
      <c r="AB646" s="54"/>
      <c r="AC646" s="2">
        <f t="shared" si="465"/>
        <v>2</v>
      </c>
      <c r="AD646" s="6"/>
      <c r="AE646" s="6"/>
      <c r="AF646" s="6"/>
      <c r="AG646" s="6"/>
      <c r="AH646" s="6"/>
      <c r="AI646" s="6"/>
      <c r="AJ646" s="6"/>
      <c r="AK646" s="6"/>
      <c r="AL646" s="6"/>
      <c r="AM646" s="6"/>
      <c r="AN646" s="6"/>
      <c r="AO646" s="6"/>
      <c r="AP646" s="6"/>
      <c r="AQ646" s="6"/>
      <c r="AR646" s="6"/>
      <c r="AS646" s="6"/>
    </row>
    <row r="647" spans="1:45" ht="31.5" hidden="1" x14ac:dyDescent="0.25">
      <c r="A647" s="33" t="s">
        <v>52</v>
      </c>
      <c r="B647" s="42">
        <v>515</v>
      </c>
      <c r="C647" s="33" t="s">
        <v>124</v>
      </c>
      <c r="D647" s="33" t="s">
        <v>2930</v>
      </c>
      <c r="E647" s="33" t="s">
        <v>2931</v>
      </c>
      <c r="F647" s="54"/>
      <c r="G647" s="33" t="s">
        <v>2932</v>
      </c>
      <c r="H647" s="33" t="s">
        <v>2933</v>
      </c>
      <c r="I647" s="32"/>
      <c r="J647" s="33" t="s">
        <v>2934</v>
      </c>
      <c r="K647" s="33" t="s">
        <v>43</v>
      </c>
      <c r="L647" s="33" t="s">
        <v>2935</v>
      </c>
      <c r="M647" s="44">
        <v>8381892826</v>
      </c>
      <c r="N647" s="44">
        <v>2048106900</v>
      </c>
      <c r="O647" s="44">
        <v>15000000</v>
      </c>
      <c r="P647" s="86"/>
      <c r="Q647" s="44">
        <f t="shared" si="463"/>
        <v>10444999726</v>
      </c>
      <c r="R647" s="48">
        <v>8381892826</v>
      </c>
      <c r="S647" s="48">
        <v>2048106900</v>
      </c>
      <c r="T647" s="44">
        <v>15000000</v>
      </c>
      <c r="U647" s="32"/>
      <c r="V647" s="32"/>
      <c r="W647" s="49"/>
      <c r="X647" s="49">
        <f t="shared" ref="X647:Z647" si="651">N647-S647</f>
        <v>0</v>
      </c>
      <c r="Y647" s="49">
        <f t="shared" si="651"/>
        <v>0</v>
      </c>
      <c r="Z647" s="49">
        <f t="shared" si="651"/>
        <v>0</v>
      </c>
      <c r="AA647" s="54"/>
      <c r="AB647" s="54"/>
      <c r="AC647" s="2">
        <f t="shared" si="465"/>
        <v>2</v>
      </c>
      <c r="AD647" s="6"/>
      <c r="AE647" s="6"/>
      <c r="AF647" s="6"/>
      <c r="AG647" s="6"/>
      <c r="AH647" s="6"/>
      <c r="AI647" s="6"/>
      <c r="AJ647" s="6"/>
      <c r="AK647" s="6"/>
      <c r="AL647" s="6"/>
      <c r="AM647" s="6"/>
      <c r="AN647" s="6"/>
      <c r="AO647" s="6"/>
      <c r="AP647" s="6"/>
      <c r="AQ647" s="6"/>
      <c r="AR647" s="6"/>
      <c r="AS647" s="6"/>
    </row>
    <row r="648" spans="1:45" ht="62.25" hidden="1" customHeight="1" x14ac:dyDescent="0.25">
      <c r="A648" s="33" t="s">
        <v>52</v>
      </c>
      <c r="B648" s="42">
        <v>516</v>
      </c>
      <c r="C648" s="33" t="s">
        <v>124</v>
      </c>
      <c r="D648" s="33" t="s">
        <v>2936</v>
      </c>
      <c r="E648" s="33" t="s">
        <v>3484</v>
      </c>
      <c r="F648" s="54"/>
      <c r="G648" s="33" t="s">
        <v>2937</v>
      </c>
      <c r="H648" s="33" t="s">
        <v>3485</v>
      </c>
      <c r="I648" s="32"/>
      <c r="J648" s="33" t="s">
        <v>2938</v>
      </c>
      <c r="K648" s="33" t="s">
        <v>43</v>
      </c>
      <c r="L648" s="33" t="s">
        <v>2939</v>
      </c>
      <c r="M648" s="44">
        <v>2219205004</v>
      </c>
      <c r="N648" s="66">
        <v>267226114</v>
      </c>
      <c r="O648" s="44">
        <v>7500000</v>
      </c>
      <c r="P648" s="86"/>
      <c r="Q648" s="44">
        <f t="shared" si="463"/>
        <v>2493931118</v>
      </c>
      <c r="R648" s="48">
        <v>2219205004</v>
      </c>
      <c r="S648" s="52">
        <v>267226114</v>
      </c>
      <c r="T648" s="44">
        <v>7500000</v>
      </c>
      <c r="U648" s="32"/>
      <c r="V648" s="32"/>
      <c r="W648" s="49"/>
      <c r="X648" s="52">
        <f t="shared" ref="X648:Z648" si="652">N648-S648</f>
        <v>0</v>
      </c>
      <c r="Y648" s="49">
        <f t="shared" si="652"/>
        <v>0</v>
      </c>
      <c r="Z648" s="49">
        <f t="shared" si="652"/>
        <v>0</v>
      </c>
      <c r="AA648" s="43"/>
      <c r="AB648" s="43"/>
      <c r="AC648" s="6">
        <f t="shared" si="465"/>
        <v>2</v>
      </c>
      <c r="AD648" s="6"/>
      <c r="AE648" s="6"/>
      <c r="AF648" s="6"/>
      <c r="AG648" s="6"/>
      <c r="AH648" s="6"/>
      <c r="AI648" s="6"/>
      <c r="AJ648" s="6"/>
      <c r="AK648" s="6"/>
      <c r="AL648" s="6"/>
      <c r="AM648" s="6"/>
      <c r="AN648" s="6"/>
      <c r="AO648" s="6"/>
      <c r="AP648" s="6"/>
      <c r="AQ648" s="6"/>
      <c r="AR648" s="6"/>
      <c r="AS648" s="6"/>
    </row>
    <row r="649" spans="1:45" ht="42" hidden="1" customHeight="1" x14ac:dyDescent="0.25">
      <c r="A649" s="33" t="s">
        <v>46</v>
      </c>
      <c r="B649" s="42">
        <v>517</v>
      </c>
      <c r="C649" s="33" t="s">
        <v>124</v>
      </c>
      <c r="D649" s="33" t="s">
        <v>2940</v>
      </c>
      <c r="E649" s="33" t="s">
        <v>2941</v>
      </c>
      <c r="F649" s="54"/>
      <c r="G649" s="33" t="s">
        <v>2942</v>
      </c>
      <c r="H649" s="33" t="s">
        <v>2943</v>
      </c>
      <c r="I649" s="32"/>
      <c r="J649" s="33" t="s">
        <v>2944</v>
      </c>
      <c r="K649" s="33" t="s">
        <v>43</v>
      </c>
      <c r="L649" s="33" t="s">
        <v>2945</v>
      </c>
      <c r="M649" s="44">
        <v>2003285520</v>
      </c>
      <c r="N649" s="44">
        <v>13015264</v>
      </c>
      <c r="O649" s="44">
        <v>7500000</v>
      </c>
      <c r="P649" s="86"/>
      <c r="Q649" s="44">
        <f t="shared" si="463"/>
        <v>2023800784</v>
      </c>
      <c r="R649" s="48">
        <v>2003285520</v>
      </c>
      <c r="S649" s="49">
        <v>13015264</v>
      </c>
      <c r="T649" s="44">
        <v>7500000</v>
      </c>
      <c r="U649" s="32"/>
      <c r="V649" s="32"/>
      <c r="W649" s="49"/>
      <c r="X649" s="49">
        <f t="shared" ref="X649:Z649" si="653">N649-S649</f>
        <v>0</v>
      </c>
      <c r="Y649" s="49">
        <f t="shared" si="653"/>
        <v>0</v>
      </c>
      <c r="Z649" s="49">
        <f t="shared" si="653"/>
        <v>0</v>
      </c>
      <c r="AA649" s="54"/>
      <c r="AB649" s="54"/>
      <c r="AC649" s="2">
        <f t="shared" si="465"/>
        <v>2</v>
      </c>
      <c r="AD649" s="6"/>
      <c r="AE649" s="6"/>
      <c r="AF649" s="6"/>
      <c r="AG649" s="6"/>
      <c r="AH649" s="6"/>
      <c r="AI649" s="6"/>
      <c r="AJ649" s="6"/>
      <c r="AK649" s="6"/>
      <c r="AL649" s="6"/>
      <c r="AM649" s="6"/>
      <c r="AN649" s="6"/>
      <c r="AO649" s="6"/>
      <c r="AP649" s="6"/>
      <c r="AQ649" s="6"/>
      <c r="AR649" s="6"/>
      <c r="AS649" s="6"/>
    </row>
    <row r="650" spans="1:45" ht="62.25" hidden="1" customHeight="1" x14ac:dyDescent="0.25">
      <c r="A650" s="33" t="s">
        <v>88</v>
      </c>
      <c r="B650" s="42">
        <v>519</v>
      </c>
      <c r="C650" s="33" t="s">
        <v>124</v>
      </c>
      <c r="D650" s="33" t="s">
        <v>2946</v>
      </c>
      <c r="E650" s="32"/>
      <c r="F650" s="54"/>
      <c r="G650" s="33" t="s">
        <v>2947</v>
      </c>
      <c r="H650" s="32"/>
      <c r="I650" s="32"/>
      <c r="J650" s="33" t="s">
        <v>2948</v>
      </c>
      <c r="K650" s="33" t="s">
        <v>43</v>
      </c>
      <c r="L650" s="33" t="s">
        <v>2949</v>
      </c>
      <c r="M650" s="44">
        <v>3246566830</v>
      </c>
      <c r="N650" s="45"/>
      <c r="O650" s="44">
        <v>15000000</v>
      </c>
      <c r="P650" s="86"/>
      <c r="Q650" s="44">
        <f t="shared" si="463"/>
        <v>3261566830</v>
      </c>
      <c r="R650" s="52">
        <v>3246566830</v>
      </c>
      <c r="S650" s="32"/>
      <c r="T650" s="44">
        <v>15000000</v>
      </c>
      <c r="U650" s="32"/>
      <c r="V650" s="32"/>
      <c r="W650" s="49"/>
      <c r="X650" s="49">
        <f t="shared" ref="X650:Z650" si="654">N650-S650</f>
        <v>0</v>
      </c>
      <c r="Y650" s="49">
        <f t="shared" si="654"/>
        <v>0</v>
      </c>
      <c r="Z650" s="49">
        <f t="shared" si="654"/>
        <v>0</v>
      </c>
      <c r="AA650" s="54"/>
      <c r="AB650" s="54"/>
      <c r="AC650" s="2">
        <f t="shared" si="465"/>
        <v>2</v>
      </c>
      <c r="AD650" s="6"/>
      <c r="AE650" s="6"/>
      <c r="AF650" s="6"/>
      <c r="AG650" s="6"/>
      <c r="AH650" s="6"/>
      <c r="AI650" s="6"/>
      <c r="AJ650" s="6"/>
      <c r="AK650" s="6"/>
      <c r="AL650" s="6"/>
      <c r="AM650" s="6"/>
      <c r="AN650" s="6"/>
      <c r="AO650" s="6"/>
      <c r="AP650" s="6"/>
      <c r="AQ650" s="6"/>
      <c r="AR650" s="6"/>
      <c r="AS650" s="6"/>
    </row>
    <row r="651" spans="1:45" ht="31.5" hidden="1" x14ac:dyDescent="0.25">
      <c r="A651" s="33" t="s">
        <v>60</v>
      </c>
      <c r="B651" s="42">
        <v>520</v>
      </c>
      <c r="C651" s="33" t="s">
        <v>124</v>
      </c>
      <c r="D651" s="33" t="s">
        <v>2950</v>
      </c>
      <c r="E651" s="32"/>
      <c r="F651" s="54"/>
      <c r="G651" s="33" t="s">
        <v>2951</v>
      </c>
      <c r="H651" s="32"/>
      <c r="I651" s="32"/>
      <c r="J651" s="33" t="s">
        <v>2952</v>
      </c>
      <c r="K651" s="33" t="s">
        <v>43</v>
      </c>
      <c r="L651" s="33" t="s">
        <v>2953</v>
      </c>
      <c r="M651" s="44">
        <v>223729420</v>
      </c>
      <c r="N651" s="45"/>
      <c r="O651" s="44">
        <v>7500000</v>
      </c>
      <c r="P651" s="86"/>
      <c r="Q651" s="44">
        <f t="shared" si="463"/>
        <v>231229420</v>
      </c>
      <c r="R651" s="79">
        <v>223729420</v>
      </c>
      <c r="S651" s="32"/>
      <c r="T651" s="44">
        <v>7500000</v>
      </c>
      <c r="U651" s="32"/>
      <c r="V651" s="32"/>
      <c r="W651" s="49"/>
      <c r="X651" s="49">
        <f t="shared" ref="X651:Z651" si="655">N651-S651</f>
        <v>0</v>
      </c>
      <c r="Y651" s="49">
        <f t="shared" si="655"/>
        <v>0</v>
      </c>
      <c r="Z651" s="49">
        <f t="shared" si="655"/>
        <v>0</v>
      </c>
      <c r="AA651" s="54"/>
      <c r="AB651" s="54"/>
      <c r="AC651" s="2">
        <f t="shared" si="465"/>
        <v>2</v>
      </c>
      <c r="AD651" s="6"/>
      <c r="AE651" s="6"/>
      <c r="AF651" s="6"/>
      <c r="AG651" s="6"/>
      <c r="AH651" s="6"/>
      <c r="AI651" s="6"/>
      <c r="AJ651" s="6"/>
      <c r="AK651" s="6"/>
      <c r="AL651" s="6"/>
      <c r="AM651" s="6"/>
      <c r="AN651" s="6"/>
      <c r="AO651" s="6"/>
      <c r="AP651" s="6"/>
      <c r="AQ651" s="6"/>
      <c r="AR651" s="6"/>
      <c r="AS651" s="6"/>
    </row>
    <row r="652" spans="1:45" ht="31.5" hidden="1" x14ac:dyDescent="0.25">
      <c r="A652" s="33" t="s">
        <v>60</v>
      </c>
      <c r="B652" s="42">
        <v>521</v>
      </c>
      <c r="C652" s="33" t="s">
        <v>124</v>
      </c>
      <c r="D652" s="33" t="s">
        <v>2954</v>
      </c>
      <c r="E652" s="32"/>
      <c r="F652" s="54"/>
      <c r="G652" s="33" t="s">
        <v>2955</v>
      </c>
      <c r="H652" s="32"/>
      <c r="I652" s="32"/>
      <c r="J652" s="33" t="s">
        <v>2956</v>
      </c>
      <c r="K652" s="33" t="s">
        <v>43</v>
      </c>
      <c r="L652" s="33" t="s">
        <v>2957</v>
      </c>
      <c r="M652" s="44">
        <v>1285007664</v>
      </c>
      <c r="N652" s="45"/>
      <c r="O652" s="44">
        <v>7500000</v>
      </c>
      <c r="P652" s="86"/>
      <c r="Q652" s="44">
        <f t="shared" si="463"/>
        <v>1292507664</v>
      </c>
      <c r="R652" s="48">
        <v>1285007664</v>
      </c>
      <c r="S652" s="32"/>
      <c r="T652" s="44">
        <v>7500000</v>
      </c>
      <c r="U652" s="32"/>
      <c r="V652" s="32"/>
      <c r="W652" s="49"/>
      <c r="X652" s="49">
        <f t="shared" ref="X652:Z652" si="656">N652-S652</f>
        <v>0</v>
      </c>
      <c r="Y652" s="49">
        <f t="shared" si="656"/>
        <v>0</v>
      </c>
      <c r="Z652" s="49">
        <f t="shared" si="656"/>
        <v>0</v>
      </c>
      <c r="AA652" s="54"/>
      <c r="AB652" s="54"/>
      <c r="AC652" s="2">
        <f t="shared" si="465"/>
        <v>2</v>
      </c>
      <c r="AD652" s="6"/>
      <c r="AE652" s="6"/>
      <c r="AF652" s="6"/>
      <c r="AG652" s="6"/>
      <c r="AH652" s="6"/>
      <c r="AI652" s="6"/>
      <c r="AJ652" s="6"/>
      <c r="AK652" s="6"/>
      <c r="AL652" s="6"/>
      <c r="AM652" s="6"/>
      <c r="AN652" s="6"/>
      <c r="AO652" s="6"/>
      <c r="AP652" s="6"/>
      <c r="AQ652" s="6"/>
      <c r="AR652" s="6"/>
      <c r="AS652" s="6"/>
    </row>
    <row r="653" spans="1:45" ht="31.5" hidden="1" x14ac:dyDescent="0.25">
      <c r="A653" s="33" t="s">
        <v>88</v>
      </c>
      <c r="B653" s="42">
        <v>522</v>
      </c>
      <c r="C653" s="33" t="s">
        <v>124</v>
      </c>
      <c r="D653" s="33" t="s">
        <v>2958</v>
      </c>
      <c r="E653" s="32"/>
      <c r="F653" s="54"/>
      <c r="G653" s="33" t="s">
        <v>2959</v>
      </c>
      <c r="H653" s="32"/>
      <c r="I653" s="32"/>
      <c r="J653" s="33" t="s">
        <v>1692</v>
      </c>
      <c r="K653" s="33" t="s">
        <v>43</v>
      </c>
      <c r="L653" s="33" t="s">
        <v>2960</v>
      </c>
      <c r="M653" s="44">
        <v>5627434044</v>
      </c>
      <c r="N653" s="45"/>
      <c r="O653" s="44">
        <v>7500000</v>
      </c>
      <c r="P653" s="86"/>
      <c r="Q653" s="44">
        <f t="shared" si="463"/>
        <v>5634934044</v>
      </c>
      <c r="R653" s="52">
        <v>5627434044</v>
      </c>
      <c r="S653" s="32"/>
      <c r="T653" s="44">
        <v>7500000</v>
      </c>
      <c r="U653" s="32"/>
      <c r="V653" s="32"/>
      <c r="W653" s="49"/>
      <c r="X653" s="49">
        <f t="shared" ref="X653:Z653" si="657">N653-S653</f>
        <v>0</v>
      </c>
      <c r="Y653" s="49">
        <f t="shared" si="657"/>
        <v>0</v>
      </c>
      <c r="Z653" s="49">
        <f t="shared" si="657"/>
        <v>0</v>
      </c>
      <c r="AA653" s="54"/>
      <c r="AB653" s="54"/>
      <c r="AC653" s="2">
        <f t="shared" si="465"/>
        <v>2</v>
      </c>
      <c r="AD653" s="6"/>
      <c r="AE653" s="6"/>
      <c r="AF653" s="6"/>
      <c r="AG653" s="6"/>
      <c r="AH653" s="6"/>
      <c r="AI653" s="6"/>
      <c r="AJ653" s="6"/>
      <c r="AK653" s="6"/>
      <c r="AL653" s="6"/>
      <c r="AM653" s="6"/>
      <c r="AN653" s="6"/>
      <c r="AO653" s="6"/>
      <c r="AP653" s="6"/>
      <c r="AQ653" s="6"/>
      <c r="AR653" s="6"/>
      <c r="AS653" s="6"/>
    </row>
    <row r="654" spans="1:45" ht="31.5" hidden="1" x14ac:dyDescent="0.25">
      <c r="A654" s="33" t="s">
        <v>60</v>
      </c>
      <c r="B654" s="42">
        <v>523</v>
      </c>
      <c r="C654" s="33" t="s">
        <v>124</v>
      </c>
      <c r="D654" s="33" t="s">
        <v>2961</v>
      </c>
      <c r="E654" s="32"/>
      <c r="F654" s="54"/>
      <c r="G654" s="33" t="s">
        <v>2962</v>
      </c>
      <c r="H654" s="32"/>
      <c r="I654" s="32"/>
      <c r="J654" s="33" t="s">
        <v>2963</v>
      </c>
      <c r="K654" s="33" t="s">
        <v>43</v>
      </c>
      <c r="L654" s="33" t="s">
        <v>2964</v>
      </c>
      <c r="M654" s="44">
        <v>538201300</v>
      </c>
      <c r="N654" s="45"/>
      <c r="O654" s="44">
        <v>7500000</v>
      </c>
      <c r="P654" s="86"/>
      <c r="Q654" s="44">
        <f t="shared" si="463"/>
        <v>545701300</v>
      </c>
      <c r="R654" s="48">
        <v>538201300</v>
      </c>
      <c r="S654" s="32"/>
      <c r="T654" s="44">
        <v>7500000</v>
      </c>
      <c r="U654" s="32"/>
      <c r="V654" s="32"/>
      <c r="W654" s="49"/>
      <c r="X654" s="49">
        <f t="shared" ref="X654:Z654" si="658">N654-S654</f>
        <v>0</v>
      </c>
      <c r="Y654" s="49">
        <f t="shared" si="658"/>
        <v>0</v>
      </c>
      <c r="Z654" s="49">
        <f t="shared" si="658"/>
        <v>0</v>
      </c>
      <c r="AA654" s="54"/>
      <c r="AB654" s="54"/>
      <c r="AC654" s="2">
        <f t="shared" si="465"/>
        <v>2</v>
      </c>
      <c r="AD654" s="6"/>
      <c r="AE654" s="6"/>
      <c r="AF654" s="6"/>
      <c r="AG654" s="6"/>
      <c r="AH654" s="6"/>
      <c r="AI654" s="6"/>
      <c r="AJ654" s="6"/>
      <c r="AK654" s="6"/>
      <c r="AL654" s="6"/>
      <c r="AM654" s="6"/>
      <c r="AN654" s="6"/>
      <c r="AO654" s="6"/>
      <c r="AP654" s="6"/>
      <c r="AQ654" s="6"/>
      <c r="AR654" s="6"/>
      <c r="AS654" s="6"/>
    </row>
    <row r="655" spans="1:45" ht="31.5" hidden="1" x14ac:dyDescent="0.25">
      <c r="A655" s="33" t="s">
        <v>46</v>
      </c>
      <c r="B655" s="42">
        <v>524</v>
      </c>
      <c r="C655" s="33" t="s">
        <v>124</v>
      </c>
      <c r="D655" s="33" t="s">
        <v>2966</v>
      </c>
      <c r="E655" s="33"/>
      <c r="F655" s="54"/>
      <c r="G655" s="33" t="s">
        <v>2967</v>
      </c>
      <c r="H655" s="33"/>
      <c r="I655" s="33"/>
      <c r="J655" s="33" t="s">
        <v>2968</v>
      </c>
      <c r="K655" s="33" t="s">
        <v>43</v>
      </c>
      <c r="L655" s="33" t="s">
        <v>2969</v>
      </c>
      <c r="M655" s="44">
        <v>10000000</v>
      </c>
      <c r="N655" s="45"/>
      <c r="O655" s="44">
        <v>15000000</v>
      </c>
      <c r="P655" s="86"/>
      <c r="Q655" s="44">
        <f t="shared" si="463"/>
        <v>25000000</v>
      </c>
      <c r="R655" s="32"/>
      <c r="S655" s="32"/>
      <c r="T655" s="66"/>
      <c r="U655" s="32"/>
      <c r="V655" s="32"/>
      <c r="W655" s="49">
        <v>10000000</v>
      </c>
      <c r="X655" s="49">
        <f t="shared" ref="X655:Z655" si="659">N655-S655</f>
        <v>0</v>
      </c>
      <c r="Y655" s="52">
        <f t="shared" si="659"/>
        <v>15000000</v>
      </c>
      <c r="Z655" s="49">
        <f t="shared" si="659"/>
        <v>0</v>
      </c>
      <c r="AA655" s="69">
        <v>10000000</v>
      </c>
      <c r="AB655" s="43"/>
      <c r="AC655" s="15">
        <f t="shared" si="465"/>
        <v>2</v>
      </c>
      <c r="AD655" s="15"/>
      <c r="AE655" s="6"/>
      <c r="AF655" s="6"/>
      <c r="AG655" s="6"/>
      <c r="AH655" s="6"/>
      <c r="AI655" s="6"/>
      <c r="AJ655" s="6"/>
      <c r="AK655" s="6"/>
      <c r="AL655" s="6"/>
      <c r="AM655" s="6"/>
      <c r="AN655" s="6"/>
      <c r="AO655" s="6"/>
      <c r="AP655" s="6"/>
      <c r="AQ655" s="6"/>
      <c r="AR655" s="6"/>
      <c r="AS655" s="6"/>
    </row>
    <row r="656" spans="1:45" ht="31.5" hidden="1" x14ac:dyDescent="0.25">
      <c r="A656" s="33" t="s">
        <v>52</v>
      </c>
      <c r="B656" s="42">
        <v>525</v>
      </c>
      <c r="C656" s="33" t="s">
        <v>124</v>
      </c>
      <c r="D656" s="33" t="s">
        <v>2970</v>
      </c>
      <c r="E656" s="32"/>
      <c r="F656" s="54"/>
      <c r="G656" s="33" t="s">
        <v>2971</v>
      </c>
      <c r="H656" s="32"/>
      <c r="I656" s="32"/>
      <c r="J656" s="33" t="s">
        <v>2973</v>
      </c>
      <c r="K656" s="33" t="s">
        <v>43</v>
      </c>
      <c r="L656" s="33" t="s">
        <v>2974</v>
      </c>
      <c r="M656" s="44">
        <v>4378292398</v>
      </c>
      <c r="N656" s="45"/>
      <c r="O656" s="44">
        <v>15000000</v>
      </c>
      <c r="P656" s="86"/>
      <c r="Q656" s="44">
        <f t="shared" si="463"/>
        <v>4393292398</v>
      </c>
      <c r="R656" s="48">
        <v>4378292398</v>
      </c>
      <c r="S656" s="32"/>
      <c r="T656" s="44">
        <v>15000000</v>
      </c>
      <c r="U656" s="32"/>
      <c r="V656" s="32"/>
      <c r="W656" s="49"/>
      <c r="X656" s="49">
        <f t="shared" ref="X656:Z656" si="660">N656-S656</f>
        <v>0</v>
      </c>
      <c r="Y656" s="49">
        <f t="shared" si="660"/>
        <v>0</v>
      </c>
      <c r="Z656" s="49">
        <f t="shared" si="660"/>
        <v>0</v>
      </c>
      <c r="AA656" s="54"/>
      <c r="AB656" s="54"/>
      <c r="AC656" s="2">
        <f t="shared" si="465"/>
        <v>2</v>
      </c>
      <c r="AD656" s="6"/>
      <c r="AE656" s="6"/>
      <c r="AF656" s="6"/>
      <c r="AG656" s="6"/>
      <c r="AH656" s="6"/>
      <c r="AI656" s="6"/>
      <c r="AJ656" s="6"/>
      <c r="AK656" s="6"/>
      <c r="AL656" s="6"/>
      <c r="AM656" s="6"/>
      <c r="AN656" s="6"/>
      <c r="AO656" s="6"/>
      <c r="AP656" s="6"/>
      <c r="AQ656" s="6"/>
      <c r="AR656" s="6"/>
      <c r="AS656" s="6"/>
    </row>
    <row r="657" spans="1:45" ht="31.5" hidden="1" x14ac:dyDescent="0.25">
      <c r="A657" s="33" t="s">
        <v>52</v>
      </c>
      <c r="B657" s="42">
        <v>526</v>
      </c>
      <c r="C657" s="33" t="s">
        <v>124</v>
      </c>
      <c r="D657" s="33" t="s">
        <v>2975</v>
      </c>
      <c r="E657" s="33" t="s">
        <v>2976</v>
      </c>
      <c r="F657" s="54"/>
      <c r="G657" s="33" t="s">
        <v>2977</v>
      </c>
      <c r="H657" s="33" t="s">
        <v>2978</v>
      </c>
      <c r="I657" s="32"/>
      <c r="J657" s="33" t="s">
        <v>2979</v>
      </c>
      <c r="K657" s="33" t="s">
        <v>43</v>
      </c>
      <c r="L657" s="33" t="s">
        <v>2980</v>
      </c>
      <c r="M657" s="44">
        <v>2656684480</v>
      </c>
      <c r="N657" s="44">
        <v>485244740</v>
      </c>
      <c r="O657" s="44">
        <v>15000000</v>
      </c>
      <c r="P657" s="86"/>
      <c r="Q657" s="44">
        <f t="shared" si="463"/>
        <v>3156929220</v>
      </c>
      <c r="R657" s="48">
        <v>2656684480</v>
      </c>
      <c r="S657" s="48">
        <v>485244740</v>
      </c>
      <c r="T657" s="44">
        <v>15000000</v>
      </c>
      <c r="U657" s="32"/>
      <c r="V657" s="32"/>
      <c r="W657" s="49"/>
      <c r="X657" s="49">
        <f t="shared" ref="X657:Z657" si="661">N657-S657</f>
        <v>0</v>
      </c>
      <c r="Y657" s="49">
        <f t="shared" si="661"/>
        <v>0</v>
      </c>
      <c r="Z657" s="49">
        <f t="shared" si="661"/>
        <v>0</v>
      </c>
      <c r="AA657" s="54"/>
      <c r="AB657" s="54"/>
      <c r="AC657" s="2">
        <f t="shared" si="465"/>
        <v>2</v>
      </c>
      <c r="AD657" s="6"/>
      <c r="AE657" s="6"/>
      <c r="AF657" s="6"/>
      <c r="AG657" s="6"/>
      <c r="AH657" s="6"/>
      <c r="AI657" s="6"/>
      <c r="AJ657" s="6"/>
      <c r="AK657" s="6"/>
      <c r="AL657" s="6"/>
      <c r="AM657" s="6"/>
      <c r="AN657" s="6"/>
      <c r="AO657" s="6"/>
      <c r="AP657" s="6"/>
      <c r="AQ657" s="6"/>
      <c r="AR657" s="6"/>
      <c r="AS657" s="6"/>
    </row>
    <row r="658" spans="1:45" ht="31.5" hidden="1" x14ac:dyDescent="0.25">
      <c r="A658" s="33" t="s">
        <v>52</v>
      </c>
      <c r="B658" s="42">
        <v>527</v>
      </c>
      <c r="C658" s="33" t="s">
        <v>124</v>
      </c>
      <c r="D658" s="33" t="s">
        <v>2981</v>
      </c>
      <c r="E658" s="32"/>
      <c r="F658" s="54"/>
      <c r="G658" s="33" t="s">
        <v>2982</v>
      </c>
      <c r="H658" s="32"/>
      <c r="I658" s="32"/>
      <c r="J658" s="33" t="s">
        <v>2983</v>
      </c>
      <c r="K658" s="33" t="s">
        <v>43</v>
      </c>
      <c r="L658" s="33" t="s">
        <v>2984</v>
      </c>
      <c r="M658" s="44">
        <v>4868496144</v>
      </c>
      <c r="N658" s="45"/>
      <c r="O658" s="44">
        <v>15000000</v>
      </c>
      <c r="P658" s="86"/>
      <c r="Q658" s="44">
        <f t="shared" si="463"/>
        <v>4883496144</v>
      </c>
      <c r="R658" s="48">
        <v>4868496144</v>
      </c>
      <c r="S658" s="32"/>
      <c r="T658" s="44">
        <v>15000000</v>
      </c>
      <c r="U658" s="32"/>
      <c r="V658" s="32"/>
      <c r="W658" s="49"/>
      <c r="X658" s="49">
        <f t="shared" ref="X658:Z658" si="662">N658-S658</f>
        <v>0</v>
      </c>
      <c r="Y658" s="49">
        <f t="shared" si="662"/>
        <v>0</v>
      </c>
      <c r="Z658" s="49">
        <f t="shared" si="662"/>
        <v>0</v>
      </c>
      <c r="AA658" s="54"/>
      <c r="AB658" s="54"/>
      <c r="AC658" s="2">
        <f t="shared" si="465"/>
        <v>2</v>
      </c>
      <c r="AD658" s="6"/>
      <c r="AE658" s="6"/>
      <c r="AF658" s="6"/>
      <c r="AG658" s="6"/>
      <c r="AH658" s="6"/>
      <c r="AI658" s="6"/>
      <c r="AJ658" s="6"/>
      <c r="AK658" s="6"/>
      <c r="AL658" s="6"/>
      <c r="AM658" s="6"/>
      <c r="AN658" s="6"/>
      <c r="AO658" s="6"/>
      <c r="AP658" s="6"/>
      <c r="AQ658" s="6"/>
      <c r="AR658" s="6"/>
      <c r="AS658" s="6"/>
    </row>
    <row r="659" spans="1:45" ht="31.5" hidden="1" x14ac:dyDescent="0.25">
      <c r="A659" s="33" t="s">
        <v>88</v>
      </c>
      <c r="B659" s="42">
        <v>529</v>
      </c>
      <c r="C659" s="33" t="s">
        <v>124</v>
      </c>
      <c r="D659" s="33" t="s">
        <v>2985</v>
      </c>
      <c r="E659" s="54"/>
      <c r="F659" s="54"/>
      <c r="G659" s="33" t="s">
        <v>2986</v>
      </c>
      <c r="H659" s="32"/>
      <c r="I659" s="32"/>
      <c r="J659" s="33" t="s">
        <v>2987</v>
      </c>
      <c r="K659" s="33" t="s">
        <v>43</v>
      </c>
      <c r="L659" s="33" t="s">
        <v>2988</v>
      </c>
      <c r="M659" s="44">
        <v>4858859695</v>
      </c>
      <c r="N659" s="45"/>
      <c r="O659" s="44">
        <v>15000000</v>
      </c>
      <c r="P659" s="86"/>
      <c r="Q659" s="44">
        <f t="shared" si="463"/>
        <v>4873859695</v>
      </c>
      <c r="R659" s="52">
        <v>4858859695</v>
      </c>
      <c r="S659" s="32"/>
      <c r="T659" s="44">
        <v>15000000</v>
      </c>
      <c r="U659" s="32"/>
      <c r="V659" s="32"/>
      <c r="W659" s="49"/>
      <c r="X659" s="49">
        <f t="shared" ref="X659:Z659" si="663">N659-S659</f>
        <v>0</v>
      </c>
      <c r="Y659" s="49">
        <f t="shared" si="663"/>
        <v>0</v>
      </c>
      <c r="Z659" s="49">
        <f t="shared" si="663"/>
        <v>0</v>
      </c>
      <c r="AA659" s="54"/>
      <c r="AB659" s="54"/>
      <c r="AC659" s="2">
        <f t="shared" si="465"/>
        <v>2</v>
      </c>
      <c r="AD659" s="6"/>
      <c r="AE659" s="6"/>
      <c r="AF659" s="6"/>
      <c r="AG659" s="6"/>
      <c r="AH659" s="6"/>
      <c r="AI659" s="6"/>
      <c r="AJ659" s="6"/>
      <c r="AK659" s="6"/>
      <c r="AL659" s="6"/>
      <c r="AM659" s="6"/>
      <c r="AN659" s="6"/>
      <c r="AO659" s="6"/>
      <c r="AP659" s="6"/>
      <c r="AQ659" s="6"/>
      <c r="AR659" s="6"/>
      <c r="AS659" s="6"/>
    </row>
    <row r="660" spans="1:45" ht="31.5" hidden="1" x14ac:dyDescent="0.25">
      <c r="A660" s="33" t="s">
        <v>52</v>
      </c>
      <c r="B660" s="42">
        <v>531</v>
      </c>
      <c r="C660" s="33" t="s">
        <v>124</v>
      </c>
      <c r="D660" s="33" t="s">
        <v>2989</v>
      </c>
      <c r="E660" s="32"/>
      <c r="F660" s="54"/>
      <c r="G660" s="33" t="s">
        <v>2990</v>
      </c>
      <c r="H660" s="32"/>
      <c r="I660" s="32"/>
      <c r="J660" s="33" t="s">
        <v>2991</v>
      </c>
      <c r="K660" s="33" t="s">
        <v>43</v>
      </c>
      <c r="L660" s="33" t="s">
        <v>2992</v>
      </c>
      <c r="M660" s="44">
        <v>31202908807</v>
      </c>
      <c r="N660" s="45"/>
      <c r="O660" s="44">
        <v>15000000</v>
      </c>
      <c r="P660" s="86"/>
      <c r="Q660" s="44">
        <f t="shared" si="463"/>
        <v>31217908807</v>
      </c>
      <c r="R660" s="48">
        <v>31202908807</v>
      </c>
      <c r="S660" s="32"/>
      <c r="T660" s="44">
        <v>15000000</v>
      </c>
      <c r="U660" s="32"/>
      <c r="V660" s="32"/>
      <c r="W660" s="49"/>
      <c r="X660" s="49">
        <f t="shared" ref="X660:Z660" si="664">N660-S660</f>
        <v>0</v>
      </c>
      <c r="Y660" s="49">
        <f t="shared" si="664"/>
        <v>0</v>
      </c>
      <c r="Z660" s="49">
        <f t="shared" si="664"/>
        <v>0</v>
      </c>
      <c r="AA660" s="54"/>
      <c r="AB660" s="54"/>
      <c r="AC660" s="2">
        <f t="shared" si="465"/>
        <v>2</v>
      </c>
      <c r="AD660" s="6"/>
      <c r="AE660" s="6"/>
      <c r="AF660" s="6"/>
      <c r="AG660" s="6"/>
      <c r="AH660" s="6"/>
      <c r="AI660" s="6"/>
      <c r="AJ660" s="6"/>
      <c r="AK660" s="6"/>
      <c r="AL660" s="6"/>
      <c r="AM660" s="6"/>
      <c r="AN660" s="6"/>
      <c r="AO660" s="6"/>
      <c r="AP660" s="6"/>
      <c r="AQ660" s="6"/>
      <c r="AR660" s="6"/>
      <c r="AS660" s="6"/>
    </row>
    <row r="661" spans="1:45" ht="31.5" hidden="1" x14ac:dyDescent="0.25">
      <c r="A661" s="33" t="s">
        <v>52</v>
      </c>
      <c r="B661" s="42">
        <v>532</v>
      </c>
      <c r="C661" s="33" t="s">
        <v>966</v>
      </c>
      <c r="D661" s="33" t="s">
        <v>2993</v>
      </c>
      <c r="E661" s="32"/>
      <c r="F661" s="54"/>
      <c r="G661" s="33" t="s">
        <v>2994</v>
      </c>
      <c r="H661" s="32"/>
      <c r="I661" s="33" t="s">
        <v>969</v>
      </c>
      <c r="J661" s="33" t="s">
        <v>2995</v>
      </c>
      <c r="K661" s="33" t="s">
        <v>43</v>
      </c>
      <c r="L661" s="33" t="s">
        <v>2996</v>
      </c>
      <c r="M661" s="63">
        <v>8812588488</v>
      </c>
      <c r="N661" s="45"/>
      <c r="O661" s="63">
        <v>15000000</v>
      </c>
      <c r="P661" s="86"/>
      <c r="Q661" s="44">
        <f t="shared" si="463"/>
        <v>8827588488</v>
      </c>
      <c r="R661" s="65">
        <v>8812588488</v>
      </c>
      <c r="S661" s="32"/>
      <c r="T661" s="63">
        <v>15000000</v>
      </c>
      <c r="U661" s="32"/>
      <c r="V661" s="32"/>
      <c r="W661" s="49"/>
      <c r="X661" s="49">
        <f t="shared" ref="X661:Z661" si="665">N661-S661</f>
        <v>0</v>
      </c>
      <c r="Y661" s="49">
        <f t="shared" si="665"/>
        <v>0</v>
      </c>
      <c r="Z661" s="49">
        <f t="shared" si="665"/>
        <v>0</v>
      </c>
      <c r="AA661" s="54"/>
      <c r="AB661" s="54"/>
      <c r="AC661" s="2">
        <f t="shared" si="465"/>
        <v>2</v>
      </c>
      <c r="AD661" s="6"/>
      <c r="AE661" s="6"/>
      <c r="AF661" s="6"/>
      <c r="AG661" s="6"/>
      <c r="AH661" s="6"/>
      <c r="AI661" s="6"/>
      <c r="AJ661" s="6"/>
      <c r="AK661" s="6"/>
      <c r="AL661" s="6"/>
      <c r="AM661" s="6"/>
      <c r="AN661" s="6"/>
      <c r="AO661" s="6"/>
      <c r="AP661" s="6"/>
      <c r="AQ661" s="6"/>
      <c r="AR661" s="6"/>
      <c r="AS661" s="6"/>
    </row>
    <row r="662" spans="1:45" ht="31.5" hidden="1" x14ac:dyDescent="0.25">
      <c r="A662" s="33" t="s">
        <v>88</v>
      </c>
      <c r="B662" s="42">
        <v>533</v>
      </c>
      <c r="C662" s="33" t="s">
        <v>966</v>
      </c>
      <c r="D662" s="33" t="s">
        <v>2997</v>
      </c>
      <c r="E662" s="32"/>
      <c r="F662" s="54"/>
      <c r="G662" s="33" t="s">
        <v>2998</v>
      </c>
      <c r="H662" s="32"/>
      <c r="I662" s="33" t="s">
        <v>969</v>
      </c>
      <c r="J662" s="33" t="s">
        <v>2999</v>
      </c>
      <c r="K662" s="33" t="s">
        <v>43</v>
      </c>
      <c r="L662" s="33" t="s">
        <v>3000</v>
      </c>
      <c r="M662" s="63">
        <v>4149891920</v>
      </c>
      <c r="N662" s="45"/>
      <c r="O662" s="63">
        <v>15000000</v>
      </c>
      <c r="P662" s="86"/>
      <c r="Q662" s="44">
        <f t="shared" si="463"/>
        <v>4164891920</v>
      </c>
      <c r="R662" s="52">
        <v>4149891920</v>
      </c>
      <c r="S662" s="32"/>
      <c r="T662" s="44">
        <v>15000000</v>
      </c>
      <c r="U662" s="32"/>
      <c r="V662" s="32"/>
      <c r="W662" s="49"/>
      <c r="X662" s="49">
        <f t="shared" ref="X662:Z662" si="666">N662-S662</f>
        <v>0</v>
      </c>
      <c r="Y662" s="49">
        <f t="shared" si="666"/>
        <v>0</v>
      </c>
      <c r="Z662" s="49">
        <f t="shared" si="666"/>
        <v>0</v>
      </c>
      <c r="AA662" s="54"/>
      <c r="AB662" s="54"/>
      <c r="AC662" s="2">
        <f t="shared" si="465"/>
        <v>2</v>
      </c>
      <c r="AD662" s="6"/>
      <c r="AE662" s="6"/>
      <c r="AF662" s="6"/>
      <c r="AG662" s="6"/>
      <c r="AH662" s="6"/>
      <c r="AI662" s="6"/>
      <c r="AJ662" s="6"/>
      <c r="AK662" s="6"/>
      <c r="AL662" s="6"/>
      <c r="AM662" s="6"/>
      <c r="AN662" s="6"/>
      <c r="AO662" s="6"/>
      <c r="AP662" s="6"/>
      <c r="AQ662" s="6"/>
      <c r="AR662" s="6"/>
      <c r="AS662" s="6"/>
    </row>
    <row r="663" spans="1:45" ht="31.5" hidden="1" x14ac:dyDescent="0.3">
      <c r="A663" s="33" t="s">
        <v>35</v>
      </c>
      <c r="B663" s="42">
        <v>534</v>
      </c>
      <c r="C663" s="33" t="s">
        <v>966</v>
      </c>
      <c r="D663" s="33" t="s">
        <v>3001</v>
      </c>
      <c r="E663" s="33"/>
      <c r="F663" s="54"/>
      <c r="G663" s="33" t="s">
        <v>3002</v>
      </c>
      <c r="H663" s="33"/>
      <c r="I663" s="33" t="s">
        <v>969</v>
      </c>
      <c r="J663" s="33" t="s">
        <v>3003</v>
      </c>
      <c r="K663" s="33" t="s">
        <v>43</v>
      </c>
      <c r="L663" s="33" t="s">
        <v>2969</v>
      </c>
      <c r="M663" s="63">
        <v>10000000</v>
      </c>
      <c r="N663" s="45"/>
      <c r="O663" s="44">
        <v>7500000</v>
      </c>
      <c r="P663" s="86"/>
      <c r="Q663" s="44">
        <f t="shared" si="463"/>
        <v>17500000</v>
      </c>
      <c r="R663" s="32"/>
      <c r="S663" s="32"/>
      <c r="T663" s="66"/>
      <c r="U663" s="32"/>
      <c r="V663" s="32"/>
      <c r="W663" s="49">
        <v>10000000</v>
      </c>
      <c r="X663" s="49">
        <f t="shared" ref="X663:Z663" si="667">N663-S663</f>
        <v>0</v>
      </c>
      <c r="Y663" s="52">
        <f t="shared" si="667"/>
        <v>7500000</v>
      </c>
      <c r="Z663" s="49">
        <f t="shared" si="667"/>
        <v>0</v>
      </c>
      <c r="AA663" s="98">
        <v>10000000</v>
      </c>
      <c r="AB663" s="43"/>
      <c r="AC663" s="15">
        <f t="shared" si="465"/>
        <v>2</v>
      </c>
      <c r="AD663" s="15"/>
      <c r="AE663" s="6"/>
      <c r="AF663" s="6"/>
      <c r="AG663" s="6"/>
      <c r="AH663" s="6"/>
      <c r="AI663" s="6"/>
      <c r="AJ663" s="6"/>
      <c r="AK663" s="6"/>
      <c r="AL663" s="6"/>
      <c r="AM663" s="6"/>
      <c r="AN663" s="6"/>
      <c r="AO663" s="6"/>
      <c r="AP663" s="6"/>
      <c r="AQ663" s="6"/>
      <c r="AR663" s="6"/>
      <c r="AS663" s="6"/>
    </row>
    <row r="664" spans="1:45" ht="78" hidden="1" customHeight="1" x14ac:dyDescent="0.25">
      <c r="A664" s="33" t="s">
        <v>35</v>
      </c>
      <c r="B664" s="42">
        <v>535</v>
      </c>
      <c r="C664" s="33" t="s">
        <v>966</v>
      </c>
      <c r="D664" s="33" t="s">
        <v>3004</v>
      </c>
      <c r="E664" s="33" t="s">
        <v>2941</v>
      </c>
      <c r="F664" s="54"/>
      <c r="G664" s="33" t="s">
        <v>3005</v>
      </c>
      <c r="H664" s="33" t="s">
        <v>3006</v>
      </c>
      <c r="I664" s="33" t="s">
        <v>969</v>
      </c>
      <c r="J664" s="33" t="s">
        <v>3007</v>
      </c>
      <c r="K664" s="33" t="s">
        <v>43</v>
      </c>
      <c r="L664" s="33" t="s">
        <v>3008</v>
      </c>
      <c r="M664" s="63">
        <v>1379679648</v>
      </c>
      <c r="N664" s="44">
        <v>3820831</v>
      </c>
      <c r="O664" s="63">
        <v>7500000</v>
      </c>
      <c r="P664" s="86"/>
      <c r="Q664" s="44">
        <f t="shared" si="463"/>
        <v>1391000479</v>
      </c>
      <c r="R664" s="65">
        <v>1379679648</v>
      </c>
      <c r="S664" s="48">
        <v>3820831</v>
      </c>
      <c r="T664" s="44">
        <v>7500000</v>
      </c>
      <c r="U664" s="32"/>
      <c r="V664" s="32"/>
      <c r="W664" s="49"/>
      <c r="X664" s="49">
        <f t="shared" ref="X664:Z664" si="668">N664-S664</f>
        <v>0</v>
      </c>
      <c r="Y664" s="49">
        <f t="shared" si="668"/>
        <v>0</v>
      </c>
      <c r="Z664" s="49">
        <f t="shared" si="668"/>
        <v>0</v>
      </c>
      <c r="AA664" s="54"/>
      <c r="AB664" s="54"/>
      <c r="AC664" s="2">
        <f t="shared" si="465"/>
        <v>2</v>
      </c>
      <c r="AD664" s="6"/>
      <c r="AE664" s="6"/>
      <c r="AF664" s="6"/>
      <c r="AG664" s="6"/>
      <c r="AH664" s="6"/>
      <c r="AI664" s="6"/>
      <c r="AJ664" s="6"/>
      <c r="AK664" s="6"/>
      <c r="AL664" s="6"/>
      <c r="AM664" s="6"/>
      <c r="AN664" s="6"/>
      <c r="AO664" s="6"/>
      <c r="AP664" s="6"/>
      <c r="AQ664" s="6"/>
      <c r="AR664" s="6"/>
      <c r="AS664" s="6"/>
    </row>
    <row r="665" spans="1:45" ht="31.5" hidden="1" x14ac:dyDescent="0.25">
      <c r="A665" s="33" t="s">
        <v>35</v>
      </c>
      <c r="B665" s="42">
        <v>536</v>
      </c>
      <c r="C665" s="33" t="s">
        <v>966</v>
      </c>
      <c r="D665" s="33" t="s">
        <v>3010</v>
      </c>
      <c r="E665" s="33" t="s">
        <v>3011</v>
      </c>
      <c r="F665" s="54"/>
      <c r="G665" s="33" t="s">
        <v>3012</v>
      </c>
      <c r="H665" s="33" t="s">
        <v>3013</v>
      </c>
      <c r="I665" s="33" t="s">
        <v>969</v>
      </c>
      <c r="J665" s="33" t="s">
        <v>3014</v>
      </c>
      <c r="K665" s="33" t="s">
        <v>43</v>
      </c>
      <c r="L665" s="33" t="s">
        <v>3015</v>
      </c>
      <c r="M665" s="44">
        <v>5979511743</v>
      </c>
      <c r="N665" s="44">
        <v>745875</v>
      </c>
      <c r="O665" s="63">
        <v>7500000</v>
      </c>
      <c r="P665" s="86"/>
      <c r="Q665" s="44">
        <f t="shared" si="463"/>
        <v>5987757618</v>
      </c>
      <c r="R665" s="65">
        <v>5979511743</v>
      </c>
      <c r="S665" s="33"/>
      <c r="T665" s="44">
        <v>7500000</v>
      </c>
      <c r="U665" s="32"/>
      <c r="V665" s="32"/>
      <c r="W665" s="49"/>
      <c r="X665" s="52">
        <f t="shared" ref="X665:Z665" si="669">N665-S665</f>
        <v>745875</v>
      </c>
      <c r="Y665" s="49">
        <f t="shared" si="669"/>
        <v>0</v>
      </c>
      <c r="Z665" s="49">
        <f t="shared" si="669"/>
        <v>0</v>
      </c>
      <c r="AA665" s="43"/>
      <c r="AB665" s="43"/>
      <c r="AC665" s="6">
        <f t="shared" si="465"/>
        <v>2</v>
      </c>
      <c r="AD665" s="6"/>
      <c r="AE665" s="6"/>
      <c r="AF665" s="6"/>
      <c r="AG665" s="6"/>
      <c r="AH665" s="6"/>
      <c r="AI665" s="6"/>
      <c r="AJ665" s="6"/>
      <c r="AK665" s="6"/>
      <c r="AL665" s="6"/>
      <c r="AM665" s="6"/>
      <c r="AN665" s="6"/>
      <c r="AO665" s="6"/>
      <c r="AP665" s="6"/>
      <c r="AQ665" s="6"/>
      <c r="AR665" s="6"/>
      <c r="AS665" s="6"/>
    </row>
    <row r="666" spans="1:45" ht="31.5" hidden="1" x14ac:dyDescent="0.25">
      <c r="A666" s="33" t="s">
        <v>52</v>
      </c>
      <c r="B666" s="42">
        <v>537</v>
      </c>
      <c r="C666" s="33" t="s">
        <v>966</v>
      </c>
      <c r="D666" s="33" t="s">
        <v>3016</v>
      </c>
      <c r="E666" s="32"/>
      <c r="F666" s="54"/>
      <c r="G666" s="33" t="s">
        <v>3017</v>
      </c>
      <c r="H666" s="32"/>
      <c r="I666" s="33" t="s">
        <v>969</v>
      </c>
      <c r="J666" s="33" t="s">
        <v>3018</v>
      </c>
      <c r="K666" s="33" t="s">
        <v>43</v>
      </c>
      <c r="L666" s="33" t="s">
        <v>3019</v>
      </c>
      <c r="M666" s="63">
        <v>5710253116</v>
      </c>
      <c r="N666" s="45"/>
      <c r="O666" s="63">
        <v>15000000</v>
      </c>
      <c r="P666" s="86"/>
      <c r="Q666" s="44">
        <f t="shared" si="463"/>
        <v>5725253116</v>
      </c>
      <c r="R666" s="65">
        <v>5710253116</v>
      </c>
      <c r="S666" s="32"/>
      <c r="T666" s="63">
        <v>15000000</v>
      </c>
      <c r="U666" s="32"/>
      <c r="V666" s="32"/>
      <c r="W666" s="49"/>
      <c r="X666" s="49">
        <f t="shared" ref="X666:Z666" si="670">N666-S666</f>
        <v>0</v>
      </c>
      <c r="Y666" s="49">
        <f t="shared" si="670"/>
        <v>0</v>
      </c>
      <c r="Z666" s="49">
        <f t="shared" si="670"/>
        <v>0</v>
      </c>
      <c r="AA666" s="54"/>
      <c r="AB666" s="54"/>
      <c r="AC666" s="2">
        <f t="shared" si="465"/>
        <v>2</v>
      </c>
      <c r="AD666" s="6"/>
      <c r="AE666" s="6"/>
      <c r="AF666" s="6"/>
      <c r="AG666" s="6"/>
      <c r="AH666" s="6"/>
      <c r="AI666" s="6"/>
      <c r="AJ666" s="6"/>
      <c r="AK666" s="6"/>
      <c r="AL666" s="6"/>
      <c r="AM666" s="6"/>
      <c r="AN666" s="6"/>
      <c r="AO666" s="6"/>
      <c r="AP666" s="6"/>
      <c r="AQ666" s="6"/>
      <c r="AR666" s="6"/>
      <c r="AS666" s="6"/>
    </row>
    <row r="667" spans="1:45" ht="31.5" hidden="1" x14ac:dyDescent="0.25">
      <c r="A667" s="33" t="s">
        <v>88</v>
      </c>
      <c r="B667" s="42">
        <v>538</v>
      </c>
      <c r="C667" s="33" t="s">
        <v>966</v>
      </c>
      <c r="D667" s="33" t="s">
        <v>3020</v>
      </c>
      <c r="E667" s="33"/>
      <c r="F667" s="54"/>
      <c r="G667" s="33" t="s">
        <v>3021</v>
      </c>
      <c r="H667" s="33"/>
      <c r="I667" s="33"/>
      <c r="J667" s="33" t="s">
        <v>2554</v>
      </c>
      <c r="K667" s="33" t="s">
        <v>43</v>
      </c>
      <c r="L667" s="33" t="s">
        <v>3022</v>
      </c>
      <c r="M667" s="63">
        <v>1184198060</v>
      </c>
      <c r="N667" s="45"/>
      <c r="O667" s="44">
        <v>7500000</v>
      </c>
      <c r="P667" s="86"/>
      <c r="Q667" s="44">
        <f t="shared" si="463"/>
        <v>1191698060</v>
      </c>
      <c r="R667" s="52">
        <v>1184198060</v>
      </c>
      <c r="S667" s="32"/>
      <c r="T667" s="66"/>
      <c r="U667" s="32"/>
      <c r="V667" s="32"/>
      <c r="W667" s="49"/>
      <c r="X667" s="49">
        <f t="shared" ref="X667:Z667" si="671">N667-S667</f>
        <v>0</v>
      </c>
      <c r="Y667" s="52">
        <f t="shared" si="671"/>
        <v>7500000</v>
      </c>
      <c r="Z667" s="49">
        <f t="shared" si="671"/>
        <v>0</v>
      </c>
      <c r="AA667" s="54"/>
      <c r="AB667" s="43"/>
      <c r="AC667" s="15">
        <f t="shared" si="465"/>
        <v>2</v>
      </c>
      <c r="AD667" s="15"/>
      <c r="AE667" s="6"/>
      <c r="AF667" s="6"/>
      <c r="AG667" s="6"/>
      <c r="AH667" s="6"/>
      <c r="AI667" s="6"/>
      <c r="AJ667" s="6"/>
      <c r="AK667" s="6"/>
      <c r="AL667" s="6"/>
      <c r="AM667" s="6"/>
      <c r="AN667" s="6"/>
      <c r="AO667" s="6"/>
      <c r="AP667" s="6"/>
      <c r="AQ667" s="6"/>
      <c r="AR667" s="6"/>
      <c r="AS667" s="6"/>
    </row>
    <row r="668" spans="1:45" ht="31.5" hidden="1" x14ac:dyDescent="0.25">
      <c r="A668" s="33" t="s">
        <v>88</v>
      </c>
      <c r="B668" s="42">
        <v>539</v>
      </c>
      <c r="C668" s="33" t="s">
        <v>966</v>
      </c>
      <c r="D668" s="33" t="s">
        <v>3024</v>
      </c>
      <c r="E668" s="32"/>
      <c r="F668" s="54"/>
      <c r="G668" s="33" t="s">
        <v>3025</v>
      </c>
      <c r="H668" s="32"/>
      <c r="I668" s="33" t="s">
        <v>969</v>
      </c>
      <c r="J668" s="33" t="s">
        <v>3026</v>
      </c>
      <c r="K668" s="33" t="s">
        <v>43</v>
      </c>
      <c r="L668" s="33" t="s">
        <v>3027</v>
      </c>
      <c r="M668" s="63">
        <v>124624714</v>
      </c>
      <c r="N668" s="45"/>
      <c r="O668" s="63">
        <v>7500000</v>
      </c>
      <c r="P668" s="86"/>
      <c r="Q668" s="44">
        <f t="shared" si="463"/>
        <v>132124714</v>
      </c>
      <c r="R668" s="52">
        <v>124624714</v>
      </c>
      <c r="S668" s="32"/>
      <c r="T668" s="44">
        <v>7500000</v>
      </c>
      <c r="U668" s="32"/>
      <c r="V668" s="32"/>
      <c r="W668" s="49"/>
      <c r="X668" s="49">
        <f t="shared" ref="X668:Z668" si="672">N668-S668</f>
        <v>0</v>
      </c>
      <c r="Y668" s="49">
        <f t="shared" si="672"/>
        <v>0</v>
      </c>
      <c r="Z668" s="49">
        <f t="shared" si="672"/>
        <v>0</v>
      </c>
      <c r="AA668" s="54"/>
      <c r="AB668" s="54"/>
      <c r="AC668" s="2">
        <f t="shared" si="465"/>
        <v>2</v>
      </c>
      <c r="AD668" s="6"/>
      <c r="AE668" s="6"/>
      <c r="AF668" s="6"/>
      <c r="AG668" s="6"/>
      <c r="AH668" s="6"/>
      <c r="AI668" s="6"/>
      <c r="AJ668" s="6"/>
      <c r="AK668" s="6"/>
      <c r="AL668" s="6"/>
      <c r="AM668" s="6"/>
      <c r="AN668" s="6"/>
      <c r="AO668" s="6"/>
      <c r="AP668" s="6"/>
      <c r="AQ668" s="6"/>
      <c r="AR668" s="6"/>
      <c r="AS668" s="6"/>
    </row>
    <row r="669" spans="1:45" ht="31.5" hidden="1" x14ac:dyDescent="0.25">
      <c r="A669" s="33" t="s">
        <v>35</v>
      </c>
      <c r="B669" s="42">
        <v>540</v>
      </c>
      <c r="C669" s="33" t="s">
        <v>966</v>
      </c>
      <c r="D669" s="33" t="s">
        <v>3028</v>
      </c>
      <c r="E669" s="33" t="s">
        <v>3029</v>
      </c>
      <c r="F669" s="54"/>
      <c r="G669" s="33" t="s">
        <v>3030</v>
      </c>
      <c r="H669" s="33" t="s">
        <v>3031</v>
      </c>
      <c r="I669" s="33" t="s">
        <v>969</v>
      </c>
      <c r="J669" s="62" t="s">
        <v>3032</v>
      </c>
      <c r="K669" s="33" t="s">
        <v>43</v>
      </c>
      <c r="L669" s="33" t="s">
        <v>3033</v>
      </c>
      <c r="M669" s="63">
        <v>11205643442</v>
      </c>
      <c r="N669" s="63">
        <v>412168376</v>
      </c>
      <c r="O669" s="63">
        <v>15000000</v>
      </c>
      <c r="P669" s="86"/>
      <c r="Q669" s="44">
        <f t="shared" si="463"/>
        <v>11632811818</v>
      </c>
      <c r="R669" s="65">
        <v>11205643442</v>
      </c>
      <c r="S669" s="65">
        <v>412168376</v>
      </c>
      <c r="T669" s="44">
        <v>15000000</v>
      </c>
      <c r="U669" s="32"/>
      <c r="V669" s="32"/>
      <c r="W669" s="49"/>
      <c r="X669" s="49">
        <f t="shared" ref="X669:Z669" si="673">N669-S669</f>
        <v>0</v>
      </c>
      <c r="Y669" s="49">
        <f t="shared" si="673"/>
        <v>0</v>
      </c>
      <c r="Z669" s="49">
        <f t="shared" si="673"/>
        <v>0</v>
      </c>
      <c r="AA669" s="54"/>
      <c r="AB669" s="54"/>
      <c r="AC669" s="2">
        <f t="shared" si="465"/>
        <v>2</v>
      </c>
      <c r="AD669" s="6"/>
      <c r="AE669" s="6"/>
      <c r="AF669" s="6"/>
      <c r="AG669" s="6"/>
      <c r="AH669" s="6"/>
      <c r="AI669" s="6"/>
      <c r="AJ669" s="6"/>
      <c r="AK669" s="6"/>
      <c r="AL669" s="6"/>
      <c r="AM669" s="6"/>
      <c r="AN669" s="6"/>
      <c r="AO669" s="6"/>
      <c r="AP669" s="6"/>
      <c r="AQ669" s="6"/>
      <c r="AR669" s="6"/>
      <c r="AS669" s="6"/>
    </row>
    <row r="670" spans="1:45" ht="40.5" hidden="1" x14ac:dyDescent="0.25">
      <c r="A670" s="33" t="s">
        <v>275</v>
      </c>
      <c r="B670" s="42">
        <v>541</v>
      </c>
      <c r="C670" s="33" t="s">
        <v>966</v>
      </c>
      <c r="D670" s="33" t="s">
        <v>3034</v>
      </c>
      <c r="E670" s="33" t="s">
        <v>2099</v>
      </c>
      <c r="F670" s="54"/>
      <c r="G670" s="33" t="s">
        <v>3035</v>
      </c>
      <c r="H670" s="33" t="s">
        <v>592</v>
      </c>
      <c r="I670" s="32"/>
      <c r="J670" s="62" t="s">
        <v>3036</v>
      </c>
      <c r="K670" s="33" t="s">
        <v>43</v>
      </c>
      <c r="L670" s="33" t="s">
        <v>3037</v>
      </c>
      <c r="M670" s="63">
        <v>3903175140</v>
      </c>
      <c r="N670" s="63">
        <v>752143200</v>
      </c>
      <c r="O670" s="63">
        <v>7500000</v>
      </c>
      <c r="P670" s="86"/>
      <c r="Q670" s="44">
        <f t="shared" si="463"/>
        <v>4662818340</v>
      </c>
      <c r="R670" s="65">
        <v>3903175140</v>
      </c>
      <c r="S670" s="65">
        <v>752143200</v>
      </c>
      <c r="T670" s="44">
        <v>7500000</v>
      </c>
      <c r="U670" s="32"/>
      <c r="V670" s="32"/>
      <c r="W670" s="49"/>
      <c r="X670" s="49">
        <f t="shared" ref="X670:Z670" si="674">N670-S670</f>
        <v>0</v>
      </c>
      <c r="Y670" s="49">
        <f t="shared" si="674"/>
        <v>0</v>
      </c>
      <c r="Z670" s="49">
        <f t="shared" si="674"/>
        <v>0</v>
      </c>
      <c r="AA670" s="54"/>
      <c r="AB670" s="54"/>
      <c r="AC670" s="2">
        <f t="shared" si="465"/>
        <v>2</v>
      </c>
      <c r="AD670" s="6"/>
      <c r="AE670" s="6"/>
      <c r="AF670" s="6"/>
      <c r="AG670" s="6"/>
      <c r="AH670" s="6"/>
      <c r="AI670" s="6"/>
      <c r="AJ670" s="6"/>
      <c r="AK670" s="6"/>
      <c r="AL670" s="6"/>
      <c r="AM670" s="6"/>
      <c r="AN670" s="6"/>
      <c r="AO670" s="6"/>
      <c r="AP670" s="6"/>
      <c r="AQ670" s="6"/>
      <c r="AR670" s="6"/>
      <c r="AS670" s="6"/>
    </row>
    <row r="671" spans="1:45" ht="31.5" hidden="1" x14ac:dyDescent="0.25">
      <c r="A671" s="33" t="s">
        <v>60</v>
      </c>
      <c r="B671" s="42">
        <v>542</v>
      </c>
      <c r="C671" s="33" t="s">
        <v>966</v>
      </c>
      <c r="D671" s="33" t="s">
        <v>3038</v>
      </c>
      <c r="E671" s="33"/>
      <c r="F671" s="54"/>
      <c r="G671" s="33" t="s">
        <v>3039</v>
      </c>
      <c r="H671" s="33"/>
      <c r="I671" s="33"/>
      <c r="J671" s="33" t="s">
        <v>3040</v>
      </c>
      <c r="K671" s="33" t="s">
        <v>43</v>
      </c>
      <c r="L671" s="33" t="s">
        <v>3041</v>
      </c>
      <c r="M671" s="63">
        <v>32247210000</v>
      </c>
      <c r="N671" s="45"/>
      <c r="O671" s="44">
        <v>15000000</v>
      </c>
      <c r="P671" s="86"/>
      <c r="Q671" s="44">
        <f t="shared" si="463"/>
        <v>32262210000</v>
      </c>
      <c r="R671" s="65">
        <v>32247210000</v>
      </c>
      <c r="S671" s="32"/>
      <c r="T671" s="66"/>
      <c r="U671" s="32"/>
      <c r="V671" s="32"/>
      <c r="W671" s="49"/>
      <c r="X671" s="49">
        <f t="shared" ref="X671:Z671" si="675">N671-S671</f>
        <v>0</v>
      </c>
      <c r="Y671" s="52">
        <f t="shared" si="675"/>
        <v>15000000</v>
      </c>
      <c r="Z671" s="49">
        <f t="shared" si="675"/>
        <v>0</v>
      </c>
      <c r="AA671" s="54"/>
      <c r="AB671" s="43"/>
      <c r="AC671" s="15">
        <f t="shared" si="465"/>
        <v>2</v>
      </c>
      <c r="AD671" s="15"/>
      <c r="AE671" s="6"/>
      <c r="AF671" s="6"/>
      <c r="AG671" s="6"/>
      <c r="AH671" s="6"/>
      <c r="AI671" s="6"/>
      <c r="AJ671" s="6"/>
      <c r="AK671" s="6"/>
      <c r="AL671" s="6"/>
      <c r="AM671" s="6"/>
      <c r="AN671" s="6"/>
      <c r="AO671" s="6"/>
      <c r="AP671" s="6"/>
      <c r="AQ671" s="6"/>
      <c r="AR671" s="6"/>
      <c r="AS671" s="6"/>
    </row>
    <row r="672" spans="1:45" ht="31.5" hidden="1" x14ac:dyDescent="0.25">
      <c r="A672" s="33" t="s">
        <v>35</v>
      </c>
      <c r="B672" s="42">
        <v>545</v>
      </c>
      <c r="C672" s="33" t="s">
        <v>966</v>
      </c>
      <c r="D672" s="33" t="s">
        <v>3042</v>
      </c>
      <c r="E672" s="32"/>
      <c r="F672" s="54"/>
      <c r="G672" s="33" t="s">
        <v>3043</v>
      </c>
      <c r="H672" s="32"/>
      <c r="I672" s="33" t="s">
        <v>969</v>
      </c>
      <c r="J672" s="62" t="s">
        <v>3044</v>
      </c>
      <c r="K672" s="33" t="s">
        <v>43</v>
      </c>
      <c r="L672" s="33" t="s">
        <v>2882</v>
      </c>
      <c r="M672" s="63">
        <v>4323287659</v>
      </c>
      <c r="N672" s="45"/>
      <c r="O672" s="63">
        <v>7500000</v>
      </c>
      <c r="P672" s="86"/>
      <c r="Q672" s="44">
        <f t="shared" si="463"/>
        <v>4330787659</v>
      </c>
      <c r="R672" s="65">
        <v>4323287659</v>
      </c>
      <c r="S672" s="32"/>
      <c r="T672" s="44">
        <v>7500000</v>
      </c>
      <c r="U672" s="32"/>
      <c r="V672" s="32"/>
      <c r="W672" s="49"/>
      <c r="X672" s="49">
        <f t="shared" ref="X672:Z672" si="676">N672-S672</f>
        <v>0</v>
      </c>
      <c r="Y672" s="49">
        <f t="shared" si="676"/>
        <v>0</v>
      </c>
      <c r="Z672" s="49">
        <f t="shared" si="676"/>
        <v>0</v>
      </c>
      <c r="AA672" s="54"/>
      <c r="AB672" s="54"/>
      <c r="AC672" s="2">
        <f t="shared" si="465"/>
        <v>2</v>
      </c>
      <c r="AD672" s="6"/>
      <c r="AE672" s="6"/>
      <c r="AF672" s="6"/>
      <c r="AG672" s="6"/>
      <c r="AH672" s="6"/>
      <c r="AI672" s="6"/>
      <c r="AJ672" s="6"/>
      <c r="AK672" s="6"/>
      <c r="AL672" s="6"/>
      <c r="AM672" s="6"/>
      <c r="AN672" s="6"/>
      <c r="AO672" s="6"/>
      <c r="AP672" s="6"/>
      <c r="AQ672" s="6"/>
      <c r="AR672" s="6"/>
      <c r="AS672" s="6"/>
    </row>
    <row r="673" spans="1:45" ht="31.5" hidden="1" x14ac:dyDescent="0.25">
      <c r="A673" s="33" t="s">
        <v>35</v>
      </c>
      <c r="B673" s="42">
        <v>547</v>
      </c>
      <c r="C673" s="33" t="s">
        <v>966</v>
      </c>
      <c r="D673" s="33" t="s">
        <v>3045</v>
      </c>
      <c r="E673" s="32"/>
      <c r="F673" s="54"/>
      <c r="G673" s="33" t="s">
        <v>3046</v>
      </c>
      <c r="H673" s="32"/>
      <c r="I673" s="33" t="s">
        <v>969</v>
      </c>
      <c r="J673" s="62" t="s">
        <v>3047</v>
      </c>
      <c r="K673" s="33" t="s">
        <v>43</v>
      </c>
      <c r="L673" s="33" t="s">
        <v>3048</v>
      </c>
      <c r="M673" s="63">
        <v>2859676109</v>
      </c>
      <c r="N673" s="45"/>
      <c r="O673" s="63">
        <v>7500000</v>
      </c>
      <c r="P673" s="86"/>
      <c r="Q673" s="44">
        <f t="shared" si="463"/>
        <v>2867176109</v>
      </c>
      <c r="R673" s="65">
        <v>2859676109</v>
      </c>
      <c r="S673" s="32"/>
      <c r="T673" s="63">
        <v>7500000</v>
      </c>
      <c r="U673" s="32"/>
      <c r="V673" s="32"/>
      <c r="W673" s="49"/>
      <c r="X673" s="49">
        <f t="shared" ref="X673:Z673" si="677">N673-S673</f>
        <v>0</v>
      </c>
      <c r="Y673" s="49">
        <f t="shared" si="677"/>
        <v>0</v>
      </c>
      <c r="Z673" s="49">
        <f t="shared" si="677"/>
        <v>0</v>
      </c>
      <c r="AA673" s="54"/>
      <c r="AB673" s="54"/>
      <c r="AC673" s="2">
        <f t="shared" si="465"/>
        <v>2</v>
      </c>
      <c r="AD673" s="6"/>
      <c r="AE673" s="6"/>
      <c r="AF673" s="6"/>
      <c r="AG673" s="6"/>
      <c r="AH673" s="6"/>
      <c r="AI673" s="6"/>
      <c r="AJ673" s="6"/>
      <c r="AK673" s="6"/>
      <c r="AL673" s="6"/>
      <c r="AM673" s="6"/>
      <c r="AN673" s="6"/>
      <c r="AO673" s="6"/>
      <c r="AP673" s="6"/>
      <c r="AQ673" s="6"/>
      <c r="AR673" s="6"/>
      <c r="AS673" s="6"/>
    </row>
    <row r="674" spans="1:45" ht="101.25" hidden="1" x14ac:dyDescent="0.25">
      <c r="A674" s="33" t="s">
        <v>35</v>
      </c>
      <c r="B674" s="42">
        <v>549</v>
      </c>
      <c r="C674" s="33" t="s">
        <v>498</v>
      </c>
      <c r="D674" s="33" t="s">
        <v>3049</v>
      </c>
      <c r="E674" s="33" t="s">
        <v>3050</v>
      </c>
      <c r="F674" s="54"/>
      <c r="G674" s="33" t="s">
        <v>3051</v>
      </c>
      <c r="H674" s="33" t="s">
        <v>3052</v>
      </c>
      <c r="I674" s="32"/>
      <c r="J674" s="62" t="s">
        <v>3053</v>
      </c>
      <c r="K674" s="33" t="s">
        <v>43</v>
      </c>
      <c r="L674" s="33" t="s">
        <v>3054</v>
      </c>
      <c r="M674" s="63">
        <v>3029579080</v>
      </c>
      <c r="N674" s="63">
        <v>1093270920</v>
      </c>
      <c r="O674" s="63">
        <v>15000000</v>
      </c>
      <c r="P674" s="86"/>
      <c r="Q674" s="44">
        <f t="shared" si="463"/>
        <v>4137850000</v>
      </c>
      <c r="R674" s="65">
        <v>3029579080</v>
      </c>
      <c r="S674" s="65">
        <v>1093270920</v>
      </c>
      <c r="T674" s="63">
        <v>15000000</v>
      </c>
      <c r="U674" s="32"/>
      <c r="V674" s="32"/>
      <c r="W674" s="49"/>
      <c r="X674" s="49">
        <f t="shared" ref="X674:Z674" si="678">N674-S674</f>
        <v>0</v>
      </c>
      <c r="Y674" s="49">
        <f t="shared" si="678"/>
        <v>0</v>
      </c>
      <c r="Z674" s="49">
        <f t="shared" si="678"/>
        <v>0</v>
      </c>
      <c r="AA674" s="54"/>
      <c r="AB674" s="54"/>
      <c r="AC674" s="2">
        <f t="shared" si="465"/>
        <v>2</v>
      </c>
      <c r="AD674" s="6"/>
      <c r="AE674" s="6"/>
      <c r="AF674" s="6"/>
      <c r="AG674" s="6"/>
      <c r="AH674" s="6"/>
      <c r="AI674" s="6"/>
      <c r="AJ674" s="6"/>
      <c r="AK674" s="6"/>
      <c r="AL674" s="6"/>
      <c r="AM674" s="6"/>
      <c r="AN674" s="6"/>
      <c r="AO674" s="6"/>
      <c r="AP674" s="6"/>
      <c r="AQ674" s="6"/>
      <c r="AR674" s="6"/>
      <c r="AS674" s="6"/>
    </row>
    <row r="675" spans="1:45" ht="31.5" hidden="1" x14ac:dyDescent="0.25">
      <c r="A675" s="33" t="s">
        <v>275</v>
      </c>
      <c r="B675" s="42">
        <v>550</v>
      </c>
      <c r="C675" s="33" t="s">
        <v>498</v>
      </c>
      <c r="D675" s="33" t="s">
        <v>3055</v>
      </c>
      <c r="E675" s="32"/>
      <c r="F675" s="54"/>
      <c r="G675" s="33" t="s">
        <v>3056</v>
      </c>
      <c r="H675" s="32"/>
      <c r="I675" s="32"/>
      <c r="J675" s="62" t="s">
        <v>3057</v>
      </c>
      <c r="K675" s="33" t="s">
        <v>43</v>
      </c>
      <c r="L675" s="33" t="s">
        <v>3058</v>
      </c>
      <c r="M675" s="63">
        <v>3126839264</v>
      </c>
      <c r="N675" s="45"/>
      <c r="O675" s="63">
        <v>15000000</v>
      </c>
      <c r="P675" s="86"/>
      <c r="Q675" s="44">
        <f t="shared" si="463"/>
        <v>3141839264</v>
      </c>
      <c r="R675" s="65">
        <v>3126839264</v>
      </c>
      <c r="S675" s="32"/>
      <c r="T675" s="63">
        <v>15000000</v>
      </c>
      <c r="U675" s="32"/>
      <c r="V675" s="32"/>
      <c r="W675" s="49"/>
      <c r="X675" s="49">
        <f t="shared" ref="X675:Z675" si="679">N675-S675</f>
        <v>0</v>
      </c>
      <c r="Y675" s="49">
        <f t="shared" si="679"/>
        <v>0</v>
      </c>
      <c r="Z675" s="49">
        <f t="shared" si="679"/>
        <v>0</v>
      </c>
      <c r="AA675" s="54"/>
      <c r="AB675" s="54"/>
      <c r="AC675" s="2">
        <f t="shared" si="465"/>
        <v>2</v>
      </c>
      <c r="AD675" s="6"/>
      <c r="AE675" s="6"/>
      <c r="AF675" s="6"/>
      <c r="AG675" s="6"/>
      <c r="AH675" s="6"/>
      <c r="AI675" s="6"/>
      <c r="AJ675" s="6"/>
      <c r="AK675" s="6"/>
      <c r="AL675" s="6"/>
      <c r="AM675" s="6"/>
      <c r="AN675" s="6"/>
      <c r="AO675" s="6"/>
      <c r="AP675" s="6"/>
      <c r="AQ675" s="6"/>
      <c r="AR675" s="6"/>
      <c r="AS675" s="6"/>
    </row>
    <row r="676" spans="1:45" ht="40.5" hidden="1" x14ac:dyDescent="0.25">
      <c r="A676" s="33" t="s">
        <v>275</v>
      </c>
      <c r="B676" s="42">
        <v>551</v>
      </c>
      <c r="C676" s="33" t="s">
        <v>498</v>
      </c>
      <c r="D676" s="33" t="s">
        <v>3059</v>
      </c>
      <c r="E676" s="32"/>
      <c r="F676" s="54"/>
      <c r="G676" s="33" t="s">
        <v>3060</v>
      </c>
      <c r="H676" s="32"/>
      <c r="I676" s="32"/>
      <c r="J676" s="62" t="s">
        <v>3061</v>
      </c>
      <c r="K676" s="33" t="s">
        <v>43</v>
      </c>
      <c r="L676" s="33" t="s">
        <v>3062</v>
      </c>
      <c r="M676" s="63">
        <v>4445642144</v>
      </c>
      <c r="N676" s="45"/>
      <c r="O676" s="63">
        <v>15000000</v>
      </c>
      <c r="P676" s="86"/>
      <c r="Q676" s="44">
        <f t="shared" si="463"/>
        <v>4460642144</v>
      </c>
      <c r="R676" s="65">
        <v>4445642144</v>
      </c>
      <c r="S676" s="32"/>
      <c r="T676" s="63">
        <v>15000000</v>
      </c>
      <c r="U676" s="32"/>
      <c r="V676" s="32"/>
      <c r="W676" s="49"/>
      <c r="X676" s="49">
        <f t="shared" ref="X676:Z676" si="680">N676-S676</f>
        <v>0</v>
      </c>
      <c r="Y676" s="49">
        <f t="shared" si="680"/>
        <v>0</v>
      </c>
      <c r="Z676" s="49">
        <f t="shared" si="680"/>
        <v>0</v>
      </c>
      <c r="AA676" s="54"/>
      <c r="AB676" s="54"/>
      <c r="AC676" s="2">
        <f t="shared" si="465"/>
        <v>2</v>
      </c>
      <c r="AD676" s="6"/>
      <c r="AE676" s="6"/>
      <c r="AF676" s="6"/>
      <c r="AG676" s="6"/>
      <c r="AH676" s="6"/>
      <c r="AI676" s="6"/>
      <c r="AJ676" s="6"/>
      <c r="AK676" s="6"/>
      <c r="AL676" s="6"/>
      <c r="AM676" s="6"/>
      <c r="AN676" s="6"/>
      <c r="AO676" s="6"/>
      <c r="AP676" s="6"/>
      <c r="AQ676" s="6"/>
      <c r="AR676" s="6"/>
      <c r="AS676" s="6"/>
    </row>
    <row r="677" spans="1:45" ht="147" hidden="1" customHeight="1" x14ac:dyDescent="0.25">
      <c r="A677" s="33" t="s">
        <v>35</v>
      </c>
      <c r="B677" s="42">
        <v>552</v>
      </c>
      <c r="C677" s="33" t="s">
        <v>498</v>
      </c>
      <c r="D677" s="33" t="s">
        <v>3063</v>
      </c>
      <c r="E677" s="32"/>
      <c r="F677" s="54"/>
      <c r="G677" s="33" t="s">
        <v>3064</v>
      </c>
      <c r="H677" s="32"/>
      <c r="I677" s="32"/>
      <c r="J677" s="62" t="s">
        <v>3065</v>
      </c>
      <c r="K677" s="33" t="s">
        <v>43</v>
      </c>
      <c r="L677" s="33" t="s">
        <v>3066</v>
      </c>
      <c r="M677" s="63">
        <v>1583134434</v>
      </c>
      <c r="N677" s="45"/>
      <c r="O677" s="63">
        <v>7500000</v>
      </c>
      <c r="P677" s="86"/>
      <c r="Q677" s="44">
        <f t="shared" si="463"/>
        <v>1590634434</v>
      </c>
      <c r="R677" s="65">
        <v>1583134434</v>
      </c>
      <c r="S677" s="32"/>
      <c r="T677" s="44">
        <v>7500000</v>
      </c>
      <c r="U677" s="32"/>
      <c r="V677" s="32"/>
      <c r="W677" s="49"/>
      <c r="X677" s="49">
        <f t="shared" ref="X677:Z677" si="681">N677-S677</f>
        <v>0</v>
      </c>
      <c r="Y677" s="49">
        <f t="shared" si="681"/>
        <v>0</v>
      </c>
      <c r="Z677" s="49">
        <f t="shared" si="681"/>
        <v>0</v>
      </c>
      <c r="AA677" s="54"/>
      <c r="AB677" s="54"/>
      <c r="AC677" s="2">
        <f t="shared" si="465"/>
        <v>2</v>
      </c>
      <c r="AD677" s="6"/>
      <c r="AE677" s="6"/>
      <c r="AF677" s="6"/>
      <c r="AG677" s="6"/>
      <c r="AH677" s="6"/>
      <c r="AI677" s="6"/>
      <c r="AJ677" s="6"/>
      <c r="AK677" s="6"/>
      <c r="AL677" s="6"/>
      <c r="AM677" s="6"/>
      <c r="AN677" s="6"/>
      <c r="AO677" s="6"/>
      <c r="AP677" s="6"/>
      <c r="AQ677" s="6"/>
      <c r="AR677" s="6"/>
      <c r="AS677" s="6"/>
    </row>
    <row r="678" spans="1:45" ht="40.5" hidden="1" x14ac:dyDescent="0.25">
      <c r="A678" s="33" t="s">
        <v>275</v>
      </c>
      <c r="B678" s="42">
        <v>553</v>
      </c>
      <c r="C678" s="33" t="s">
        <v>498</v>
      </c>
      <c r="D678" s="33" t="s">
        <v>3067</v>
      </c>
      <c r="E678" s="33" t="s">
        <v>625</v>
      </c>
      <c r="F678" s="54"/>
      <c r="G678" s="33" t="s">
        <v>3068</v>
      </c>
      <c r="H678" s="33" t="s">
        <v>3069</v>
      </c>
      <c r="I678" s="32"/>
      <c r="J678" s="62" t="s">
        <v>3070</v>
      </c>
      <c r="K678" s="33" t="s">
        <v>43</v>
      </c>
      <c r="L678" s="33" t="s">
        <v>3071</v>
      </c>
      <c r="M678" s="63">
        <v>4323930590</v>
      </c>
      <c r="N678" s="63">
        <v>575679508</v>
      </c>
      <c r="O678" s="63">
        <v>7500000</v>
      </c>
      <c r="P678" s="86"/>
      <c r="Q678" s="44">
        <f t="shared" si="463"/>
        <v>4907110098</v>
      </c>
      <c r="R678" s="65">
        <v>4323930590</v>
      </c>
      <c r="S678" s="65">
        <v>575679508</v>
      </c>
      <c r="T678" s="45">
        <v>7500000</v>
      </c>
      <c r="U678" s="32"/>
      <c r="V678" s="32"/>
      <c r="W678" s="49"/>
      <c r="X678" s="49">
        <f t="shared" ref="X678:Z678" si="682">N678-S678</f>
        <v>0</v>
      </c>
      <c r="Y678" s="49">
        <f t="shared" si="682"/>
        <v>0</v>
      </c>
      <c r="Z678" s="49">
        <f t="shared" si="682"/>
        <v>0</v>
      </c>
      <c r="AA678" s="54"/>
      <c r="AB678" s="54"/>
      <c r="AC678" s="2">
        <f t="shared" si="465"/>
        <v>2</v>
      </c>
      <c r="AD678" s="6"/>
      <c r="AE678" s="6"/>
      <c r="AF678" s="6"/>
      <c r="AG678" s="6"/>
      <c r="AH678" s="6"/>
      <c r="AI678" s="6"/>
      <c r="AJ678" s="6"/>
      <c r="AK678" s="6"/>
      <c r="AL678" s="6"/>
      <c r="AM678" s="6"/>
      <c r="AN678" s="6"/>
      <c r="AO678" s="6"/>
      <c r="AP678" s="6"/>
      <c r="AQ678" s="6"/>
      <c r="AR678" s="6"/>
      <c r="AS678" s="6"/>
    </row>
    <row r="679" spans="1:45" ht="40.5" hidden="1" x14ac:dyDescent="0.25">
      <c r="A679" s="33" t="s">
        <v>60</v>
      </c>
      <c r="B679" s="42">
        <v>555</v>
      </c>
      <c r="C679" s="33" t="s">
        <v>498</v>
      </c>
      <c r="D679" s="33" t="s">
        <v>3072</v>
      </c>
      <c r="E679" s="32"/>
      <c r="F679" s="54"/>
      <c r="G679" s="33" t="s">
        <v>3073</v>
      </c>
      <c r="H679" s="32"/>
      <c r="I679" s="32"/>
      <c r="J679" s="62" t="s">
        <v>3074</v>
      </c>
      <c r="K679" s="33" t="s">
        <v>43</v>
      </c>
      <c r="L679" s="33" t="s">
        <v>3075</v>
      </c>
      <c r="M679" s="63">
        <v>7567136540</v>
      </c>
      <c r="N679" s="45"/>
      <c r="O679" s="63">
        <v>15000000</v>
      </c>
      <c r="P679" s="86"/>
      <c r="Q679" s="44">
        <f t="shared" si="463"/>
        <v>7582136540</v>
      </c>
      <c r="R679" s="65">
        <v>7567136540</v>
      </c>
      <c r="S679" s="32"/>
      <c r="T679" s="44">
        <v>15000000</v>
      </c>
      <c r="U679" s="32"/>
      <c r="V679" s="32"/>
      <c r="W679" s="49"/>
      <c r="X679" s="49">
        <f t="shared" ref="X679:Z679" si="683">N679-S679</f>
        <v>0</v>
      </c>
      <c r="Y679" s="49">
        <f t="shared" si="683"/>
        <v>0</v>
      </c>
      <c r="Z679" s="49">
        <f t="shared" si="683"/>
        <v>0</v>
      </c>
      <c r="AA679" s="54"/>
      <c r="AB679" s="54"/>
      <c r="AC679" s="2">
        <f t="shared" si="465"/>
        <v>2</v>
      </c>
      <c r="AD679" s="6"/>
      <c r="AE679" s="6"/>
      <c r="AF679" s="6"/>
      <c r="AG679" s="6"/>
      <c r="AH679" s="6"/>
      <c r="AI679" s="6"/>
      <c r="AJ679" s="6"/>
      <c r="AK679" s="6"/>
      <c r="AL679" s="6"/>
      <c r="AM679" s="6"/>
      <c r="AN679" s="6"/>
      <c r="AO679" s="6"/>
      <c r="AP679" s="6"/>
      <c r="AQ679" s="6"/>
      <c r="AR679" s="6"/>
      <c r="AS679" s="6"/>
    </row>
    <row r="680" spans="1:45" ht="40.5" hidden="1" x14ac:dyDescent="0.25">
      <c r="A680" s="33" t="s">
        <v>35</v>
      </c>
      <c r="B680" s="42">
        <v>556</v>
      </c>
      <c r="C680" s="33" t="s">
        <v>498</v>
      </c>
      <c r="D680" s="33" t="s">
        <v>3076</v>
      </c>
      <c r="E680" s="32"/>
      <c r="F680" s="54"/>
      <c r="G680" s="33" t="s">
        <v>3077</v>
      </c>
      <c r="H680" s="32"/>
      <c r="I680" s="32"/>
      <c r="J680" s="62" t="s">
        <v>3078</v>
      </c>
      <c r="K680" s="33" t="s">
        <v>43</v>
      </c>
      <c r="L680" s="33" t="s">
        <v>2543</v>
      </c>
      <c r="M680" s="63">
        <v>5507929500</v>
      </c>
      <c r="N680" s="45"/>
      <c r="O680" s="63">
        <v>7500000</v>
      </c>
      <c r="P680" s="86"/>
      <c r="Q680" s="44">
        <f t="shared" si="463"/>
        <v>5515429500</v>
      </c>
      <c r="R680" s="65">
        <v>5507929500</v>
      </c>
      <c r="S680" s="32"/>
      <c r="T680" s="44">
        <v>7500000</v>
      </c>
      <c r="U680" s="32"/>
      <c r="V680" s="32"/>
      <c r="W680" s="49"/>
      <c r="X680" s="49">
        <f t="shared" ref="X680:Z680" si="684">N680-S680</f>
        <v>0</v>
      </c>
      <c r="Y680" s="49">
        <f t="shared" si="684"/>
        <v>0</v>
      </c>
      <c r="Z680" s="49">
        <f t="shared" si="684"/>
        <v>0</v>
      </c>
      <c r="AA680" s="54"/>
      <c r="AB680" s="54"/>
      <c r="AC680" s="2">
        <f t="shared" si="465"/>
        <v>2</v>
      </c>
      <c r="AD680" s="6"/>
      <c r="AE680" s="6"/>
      <c r="AF680" s="6"/>
      <c r="AG680" s="6"/>
      <c r="AH680" s="6"/>
      <c r="AI680" s="6"/>
      <c r="AJ680" s="6"/>
      <c r="AK680" s="6"/>
      <c r="AL680" s="6"/>
      <c r="AM680" s="6"/>
      <c r="AN680" s="6"/>
      <c r="AO680" s="6"/>
      <c r="AP680" s="6"/>
      <c r="AQ680" s="6"/>
      <c r="AR680" s="6"/>
      <c r="AS680" s="6"/>
    </row>
    <row r="681" spans="1:45" ht="31.5" hidden="1" x14ac:dyDescent="0.25">
      <c r="A681" s="33" t="s">
        <v>52</v>
      </c>
      <c r="B681" s="42">
        <v>557</v>
      </c>
      <c r="C681" s="33" t="s">
        <v>498</v>
      </c>
      <c r="D681" s="33" t="s">
        <v>3079</v>
      </c>
      <c r="E681" s="33" t="s">
        <v>3080</v>
      </c>
      <c r="F681" s="54"/>
      <c r="G681" s="33" t="s">
        <v>3081</v>
      </c>
      <c r="H681" s="33" t="s">
        <v>3082</v>
      </c>
      <c r="I681" s="32"/>
      <c r="J681" s="62" t="s">
        <v>3083</v>
      </c>
      <c r="K681" s="33" t="s">
        <v>43</v>
      </c>
      <c r="L681" s="33" t="s">
        <v>3084</v>
      </c>
      <c r="M681" s="63">
        <v>3526135072</v>
      </c>
      <c r="N681" s="63">
        <v>192607800</v>
      </c>
      <c r="O681" s="63">
        <v>15000000</v>
      </c>
      <c r="P681" s="86"/>
      <c r="Q681" s="44">
        <f t="shared" si="463"/>
        <v>3733742872</v>
      </c>
      <c r="R681" s="65">
        <v>3526135072</v>
      </c>
      <c r="S681" s="65">
        <v>192607800</v>
      </c>
      <c r="T681" s="44">
        <v>15000000</v>
      </c>
      <c r="U681" s="32"/>
      <c r="V681" s="32"/>
      <c r="W681" s="49"/>
      <c r="X681" s="49">
        <f t="shared" ref="X681:Z681" si="685">N681-S681</f>
        <v>0</v>
      </c>
      <c r="Y681" s="49">
        <f t="shared" si="685"/>
        <v>0</v>
      </c>
      <c r="Z681" s="49">
        <f t="shared" si="685"/>
        <v>0</v>
      </c>
      <c r="AA681" s="54"/>
      <c r="AB681" s="54"/>
      <c r="AC681" s="2">
        <f t="shared" si="465"/>
        <v>2</v>
      </c>
      <c r="AD681" s="6"/>
      <c r="AE681" s="6"/>
      <c r="AF681" s="6"/>
      <c r="AG681" s="6"/>
      <c r="AH681" s="6"/>
      <c r="AI681" s="6"/>
      <c r="AJ681" s="6"/>
      <c r="AK681" s="6"/>
      <c r="AL681" s="6"/>
      <c r="AM681" s="6"/>
      <c r="AN681" s="6"/>
      <c r="AO681" s="6"/>
      <c r="AP681" s="6"/>
      <c r="AQ681" s="6"/>
      <c r="AR681" s="6"/>
      <c r="AS681" s="6"/>
    </row>
    <row r="682" spans="1:45" ht="31.5" hidden="1" x14ac:dyDescent="0.25">
      <c r="A682" s="33" t="s">
        <v>52</v>
      </c>
      <c r="B682" s="42">
        <v>558</v>
      </c>
      <c r="C682" s="33" t="s">
        <v>498</v>
      </c>
      <c r="D682" s="33" t="s">
        <v>3085</v>
      </c>
      <c r="E682" s="32"/>
      <c r="F682" s="54"/>
      <c r="G682" s="33" t="s">
        <v>3086</v>
      </c>
      <c r="H682" s="32"/>
      <c r="I682" s="32"/>
      <c r="J682" s="62" t="s">
        <v>3087</v>
      </c>
      <c r="K682" s="33" t="s">
        <v>43</v>
      </c>
      <c r="L682" s="33" t="s">
        <v>3088</v>
      </c>
      <c r="M682" s="63">
        <v>3090219698</v>
      </c>
      <c r="N682" s="45"/>
      <c r="O682" s="63">
        <v>15000000</v>
      </c>
      <c r="P682" s="86"/>
      <c r="Q682" s="44">
        <f t="shared" si="463"/>
        <v>3105219698</v>
      </c>
      <c r="R682" s="65">
        <v>3090219698</v>
      </c>
      <c r="S682" s="32"/>
      <c r="T682" s="63">
        <v>15000000</v>
      </c>
      <c r="U682" s="32"/>
      <c r="V682" s="32"/>
      <c r="W682" s="49"/>
      <c r="X682" s="49">
        <f t="shared" ref="X682:Z682" si="686">N682-S682</f>
        <v>0</v>
      </c>
      <c r="Y682" s="49">
        <f t="shared" si="686"/>
        <v>0</v>
      </c>
      <c r="Z682" s="49">
        <f t="shared" si="686"/>
        <v>0</v>
      </c>
      <c r="AA682" s="54"/>
      <c r="AB682" s="54"/>
      <c r="AC682" s="2">
        <f t="shared" si="465"/>
        <v>2</v>
      </c>
      <c r="AD682" s="6"/>
      <c r="AE682" s="6"/>
      <c r="AF682" s="6"/>
      <c r="AG682" s="6"/>
      <c r="AH682" s="6"/>
      <c r="AI682" s="6"/>
      <c r="AJ682" s="6"/>
      <c r="AK682" s="6"/>
      <c r="AL682" s="6"/>
      <c r="AM682" s="6"/>
      <c r="AN682" s="6"/>
      <c r="AO682" s="6"/>
      <c r="AP682" s="6"/>
      <c r="AQ682" s="6"/>
      <c r="AR682" s="6"/>
      <c r="AS682" s="6"/>
    </row>
    <row r="683" spans="1:45" ht="40.5" hidden="1" x14ac:dyDescent="0.25">
      <c r="A683" s="33" t="s">
        <v>52</v>
      </c>
      <c r="B683" s="42">
        <v>560</v>
      </c>
      <c r="C683" s="33" t="s">
        <v>498</v>
      </c>
      <c r="D683" s="33" t="s">
        <v>3089</v>
      </c>
      <c r="E683" s="32"/>
      <c r="F683" s="54"/>
      <c r="G683" s="33" t="s">
        <v>3090</v>
      </c>
      <c r="H683" s="32"/>
      <c r="I683" s="32"/>
      <c r="J683" s="62" t="s">
        <v>3091</v>
      </c>
      <c r="K683" s="33" t="s">
        <v>43</v>
      </c>
      <c r="L683" s="33" t="s">
        <v>3092</v>
      </c>
      <c r="M683" s="63">
        <v>8227078695</v>
      </c>
      <c r="N683" s="45"/>
      <c r="O683" s="63">
        <v>15000000</v>
      </c>
      <c r="P683" s="86"/>
      <c r="Q683" s="44">
        <f t="shared" si="463"/>
        <v>8242078695</v>
      </c>
      <c r="R683" s="65">
        <v>8227078695</v>
      </c>
      <c r="S683" s="32"/>
      <c r="T683" s="63">
        <v>15000000</v>
      </c>
      <c r="U683" s="32"/>
      <c r="V683" s="32"/>
      <c r="W683" s="49"/>
      <c r="X683" s="49">
        <f t="shared" ref="X683:Z683" si="687">N683-S683</f>
        <v>0</v>
      </c>
      <c r="Y683" s="49">
        <f t="shared" si="687"/>
        <v>0</v>
      </c>
      <c r="Z683" s="49">
        <f t="shared" si="687"/>
        <v>0</v>
      </c>
      <c r="AA683" s="54"/>
      <c r="AB683" s="54"/>
      <c r="AC683" s="2">
        <f t="shared" si="465"/>
        <v>2</v>
      </c>
      <c r="AD683" s="6"/>
      <c r="AE683" s="6"/>
      <c r="AF683" s="6"/>
      <c r="AG683" s="6"/>
      <c r="AH683" s="6"/>
      <c r="AI683" s="6"/>
      <c r="AJ683" s="6"/>
      <c r="AK683" s="6"/>
      <c r="AL683" s="6"/>
      <c r="AM683" s="6"/>
      <c r="AN683" s="6"/>
      <c r="AO683" s="6"/>
      <c r="AP683" s="6"/>
      <c r="AQ683" s="6"/>
      <c r="AR683" s="6"/>
      <c r="AS683" s="6"/>
    </row>
    <row r="684" spans="1:45" ht="31.5" hidden="1" x14ac:dyDescent="0.25">
      <c r="A684" s="33" t="s">
        <v>88</v>
      </c>
      <c r="B684" s="42">
        <v>561</v>
      </c>
      <c r="C684" s="33" t="s">
        <v>498</v>
      </c>
      <c r="D684" s="33" t="s">
        <v>3093</v>
      </c>
      <c r="E684" s="32"/>
      <c r="F684" s="54"/>
      <c r="G684" s="33" t="s">
        <v>3094</v>
      </c>
      <c r="H684" s="32"/>
      <c r="I684" s="32"/>
      <c r="J684" s="62" t="s">
        <v>3095</v>
      </c>
      <c r="K684" s="33" t="s">
        <v>43</v>
      </c>
      <c r="L684" s="33" t="s">
        <v>3096</v>
      </c>
      <c r="M684" s="63">
        <v>5211174260</v>
      </c>
      <c r="N684" s="45"/>
      <c r="O684" s="63">
        <v>15000000</v>
      </c>
      <c r="P684" s="86"/>
      <c r="Q684" s="44">
        <f t="shared" si="463"/>
        <v>5226174260</v>
      </c>
      <c r="R684" s="52">
        <v>5211174260</v>
      </c>
      <c r="S684" s="32"/>
      <c r="T684" s="44">
        <v>15000000</v>
      </c>
      <c r="U684" s="32"/>
      <c r="V684" s="32"/>
      <c r="W684" s="49"/>
      <c r="X684" s="49">
        <f t="shared" ref="X684:Z684" si="688">N684-S684</f>
        <v>0</v>
      </c>
      <c r="Y684" s="49">
        <f t="shared" si="688"/>
        <v>0</v>
      </c>
      <c r="Z684" s="49">
        <f t="shared" si="688"/>
        <v>0</v>
      </c>
      <c r="AA684" s="54"/>
      <c r="AB684" s="54"/>
      <c r="AC684" s="2">
        <f t="shared" si="465"/>
        <v>2</v>
      </c>
      <c r="AD684" s="6"/>
      <c r="AE684" s="6"/>
      <c r="AF684" s="6"/>
      <c r="AG684" s="6"/>
      <c r="AH684" s="6"/>
      <c r="AI684" s="6"/>
      <c r="AJ684" s="6"/>
      <c r="AK684" s="6"/>
      <c r="AL684" s="6"/>
      <c r="AM684" s="6"/>
      <c r="AN684" s="6"/>
      <c r="AO684" s="6"/>
      <c r="AP684" s="6"/>
      <c r="AQ684" s="6"/>
      <c r="AR684" s="6"/>
      <c r="AS684" s="6"/>
    </row>
    <row r="685" spans="1:45" ht="40.5" hidden="1" x14ac:dyDescent="0.25">
      <c r="A685" s="33" t="s">
        <v>52</v>
      </c>
      <c r="B685" s="42">
        <v>563</v>
      </c>
      <c r="C685" s="33" t="s">
        <v>498</v>
      </c>
      <c r="D685" s="33" t="s">
        <v>3098</v>
      </c>
      <c r="E685" s="32"/>
      <c r="F685" s="54"/>
      <c r="G685" s="33" t="s">
        <v>3099</v>
      </c>
      <c r="H685" s="32"/>
      <c r="I685" s="32"/>
      <c r="J685" s="62" t="s">
        <v>3100</v>
      </c>
      <c r="K685" s="33" t="s">
        <v>43</v>
      </c>
      <c r="L685" s="33" t="s">
        <v>3101</v>
      </c>
      <c r="M685" s="63">
        <v>4009786804</v>
      </c>
      <c r="N685" s="45"/>
      <c r="O685" s="63">
        <v>7500000</v>
      </c>
      <c r="P685" s="86"/>
      <c r="Q685" s="44">
        <f t="shared" si="463"/>
        <v>4017286804</v>
      </c>
      <c r="R685" s="65">
        <v>4009786804</v>
      </c>
      <c r="S685" s="32"/>
      <c r="T685" s="63">
        <v>7500000</v>
      </c>
      <c r="U685" s="32"/>
      <c r="V685" s="32"/>
      <c r="W685" s="49"/>
      <c r="X685" s="49">
        <f t="shared" ref="X685:Z685" si="689">N685-S685</f>
        <v>0</v>
      </c>
      <c r="Y685" s="49">
        <f t="shared" si="689"/>
        <v>0</v>
      </c>
      <c r="Z685" s="49">
        <f t="shared" si="689"/>
        <v>0</v>
      </c>
      <c r="AA685" s="54"/>
      <c r="AB685" s="54"/>
      <c r="AC685" s="2">
        <f t="shared" si="465"/>
        <v>2</v>
      </c>
      <c r="AD685" s="6"/>
      <c r="AE685" s="6"/>
      <c r="AF685" s="6"/>
      <c r="AG685" s="6"/>
      <c r="AH685" s="6"/>
      <c r="AI685" s="6"/>
      <c r="AJ685" s="6"/>
      <c r="AK685" s="6"/>
      <c r="AL685" s="6"/>
      <c r="AM685" s="6"/>
      <c r="AN685" s="6"/>
      <c r="AO685" s="6"/>
      <c r="AP685" s="6"/>
      <c r="AQ685" s="6"/>
      <c r="AR685" s="6"/>
      <c r="AS685" s="6"/>
    </row>
    <row r="686" spans="1:45" ht="40.5" hidden="1" x14ac:dyDescent="0.25">
      <c r="A686" s="33" t="s">
        <v>52</v>
      </c>
      <c r="B686" s="42">
        <v>564</v>
      </c>
      <c r="C686" s="33" t="s">
        <v>498</v>
      </c>
      <c r="D686" s="33" t="s">
        <v>3102</v>
      </c>
      <c r="E686" s="32"/>
      <c r="F686" s="54"/>
      <c r="G686" s="33" t="s">
        <v>3103</v>
      </c>
      <c r="H686" s="32"/>
      <c r="I686" s="32"/>
      <c r="J686" s="62" t="s">
        <v>3104</v>
      </c>
      <c r="K686" s="33" t="s">
        <v>43</v>
      </c>
      <c r="L686" s="33" t="s">
        <v>3105</v>
      </c>
      <c r="M686" s="63">
        <v>1650178250</v>
      </c>
      <c r="N686" s="45"/>
      <c r="O686" s="63">
        <v>7500000</v>
      </c>
      <c r="P686" s="86"/>
      <c r="Q686" s="44">
        <f t="shared" si="463"/>
        <v>1657678250</v>
      </c>
      <c r="R686" s="65">
        <v>1650178250</v>
      </c>
      <c r="S686" s="32"/>
      <c r="T686" s="63">
        <v>7500000</v>
      </c>
      <c r="U686" s="32"/>
      <c r="V686" s="32"/>
      <c r="W686" s="49"/>
      <c r="X686" s="49">
        <f t="shared" ref="X686:Z686" si="690">N686-S686</f>
        <v>0</v>
      </c>
      <c r="Y686" s="49">
        <f t="shared" si="690"/>
        <v>0</v>
      </c>
      <c r="Z686" s="49">
        <f t="shared" si="690"/>
        <v>0</v>
      </c>
      <c r="AA686" s="54"/>
      <c r="AB686" s="54"/>
      <c r="AC686" s="2">
        <f t="shared" si="465"/>
        <v>2</v>
      </c>
      <c r="AD686" s="6"/>
      <c r="AE686" s="6"/>
      <c r="AF686" s="6"/>
      <c r="AG686" s="6"/>
      <c r="AH686" s="6"/>
      <c r="AI686" s="6"/>
      <c r="AJ686" s="6"/>
      <c r="AK686" s="6"/>
      <c r="AL686" s="6"/>
      <c r="AM686" s="6"/>
      <c r="AN686" s="6"/>
      <c r="AO686" s="6"/>
      <c r="AP686" s="6"/>
      <c r="AQ686" s="6"/>
      <c r="AR686" s="6"/>
      <c r="AS686" s="6"/>
    </row>
    <row r="687" spans="1:45" ht="31.5" hidden="1" x14ac:dyDescent="0.25">
      <c r="A687" s="33" t="s">
        <v>60</v>
      </c>
      <c r="B687" s="42">
        <v>566</v>
      </c>
      <c r="C687" s="33" t="s">
        <v>498</v>
      </c>
      <c r="D687" s="33" t="s">
        <v>3106</v>
      </c>
      <c r="E687" s="33"/>
      <c r="F687" s="54"/>
      <c r="G687" s="33" t="s">
        <v>3107</v>
      </c>
      <c r="H687" s="33"/>
      <c r="I687" s="33"/>
      <c r="J687" s="33" t="s">
        <v>3108</v>
      </c>
      <c r="K687" s="33" t="s">
        <v>43</v>
      </c>
      <c r="L687" s="33" t="s">
        <v>3109</v>
      </c>
      <c r="M687" s="63">
        <v>41760857447</v>
      </c>
      <c r="N687" s="45"/>
      <c r="O687" s="44">
        <v>15000000</v>
      </c>
      <c r="P687" s="86"/>
      <c r="Q687" s="44">
        <f t="shared" si="463"/>
        <v>41775857447</v>
      </c>
      <c r="R687" s="65">
        <v>41760857447</v>
      </c>
      <c r="S687" s="32"/>
      <c r="T687" s="66"/>
      <c r="U687" s="32"/>
      <c r="V687" s="32"/>
      <c r="W687" s="49"/>
      <c r="X687" s="49">
        <f t="shared" ref="X687:Z687" si="691">N687-S687</f>
        <v>0</v>
      </c>
      <c r="Y687" s="52">
        <f t="shared" si="691"/>
        <v>15000000</v>
      </c>
      <c r="Z687" s="49">
        <f t="shared" si="691"/>
        <v>0</v>
      </c>
      <c r="AA687" s="54"/>
      <c r="AB687" s="43"/>
      <c r="AC687" s="15">
        <f t="shared" si="465"/>
        <v>2</v>
      </c>
      <c r="AD687" s="15"/>
      <c r="AE687" s="6"/>
      <c r="AF687" s="6"/>
      <c r="AG687" s="6"/>
      <c r="AH687" s="6"/>
      <c r="AI687" s="6"/>
      <c r="AJ687" s="6"/>
      <c r="AK687" s="6"/>
      <c r="AL687" s="6"/>
      <c r="AM687" s="6"/>
      <c r="AN687" s="6"/>
      <c r="AO687" s="6"/>
      <c r="AP687" s="6"/>
      <c r="AQ687" s="6"/>
      <c r="AR687" s="6"/>
      <c r="AS687" s="6"/>
    </row>
    <row r="688" spans="1:45" ht="78" hidden="1" customHeight="1" x14ac:dyDescent="0.25">
      <c r="A688" s="33" t="s">
        <v>275</v>
      </c>
      <c r="B688" s="42">
        <v>567</v>
      </c>
      <c r="C688" s="33" t="s">
        <v>498</v>
      </c>
      <c r="D688" s="33" t="s">
        <v>3110</v>
      </c>
      <c r="E688" s="33" t="s">
        <v>3111</v>
      </c>
      <c r="F688" s="54"/>
      <c r="G688" s="33" t="s">
        <v>3112</v>
      </c>
      <c r="H688" s="32"/>
      <c r="I688" s="32"/>
      <c r="J688" s="62" t="s">
        <v>3113</v>
      </c>
      <c r="K688" s="33" t="s">
        <v>43</v>
      </c>
      <c r="L688" s="33" t="s">
        <v>3114</v>
      </c>
      <c r="M688" s="63">
        <v>2967127072</v>
      </c>
      <c r="N688" s="63">
        <v>394557580</v>
      </c>
      <c r="O688" s="63">
        <v>15000000</v>
      </c>
      <c r="P688" s="86"/>
      <c r="Q688" s="44">
        <f t="shared" si="463"/>
        <v>3376684652</v>
      </c>
      <c r="R688" s="65">
        <v>2967127072</v>
      </c>
      <c r="S688" s="65">
        <v>394557580</v>
      </c>
      <c r="T688" s="44">
        <v>15000000</v>
      </c>
      <c r="U688" s="32"/>
      <c r="V688" s="32"/>
      <c r="W688" s="49"/>
      <c r="X688" s="49">
        <f t="shared" ref="X688:Z688" si="692">N688-S688</f>
        <v>0</v>
      </c>
      <c r="Y688" s="49">
        <f t="shared" si="692"/>
        <v>0</v>
      </c>
      <c r="Z688" s="49">
        <f t="shared" si="692"/>
        <v>0</v>
      </c>
      <c r="AA688" s="54"/>
      <c r="AB688" s="54"/>
      <c r="AC688" s="2">
        <f t="shared" si="465"/>
        <v>2</v>
      </c>
      <c r="AD688" s="6"/>
      <c r="AE688" s="6"/>
      <c r="AF688" s="6"/>
      <c r="AG688" s="6"/>
      <c r="AH688" s="6"/>
      <c r="AI688" s="6"/>
      <c r="AJ688" s="6"/>
      <c r="AK688" s="6"/>
      <c r="AL688" s="6"/>
      <c r="AM688" s="6"/>
      <c r="AN688" s="6"/>
      <c r="AO688" s="6"/>
      <c r="AP688" s="6"/>
      <c r="AQ688" s="6"/>
      <c r="AR688" s="6"/>
      <c r="AS688" s="6"/>
    </row>
    <row r="689" spans="1:45" ht="40.5" hidden="1" x14ac:dyDescent="0.25">
      <c r="A689" s="33" t="s">
        <v>60</v>
      </c>
      <c r="B689" s="42">
        <v>569</v>
      </c>
      <c r="C689" s="33" t="s">
        <v>498</v>
      </c>
      <c r="D689" s="33" t="s">
        <v>3119</v>
      </c>
      <c r="E689" s="32"/>
      <c r="F689" s="54"/>
      <c r="G689" s="33" t="s">
        <v>3120</v>
      </c>
      <c r="H689" s="32"/>
      <c r="I689" s="32"/>
      <c r="J689" s="62" t="s">
        <v>3121</v>
      </c>
      <c r="K689" s="33" t="s">
        <v>43</v>
      </c>
      <c r="L689" s="33" t="s">
        <v>3122</v>
      </c>
      <c r="M689" s="63">
        <v>6823115420</v>
      </c>
      <c r="N689" s="45"/>
      <c r="O689" s="63">
        <v>15000000</v>
      </c>
      <c r="P689" s="86"/>
      <c r="Q689" s="44">
        <f t="shared" si="463"/>
        <v>6838115420</v>
      </c>
      <c r="R689" s="65">
        <v>6823115420</v>
      </c>
      <c r="S689" s="32"/>
      <c r="T689" s="44">
        <v>15000000</v>
      </c>
      <c r="U689" s="32"/>
      <c r="V689" s="32"/>
      <c r="W689" s="49"/>
      <c r="X689" s="49">
        <f t="shared" ref="X689:Z689" si="693">N689-S689</f>
        <v>0</v>
      </c>
      <c r="Y689" s="49">
        <f t="shared" si="693"/>
        <v>0</v>
      </c>
      <c r="Z689" s="49">
        <f t="shared" si="693"/>
        <v>0</v>
      </c>
      <c r="AA689" s="54"/>
      <c r="AB689" s="54"/>
      <c r="AC689" s="2">
        <f t="shared" si="465"/>
        <v>2</v>
      </c>
      <c r="AD689" s="6"/>
      <c r="AE689" s="6"/>
      <c r="AF689" s="6"/>
      <c r="AG689" s="6"/>
      <c r="AH689" s="6"/>
      <c r="AI689" s="6"/>
      <c r="AJ689" s="6"/>
      <c r="AK689" s="6"/>
      <c r="AL689" s="6"/>
      <c r="AM689" s="6"/>
      <c r="AN689" s="6"/>
      <c r="AO689" s="6"/>
      <c r="AP689" s="6"/>
      <c r="AQ689" s="6"/>
      <c r="AR689" s="6"/>
      <c r="AS689" s="6"/>
    </row>
    <row r="690" spans="1:45" ht="40.5" hidden="1" x14ac:dyDescent="0.25">
      <c r="A690" s="33" t="s">
        <v>88</v>
      </c>
      <c r="B690" s="42">
        <v>570</v>
      </c>
      <c r="C690" s="33" t="s">
        <v>498</v>
      </c>
      <c r="D690" s="33" t="s">
        <v>3125</v>
      </c>
      <c r="E690" s="32"/>
      <c r="F690" s="54"/>
      <c r="G690" s="33" t="s">
        <v>3126</v>
      </c>
      <c r="H690" s="32"/>
      <c r="I690" s="32"/>
      <c r="J690" s="62" t="s">
        <v>3127</v>
      </c>
      <c r="K690" s="33" t="s">
        <v>43</v>
      </c>
      <c r="L690" s="33" t="s">
        <v>3128</v>
      </c>
      <c r="M690" s="63">
        <v>223003630</v>
      </c>
      <c r="N690" s="45"/>
      <c r="O690" s="63">
        <v>7500000</v>
      </c>
      <c r="P690" s="86"/>
      <c r="Q690" s="44">
        <f t="shared" si="463"/>
        <v>230503630</v>
      </c>
      <c r="R690" s="65">
        <v>223003630</v>
      </c>
      <c r="S690" s="32"/>
      <c r="T690" s="44">
        <v>7500000</v>
      </c>
      <c r="U690" s="32"/>
      <c r="V690" s="32"/>
      <c r="W690" s="49"/>
      <c r="X690" s="49">
        <f t="shared" ref="X690:Z690" si="694">N690-S690</f>
        <v>0</v>
      </c>
      <c r="Y690" s="49">
        <f t="shared" si="694"/>
        <v>0</v>
      </c>
      <c r="Z690" s="49">
        <f t="shared" si="694"/>
        <v>0</v>
      </c>
      <c r="AA690" s="54"/>
      <c r="AB690" s="54"/>
      <c r="AC690" s="2">
        <f t="shared" si="465"/>
        <v>2</v>
      </c>
      <c r="AD690" s="6"/>
      <c r="AE690" s="6"/>
      <c r="AF690" s="6"/>
      <c r="AG690" s="6"/>
      <c r="AH690" s="6"/>
      <c r="AI690" s="6"/>
      <c r="AJ690" s="6"/>
      <c r="AK690" s="6"/>
      <c r="AL690" s="6"/>
      <c r="AM690" s="6"/>
      <c r="AN690" s="6"/>
      <c r="AO690" s="6"/>
      <c r="AP690" s="6"/>
      <c r="AQ690" s="6"/>
      <c r="AR690" s="6"/>
      <c r="AS690" s="6"/>
    </row>
    <row r="691" spans="1:45" ht="40.5" hidden="1" x14ac:dyDescent="0.25">
      <c r="A691" s="33" t="s">
        <v>88</v>
      </c>
      <c r="B691" s="42">
        <v>571</v>
      </c>
      <c r="C691" s="33" t="s">
        <v>498</v>
      </c>
      <c r="D691" s="33" t="s">
        <v>3129</v>
      </c>
      <c r="E691" s="32"/>
      <c r="F691" s="54"/>
      <c r="G691" s="33" t="s">
        <v>3130</v>
      </c>
      <c r="H691" s="32"/>
      <c r="I691" s="32"/>
      <c r="J691" s="62" t="s">
        <v>2362</v>
      </c>
      <c r="K691" s="33" t="s">
        <v>43</v>
      </c>
      <c r="L691" s="33" t="s">
        <v>3131</v>
      </c>
      <c r="M691" s="63">
        <v>4591185242</v>
      </c>
      <c r="N691" s="45"/>
      <c r="O691" s="63">
        <v>7500000</v>
      </c>
      <c r="P691" s="86"/>
      <c r="Q691" s="44">
        <f t="shared" si="463"/>
        <v>4598685242</v>
      </c>
      <c r="R691" s="52">
        <v>4591185242</v>
      </c>
      <c r="S691" s="32"/>
      <c r="T691" s="44">
        <v>7500000</v>
      </c>
      <c r="U691" s="32"/>
      <c r="V691" s="32"/>
      <c r="W691" s="49"/>
      <c r="X691" s="49">
        <f t="shared" ref="X691:Z691" si="695">N691-S691</f>
        <v>0</v>
      </c>
      <c r="Y691" s="49">
        <f t="shared" si="695"/>
        <v>0</v>
      </c>
      <c r="Z691" s="49">
        <f t="shared" si="695"/>
        <v>0</v>
      </c>
      <c r="AA691" s="54"/>
      <c r="AB691" s="54"/>
      <c r="AC691" s="2">
        <f t="shared" si="465"/>
        <v>2</v>
      </c>
      <c r="AD691" s="6"/>
      <c r="AE691" s="6"/>
      <c r="AF691" s="6"/>
      <c r="AG691" s="6"/>
      <c r="AH691" s="6"/>
      <c r="AI691" s="6"/>
      <c r="AJ691" s="6"/>
      <c r="AK691" s="6"/>
      <c r="AL691" s="6"/>
      <c r="AM691" s="6"/>
      <c r="AN691" s="6"/>
      <c r="AO691" s="6"/>
      <c r="AP691" s="6"/>
      <c r="AQ691" s="6"/>
      <c r="AR691" s="6"/>
      <c r="AS691" s="6"/>
    </row>
    <row r="692" spans="1:45" ht="31.5" hidden="1" x14ac:dyDescent="0.25">
      <c r="A692" s="33" t="s">
        <v>52</v>
      </c>
      <c r="B692" s="42">
        <v>572</v>
      </c>
      <c r="C692" s="33" t="s">
        <v>498</v>
      </c>
      <c r="D692" s="33" t="s">
        <v>3132</v>
      </c>
      <c r="E692" s="32"/>
      <c r="F692" s="54"/>
      <c r="G692" s="33" t="s">
        <v>3133</v>
      </c>
      <c r="H692" s="32"/>
      <c r="I692" s="32"/>
      <c r="J692" s="62" t="s">
        <v>3134</v>
      </c>
      <c r="K692" s="33" t="s">
        <v>43</v>
      </c>
      <c r="L692" s="33" t="s">
        <v>3135</v>
      </c>
      <c r="M692" s="63">
        <v>1598877052</v>
      </c>
      <c r="N692" s="45"/>
      <c r="O692" s="63">
        <v>7500000</v>
      </c>
      <c r="P692" s="86"/>
      <c r="Q692" s="44">
        <f t="shared" si="463"/>
        <v>1606377052</v>
      </c>
      <c r="R692" s="65">
        <v>1598877052</v>
      </c>
      <c r="S692" s="32"/>
      <c r="T692" s="44">
        <v>7500000</v>
      </c>
      <c r="U692" s="32"/>
      <c r="V692" s="32"/>
      <c r="W692" s="49"/>
      <c r="X692" s="49">
        <f t="shared" ref="X692:Z692" si="696">N692-S692</f>
        <v>0</v>
      </c>
      <c r="Y692" s="49">
        <f t="shared" si="696"/>
        <v>0</v>
      </c>
      <c r="Z692" s="49">
        <f t="shared" si="696"/>
        <v>0</v>
      </c>
      <c r="AA692" s="54"/>
      <c r="AB692" s="54"/>
      <c r="AC692" s="2">
        <f t="shared" si="465"/>
        <v>2</v>
      </c>
      <c r="AD692" s="6"/>
      <c r="AE692" s="6"/>
      <c r="AF692" s="6"/>
      <c r="AG692" s="6"/>
      <c r="AH692" s="6"/>
      <c r="AI692" s="6"/>
      <c r="AJ692" s="6"/>
      <c r="AK692" s="6"/>
      <c r="AL692" s="6"/>
      <c r="AM692" s="6"/>
      <c r="AN692" s="6"/>
      <c r="AO692" s="6"/>
      <c r="AP692" s="6"/>
      <c r="AQ692" s="6"/>
      <c r="AR692" s="6"/>
      <c r="AS692" s="6"/>
    </row>
    <row r="693" spans="1:45" ht="31.5" hidden="1" x14ac:dyDescent="0.3">
      <c r="A693" s="33" t="s">
        <v>52</v>
      </c>
      <c r="B693" s="42">
        <v>573</v>
      </c>
      <c r="C693" s="33" t="s">
        <v>498</v>
      </c>
      <c r="D693" s="33" t="s">
        <v>3136</v>
      </c>
      <c r="E693" s="33" t="s">
        <v>3137</v>
      </c>
      <c r="F693" s="54"/>
      <c r="G693" s="33" t="s">
        <v>3138</v>
      </c>
      <c r="H693" s="33"/>
      <c r="I693" s="33"/>
      <c r="J693" s="33" t="s">
        <v>3139</v>
      </c>
      <c r="K693" s="33" t="s">
        <v>43</v>
      </c>
      <c r="L693" s="33" t="s">
        <v>3140</v>
      </c>
      <c r="M693" s="63">
        <v>4657154105</v>
      </c>
      <c r="N693" s="45"/>
      <c r="O693" s="44">
        <v>15000000</v>
      </c>
      <c r="P693" s="86"/>
      <c r="Q693" s="44">
        <f t="shared" si="463"/>
        <v>4672154105</v>
      </c>
      <c r="R693" s="32"/>
      <c r="S693" s="32"/>
      <c r="T693" s="66"/>
      <c r="U693" s="32"/>
      <c r="V693" s="32"/>
      <c r="W693" s="49">
        <v>4657154105</v>
      </c>
      <c r="X693" s="49">
        <f t="shared" ref="X693:Z693" si="697">N693-S693</f>
        <v>0</v>
      </c>
      <c r="Y693" s="52">
        <f t="shared" si="697"/>
        <v>15000000</v>
      </c>
      <c r="Z693" s="49">
        <f t="shared" si="697"/>
        <v>0</v>
      </c>
      <c r="AA693" s="98">
        <v>4657154105</v>
      </c>
      <c r="AB693" s="43"/>
      <c r="AC693" s="15">
        <f t="shared" si="465"/>
        <v>2</v>
      </c>
      <c r="AD693" s="15"/>
      <c r="AE693" s="6"/>
      <c r="AF693" s="6"/>
      <c r="AG693" s="6"/>
      <c r="AH693" s="6"/>
      <c r="AI693" s="6"/>
      <c r="AJ693" s="6"/>
      <c r="AK693" s="6"/>
      <c r="AL693" s="6"/>
      <c r="AM693" s="6"/>
      <c r="AN693" s="6"/>
      <c r="AO693" s="6"/>
      <c r="AP693" s="6"/>
      <c r="AQ693" s="6"/>
      <c r="AR693" s="6"/>
      <c r="AS693" s="6"/>
    </row>
    <row r="694" spans="1:45" ht="62.25" hidden="1" customHeight="1" x14ac:dyDescent="0.25">
      <c r="A694" s="33" t="s">
        <v>88</v>
      </c>
      <c r="B694" s="42">
        <v>574</v>
      </c>
      <c r="C694" s="33" t="s">
        <v>498</v>
      </c>
      <c r="D694" s="33" t="s">
        <v>3141</v>
      </c>
      <c r="E694" s="32"/>
      <c r="F694" s="54"/>
      <c r="G694" s="33" t="s">
        <v>3142</v>
      </c>
      <c r="H694" s="32"/>
      <c r="I694" s="32"/>
      <c r="J694" s="62" t="s">
        <v>3143</v>
      </c>
      <c r="K694" s="33" t="s">
        <v>43</v>
      </c>
      <c r="L694" s="33" t="s">
        <v>3144</v>
      </c>
      <c r="M694" s="63">
        <v>2293726938</v>
      </c>
      <c r="N694" s="45"/>
      <c r="O694" s="63">
        <v>7500000</v>
      </c>
      <c r="P694" s="86"/>
      <c r="Q694" s="44">
        <f t="shared" si="463"/>
        <v>2301226938</v>
      </c>
      <c r="R694" s="52">
        <v>2293726938</v>
      </c>
      <c r="S694" s="32"/>
      <c r="T694" s="44">
        <v>7500000</v>
      </c>
      <c r="U694" s="32"/>
      <c r="V694" s="32"/>
      <c r="W694" s="49"/>
      <c r="X694" s="49">
        <f t="shared" ref="X694:Z694" si="698">N694-S694</f>
        <v>0</v>
      </c>
      <c r="Y694" s="49">
        <f t="shared" si="698"/>
        <v>0</v>
      </c>
      <c r="Z694" s="49">
        <f t="shared" si="698"/>
        <v>0</v>
      </c>
      <c r="AA694" s="54"/>
      <c r="AB694" s="54"/>
      <c r="AC694" s="2">
        <f t="shared" si="465"/>
        <v>2</v>
      </c>
      <c r="AD694" s="6"/>
      <c r="AE694" s="6"/>
      <c r="AF694" s="6"/>
      <c r="AG694" s="6"/>
      <c r="AH694" s="6"/>
      <c r="AI694" s="6"/>
      <c r="AJ694" s="6"/>
      <c r="AK694" s="6"/>
      <c r="AL694" s="6"/>
      <c r="AM694" s="6"/>
      <c r="AN694" s="6"/>
      <c r="AO694" s="6"/>
      <c r="AP694" s="6"/>
      <c r="AQ694" s="6"/>
      <c r="AR694" s="6"/>
      <c r="AS694" s="6"/>
    </row>
    <row r="695" spans="1:45" ht="40.5" hidden="1" x14ac:dyDescent="0.25">
      <c r="A695" s="33" t="s">
        <v>88</v>
      </c>
      <c r="B695" s="42">
        <v>578</v>
      </c>
      <c r="C695" s="33" t="s">
        <v>498</v>
      </c>
      <c r="D695" s="33" t="s">
        <v>3147</v>
      </c>
      <c r="E695" s="32"/>
      <c r="F695" s="54"/>
      <c r="G695" s="33" t="s">
        <v>3148</v>
      </c>
      <c r="H695" s="32"/>
      <c r="I695" s="32"/>
      <c r="J695" s="62" t="s">
        <v>3149</v>
      </c>
      <c r="K695" s="33" t="s">
        <v>43</v>
      </c>
      <c r="L695" s="33" t="s">
        <v>3150</v>
      </c>
      <c r="M695" s="63">
        <v>2671997320</v>
      </c>
      <c r="N695" s="45"/>
      <c r="O695" s="63">
        <v>15000000</v>
      </c>
      <c r="P695" s="86"/>
      <c r="Q695" s="44">
        <f t="shared" si="463"/>
        <v>2686997320</v>
      </c>
      <c r="R695" s="52">
        <v>2671997320</v>
      </c>
      <c r="S695" s="32"/>
      <c r="T695" s="44">
        <v>15000000</v>
      </c>
      <c r="U695" s="32"/>
      <c r="V695" s="32"/>
      <c r="W695" s="49"/>
      <c r="X695" s="49">
        <f t="shared" ref="X695:Z695" si="699">N695-S695</f>
        <v>0</v>
      </c>
      <c r="Y695" s="49">
        <f t="shared" si="699"/>
        <v>0</v>
      </c>
      <c r="Z695" s="49">
        <f t="shared" si="699"/>
        <v>0</v>
      </c>
      <c r="AA695" s="54"/>
      <c r="AB695" s="54"/>
      <c r="AC695" s="2">
        <f t="shared" si="465"/>
        <v>2</v>
      </c>
      <c r="AD695" s="6"/>
      <c r="AE695" s="6"/>
      <c r="AF695" s="6"/>
      <c r="AG695" s="6"/>
      <c r="AH695" s="6"/>
      <c r="AI695" s="6"/>
      <c r="AJ695" s="6"/>
      <c r="AK695" s="6"/>
      <c r="AL695" s="6"/>
      <c r="AM695" s="6"/>
      <c r="AN695" s="6"/>
      <c r="AO695" s="6"/>
      <c r="AP695" s="6"/>
      <c r="AQ695" s="6"/>
      <c r="AR695" s="6"/>
      <c r="AS695" s="6"/>
    </row>
    <row r="696" spans="1:45" ht="140.25" hidden="1" customHeight="1" x14ac:dyDescent="0.25">
      <c r="A696" s="33" t="s">
        <v>88</v>
      </c>
      <c r="B696" s="42">
        <v>579</v>
      </c>
      <c r="C696" s="33" t="s">
        <v>498</v>
      </c>
      <c r="D696" s="33" t="s">
        <v>3151</v>
      </c>
      <c r="E696" s="33" t="s">
        <v>3152</v>
      </c>
      <c r="F696" s="54"/>
      <c r="G696" s="33" t="s">
        <v>3153</v>
      </c>
      <c r="H696" s="33" t="s">
        <v>1125</v>
      </c>
      <c r="I696" s="32"/>
      <c r="J696" s="62" t="s">
        <v>3154</v>
      </c>
      <c r="K696" s="33" t="s">
        <v>43</v>
      </c>
      <c r="L696" s="33" t="s">
        <v>3155</v>
      </c>
      <c r="M696" s="63">
        <v>68554474200</v>
      </c>
      <c r="N696" s="63">
        <v>6111803210</v>
      </c>
      <c r="O696" s="63">
        <v>7500000</v>
      </c>
      <c r="P696" s="86"/>
      <c r="Q696" s="44">
        <f t="shared" si="463"/>
        <v>74673777410</v>
      </c>
      <c r="R696" s="52">
        <v>68554474200</v>
      </c>
      <c r="S696" s="48">
        <v>6111803210</v>
      </c>
      <c r="T696" s="44">
        <v>7500000</v>
      </c>
      <c r="U696" s="32"/>
      <c r="V696" s="32"/>
      <c r="W696" s="49"/>
      <c r="X696" s="49">
        <f t="shared" ref="X696:Z696" si="700">N696-S696</f>
        <v>0</v>
      </c>
      <c r="Y696" s="49">
        <f t="shared" si="700"/>
        <v>0</v>
      </c>
      <c r="Z696" s="49">
        <f t="shared" si="700"/>
        <v>0</v>
      </c>
      <c r="AA696" s="54"/>
      <c r="AB696" s="54"/>
      <c r="AC696" s="2">
        <f t="shared" si="465"/>
        <v>2</v>
      </c>
      <c r="AD696" s="6"/>
      <c r="AE696" s="6"/>
      <c r="AF696" s="6"/>
      <c r="AG696" s="6"/>
      <c r="AH696" s="6"/>
      <c r="AI696" s="6"/>
      <c r="AJ696" s="6"/>
      <c r="AK696" s="6"/>
      <c r="AL696" s="6"/>
      <c r="AM696" s="6"/>
      <c r="AN696" s="6"/>
      <c r="AO696" s="6"/>
      <c r="AP696" s="6"/>
      <c r="AQ696" s="6"/>
      <c r="AR696" s="6"/>
      <c r="AS696" s="6"/>
    </row>
    <row r="697" spans="1:45" ht="42" hidden="1" customHeight="1" x14ac:dyDescent="0.25">
      <c r="A697" s="33" t="s">
        <v>275</v>
      </c>
      <c r="B697" s="42">
        <v>580</v>
      </c>
      <c r="C697" s="33" t="s">
        <v>498</v>
      </c>
      <c r="D697" s="33" t="s">
        <v>3156</v>
      </c>
      <c r="E697" s="33"/>
      <c r="F697" s="54"/>
      <c r="G697" s="33" t="s">
        <v>3157</v>
      </c>
      <c r="H697" s="110" t="s">
        <v>3158</v>
      </c>
      <c r="I697" s="33"/>
      <c r="J697" s="33" t="s">
        <v>1704</v>
      </c>
      <c r="K697" s="33" t="s">
        <v>43</v>
      </c>
      <c r="L697" s="33" t="s">
        <v>3159</v>
      </c>
      <c r="M697" s="63">
        <v>1711695248</v>
      </c>
      <c r="N697" s="45"/>
      <c r="O697" s="44">
        <v>7500000</v>
      </c>
      <c r="P697" s="86"/>
      <c r="Q697" s="44">
        <f t="shared" si="463"/>
        <v>1719195248</v>
      </c>
      <c r="R697" s="65">
        <v>1711695248</v>
      </c>
      <c r="S697" s="32"/>
      <c r="T697" s="66"/>
      <c r="U697" s="32"/>
      <c r="V697" s="32"/>
      <c r="W697" s="49"/>
      <c r="X697" s="49">
        <f t="shared" ref="X697:Z697" si="701">N697-S697</f>
        <v>0</v>
      </c>
      <c r="Y697" s="52">
        <f t="shared" si="701"/>
        <v>7500000</v>
      </c>
      <c r="Z697" s="49">
        <f t="shared" si="701"/>
        <v>0</v>
      </c>
      <c r="AA697" s="54"/>
      <c r="AB697" s="43"/>
      <c r="AC697" s="15">
        <f t="shared" si="465"/>
        <v>2</v>
      </c>
      <c r="AD697" s="15"/>
      <c r="AE697" s="6"/>
      <c r="AF697" s="6"/>
      <c r="AG697" s="6"/>
      <c r="AH697" s="6"/>
      <c r="AI697" s="6"/>
      <c r="AJ697" s="6"/>
      <c r="AK697" s="6"/>
      <c r="AL697" s="6"/>
      <c r="AM697" s="6"/>
      <c r="AN697" s="6"/>
      <c r="AO697" s="6"/>
      <c r="AP697" s="6"/>
      <c r="AQ697" s="6"/>
      <c r="AR697" s="6"/>
      <c r="AS697" s="6"/>
    </row>
    <row r="698" spans="1:45" ht="31.5" hidden="1" x14ac:dyDescent="0.25">
      <c r="A698" s="33" t="s">
        <v>88</v>
      </c>
      <c r="B698" s="42">
        <v>581</v>
      </c>
      <c r="C698" s="33" t="s">
        <v>498</v>
      </c>
      <c r="D698" s="33" t="s">
        <v>3160</v>
      </c>
      <c r="E698" s="32"/>
      <c r="F698" s="54"/>
      <c r="G698" s="33" t="s">
        <v>3161</v>
      </c>
      <c r="H698" s="32"/>
      <c r="I698" s="32"/>
      <c r="J698" s="62" t="s">
        <v>3162</v>
      </c>
      <c r="K698" s="33" t="s">
        <v>43</v>
      </c>
      <c r="L698" s="33" t="s">
        <v>3163</v>
      </c>
      <c r="M698" s="63">
        <v>7112339220</v>
      </c>
      <c r="N698" s="45"/>
      <c r="O698" s="63">
        <v>7500000</v>
      </c>
      <c r="P698" s="86"/>
      <c r="Q698" s="44">
        <f t="shared" si="463"/>
        <v>7119839220</v>
      </c>
      <c r="R698" s="52">
        <v>7112339220</v>
      </c>
      <c r="S698" s="32"/>
      <c r="T698" s="45">
        <v>7500000</v>
      </c>
      <c r="U698" s="32"/>
      <c r="V698" s="32"/>
      <c r="W698" s="49"/>
      <c r="X698" s="49">
        <f t="shared" ref="X698:Z698" si="702">N698-S698</f>
        <v>0</v>
      </c>
      <c r="Y698" s="49">
        <f t="shared" si="702"/>
        <v>0</v>
      </c>
      <c r="Z698" s="49">
        <f t="shared" si="702"/>
        <v>0</v>
      </c>
      <c r="AA698" s="54"/>
      <c r="AB698" s="54"/>
      <c r="AC698" s="2">
        <f t="shared" si="465"/>
        <v>2</v>
      </c>
      <c r="AD698" s="6"/>
      <c r="AE698" s="6"/>
      <c r="AF698" s="6"/>
      <c r="AG698" s="6"/>
      <c r="AH698" s="6"/>
      <c r="AI698" s="6"/>
      <c r="AJ698" s="6"/>
      <c r="AK698" s="6"/>
      <c r="AL698" s="6"/>
      <c r="AM698" s="6"/>
      <c r="AN698" s="6"/>
      <c r="AO698" s="6"/>
      <c r="AP698" s="6"/>
      <c r="AQ698" s="6"/>
      <c r="AR698" s="6"/>
      <c r="AS698" s="6"/>
    </row>
    <row r="699" spans="1:45" ht="47.25" hidden="1" x14ac:dyDescent="0.25">
      <c r="A699" s="33" t="s">
        <v>60</v>
      </c>
      <c r="B699" s="42">
        <v>583</v>
      </c>
      <c r="C699" s="33" t="s">
        <v>498</v>
      </c>
      <c r="D699" s="33" t="s">
        <v>3164</v>
      </c>
      <c r="E699" s="33"/>
      <c r="F699" s="54"/>
      <c r="G699" s="33" t="s">
        <v>3165</v>
      </c>
      <c r="H699" s="33"/>
      <c r="I699" s="33"/>
      <c r="J699" s="33" t="s">
        <v>3166</v>
      </c>
      <c r="K699" s="33" t="s">
        <v>43</v>
      </c>
      <c r="L699" s="33" t="s">
        <v>3167</v>
      </c>
      <c r="M699" s="63">
        <v>10795952385</v>
      </c>
      <c r="N699" s="45"/>
      <c r="O699" s="44">
        <v>7500000</v>
      </c>
      <c r="P699" s="86"/>
      <c r="Q699" s="44">
        <f t="shared" si="463"/>
        <v>10803452385</v>
      </c>
      <c r="R699" s="65">
        <v>10795952385</v>
      </c>
      <c r="S699" s="32"/>
      <c r="T699" s="66"/>
      <c r="U699" s="32"/>
      <c r="V699" s="32"/>
      <c r="W699" s="49"/>
      <c r="X699" s="49">
        <f t="shared" ref="X699:Z699" si="703">N699-S699</f>
        <v>0</v>
      </c>
      <c r="Y699" s="52">
        <f t="shared" si="703"/>
        <v>7500000</v>
      </c>
      <c r="Z699" s="49">
        <f t="shared" si="703"/>
        <v>0</v>
      </c>
      <c r="AA699" s="54"/>
      <c r="AB699" s="43"/>
      <c r="AC699" s="15">
        <f t="shared" si="465"/>
        <v>2</v>
      </c>
      <c r="AD699" s="15"/>
      <c r="AE699" s="6"/>
      <c r="AF699" s="6"/>
      <c r="AG699" s="6"/>
      <c r="AH699" s="6"/>
      <c r="AI699" s="6"/>
      <c r="AJ699" s="6"/>
      <c r="AK699" s="6"/>
      <c r="AL699" s="6"/>
      <c r="AM699" s="6"/>
      <c r="AN699" s="6"/>
      <c r="AO699" s="6"/>
      <c r="AP699" s="6"/>
      <c r="AQ699" s="6"/>
      <c r="AR699" s="6"/>
      <c r="AS699" s="6"/>
    </row>
    <row r="700" spans="1:45" ht="62.25" hidden="1" customHeight="1" x14ac:dyDescent="0.25">
      <c r="A700" s="33" t="s">
        <v>275</v>
      </c>
      <c r="B700" s="42">
        <v>584</v>
      </c>
      <c r="C700" s="33" t="s">
        <v>498</v>
      </c>
      <c r="D700" s="33" t="s">
        <v>3168</v>
      </c>
      <c r="E700" s="32"/>
      <c r="F700" s="54"/>
      <c r="G700" s="33" t="s">
        <v>3169</v>
      </c>
      <c r="H700" s="32"/>
      <c r="I700" s="32"/>
      <c r="J700" s="62" t="s">
        <v>3170</v>
      </c>
      <c r="K700" s="33" t="s">
        <v>43</v>
      </c>
      <c r="L700" s="33" t="s">
        <v>3171</v>
      </c>
      <c r="M700" s="63">
        <v>2819871600</v>
      </c>
      <c r="N700" s="45"/>
      <c r="O700" s="63">
        <v>7500000</v>
      </c>
      <c r="P700" s="86"/>
      <c r="Q700" s="44">
        <f t="shared" si="463"/>
        <v>2827371600</v>
      </c>
      <c r="R700" s="65">
        <v>2819871600</v>
      </c>
      <c r="S700" s="32"/>
      <c r="T700" s="45">
        <v>7500000</v>
      </c>
      <c r="U700" s="32"/>
      <c r="V700" s="32"/>
      <c r="W700" s="49"/>
      <c r="X700" s="49">
        <f t="shared" ref="X700:Z700" si="704">N700-S700</f>
        <v>0</v>
      </c>
      <c r="Y700" s="49">
        <f t="shared" si="704"/>
        <v>0</v>
      </c>
      <c r="Z700" s="49">
        <f t="shared" si="704"/>
        <v>0</v>
      </c>
      <c r="AA700" s="54"/>
      <c r="AB700" s="54"/>
      <c r="AC700" s="2">
        <f t="shared" si="465"/>
        <v>2</v>
      </c>
      <c r="AD700" s="6"/>
      <c r="AE700" s="6"/>
      <c r="AF700" s="6"/>
      <c r="AG700" s="6"/>
      <c r="AH700" s="6"/>
      <c r="AI700" s="6"/>
      <c r="AJ700" s="6"/>
      <c r="AK700" s="6"/>
      <c r="AL700" s="6"/>
      <c r="AM700" s="6"/>
      <c r="AN700" s="6"/>
      <c r="AO700" s="6"/>
      <c r="AP700" s="6"/>
      <c r="AQ700" s="6"/>
      <c r="AR700" s="6"/>
      <c r="AS700" s="6"/>
    </row>
    <row r="701" spans="1:45" ht="40.5" hidden="1" x14ac:dyDescent="0.25">
      <c r="A701" s="33" t="s">
        <v>60</v>
      </c>
      <c r="B701" s="42">
        <v>585</v>
      </c>
      <c r="C701" s="33" t="s">
        <v>498</v>
      </c>
      <c r="D701" s="33" t="s">
        <v>3172</v>
      </c>
      <c r="E701" s="32"/>
      <c r="F701" s="54"/>
      <c r="G701" s="33" t="s">
        <v>3173</v>
      </c>
      <c r="H701" s="32"/>
      <c r="I701" s="32"/>
      <c r="J701" s="62" t="s">
        <v>3174</v>
      </c>
      <c r="K701" s="33" t="s">
        <v>43</v>
      </c>
      <c r="L701" s="33" t="s">
        <v>3175</v>
      </c>
      <c r="M701" s="63">
        <v>22402051899</v>
      </c>
      <c r="N701" s="45"/>
      <c r="O701" s="63">
        <v>15000000</v>
      </c>
      <c r="P701" s="86"/>
      <c r="Q701" s="44">
        <f t="shared" si="463"/>
        <v>22417051899</v>
      </c>
      <c r="R701" s="65">
        <v>22402051899</v>
      </c>
      <c r="S701" s="32"/>
      <c r="T701" s="44">
        <v>15000000</v>
      </c>
      <c r="U701" s="32"/>
      <c r="V701" s="32"/>
      <c r="W701" s="49"/>
      <c r="X701" s="49">
        <f t="shared" ref="X701:Z701" si="705">N701-S701</f>
        <v>0</v>
      </c>
      <c r="Y701" s="49">
        <f t="shared" si="705"/>
        <v>0</v>
      </c>
      <c r="Z701" s="49">
        <f t="shared" si="705"/>
        <v>0</v>
      </c>
      <c r="AA701" s="54"/>
      <c r="AB701" s="54"/>
      <c r="AC701" s="2">
        <f t="shared" si="465"/>
        <v>2</v>
      </c>
      <c r="AD701" s="6"/>
      <c r="AE701" s="6"/>
      <c r="AF701" s="6"/>
      <c r="AG701" s="6"/>
      <c r="AH701" s="6"/>
      <c r="AI701" s="6"/>
      <c r="AJ701" s="6"/>
      <c r="AK701" s="6"/>
      <c r="AL701" s="6"/>
      <c r="AM701" s="6"/>
      <c r="AN701" s="6"/>
      <c r="AO701" s="6"/>
      <c r="AP701" s="6"/>
      <c r="AQ701" s="6"/>
      <c r="AR701" s="6"/>
      <c r="AS701" s="6"/>
    </row>
    <row r="702" spans="1:45" ht="62.25" hidden="1" customHeight="1" x14ac:dyDescent="0.25">
      <c r="A702" s="33" t="s">
        <v>275</v>
      </c>
      <c r="B702" s="42">
        <v>587</v>
      </c>
      <c r="C702" s="33" t="s">
        <v>498</v>
      </c>
      <c r="D702" s="33" t="s">
        <v>3176</v>
      </c>
      <c r="E702" s="33" t="s">
        <v>1993</v>
      </c>
      <c r="F702" s="54"/>
      <c r="G702" s="33" t="s">
        <v>3177</v>
      </c>
      <c r="H702" s="32"/>
      <c r="I702" s="32"/>
      <c r="J702" s="62" t="s">
        <v>3178</v>
      </c>
      <c r="K702" s="33" t="s">
        <v>43</v>
      </c>
      <c r="L702" s="33" t="s">
        <v>3179</v>
      </c>
      <c r="M702" s="63">
        <v>1123628598</v>
      </c>
      <c r="N702" s="63">
        <v>258107850</v>
      </c>
      <c r="O702" s="63">
        <v>7500000</v>
      </c>
      <c r="P702" s="86"/>
      <c r="Q702" s="44">
        <f t="shared" si="463"/>
        <v>1389236448</v>
      </c>
      <c r="R702" s="65">
        <v>1123628598</v>
      </c>
      <c r="S702" s="48">
        <v>258107850</v>
      </c>
      <c r="T702" s="63">
        <v>7500000</v>
      </c>
      <c r="U702" s="32"/>
      <c r="V702" s="32"/>
      <c r="W702" s="49"/>
      <c r="X702" s="49">
        <f t="shared" ref="X702:Z702" si="706">N702-S702</f>
        <v>0</v>
      </c>
      <c r="Y702" s="49">
        <f t="shared" si="706"/>
        <v>0</v>
      </c>
      <c r="Z702" s="49">
        <f t="shared" si="706"/>
        <v>0</v>
      </c>
      <c r="AA702" s="54"/>
      <c r="AB702" s="54"/>
      <c r="AC702" s="2">
        <f t="shared" si="465"/>
        <v>2</v>
      </c>
      <c r="AD702" s="6"/>
      <c r="AE702" s="6"/>
      <c r="AF702" s="6"/>
      <c r="AG702" s="6"/>
      <c r="AH702" s="6"/>
      <c r="AI702" s="6"/>
      <c r="AJ702" s="6"/>
      <c r="AK702" s="6"/>
      <c r="AL702" s="6"/>
      <c r="AM702" s="6"/>
      <c r="AN702" s="6"/>
      <c r="AO702" s="6"/>
      <c r="AP702" s="6"/>
      <c r="AQ702" s="6"/>
      <c r="AR702" s="6"/>
      <c r="AS702" s="6"/>
    </row>
    <row r="703" spans="1:45" ht="40.5" hidden="1" x14ac:dyDescent="0.25">
      <c r="A703" s="33" t="s">
        <v>88</v>
      </c>
      <c r="B703" s="42">
        <v>588</v>
      </c>
      <c r="C703" s="33" t="s">
        <v>498</v>
      </c>
      <c r="D703" s="33" t="s">
        <v>3180</v>
      </c>
      <c r="E703" s="33" t="s">
        <v>1993</v>
      </c>
      <c r="F703" s="54"/>
      <c r="G703" s="33" t="s">
        <v>3181</v>
      </c>
      <c r="H703" s="32"/>
      <c r="I703" s="32"/>
      <c r="J703" s="62" t="s">
        <v>3182</v>
      </c>
      <c r="K703" s="33" t="s">
        <v>43</v>
      </c>
      <c r="L703" s="33" t="s">
        <v>3183</v>
      </c>
      <c r="M703" s="63">
        <v>289367750</v>
      </c>
      <c r="N703" s="63">
        <v>66783150</v>
      </c>
      <c r="O703" s="63">
        <v>7500000</v>
      </c>
      <c r="P703" s="86"/>
      <c r="Q703" s="44">
        <f t="shared" si="463"/>
        <v>363650900</v>
      </c>
      <c r="R703" s="65">
        <v>289367750</v>
      </c>
      <c r="S703" s="65">
        <v>66783150</v>
      </c>
      <c r="T703" s="63">
        <v>7500000</v>
      </c>
      <c r="U703" s="32"/>
      <c r="V703" s="32"/>
      <c r="W703" s="49"/>
      <c r="X703" s="49">
        <f t="shared" ref="X703:Z703" si="707">N703-S703</f>
        <v>0</v>
      </c>
      <c r="Y703" s="49">
        <f t="shared" si="707"/>
        <v>0</v>
      </c>
      <c r="Z703" s="49">
        <f t="shared" si="707"/>
        <v>0</v>
      </c>
      <c r="AA703" s="54"/>
      <c r="AB703" s="54"/>
      <c r="AC703" s="2">
        <f t="shared" si="465"/>
        <v>2</v>
      </c>
      <c r="AD703" s="6"/>
      <c r="AE703" s="6"/>
      <c r="AF703" s="6"/>
      <c r="AG703" s="6"/>
      <c r="AH703" s="6"/>
      <c r="AI703" s="6"/>
      <c r="AJ703" s="6"/>
      <c r="AK703" s="6"/>
      <c r="AL703" s="6"/>
      <c r="AM703" s="6"/>
      <c r="AN703" s="6"/>
      <c r="AO703" s="6"/>
      <c r="AP703" s="6"/>
      <c r="AQ703" s="6"/>
      <c r="AR703" s="6"/>
      <c r="AS703" s="6"/>
    </row>
    <row r="704" spans="1:45" ht="31.5" hidden="1" x14ac:dyDescent="0.25">
      <c r="A704" s="33" t="s">
        <v>52</v>
      </c>
      <c r="B704" s="42">
        <v>590</v>
      </c>
      <c r="C704" s="33" t="s">
        <v>498</v>
      </c>
      <c r="D704" s="33" t="s">
        <v>3185</v>
      </c>
      <c r="E704" s="32"/>
      <c r="F704" s="54"/>
      <c r="G704" s="33" t="s">
        <v>3186</v>
      </c>
      <c r="H704" s="32"/>
      <c r="I704" s="32"/>
      <c r="J704" s="62" t="s">
        <v>3187</v>
      </c>
      <c r="K704" s="33" t="s">
        <v>43</v>
      </c>
      <c r="L704" s="33" t="s">
        <v>3188</v>
      </c>
      <c r="M704" s="63">
        <v>1667596776</v>
      </c>
      <c r="N704" s="45"/>
      <c r="O704" s="63">
        <v>7500000</v>
      </c>
      <c r="P704" s="86"/>
      <c r="Q704" s="44">
        <f t="shared" si="463"/>
        <v>1675096776</v>
      </c>
      <c r="R704" s="65">
        <v>1667596776</v>
      </c>
      <c r="S704" s="32"/>
      <c r="T704" s="63">
        <v>7500000</v>
      </c>
      <c r="U704" s="32"/>
      <c r="V704" s="32"/>
      <c r="W704" s="49"/>
      <c r="X704" s="49">
        <f t="shared" ref="X704:Z704" si="708">N704-S704</f>
        <v>0</v>
      </c>
      <c r="Y704" s="49">
        <f t="shared" si="708"/>
        <v>0</v>
      </c>
      <c r="Z704" s="49">
        <f t="shared" si="708"/>
        <v>0</v>
      </c>
      <c r="AA704" s="54"/>
      <c r="AB704" s="54"/>
      <c r="AC704" s="2">
        <f t="shared" si="465"/>
        <v>2</v>
      </c>
      <c r="AD704" s="6"/>
      <c r="AE704" s="6"/>
      <c r="AF704" s="6"/>
      <c r="AG704" s="6"/>
      <c r="AH704" s="6"/>
      <c r="AI704" s="6"/>
      <c r="AJ704" s="6"/>
      <c r="AK704" s="6"/>
      <c r="AL704" s="6"/>
      <c r="AM704" s="6"/>
      <c r="AN704" s="6"/>
      <c r="AO704" s="6"/>
      <c r="AP704" s="6"/>
      <c r="AQ704" s="6"/>
      <c r="AR704" s="6"/>
      <c r="AS704" s="6"/>
    </row>
    <row r="705" spans="1:45" ht="62.25" hidden="1" customHeight="1" x14ac:dyDescent="0.25">
      <c r="A705" s="33" t="s">
        <v>88</v>
      </c>
      <c r="B705" s="42">
        <v>593</v>
      </c>
      <c r="C705" s="33" t="s">
        <v>498</v>
      </c>
      <c r="D705" s="33" t="s">
        <v>3191</v>
      </c>
      <c r="E705" s="32"/>
      <c r="F705" s="54"/>
      <c r="G705" s="33" t="s">
        <v>3192</v>
      </c>
      <c r="H705" s="32"/>
      <c r="I705" s="32"/>
      <c r="J705" s="62" t="s">
        <v>3193</v>
      </c>
      <c r="K705" s="33" t="s">
        <v>43</v>
      </c>
      <c r="L705" s="33" t="s">
        <v>3194</v>
      </c>
      <c r="M705" s="63">
        <v>4657447500</v>
      </c>
      <c r="N705" s="45"/>
      <c r="O705" s="63">
        <v>7500000</v>
      </c>
      <c r="P705" s="86"/>
      <c r="Q705" s="44">
        <f t="shared" si="463"/>
        <v>4664947500</v>
      </c>
      <c r="R705" s="65">
        <v>4657447500</v>
      </c>
      <c r="S705" s="32"/>
      <c r="T705" s="63">
        <v>7500000</v>
      </c>
      <c r="U705" s="32"/>
      <c r="V705" s="32"/>
      <c r="W705" s="49"/>
      <c r="X705" s="49">
        <f t="shared" ref="X705:Z705" si="709">N705-S705</f>
        <v>0</v>
      </c>
      <c r="Y705" s="49">
        <f t="shared" si="709"/>
        <v>0</v>
      </c>
      <c r="Z705" s="49">
        <f t="shared" si="709"/>
        <v>0</v>
      </c>
      <c r="AA705" s="54"/>
      <c r="AB705" s="54"/>
      <c r="AC705" s="2">
        <f t="shared" si="465"/>
        <v>2</v>
      </c>
      <c r="AD705" s="6"/>
      <c r="AE705" s="6"/>
      <c r="AF705" s="6"/>
      <c r="AG705" s="6"/>
      <c r="AH705" s="6"/>
      <c r="AI705" s="6"/>
      <c r="AJ705" s="6"/>
      <c r="AK705" s="6"/>
      <c r="AL705" s="6"/>
      <c r="AM705" s="6"/>
      <c r="AN705" s="6"/>
      <c r="AO705" s="6"/>
      <c r="AP705" s="6"/>
      <c r="AQ705" s="6"/>
      <c r="AR705" s="6"/>
      <c r="AS705" s="6"/>
    </row>
    <row r="706" spans="1:45" ht="40.5" hidden="1" x14ac:dyDescent="0.25">
      <c r="A706" s="33" t="s">
        <v>88</v>
      </c>
      <c r="B706" s="42">
        <v>594</v>
      </c>
      <c r="C706" s="33" t="s">
        <v>498</v>
      </c>
      <c r="D706" s="33" t="s">
        <v>3195</v>
      </c>
      <c r="E706" s="32"/>
      <c r="F706" s="54"/>
      <c r="G706" s="33" t="s">
        <v>3196</v>
      </c>
      <c r="H706" s="32"/>
      <c r="I706" s="32"/>
      <c r="J706" s="62" t="s">
        <v>1064</v>
      </c>
      <c r="K706" s="33" t="s">
        <v>43</v>
      </c>
      <c r="L706" s="33" t="s">
        <v>3197</v>
      </c>
      <c r="M706" s="63">
        <v>3031671576</v>
      </c>
      <c r="N706" s="45"/>
      <c r="O706" s="63">
        <v>15000000</v>
      </c>
      <c r="P706" s="86"/>
      <c r="Q706" s="44">
        <f t="shared" si="463"/>
        <v>3046671576</v>
      </c>
      <c r="R706" s="52">
        <v>3031671576</v>
      </c>
      <c r="S706" s="32"/>
      <c r="T706" s="44">
        <v>15000000</v>
      </c>
      <c r="U706" s="32"/>
      <c r="V706" s="32"/>
      <c r="W706" s="49"/>
      <c r="X706" s="49">
        <f t="shared" ref="X706:Z706" si="710">N706-S706</f>
        <v>0</v>
      </c>
      <c r="Y706" s="49">
        <f t="shared" si="710"/>
        <v>0</v>
      </c>
      <c r="Z706" s="49">
        <f t="shared" si="710"/>
        <v>0</v>
      </c>
      <c r="AA706" s="54"/>
      <c r="AB706" s="54"/>
      <c r="AC706" s="2">
        <f t="shared" si="465"/>
        <v>2</v>
      </c>
      <c r="AD706" s="6"/>
      <c r="AE706" s="6"/>
      <c r="AF706" s="6"/>
      <c r="AG706" s="6"/>
      <c r="AH706" s="6"/>
      <c r="AI706" s="6"/>
      <c r="AJ706" s="6"/>
      <c r="AK706" s="6"/>
      <c r="AL706" s="6"/>
      <c r="AM706" s="6"/>
      <c r="AN706" s="6"/>
      <c r="AO706" s="6"/>
      <c r="AP706" s="6"/>
      <c r="AQ706" s="6"/>
      <c r="AR706" s="6"/>
      <c r="AS706" s="6"/>
    </row>
    <row r="707" spans="1:45" ht="78" hidden="1" customHeight="1" x14ac:dyDescent="0.25">
      <c r="A707" s="33" t="s">
        <v>35</v>
      </c>
      <c r="B707" s="42">
        <v>595</v>
      </c>
      <c r="C707" s="33" t="s">
        <v>498</v>
      </c>
      <c r="D707" s="33" t="s">
        <v>3198</v>
      </c>
      <c r="E707" s="32"/>
      <c r="F707" s="54"/>
      <c r="G707" s="33" t="s">
        <v>3199</v>
      </c>
      <c r="H707" s="32"/>
      <c r="I707" s="32"/>
      <c r="J707" s="62" t="s">
        <v>3200</v>
      </c>
      <c r="K707" s="33" t="s">
        <v>43</v>
      </c>
      <c r="L707" s="33" t="s">
        <v>3201</v>
      </c>
      <c r="M707" s="63">
        <v>3664053620</v>
      </c>
      <c r="N707" s="45"/>
      <c r="O707" s="63">
        <v>15000000</v>
      </c>
      <c r="P707" s="86"/>
      <c r="Q707" s="44">
        <f t="shared" si="463"/>
        <v>3679053620</v>
      </c>
      <c r="R707" s="65">
        <v>3664053620</v>
      </c>
      <c r="S707" s="32"/>
      <c r="T707" s="44">
        <v>15000000</v>
      </c>
      <c r="U707" s="32"/>
      <c r="V707" s="32"/>
      <c r="W707" s="49"/>
      <c r="X707" s="49">
        <f t="shared" ref="X707:Z707" si="711">N707-S707</f>
        <v>0</v>
      </c>
      <c r="Y707" s="49">
        <f t="shared" si="711"/>
        <v>0</v>
      </c>
      <c r="Z707" s="49">
        <f t="shared" si="711"/>
        <v>0</v>
      </c>
      <c r="AA707" s="54"/>
      <c r="AB707" s="54"/>
      <c r="AC707" s="2">
        <f t="shared" si="465"/>
        <v>2</v>
      </c>
      <c r="AD707" s="6"/>
      <c r="AE707" s="6"/>
      <c r="AF707" s="6"/>
      <c r="AG707" s="6"/>
      <c r="AH707" s="6"/>
      <c r="AI707" s="6"/>
      <c r="AJ707" s="6"/>
      <c r="AK707" s="6"/>
      <c r="AL707" s="6"/>
      <c r="AM707" s="6"/>
      <c r="AN707" s="6"/>
      <c r="AO707" s="6"/>
      <c r="AP707" s="6"/>
      <c r="AQ707" s="6"/>
      <c r="AR707" s="6"/>
      <c r="AS707" s="6"/>
    </row>
    <row r="708" spans="1:45" ht="31.5" hidden="1" x14ac:dyDescent="0.25">
      <c r="A708" s="33" t="s">
        <v>60</v>
      </c>
      <c r="B708" s="42">
        <v>596</v>
      </c>
      <c r="C708" s="33" t="s">
        <v>498</v>
      </c>
      <c r="D708" s="33" t="s">
        <v>3202</v>
      </c>
      <c r="E708" s="32"/>
      <c r="F708" s="54"/>
      <c r="G708" s="33" t="s">
        <v>3203</v>
      </c>
      <c r="H708" s="32"/>
      <c r="I708" s="32"/>
      <c r="J708" s="62" t="s">
        <v>3204</v>
      </c>
      <c r="K708" s="33" t="s">
        <v>43</v>
      </c>
      <c r="L708" s="33" t="s">
        <v>3206</v>
      </c>
      <c r="M708" s="63">
        <v>4539694518</v>
      </c>
      <c r="N708" s="45"/>
      <c r="O708" s="63">
        <v>15000000</v>
      </c>
      <c r="P708" s="86"/>
      <c r="Q708" s="44">
        <f t="shared" si="463"/>
        <v>4554694518</v>
      </c>
      <c r="R708" s="65">
        <v>4539694518</v>
      </c>
      <c r="S708" s="32"/>
      <c r="T708" s="44">
        <v>15000000</v>
      </c>
      <c r="U708" s="32"/>
      <c r="V708" s="32"/>
      <c r="W708" s="49"/>
      <c r="X708" s="49">
        <f t="shared" ref="X708:Z708" si="712">N708-S708</f>
        <v>0</v>
      </c>
      <c r="Y708" s="49">
        <f t="shared" si="712"/>
        <v>0</v>
      </c>
      <c r="Z708" s="49">
        <f t="shared" si="712"/>
        <v>0</v>
      </c>
      <c r="AA708" s="54"/>
      <c r="AB708" s="54"/>
      <c r="AC708" s="2">
        <f t="shared" si="465"/>
        <v>2</v>
      </c>
      <c r="AD708" s="6"/>
      <c r="AE708" s="6"/>
      <c r="AF708" s="6"/>
      <c r="AG708" s="6"/>
      <c r="AH708" s="6"/>
      <c r="AI708" s="6"/>
      <c r="AJ708" s="6"/>
      <c r="AK708" s="6"/>
      <c r="AL708" s="6"/>
      <c r="AM708" s="6"/>
      <c r="AN708" s="6"/>
      <c r="AO708" s="6"/>
      <c r="AP708" s="6"/>
      <c r="AQ708" s="6"/>
      <c r="AR708" s="6"/>
      <c r="AS708" s="6"/>
    </row>
    <row r="709" spans="1:45" ht="40.5" hidden="1" x14ac:dyDescent="0.25">
      <c r="A709" s="33" t="s">
        <v>60</v>
      </c>
      <c r="B709" s="42">
        <v>598</v>
      </c>
      <c r="C709" s="33" t="s">
        <v>498</v>
      </c>
      <c r="D709" s="33" t="s">
        <v>3207</v>
      </c>
      <c r="E709" s="32"/>
      <c r="F709" s="54"/>
      <c r="G709" s="33" t="s">
        <v>3208</v>
      </c>
      <c r="H709" s="32"/>
      <c r="I709" s="32"/>
      <c r="J709" s="62" t="s">
        <v>3209</v>
      </c>
      <c r="K709" s="33" t="s">
        <v>43</v>
      </c>
      <c r="L709" s="33" t="s">
        <v>242</v>
      </c>
      <c r="M709" s="63">
        <v>1167043337</v>
      </c>
      <c r="N709" s="45"/>
      <c r="O709" s="63">
        <v>15000000</v>
      </c>
      <c r="P709" s="86"/>
      <c r="Q709" s="44">
        <f t="shared" si="463"/>
        <v>1182043337</v>
      </c>
      <c r="R709" s="65">
        <v>1167043337</v>
      </c>
      <c r="S709" s="32"/>
      <c r="T709" s="44">
        <v>15000000</v>
      </c>
      <c r="U709" s="32"/>
      <c r="V709" s="32"/>
      <c r="W709" s="49"/>
      <c r="X709" s="49">
        <f t="shared" ref="X709:Z709" si="713">N709-S709</f>
        <v>0</v>
      </c>
      <c r="Y709" s="49">
        <f t="shared" si="713"/>
        <v>0</v>
      </c>
      <c r="Z709" s="49">
        <f t="shared" si="713"/>
        <v>0</v>
      </c>
      <c r="AA709" s="54"/>
      <c r="AB709" s="54"/>
      <c r="AC709" s="2">
        <f t="shared" si="465"/>
        <v>2</v>
      </c>
      <c r="AD709" s="6"/>
      <c r="AE709" s="6"/>
      <c r="AF709" s="6"/>
      <c r="AG709" s="6"/>
      <c r="AH709" s="6"/>
      <c r="AI709" s="6"/>
      <c r="AJ709" s="6"/>
      <c r="AK709" s="6"/>
      <c r="AL709" s="6"/>
      <c r="AM709" s="6"/>
      <c r="AN709" s="6"/>
      <c r="AO709" s="6"/>
      <c r="AP709" s="6"/>
      <c r="AQ709" s="6"/>
      <c r="AR709" s="6"/>
      <c r="AS709" s="6"/>
    </row>
    <row r="710" spans="1:45" ht="40.5" hidden="1" x14ac:dyDescent="0.25">
      <c r="A710" s="33" t="s">
        <v>52</v>
      </c>
      <c r="B710" s="42">
        <v>600</v>
      </c>
      <c r="C710" s="33" t="s">
        <v>498</v>
      </c>
      <c r="D710" s="33" t="s">
        <v>3210</v>
      </c>
      <c r="E710" s="33" t="s">
        <v>3211</v>
      </c>
      <c r="F710" s="54"/>
      <c r="G710" s="33" t="s">
        <v>3212</v>
      </c>
      <c r="H710" s="33" t="s">
        <v>3213</v>
      </c>
      <c r="I710" s="32"/>
      <c r="J710" s="62" t="s">
        <v>3214</v>
      </c>
      <c r="K710" s="33" t="s">
        <v>43</v>
      </c>
      <c r="L710" s="33" t="s">
        <v>3215</v>
      </c>
      <c r="M710" s="63">
        <v>1144818850</v>
      </c>
      <c r="N710" s="63">
        <v>312256350</v>
      </c>
      <c r="O710" s="63">
        <v>7500000</v>
      </c>
      <c r="P710" s="86"/>
      <c r="Q710" s="44">
        <f t="shared" si="463"/>
        <v>1464575200</v>
      </c>
      <c r="R710" s="65">
        <v>1144818850</v>
      </c>
      <c r="S710" s="65">
        <v>312256350</v>
      </c>
      <c r="T710" s="44">
        <v>7500000</v>
      </c>
      <c r="U710" s="32"/>
      <c r="V710" s="32"/>
      <c r="W710" s="49"/>
      <c r="X710" s="49">
        <f t="shared" ref="X710:Z710" si="714">N710-S710</f>
        <v>0</v>
      </c>
      <c r="Y710" s="49">
        <f t="shared" si="714"/>
        <v>0</v>
      </c>
      <c r="Z710" s="49">
        <f t="shared" si="714"/>
        <v>0</v>
      </c>
      <c r="AA710" s="54"/>
      <c r="AB710" s="54"/>
      <c r="AC710" s="2">
        <f t="shared" si="465"/>
        <v>2</v>
      </c>
      <c r="AD710" s="6"/>
      <c r="AE710" s="6"/>
      <c r="AF710" s="6"/>
      <c r="AG710" s="6"/>
      <c r="AH710" s="6"/>
      <c r="AI710" s="6"/>
      <c r="AJ710" s="6"/>
      <c r="AK710" s="6"/>
      <c r="AL710" s="6"/>
      <c r="AM710" s="6"/>
      <c r="AN710" s="6"/>
      <c r="AO710" s="6"/>
      <c r="AP710" s="6"/>
      <c r="AQ710" s="6"/>
      <c r="AR710" s="6"/>
      <c r="AS710" s="6"/>
    </row>
    <row r="711" spans="1:45" ht="31.5" hidden="1" x14ac:dyDescent="0.25">
      <c r="A711" s="33" t="s">
        <v>88</v>
      </c>
      <c r="B711" s="42">
        <v>602</v>
      </c>
      <c r="C711" s="33" t="s">
        <v>498</v>
      </c>
      <c r="D711" s="33" t="s">
        <v>3216</v>
      </c>
      <c r="E711" s="33"/>
      <c r="F711" s="54"/>
      <c r="G711" s="33" t="s">
        <v>3217</v>
      </c>
      <c r="H711" s="33"/>
      <c r="I711" s="33"/>
      <c r="J711" s="33" t="s">
        <v>3218</v>
      </c>
      <c r="K711" s="33" t="s">
        <v>43</v>
      </c>
      <c r="L711" s="33" t="s">
        <v>3219</v>
      </c>
      <c r="M711" s="63">
        <v>3859546610</v>
      </c>
      <c r="N711" s="45"/>
      <c r="O711" s="44">
        <v>15000000</v>
      </c>
      <c r="P711" s="86"/>
      <c r="Q711" s="44">
        <f t="shared" si="463"/>
        <v>3874546610</v>
      </c>
      <c r="R711" s="32"/>
      <c r="S711" s="32"/>
      <c r="T711" s="66"/>
      <c r="U711" s="32"/>
      <c r="V711" s="32"/>
      <c r="W711" s="49">
        <v>3859546610</v>
      </c>
      <c r="X711" s="49">
        <f t="shared" ref="X711:Z711" si="715">N711-S711</f>
        <v>0</v>
      </c>
      <c r="Y711" s="52">
        <f t="shared" si="715"/>
        <v>15000000</v>
      </c>
      <c r="Z711" s="49">
        <f t="shared" si="715"/>
        <v>0</v>
      </c>
      <c r="AA711" s="73">
        <v>3859546610</v>
      </c>
      <c r="AB711" s="43"/>
      <c r="AC711" s="15">
        <f t="shared" si="465"/>
        <v>2</v>
      </c>
      <c r="AD711" s="15"/>
      <c r="AE711" s="6"/>
      <c r="AF711" s="6"/>
      <c r="AG711" s="6"/>
      <c r="AH711" s="6"/>
      <c r="AI711" s="6"/>
      <c r="AJ711" s="6"/>
      <c r="AK711" s="6"/>
      <c r="AL711" s="6"/>
      <c r="AM711" s="6"/>
      <c r="AN711" s="6"/>
      <c r="AO711" s="6"/>
      <c r="AP711" s="6"/>
      <c r="AQ711" s="6"/>
      <c r="AR711" s="6"/>
      <c r="AS711" s="6"/>
    </row>
    <row r="712" spans="1:45" ht="60.75" hidden="1" x14ac:dyDescent="0.25">
      <c r="A712" s="33" t="s">
        <v>46</v>
      </c>
      <c r="B712" s="42">
        <v>603</v>
      </c>
      <c r="C712" s="33" t="s">
        <v>53</v>
      </c>
      <c r="D712" s="33" t="s">
        <v>3220</v>
      </c>
      <c r="E712" s="32"/>
      <c r="F712" s="54"/>
      <c r="G712" s="33" t="s">
        <v>3221</v>
      </c>
      <c r="H712" s="32"/>
      <c r="I712" s="33" t="s">
        <v>261</v>
      </c>
      <c r="J712" s="62" t="s">
        <v>3222</v>
      </c>
      <c r="K712" s="33" t="s">
        <v>43</v>
      </c>
      <c r="L712" s="33" t="s">
        <v>3223</v>
      </c>
      <c r="M712" s="63">
        <v>8125156619</v>
      </c>
      <c r="N712" s="45"/>
      <c r="O712" s="63">
        <v>15000000</v>
      </c>
      <c r="P712" s="86"/>
      <c r="Q712" s="44">
        <f t="shared" si="463"/>
        <v>8140156619</v>
      </c>
      <c r="R712" s="65">
        <v>8125156619</v>
      </c>
      <c r="S712" s="32"/>
      <c r="T712" s="44">
        <v>15000000</v>
      </c>
      <c r="U712" s="32"/>
      <c r="V712" s="32"/>
      <c r="W712" s="49"/>
      <c r="X712" s="49">
        <f t="shared" ref="X712:Z712" si="716">N712-S712</f>
        <v>0</v>
      </c>
      <c r="Y712" s="49">
        <f t="shared" si="716"/>
        <v>0</v>
      </c>
      <c r="Z712" s="49">
        <f t="shared" si="716"/>
        <v>0</v>
      </c>
      <c r="AA712" s="54"/>
      <c r="AB712" s="54"/>
      <c r="AC712" s="2">
        <f t="shared" si="465"/>
        <v>2</v>
      </c>
      <c r="AD712" s="6"/>
      <c r="AE712" s="6"/>
      <c r="AF712" s="6"/>
      <c r="AG712" s="6"/>
      <c r="AH712" s="6"/>
      <c r="AI712" s="6"/>
      <c r="AJ712" s="6"/>
      <c r="AK712" s="6"/>
      <c r="AL712" s="6"/>
      <c r="AM712" s="6"/>
      <c r="AN712" s="6"/>
      <c r="AO712" s="6"/>
      <c r="AP712" s="6"/>
      <c r="AQ712" s="6"/>
      <c r="AR712" s="6"/>
      <c r="AS712" s="6"/>
    </row>
    <row r="713" spans="1:45" ht="31.5" hidden="1" x14ac:dyDescent="0.25">
      <c r="A713" s="33" t="s">
        <v>52</v>
      </c>
      <c r="B713" s="42">
        <v>605</v>
      </c>
      <c r="C713" s="33" t="s">
        <v>53</v>
      </c>
      <c r="D713" s="33" t="s">
        <v>3224</v>
      </c>
      <c r="E713" s="33" t="s">
        <v>3225</v>
      </c>
      <c r="F713" s="54"/>
      <c r="G713" s="33" t="s">
        <v>3226</v>
      </c>
      <c r="H713" s="33" t="s">
        <v>3227</v>
      </c>
      <c r="I713" s="33"/>
      <c r="J713" s="33" t="s">
        <v>3228</v>
      </c>
      <c r="K713" s="33" t="s">
        <v>43</v>
      </c>
      <c r="L713" s="33" t="s">
        <v>3229</v>
      </c>
      <c r="M713" s="63">
        <v>1671793805</v>
      </c>
      <c r="N713" s="63">
        <v>397954999</v>
      </c>
      <c r="O713" s="44">
        <v>7500000</v>
      </c>
      <c r="P713" s="86"/>
      <c r="Q713" s="44">
        <f t="shared" si="463"/>
        <v>2077248804</v>
      </c>
      <c r="R713" s="65">
        <v>1671793805</v>
      </c>
      <c r="S713" s="48">
        <v>397954999</v>
      </c>
      <c r="T713" s="66"/>
      <c r="U713" s="32"/>
      <c r="V713" s="32"/>
      <c r="W713" s="49"/>
      <c r="X713" s="49">
        <f t="shared" ref="X713:Z713" si="717">N713-S713</f>
        <v>0</v>
      </c>
      <c r="Y713" s="52">
        <f t="shared" si="717"/>
        <v>7500000</v>
      </c>
      <c r="Z713" s="49">
        <f t="shared" si="717"/>
        <v>0</v>
      </c>
      <c r="AA713" s="54"/>
      <c r="AB713" s="43"/>
      <c r="AC713" s="15">
        <f t="shared" si="465"/>
        <v>2</v>
      </c>
      <c r="AD713" s="15"/>
      <c r="AE713" s="6"/>
      <c r="AF713" s="6"/>
      <c r="AG713" s="6"/>
      <c r="AH713" s="6"/>
      <c r="AI713" s="6"/>
      <c r="AJ713" s="6"/>
      <c r="AK713" s="6"/>
      <c r="AL713" s="6"/>
      <c r="AM713" s="6"/>
      <c r="AN713" s="6"/>
      <c r="AO713" s="6"/>
      <c r="AP713" s="6"/>
      <c r="AQ713" s="6"/>
      <c r="AR713" s="6"/>
      <c r="AS713" s="6"/>
    </row>
    <row r="714" spans="1:45" ht="40.5" hidden="1" x14ac:dyDescent="0.25">
      <c r="A714" s="33" t="s">
        <v>52</v>
      </c>
      <c r="B714" s="42">
        <v>607</v>
      </c>
      <c r="C714" s="33" t="s">
        <v>53</v>
      </c>
      <c r="D714" s="33" t="s">
        <v>3230</v>
      </c>
      <c r="E714" s="32"/>
      <c r="F714" s="54"/>
      <c r="G714" s="33" t="s">
        <v>3231</v>
      </c>
      <c r="H714" s="32"/>
      <c r="I714" s="32"/>
      <c r="J714" s="62" t="s">
        <v>3232</v>
      </c>
      <c r="K714" s="33" t="s">
        <v>43</v>
      </c>
      <c r="L714" s="33" t="s">
        <v>3197</v>
      </c>
      <c r="M714" s="63">
        <v>49275408</v>
      </c>
      <c r="N714" s="45"/>
      <c r="O714" s="63">
        <v>7500000</v>
      </c>
      <c r="P714" s="86"/>
      <c r="Q714" s="44">
        <f t="shared" si="463"/>
        <v>56775408</v>
      </c>
      <c r="R714" s="65">
        <v>49275408</v>
      </c>
      <c r="S714" s="32"/>
      <c r="T714" s="44">
        <v>7500000</v>
      </c>
      <c r="U714" s="32"/>
      <c r="V714" s="32"/>
      <c r="W714" s="49"/>
      <c r="X714" s="49">
        <f t="shared" ref="X714:Z714" si="718">N714-S714</f>
        <v>0</v>
      </c>
      <c r="Y714" s="49">
        <f t="shared" si="718"/>
        <v>0</v>
      </c>
      <c r="Z714" s="49">
        <f t="shared" si="718"/>
        <v>0</v>
      </c>
      <c r="AA714" s="54"/>
      <c r="AB714" s="54"/>
      <c r="AC714" s="2">
        <f t="shared" si="465"/>
        <v>2</v>
      </c>
      <c r="AD714" s="6"/>
      <c r="AE714" s="6"/>
      <c r="AF714" s="6"/>
      <c r="AG714" s="6"/>
      <c r="AH714" s="6"/>
      <c r="AI714" s="6"/>
      <c r="AJ714" s="6"/>
      <c r="AK714" s="6"/>
      <c r="AL714" s="6"/>
      <c r="AM714" s="6"/>
      <c r="AN714" s="6"/>
      <c r="AO714" s="6"/>
      <c r="AP714" s="6"/>
      <c r="AQ714" s="6"/>
      <c r="AR714" s="6"/>
      <c r="AS714" s="6"/>
    </row>
    <row r="715" spans="1:45" ht="62.25" hidden="1" customHeight="1" x14ac:dyDescent="0.25">
      <c r="A715" s="33" t="s">
        <v>52</v>
      </c>
      <c r="B715" s="42">
        <v>608</v>
      </c>
      <c r="C715" s="33" t="s">
        <v>53</v>
      </c>
      <c r="D715" s="33" t="s">
        <v>3233</v>
      </c>
      <c r="E715" s="32"/>
      <c r="F715" s="54"/>
      <c r="G715" s="33" t="s">
        <v>3234</v>
      </c>
      <c r="H715" s="32"/>
      <c r="I715" s="32"/>
      <c r="J715" s="62" t="s">
        <v>3235</v>
      </c>
      <c r="K715" s="33" t="s">
        <v>43</v>
      </c>
      <c r="L715" s="33" t="s">
        <v>3236</v>
      </c>
      <c r="M715" s="63">
        <v>2200225188</v>
      </c>
      <c r="N715" s="45"/>
      <c r="O715" s="63">
        <v>7500000</v>
      </c>
      <c r="P715" s="86"/>
      <c r="Q715" s="44">
        <f t="shared" si="463"/>
        <v>2207725188</v>
      </c>
      <c r="R715" s="65">
        <v>2200225188</v>
      </c>
      <c r="S715" s="32"/>
      <c r="T715" s="63">
        <v>7500000</v>
      </c>
      <c r="U715" s="32"/>
      <c r="V715" s="32"/>
      <c r="W715" s="49"/>
      <c r="X715" s="49">
        <f t="shared" ref="X715:Z715" si="719">N715-S715</f>
        <v>0</v>
      </c>
      <c r="Y715" s="49">
        <f t="shared" si="719"/>
        <v>0</v>
      </c>
      <c r="Z715" s="49">
        <f t="shared" si="719"/>
        <v>0</v>
      </c>
      <c r="AA715" s="54"/>
      <c r="AB715" s="54"/>
      <c r="AC715" s="2">
        <f t="shared" si="465"/>
        <v>2</v>
      </c>
      <c r="AD715" s="6"/>
      <c r="AE715" s="6"/>
      <c r="AF715" s="6"/>
      <c r="AG715" s="6"/>
      <c r="AH715" s="6"/>
      <c r="AI715" s="6"/>
      <c r="AJ715" s="6"/>
      <c r="AK715" s="6"/>
      <c r="AL715" s="6"/>
      <c r="AM715" s="6"/>
      <c r="AN715" s="6"/>
      <c r="AO715" s="6"/>
      <c r="AP715" s="6"/>
      <c r="AQ715" s="6"/>
      <c r="AR715" s="6"/>
      <c r="AS715" s="6"/>
    </row>
    <row r="716" spans="1:45" ht="40.5" hidden="1" x14ac:dyDescent="0.25">
      <c r="A716" s="33" t="s">
        <v>60</v>
      </c>
      <c r="B716" s="42">
        <v>609</v>
      </c>
      <c r="C716" s="33" t="s">
        <v>53</v>
      </c>
      <c r="D716" s="33" t="s">
        <v>3237</v>
      </c>
      <c r="E716" s="32"/>
      <c r="F716" s="54"/>
      <c r="G716" s="33" t="s">
        <v>3238</v>
      </c>
      <c r="H716" s="32"/>
      <c r="I716" s="32"/>
      <c r="J716" s="62" t="s">
        <v>3239</v>
      </c>
      <c r="K716" s="33" t="s">
        <v>43</v>
      </c>
      <c r="L716" s="33" t="s">
        <v>3240</v>
      </c>
      <c r="M716" s="63">
        <v>1053577380</v>
      </c>
      <c r="N716" s="45"/>
      <c r="O716" s="63">
        <v>7500000</v>
      </c>
      <c r="P716" s="86"/>
      <c r="Q716" s="44">
        <f t="shared" ref="Q716:Q888" si="720">M716+N716+O716+P716</f>
        <v>1061077380</v>
      </c>
      <c r="R716" s="65">
        <v>1053577380</v>
      </c>
      <c r="S716" s="32"/>
      <c r="T716" s="45">
        <v>7500000</v>
      </c>
      <c r="U716" s="32"/>
      <c r="V716" s="32"/>
      <c r="W716" s="49"/>
      <c r="X716" s="49">
        <f t="shared" ref="X716:Z716" si="721">N716-S716</f>
        <v>0</v>
      </c>
      <c r="Y716" s="49">
        <f t="shared" si="721"/>
        <v>0</v>
      </c>
      <c r="Z716" s="49">
        <f t="shared" si="721"/>
        <v>0</v>
      </c>
      <c r="AA716" s="54"/>
      <c r="AB716" s="54"/>
      <c r="AC716" s="2">
        <f t="shared" ref="AC716:AC888" si="722">IF(AB716=G716,1,2)</f>
        <v>2</v>
      </c>
      <c r="AD716" s="6"/>
      <c r="AE716" s="6"/>
      <c r="AF716" s="6"/>
      <c r="AG716" s="6"/>
      <c r="AH716" s="6"/>
      <c r="AI716" s="6"/>
      <c r="AJ716" s="6"/>
      <c r="AK716" s="6"/>
      <c r="AL716" s="6"/>
      <c r="AM716" s="6"/>
      <c r="AN716" s="6"/>
      <c r="AO716" s="6"/>
      <c r="AP716" s="6"/>
      <c r="AQ716" s="6"/>
      <c r="AR716" s="6"/>
      <c r="AS716" s="6"/>
    </row>
    <row r="717" spans="1:45" ht="31.5" hidden="1" x14ac:dyDescent="0.25">
      <c r="A717" s="33" t="s">
        <v>52</v>
      </c>
      <c r="B717" s="42">
        <v>610</v>
      </c>
      <c r="C717" s="33" t="s">
        <v>53</v>
      </c>
      <c r="D717" s="33" t="s">
        <v>3241</v>
      </c>
      <c r="E717" s="33" t="s">
        <v>3242</v>
      </c>
      <c r="F717" s="54"/>
      <c r="G717" s="33" t="s">
        <v>3243</v>
      </c>
      <c r="H717" s="33" t="s">
        <v>3244</v>
      </c>
      <c r="I717" s="32"/>
      <c r="J717" s="62" t="s">
        <v>3245</v>
      </c>
      <c r="K717" s="33" t="s">
        <v>43</v>
      </c>
      <c r="L717" s="33" t="s">
        <v>3246</v>
      </c>
      <c r="M717" s="63">
        <v>1419150880</v>
      </c>
      <c r="N717" s="63">
        <v>91469952</v>
      </c>
      <c r="O717" s="63">
        <v>7500000</v>
      </c>
      <c r="P717" s="86"/>
      <c r="Q717" s="44">
        <f t="shared" si="720"/>
        <v>1518120832</v>
      </c>
      <c r="R717" s="65">
        <v>1419150880</v>
      </c>
      <c r="S717" s="48">
        <v>91469952</v>
      </c>
      <c r="T717" s="63">
        <v>7500000</v>
      </c>
      <c r="U717" s="32"/>
      <c r="V717" s="32"/>
      <c r="W717" s="49"/>
      <c r="X717" s="49">
        <f t="shared" ref="X717:Z717" si="723">N717-S717</f>
        <v>0</v>
      </c>
      <c r="Y717" s="49">
        <f t="shared" si="723"/>
        <v>0</v>
      </c>
      <c r="Z717" s="49">
        <f t="shared" si="723"/>
        <v>0</v>
      </c>
      <c r="AA717" s="54"/>
      <c r="AB717" s="54"/>
      <c r="AC717" s="2">
        <f t="shared" si="722"/>
        <v>2</v>
      </c>
      <c r="AD717" s="6"/>
      <c r="AE717" s="6"/>
      <c r="AF717" s="6"/>
      <c r="AG717" s="6"/>
      <c r="AH717" s="6"/>
      <c r="AI717" s="6"/>
      <c r="AJ717" s="6"/>
      <c r="AK717" s="6"/>
      <c r="AL717" s="6"/>
      <c r="AM717" s="6"/>
      <c r="AN717" s="6"/>
      <c r="AO717" s="6"/>
      <c r="AP717" s="6"/>
      <c r="AQ717" s="6"/>
      <c r="AR717" s="6"/>
      <c r="AS717" s="6"/>
    </row>
    <row r="718" spans="1:45" ht="47.25" hidden="1" x14ac:dyDescent="0.25">
      <c r="A718" s="33" t="s">
        <v>52</v>
      </c>
      <c r="B718" s="42">
        <v>611</v>
      </c>
      <c r="C718" s="33" t="s">
        <v>53</v>
      </c>
      <c r="D718" s="33" t="s">
        <v>3247</v>
      </c>
      <c r="E718" s="32"/>
      <c r="F718" s="54"/>
      <c r="G718" s="33" t="s">
        <v>3248</v>
      </c>
      <c r="H718" s="32"/>
      <c r="I718" s="32"/>
      <c r="J718" s="62" t="s">
        <v>3249</v>
      </c>
      <c r="K718" s="33" t="s">
        <v>43</v>
      </c>
      <c r="L718" s="33" t="s">
        <v>3250</v>
      </c>
      <c r="M718" s="63">
        <v>2821214140</v>
      </c>
      <c r="N718" s="45"/>
      <c r="O718" s="63">
        <v>15000000</v>
      </c>
      <c r="P718" s="86"/>
      <c r="Q718" s="44">
        <f t="shared" si="720"/>
        <v>2836214140</v>
      </c>
      <c r="R718" s="65">
        <v>2821214140</v>
      </c>
      <c r="S718" s="32"/>
      <c r="T718" s="63">
        <v>15000000</v>
      </c>
      <c r="U718" s="32"/>
      <c r="V718" s="32"/>
      <c r="W718" s="49"/>
      <c r="X718" s="49">
        <f t="shared" ref="X718:Z718" si="724">N718-S718</f>
        <v>0</v>
      </c>
      <c r="Y718" s="49">
        <f t="shared" si="724"/>
        <v>0</v>
      </c>
      <c r="Z718" s="49">
        <f t="shared" si="724"/>
        <v>0</v>
      </c>
      <c r="AA718" s="54"/>
      <c r="AB718" s="54"/>
      <c r="AC718" s="2">
        <f t="shared" si="722"/>
        <v>2</v>
      </c>
      <c r="AD718" s="6"/>
      <c r="AE718" s="6"/>
      <c r="AF718" s="6"/>
      <c r="AG718" s="6"/>
      <c r="AH718" s="6"/>
      <c r="AI718" s="6"/>
      <c r="AJ718" s="6"/>
      <c r="AK718" s="6"/>
      <c r="AL718" s="6"/>
      <c r="AM718" s="6"/>
      <c r="AN718" s="6"/>
      <c r="AO718" s="6"/>
      <c r="AP718" s="6"/>
      <c r="AQ718" s="6"/>
      <c r="AR718" s="6"/>
      <c r="AS718" s="6"/>
    </row>
    <row r="719" spans="1:45" ht="31.5" hidden="1" x14ac:dyDescent="0.25">
      <c r="A719" s="33" t="s">
        <v>88</v>
      </c>
      <c r="B719" s="42">
        <v>612</v>
      </c>
      <c r="C719" s="33" t="s">
        <v>53</v>
      </c>
      <c r="D719" s="33" t="s">
        <v>3251</v>
      </c>
      <c r="E719" s="32"/>
      <c r="F719" s="54"/>
      <c r="G719" s="33" t="s">
        <v>3252</v>
      </c>
      <c r="H719" s="32"/>
      <c r="I719" s="32"/>
      <c r="J719" s="62" t="s">
        <v>3253</v>
      </c>
      <c r="K719" s="33" t="s">
        <v>43</v>
      </c>
      <c r="L719" s="33" t="s">
        <v>3254</v>
      </c>
      <c r="M719" s="63">
        <v>4672084520</v>
      </c>
      <c r="N719" s="45"/>
      <c r="O719" s="63">
        <v>7500000</v>
      </c>
      <c r="P719" s="86"/>
      <c r="Q719" s="44">
        <f t="shared" si="720"/>
        <v>4679584520</v>
      </c>
      <c r="R719" s="52">
        <v>4672084520</v>
      </c>
      <c r="S719" s="32"/>
      <c r="T719" s="44">
        <v>7500000</v>
      </c>
      <c r="U719" s="32"/>
      <c r="V719" s="32"/>
      <c r="W719" s="49"/>
      <c r="X719" s="49">
        <f t="shared" ref="X719:Z719" si="725">N719-S719</f>
        <v>0</v>
      </c>
      <c r="Y719" s="49">
        <f t="shared" si="725"/>
        <v>0</v>
      </c>
      <c r="Z719" s="49">
        <f t="shared" si="725"/>
        <v>0</v>
      </c>
      <c r="AA719" s="54"/>
      <c r="AB719" s="54"/>
      <c r="AC719" s="2">
        <f t="shared" si="722"/>
        <v>2</v>
      </c>
      <c r="AD719" s="6"/>
      <c r="AE719" s="6"/>
      <c r="AF719" s="6"/>
      <c r="AG719" s="6"/>
      <c r="AH719" s="6"/>
      <c r="AI719" s="6"/>
      <c r="AJ719" s="6"/>
      <c r="AK719" s="6"/>
      <c r="AL719" s="6"/>
      <c r="AM719" s="6"/>
      <c r="AN719" s="6"/>
      <c r="AO719" s="6"/>
      <c r="AP719" s="6"/>
      <c r="AQ719" s="6"/>
      <c r="AR719" s="6"/>
      <c r="AS719" s="6"/>
    </row>
    <row r="720" spans="1:45" ht="31.5" hidden="1" x14ac:dyDescent="0.25">
      <c r="A720" s="33" t="s">
        <v>60</v>
      </c>
      <c r="B720" s="42">
        <v>613</v>
      </c>
      <c r="C720" s="33" t="s">
        <v>53</v>
      </c>
      <c r="D720" s="33" t="s">
        <v>3255</v>
      </c>
      <c r="E720" s="32"/>
      <c r="F720" s="54"/>
      <c r="G720" s="33" t="s">
        <v>3256</v>
      </c>
      <c r="H720" s="32"/>
      <c r="I720" s="33" t="s">
        <v>261</v>
      </c>
      <c r="J720" s="62" t="s">
        <v>3257</v>
      </c>
      <c r="K720" s="33" t="s">
        <v>43</v>
      </c>
      <c r="L720" s="33" t="s">
        <v>3258</v>
      </c>
      <c r="M720" s="63">
        <v>2648940180</v>
      </c>
      <c r="N720" s="45"/>
      <c r="O720" s="63">
        <v>15000000</v>
      </c>
      <c r="P720" s="86"/>
      <c r="Q720" s="44">
        <f t="shared" si="720"/>
        <v>2663940180</v>
      </c>
      <c r="R720" s="65">
        <v>2648940180</v>
      </c>
      <c r="S720" s="32"/>
      <c r="T720" s="44">
        <v>15000000</v>
      </c>
      <c r="U720" s="32"/>
      <c r="V720" s="32"/>
      <c r="W720" s="49"/>
      <c r="X720" s="49">
        <f t="shared" ref="X720:Z720" si="726">N720-S720</f>
        <v>0</v>
      </c>
      <c r="Y720" s="49">
        <f t="shared" si="726"/>
        <v>0</v>
      </c>
      <c r="Z720" s="49">
        <f t="shared" si="726"/>
        <v>0</v>
      </c>
      <c r="AA720" s="54"/>
      <c r="AB720" s="54"/>
      <c r="AC720" s="2">
        <f t="shared" si="722"/>
        <v>2</v>
      </c>
      <c r="AD720" s="6"/>
      <c r="AE720" s="6"/>
      <c r="AF720" s="6"/>
      <c r="AG720" s="6"/>
      <c r="AH720" s="6"/>
      <c r="AI720" s="6"/>
      <c r="AJ720" s="6"/>
      <c r="AK720" s="6"/>
      <c r="AL720" s="6"/>
      <c r="AM720" s="6"/>
      <c r="AN720" s="6"/>
      <c r="AO720" s="6"/>
      <c r="AP720" s="6"/>
      <c r="AQ720" s="6"/>
      <c r="AR720" s="6"/>
      <c r="AS720" s="6"/>
    </row>
    <row r="721" spans="1:45" ht="62.25" hidden="1" customHeight="1" x14ac:dyDescent="0.25">
      <c r="A721" s="33" t="s">
        <v>46</v>
      </c>
      <c r="B721" s="42">
        <v>614</v>
      </c>
      <c r="C721" s="33" t="s">
        <v>53</v>
      </c>
      <c r="D721" s="33" t="s">
        <v>3259</v>
      </c>
      <c r="E721" s="32"/>
      <c r="F721" s="54"/>
      <c r="G721" s="33" t="s">
        <v>3260</v>
      </c>
      <c r="H721" s="32"/>
      <c r="I721" s="33" t="s">
        <v>261</v>
      </c>
      <c r="J721" s="62" t="s">
        <v>3261</v>
      </c>
      <c r="K721" s="33" t="s">
        <v>43</v>
      </c>
      <c r="L721" s="33" t="s">
        <v>1322</v>
      </c>
      <c r="M721" s="63">
        <v>13040553670</v>
      </c>
      <c r="N721" s="45"/>
      <c r="O721" s="63">
        <v>15000000</v>
      </c>
      <c r="P721" s="86"/>
      <c r="Q721" s="44">
        <f t="shared" si="720"/>
        <v>13055553670</v>
      </c>
      <c r="R721" s="52">
        <v>13040553670</v>
      </c>
      <c r="S721" s="32"/>
      <c r="T721" s="44">
        <v>15000000</v>
      </c>
      <c r="U721" s="32"/>
      <c r="V721" s="32"/>
      <c r="W721" s="49"/>
      <c r="X721" s="49">
        <f t="shared" ref="X721:Z721" si="727">N721-S721</f>
        <v>0</v>
      </c>
      <c r="Y721" s="49">
        <f t="shared" si="727"/>
        <v>0</v>
      </c>
      <c r="Z721" s="49">
        <f t="shared" si="727"/>
        <v>0</v>
      </c>
      <c r="AA721" s="54"/>
      <c r="AB721" s="54"/>
      <c r="AC721" s="2">
        <f t="shared" si="722"/>
        <v>2</v>
      </c>
      <c r="AD721" s="6"/>
      <c r="AE721" s="6"/>
      <c r="AF721" s="6"/>
      <c r="AG721" s="6"/>
      <c r="AH721" s="6"/>
      <c r="AI721" s="6"/>
      <c r="AJ721" s="6"/>
      <c r="AK721" s="6"/>
      <c r="AL721" s="6"/>
      <c r="AM721" s="6"/>
      <c r="AN721" s="6"/>
      <c r="AO721" s="6"/>
      <c r="AP721" s="6"/>
      <c r="AQ721" s="6"/>
      <c r="AR721" s="6"/>
      <c r="AS721" s="6"/>
    </row>
    <row r="722" spans="1:45" ht="40.5" hidden="1" x14ac:dyDescent="0.25">
      <c r="A722" s="33" t="s">
        <v>35</v>
      </c>
      <c r="B722" s="42">
        <v>616</v>
      </c>
      <c r="C722" s="33" t="s">
        <v>53</v>
      </c>
      <c r="D722" s="33" t="s">
        <v>3262</v>
      </c>
      <c r="E722" s="32"/>
      <c r="F722" s="54"/>
      <c r="G722" s="33" t="s">
        <v>3263</v>
      </c>
      <c r="H722" s="32"/>
      <c r="I722" s="33" t="s">
        <v>261</v>
      </c>
      <c r="J722" s="62" t="s">
        <v>3264</v>
      </c>
      <c r="K722" s="33" t="s">
        <v>43</v>
      </c>
      <c r="L722" s="33" t="s">
        <v>3265</v>
      </c>
      <c r="M722" s="63">
        <v>5176307722</v>
      </c>
      <c r="N722" s="45"/>
      <c r="O722" s="63">
        <v>7500000</v>
      </c>
      <c r="P722" s="86"/>
      <c r="Q722" s="44">
        <f t="shared" si="720"/>
        <v>5183807722</v>
      </c>
      <c r="R722" s="65">
        <v>5176307722</v>
      </c>
      <c r="S722" s="32"/>
      <c r="T722" s="44">
        <v>7500000</v>
      </c>
      <c r="U722" s="32"/>
      <c r="V722" s="32"/>
      <c r="W722" s="49"/>
      <c r="X722" s="49">
        <f t="shared" ref="X722:Z722" si="728">N722-S722</f>
        <v>0</v>
      </c>
      <c r="Y722" s="49">
        <f t="shared" si="728"/>
        <v>0</v>
      </c>
      <c r="Z722" s="49">
        <f t="shared" si="728"/>
        <v>0</v>
      </c>
      <c r="AA722" s="54"/>
      <c r="AB722" s="54"/>
      <c r="AC722" s="2">
        <f t="shared" si="722"/>
        <v>2</v>
      </c>
      <c r="AD722" s="6"/>
      <c r="AE722" s="6"/>
      <c r="AF722" s="6"/>
      <c r="AG722" s="6"/>
      <c r="AH722" s="6"/>
      <c r="AI722" s="6"/>
      <c r="AJ722" s="6"/>
      <c r="AK722" s="6"/>
      <c r="AL722" s="6"/>
      <c r="AM722" s="6"/>
      <c r="AN722" s="6"/>
      <c r="AO722" s="6"/>
      <c r="AP722" s="6"/>
      <c r="AQ722" s="6"/>
      <c r="AR722" s="6"/>
      <c r="AS722" s="6"/>
    </row>
    <row r="723" spans="1:45" ht="62.25" hidden="1" customHeight="1" x14ac:dyDescent="0.25">
      <c r="A723" s="33" t="s">
        <v>52</v>
      </c>
      <c r="B723" s="42">
        <v>617</v>
      </c>
      <c r="C723" s="33" t="s">
        <v>53</v>
      </c>
      <c r="D723" s="33" t="s">
        <v>3266</v>
      </c>
      <c r="E723" s="33" t="s">
        <v>3267</v>
      </c>
      <c r="F723" s="54"/>
      <c r="G723" s="33" t="s">
        <v>3268</v>
      </c>
      <c r="H723" s="33" t="s">
        <v>3269</v>
      </c>
      <c r="I723" s="32"/>
      <c r="J723" s="33" t="s">
        <v>3270</v>
      </c>
      <c r="K723" s="33" t="s">
        <v>43</v>
      </c>
      <c r="L723" s="33" t="s">
        <v>449</v>
      </c>
      <c r="M723" s="44">
        <v>1147124800</v>
      </c>
      <c r="N723" s="44">
        <v>605553600</v>
      </c>
      <c r="O723" s="63">
        <v>15000000</v>
      </c>
      <c r="P723" s="86"/>
      <c r="Q723" s="44">
        <f t="shared" si="720"/>
        <v>1767678400</v>
      </c>
      <c r="R723" s="65">
        <v>1147124800</v>
      </c>
      <c r="S723" s="33"/>
      <c r="T723" s="63">
        <v>15000000</v>
      </c>
      <c r="U723" s="32"/>
      <c r="V723" s="32"/>
      <c r="W723" s="49"/>
      <c r="X723" s="52">
        <f t="shared" ref="X723:Z723" si="729">N723-S723</f>
        <v>605553600</v>
      </c>
      <c r="Y723" s="49">
        <f t="shared" si="729"/>
        <v>0</v>
      </c>
      <c r="Z723" s="49">
        <f t="shared" si="729"/>
        <v>0</v>
      </c>
      <c r="AA723" s="43"/>
      <c r="AB723" s="43"/>
      <c r="AC723" s="6">
        <f t="shared" si="722"/>
        <v>2</v>
      </c>
      <c r="AD723" s="6"/>
      <c r="AE723" s="6"/>
      <c r="AF723" s="6"/>
      <c r="AG723" s="6"/>
      <c r="AH723" s="6"/>
      <c r="AI723" s="6"/>
      <c r="AJ723" s="6"/>
      <c r="AK723" s="6"/>
      <c r="AL723" s="6"/>
      <c r="AM723" s="6"/>
      <c r="AN723" s="6"/>
      <c r="AO723" s="6"/>
      <c r="AP723" s="6"/>
      <c r="AQ723" s="6"/>
      <c r="AR723" s="6"/>
      <c r="AS723" s="6"/>
    </row>
    <row r="724" spans="1:45" ht="63" hidden="1" x14ac:dyDescent="0.25">
      <c r="A724" s="33" t="s">
        <v>46</v>
      </c>
      <c r="B724" s="42">
        <v>618</v>
      </c>
      <c r="C724" s="33" t="s">
        <v>53</v>
      </c>
      <c r="D724" s="33" t="s">
        <v>3271</v>
      </c>
      <c r="E724" s="33" t="s">
        <v>3272</v>
      </c>
      <c r="F724" s="54"/>
      <c r="G724" s="33" t="s">
        <v>3273</v>
      </c>
      <c r="H724" s="33" t="s">
        <v>3274</v>
      </c>
      <c r="I724" s="33" t="s">
        <v>261</v>
      </c>
      <c r="J724" s="33" t="s">
        <v>3275</v>
      </c>
      <c r="K724" s="33" t="s">
        <v>43</v>
      </c>
      <c r="L724" s="33" t="s">
        <v>3276</v>
      </c>
      <c r="M724" s="44">
        <v>13354478286</v>
      </c>
      <c r="N724" s="44">
        <v>1409984400</v>
      </c>
      <c r="O724" s="44">
        <v>7500000</v>
      </c>
      <c r="P724" s="86"/>
      <c r="Q724" s="44">
        <f t="shared" si="720"/>
        <v>14771962686</v>
      </c>
      <c r="R724" s="65">
        <v>13354478286</v>
      </c>
      <c r="S724" s="48">
        <v>1409984400</v>
      </c>
      <c r="T724" s="66"/>
      <c r="U724" s="32"/>
      <c r="V724" s="32"/>
      <c r="W724" s="49"/>
      <c r="X724" s="52">
        <f t="shared" ref="X724:Z724" si="730">N724-S724</f>
        <v>0</v>
      </c>
      <c r="Y724" s="52">
        <f t="shared" si="730"/>
        <v>7500000</v>
      </c>
      <c r="Z724" s="49">
        <f t="shared" si="730"/>
        <v>0</v>
      </c>
      <c r="AA724" s="43"/>
      <c r="AB724" s="43"/>
      <c r="AC724" s="15">
        <f t="shared" si="722"/>
        <v>2</v>
      </c>
      <c r="AD724" s="15"/>
      <c r="AE724" s="6"/>
      <c r="AF724" s="6"/>
      <c r="AG724" s="6"/>
      <c r="AH724" s="6"/>
      <c r="AI724" s="6"/>
      <c r="AJ724" s="6"/>
      <c r="AK724" s="6"/>
      <c r="AL724" s="6"/>
      <c r="AM724" s="6"/>
      <c r="AN724" s="6"/>
      <c r="AO724" s="6"/>
      <c r="AP724" s="6"/>
      <c r="AQ724" s="6"/>
      <c r="AR724" s="6"/>
      <c r="AS724" s="6"/>
    </row>
    <row r="725" spans="1:45" ht="31.5" hidden="1" x14ac:dyDescent="0.25">
      <c r="A725" s="33" t="s">
        <v>35</v>
      </c>
      <c r="B725" s="42">
        <v>619</v>
      </c>
      <c r="C725" s="33" t="s">
        <v>53</v>
      </c>
      <c r="D725" s="33" t="s">
        <v>3277</v>
      </c>
      <c r="E725" s="33" t="s">
        <v>3628</v>
      </c>
      <c r="F725" s="54"/>
      <c r="G725" s="33" t="s">
        <v>3278</v>
      </c>
      <c r="H725" s="33" t="s">
        <v>3629</v>
      </c>
      <c r="I725" s="32"/>
      <c r="J725" s="33" t="s">
        <v>3279</v>
      </c>
      <c r="K725" s="33" t="s">
        <v>43</v>
      </c>
      <c r="L725" s="33" t="s">
        <v>3280</v>
      </c>
      <c r="M725" s="44">
        <v>5798938856</v>
      </c>
      <c r="N725" s="66">
        <v>40182912</v>
      </c>
      <c r="O725" s="63">
        <v>15000000</v>
      </c>
      <c r="P725" s="86"/>
      <c r="Q725" s="44">
        <f t="shared" si="720"/>
        <v>5854121768</v>
      </c>
      <c r="R725" s="65">
        <v>5798938856</v>
      </c>
      <c r="S725" s="52">
        <v>40182912</v>
      </c>
      <c r="T725" s="44">
        <v>15000000</v>
      </c>
      <c r="U725" s="32"/>
      <c r="V725" s="32"/>
      <c r="W725" s="49"/>
      <c r="X725" s="52">
        <f t="shared" ref="X725:Z725" si="731">N725-S725</f>
        <v>0</v>
      </c>
      <c r="Y725" s="49">
        <f t="shared" si="731"/>
        <v>0</v>
      </c>
      <c r="Z725" s="49">
        <f t="shared" si="731"/>
        <v>0</v>
      </c>
      <c r="AA725" s="43"/>
      <c r="AB725" s="43"/>
      <c r="AC725" s="6">
        <f t="shared" si="722"/>
        <v>2</v>
      </c>
      <c r="AD725" s="6"/>
      <c r="AE725" s="6"/>
      <c r="AF725" s="6"/>
      <c r="AG725" s="6"/>
      <c r="AH725" s="6"/>
      <c r="AI725" s="6"/>
      <c r="AJ725" s="6"/>
      <c r="AK725" s="6"/>
      <c r="AL725" s="6"/>
      <c r="AM725" s="6"/>
      <c r="AN725" s="6"/>
      <c r="AO725" s="6"/>
      <c r="AP725" s="6"/>
      <c r="AQ725" s="6"/>
      <c r="AR725" s="6"/>
      <c r="AS725" s="6"/>
    </row>
    <row r="726" spans="1:45" ht="31.5" hidden="1" x14ac:dyDescent="0.25">
      <c r="A726" s="33" t="s">
        <v>60</v>
      </c>
      <c r="B726" s="42">
        <v>620</v>
      </c>
      <c r="C726" s="33" t="s">
        <v>53</v>
      </c>
      <c r="D726" s="33" t="s">
        <v>3281</v>
      </c>
      <c r="E726" s="32"/>
      <c r="F726" s="54"/>
      <c r="G726" s="33" t="s">
        <v>3282</v>
      </c>
      <c r="H726" s="32"/>
      <c r="I726" s="32"/>
      <c r="J726" s="62" t="s">
        <v>3283</v>
      </c>
      <c r="K726" s="33" t="s">
        <v>43</v>
      </c>
      <c r="L726" s="33" t="s">
        <v>3284</v>
      </c>
      <c r="M726" s="63">
        <v>4209356424</v>
      </c>
      <c r="N726" s="45"/>
      <c r="O726" s="63">
        <v>7500000</v>
      </c>
      <c r="P726" s="86"/>
      <c r="Q726" s="44">
        <f t="shared" si="720"/>
        <v>4216856424</v>
      </c>
      <c r="R726" s="65">
        <v>4209356424</v>
      </c>
      <c r="S726" s="32"/>
      <c r="T726" s="44">
        <v>7500000</v>
      </c>
      <c r="U726" s="32"/>
      <c r="V726" s="32"/>
      <c r="W726" s="49"/>
      <c r="X726" s="49">
        <f t="shared" ref="X726:Z726" si="732">N726-S726</f>
        <v>0</v>
      </c>
      <c r="Y726" s="49">
        <f t="shared" si="732"/>
        <v>0</v>
      </c>
      <c r="Z726" s="49">
        <f t="shared" si="732"/>
        <v>0</v>
      </c>
      <c r="AA726" s="54"/>
      <c r="AB726" s="54"/>
      <c r="AC726" s="2">
        <f t="shared" si="722"/>
        <v>2</v>
      </c>
      <c r="AD726" s="6"/>
      <c r="AE726" s="6"/>
      <c r="AF726" s="6"/>
      <c r="AG726" s="6"/>
      <c r="AH726" s="6"/>
      <c r="AI726" s="6"/>
      <c r="AJ726" s="6"/>
      <c r="AK726" s="6"/>
      <c r="AL726" s="6"/>
      <c r="AM726" s="6"/>
      <c r="AN726" s="6"/>
      <c r="AO726" s="6"/>
      <c r="AP726" s="6"/>
      <c r="AQ726" s="6"/>
      <c r="AR726" s="6"/>
      <c r="AS726" s="6"/>
    </row>
    <row r="727" spans="1:45" ht="31.5" hidden="1" x14ac:dyDescent="0.25">
      <c r="A727" s="33" t="s">
        <v>52</v>
      </c>
      <c r="B727" s="42">
        <v>623</v>
      </c>
      <c r="C727" s="33" t="s">
        <v>53</v>
      </c>
      <c r="D727" s="33" t="s">
        <v>3287</v>
      </c>
      <c r="E727" s="33" t="s">
        <v>3288</v>
      </c>
      <c r="F727" s="54"/>
      <c r="G727" s="33" t="s">
        <v>3289</v>
      </c>
      <c r="H727" s="33" t="s">
        <v>3290</v>
      </c>
      <c r="I727" s="32"/>
      <c r="J727" s="62" t="s">
        <v>3291</v>
      </c>
      <c r="K727" s="33" t="s">
        <v>43</v>
      </c>
      <c r="L727" s="33" t="s">
        <v>3292</v>
      </c>
      <c r="M727" s="63">
        <v>6147723971</v>
      </c>
      <c r="N727" s="63">
        <v>491859703</v>
      </c>
      <c r="O727" s="63">
        <v>15000000</v>
      </c>
      <c r="P727" s="86"/>
      <c r="Q727" s="44">
        <f t="shared" si="720"/>
        <v>6654583674</v>
      </c>
      <c r="R727" s="65">
        <v>6147723971</v>
      </c>
      <c r="S727" s="65">
        <v>491859703</v>
      </c>
      <c r="T727" s="63">
        <v>15000000</v>
      </c>
      <c r="U727" s="32"/>
      <c r="V727" s="32"/>
      <c r="W727" s="49"/>
      <c r="X727" s="49">
        <f t="shared" ref="X727:Z727" si="733">N727-S727</f>
        <v>0</v>
      </c>
      <c r="Y727" s="49">
        <f t="shared" si="733"/>
        <v>0</v>
      </c>
      <c r="Z727" s="49">
        <f t="shared" si="733"/>
        <v>0</v>
      </c>
      <c r="AA727" s="54"/>
      <c r="AB727" s="54"/>
      <c r="AC727" s="2">
        <f t="shared" si="722"/>
        <v>2</v>
      </c>
      <c r="AD727" s="6"/>
      <c r="AE727" s="6"/>
      <c r="AF727" s="6"/>
      <c r="AG727" s="6"/>
      <c r="AH727" s="6"/>
      <c r="AI727" s="6"/>
      <c r="AJ727" s="6"/>
      <c r="AK727" s="6"/>
      <c r="AL727" s="6"/>
      <c r="AM727" s="6"/>
      <c r="AN727" s="6"/>
      <c r="AO727" s="6"/>
      <c r="AP727" s="6"/>
      <c r="AQ727" s="6"/>
      <c r="AR727" s="6"/>
      <c r="AS727" s="6"/>
    </row>
    <row r="728" spans="1:45" ht="31.5" hidden="1" x14ac:dyDescent="0.25">
      <c r="A728" s="33" t="s">
        <v>88</v>
      </c>
      <c r="B728" s="42">
        <v>624</v>
      </c>
      <c r="C728" s="33" t="s">
        <v>53</v>
      </c>
      <c r="D728" s="33" t="s">
        <v>3294</v>
      </c>
      <c r="E728" s="32"/>
      <c r="F728" s="54"/>
      <c r="G728" s="33" t="s">
        <v>3295</v>
      </c>
      <c r="H728" s="32"/>
      <c r="I728" s="32"/>
      <c r="J728" s="62" t="s">
        <v>3296</v>
      </c>
      <c r="K728" s="33" t="s">
        <v>43</v>
      </c>
      <c r="L728" s="33" t="s">
        <v>745</v>
      </c>
      <c r="M728" s="63">
        <v>4471431370</v>
      </c>
      <c r="N728" s="45"/>
      <c r="O728" s="63">
        <v>15000000</v>
      </c>
      <c r="P728" s="86"/>
      <c r="Q728" s="44">
        <f t="shared" si="720"/>
        <v>4486431370</v>
      </c>
      <c r="R728" s="52">
        <v>4471431370</v>
      </c>
      <c r="S728" s="32"/>
      <c r="T728" s="44">
        <v>15000000</v>
      </c>
      <c r="U728" s="32"/>
      <c r="V728" s="32"/>
      <c r="W728" s="49"/>
      <c r="X728" s="49">
        <f t="shared" ref="X728:Z728" si="734">N728-S728</f>
        <v>0</v>
      </c>
      <c r="Y728" s="49">
        <f t="shared" si="734"/>
        <v>0</v>
      </c>
      <c r="Z728" s="49">
        <f t="shared" si="734"/>
        <v>0</v>
      </c>
      <c r="AA728" s="54"/>
      <c r="AB728" s="54"/>
      <c r="AC728" s="2">
        <f t="shared" si="722"/>
        <v>2</v>
      </c>
      <c r="AD728" s="6"/>
      <c r="AE728" s="6"/>
      <c r="AF728" s="6"/>
      <c r="AG728" s="6"/>
      <c r="AH728" s="6"/>
      <c r="AI728" s="6"/>
      <c r="AJ728" s="6"/>
      <c r="AK728" s="6"/>
      <c r="AL728" s="6"/>
      <c r="AM728" s="6"/>
      <c r="AN728" s="6"/>
      <c r="AO728" s="6"/>
      <c r="AP728" s="6"/>
      <c r="AQ728" s="6"/>
      <c r="AR728" s="6"/>
      <c r="AS728" s="6"/>
    </row>
    <row r="729" spans="1:45" ht="62.25" hidden="1" customHeight="1" x14ac:dyDescent="0.25">
      <c r="A729" s="33" t="s">
        <v>88</v>
      </c>
      <c r="B729" s="42">
        <v>625</v>
      </c>
      <c r="C729" s="33" t="s">
        <v>53</v>
      </c>
      <c r="D729" s="33" t="s">
        <v>3297</v>
      </c>
      <c r="E729" s="33" t="s">
        <v>3298</v>
      </c>
      <c r="F729" s="54"/>
      <c r="G729" s="33" t="s">
        <v>3299</v>
      </c>
      <c r="H729" s="33" t="s">
        <v>3300</v>
      </c>
      <c r="I729" s="32"/>
      <c r="J729" s="62" t="s">
        <v>3301</v>
      </c>
      <c r="K729" s="33" t="s">
        <v>43</v>
      </c>
      <c r="L729" s="33" t="s">
        <v>3302</v>
      </c>
      <c r="M729" s="63">
        <v>3044214687</v>
      </c>
      <c r="N729" s="63">
        <v>148963795</v>
      </c>
      <c r="O729" s="63">
        <v>15000000</v>
      </c>
      <c r="P729" s="86"/>
      <c r="Q729" s="44">
        <f t="shared" si="720"/>
        <v>3208178482</v>
      </c>
      <c r="R729" s="52">
        <v>3044214687</v>
      </c>
      <c r="S729" s="48">
        <v>148963795</v>
      </c>
      <c r="T729" s="44">
        <v>15000000</v>
      </c>
      <c r="U729" s="32"/>
      <c r="V729" s="32"/>
      <c r="W729" s="49"/>
      <c r="X729" s="49">
        <f t="shared" ref="X729:Z729" si="735">N729-S729</f>
        <v>0</v>
      </c>
      <c r="Y729" s="49">
        <f t="shared" si="735"/>
        <v>0</v>
      </c>
      <c r="Z729" s="49">
        <f t="shared" si="735"/>
        <v>0</v>
      </c>
      <c r="AA729" s="54"/>
      <c r="AB729" s="54"/>
      <c r="AC729" s="2">
        <f t="shared" si="722"/>
        <v>2</v>
      </c>
      <c r="AD729" s="6"/>
      <c r="AE729" s="6"/>
      <c r="AF729" s="6"/>
      <c r="AG729" s="6"/>
      <c r="AH729" s="6"/>
      <c r="AI729" s="6"/>
      <c r="AJ729" s="6"/>
      <c r="AK729" s="6"/>
      <c r="AL729" s="6"/>
      <c r="AM729" s="6"/>
      <c r="AN729" s="6"/>
      <c r="AO729" s="6"/>
      <c r="AP729" s="6"/>
      <c r="AQ729" s="6"/>
      <c r="AR729" s="6"/>
      <c r="AS729" s="6"/>
    </row>
    <row r="730" spans="1:45" ht="62.25" hidden="1" customHeight="1" x14ac:dyDescent="0.25">
      <c r="A730" s="33" t="s">
        <v>35</v>
      </c>
      <c r="B730" s="42">
        <v>627</v>
      </c>
      <c r="C730" s="33" t="s">
        <v>53</v>
      </c>
      <c r="D730" s="33" t="s">
        <v>3303</v>
      </c>
      <c r="E730" s="33" t="s">
        <v>1043</v>
      </c>
      <c r="F730" s="54"/>
      <c r="G730" s="33" t="s">
        <v>3304</v>
      </c>
      <c r="H730" s="33" t="s">
        <v>3305</v>
      </c>
      <c r="I730" s="32"/>
      <c r="J730" s="62" t="s">
        <v>3306</v>
      </c>
      <c r="K730" s="33" t="s">
        <v>43</v>
      </c>
      <c r="L730" s="33" t="s">
        <v>3307</v>
      </c>
      <c r="M730" s="63">
        <v>15436039426</v>
      </c>
      <c r="N730" s="63">
        <v>276510000</v>
      </c>
      <c r="O730" s="63">
        <v>15000000</v>
      </c>
      <c r="P730" s="86"/>
      <c r="Q730" s="44">
        <f t="shared" si="720"/>
        <v>15727549426</v>
      </c>
      <c r="R730" s="65">
        <v>15436039426</v>
      </c>
      <c r="S730" s="49">
        <v>276510000</v>
      </c>
      <c r="T730" s="63">
        <v>15000000</v>
      </c>
      <c r="U730" s="32"/>
      <c r="V730" s="32"/>
      <c r="W730" s="49"/>
      <c r="X730" s="49">
        <f t="shared" ref="X730:Z730" si="736">N730-S730</f>
        <v>0</v>
      </c>
      <c r="Y730" s="49">
        <f t="shared" si="736"/>
        <v>0</v>
      </c>
      <c r="Z730" s="49">
        <f t="shared" si="736"/>
        <v>0</v>
      </c>
      <c r="AA730" s="54"/>
      <c r="AB730" s="54"/>
      <c r="AC730" s="2">
        <f t="shared" si="722"/>
        <v>2</v>
      </c>
      <c r="AD730" s="6"/>
      <c r="AE730" s="6"/>
      <c r="AF730" s="6"/>
      <c r="AG730" s="6"/>
      <c r="AH730" s="6"/>
      <c r="AI730" s="6"/>
      <c r="AJ730" s="6"/>
      <c r="AK730" s="6"/>
      <c r="AL730" s="6"/>
      <c r="AM730" s="6"/>
      <c r="AN730" s="6"/>
      <c r="AO730" s="6"/>
      <c r="AP730" s="6"/>
      <c r="AQ730" s="6"/>
      <c r="AR730" s="6"/>
      <c r="AS730" s="6"/>
    </row>
    <row r="731" spans="1:45" ht="31.5" hidden="1" x14ac:dyDescent="0.25">
      <c r="A731" s="33" t="s">
        <v>46</v>
      </c>
      <c r="B731" s="42">
        <v>628</v>
      </c>
      <c r="C731" s="33" t="s">
        <v>53</v>
      </c>
      <c r="D731" s="33" t="s">
        <v>3309</v>
      </c>
      <c r="E731" s="32"/>
      <c r="F731" s="54"/>
      <c r="G731" s="33" t="s">
        <v>3310</v>
      </c>
      <c r="H731" s="32"/>
      <c r="I731" s="33" t="s">
        <v>321</v>
      </c>
      <c r="J731" s="62" t="s">
        <v>3311</v>
      </c>
      <c r="K731" s="33" t="s">
        <v>43</v>
      </c>
      <c r="L731" s="33" t="s">
        <v>3312</v>
      </c>
      <c r="M731" s="63">
        <v>5653822980</v>
      </c>
      <c r="N731" s="45"/>
      <c r="O731" s="63">
        <v>7500000</v>
      </c>
      <c r="P731" s="86"/>
      <c r="Q731" s="44">
        <f t="shared" si="720"/>
        <v>5661322980</v>
      </c>
      <c r="R731" s="65">
        <v>5653822980</v>
      </c>
      <c r="S731" s="32"/>
      <c r="T731" s="44">
        <v>7500000</v>
      </c>
      <c r="U731" s="32"/>
      <c r="V731" s="32"/>
      <c r="W731" s="49"/>
      <c r="X731" s="49">
        <f t="shared" ref="X731:Z731" si="737">N731-S731</f>
        <v>0</v>
      </c>
      <c r="Y731" s="49">
        <f t="shared" si="737"/>
        <v>0</v>
      </c>
      <c r="Z731" s="49">
        <f t="shared" si="737"/>
        <v>0</v>
      </c>
      <c r="AA731" s="54"/>
      <c r="AB731" s="54"/>
      <c r="AC731" s="2">
        <f t="shared" si="722"/>
        <v>2</v>
      </c>
      <c r="AD731" s="6"/>
      <c r="AE731" s="6"/>
      <c r="AF731" s="6"/>
      <c r="AG731" s="6"/>
      <c r="AH731" s="6"/>
      <c r="AI731" s="6"/>
      <c r="AJ731" s="6"/>
      <c r="AK731" s="6"/>
      <c r="AL731" s="6"/>
      <c r="AM731" s="6"/>
      <c r="AN731" s="6"/>
      <c r="AO731" s="6"/>
      <c r="AP731" s="6"/>
      <c r="AQ731" s="6"/>
      <c r="AR731" s="6"/>
      <c r="AS731" s="6"/>
    </row>
    <row r="732" spans="1:45" ht="62.25" hidden="1" customHeight="1" x14ac:dyDescent="0.25">
      <c r="A732" s="33" t="s">
        <v>46</v>
      </c>
      <c r="B732" s="42">
        <v>629</v>
      </c>
      <c r="C732" s="33" t="s">
        <v>53</v>
      </c>
      <c r="D732" s="33" t="s">
        <v>3313</v>
      </c>
      <c r="E732" s="32"/>
      <c r="F732" s="54"/>
      <c r="G732" s="33" t="s">
        <v>3314</v>
      </c>
      <c r="H732" s="32"/>
      <c r="I732" s="33" t="s">
        <v>321</v>
      </c>
      <c r="J732" s="62" t="s">
        <v>3315</v>
      </c>
      <c r="K732" s="33" t="s">
        <v>43</v>
      </c>
      <c r="L732" s="33" t="s">
        <v>3316</v>
      </c>
      <c r="M732" s="63">
        <v>1466514605</v>
      </c>
      <c r="N732" s="45"/>
      <c r="O732" s="63">
        <v>7500000</v>
      </c>
      <c r="P732" s="86"/>
      <c r="Q732" s="44">
        <f t="shared" si="720"/>
        <v>1474014605</v>
      </c>
      <c r="R732" s="65">
        <v>1466514605</v>
      </c>
      <c r="S732" s="32"/>
      <c r="T732" s="63">
        <v>7500000</v>
      </c>
      <c r="U732" s="32"/>
      <c r="V732" s="32"/>
      <c r="W732" s="49"/>
      <c r="X732" s="49">
        <f t="shared" ref="X732:Z732" si="738">N732-S732</f>
        <v>0</v>
      </c>
      <c r="Y732" s="49">
        <f t="shared" si="738"/>
        <v>0</v>
      </c>
      <c r="Z732" s="49">
        <f t="shared" si="738"/>
        <v>0</v>
      </c>
      <c r="AA732" s="54"/>
      <c r="AB732" s="54"/>
      <c r="AC732" s="2">
        <f t="shared" si="722"/>
        <v>2</v>
      </c>
      <c r="AD732" s="6"/>
      <c r="AE732" s="6"/>
      <c r="AF732" s="6"/>
      <c r="AG732" s="6"/>
      <c r="AH732" s="6"/>
      <c r="AI732" s="6"/>
      <c r="AJ732" s="6"/>
      <c r="AK732" s="6"/>
      <c r="AL732" s="6"/>
      <c r="AM732" s="6"/>
      <c r="AN732" s="6"/>
      <c r="AO732" s="6"/>
      <c r="AP732" s="6"/>
      <c r="AQ732" s="6"/>
      <c r="AR732" s="6"/>
      <c r="AS732" s="6"/>
    </row>
    <row r="733" spans="1:45" ht="31.5" hidden="1" x14ac:dyDescent="0.25">
      <c r="A733" s="33" t="s">
        <v>275</v>
      </c>
      <c r="B733" s="42">
        <v>630</v>
      </c>
      <c r="C733" s="33" t="s">
        <v>53</v>
      </c>
      <c r="D733" s="33" t="s">
        <v>3317</v>
      </c>
      <c r="E733" s="32"/>
      <c r="F733" s="54"/>
      <c r="G733" s="33" t="s">
        <v>3318</v>
      </c>
      <c r="H733" s="32"/>
      <c r="I733" s="33" t="s">
        <v>261</v>
      </c>
      <c r="J733" s="62" t="s">
        <v>3319</v>
      </c>
      <c r="K733" s="33" t="s">
        <v>43</v>
      </c>
      <c r="L733" s="33" t="s">
        <v>3320</v>
      </c>
      <c r="M733" s="63">
        <v>7247037716</v>
      </c>
      <c r="N733" s="45"/>
      <c r="O733" s="63">
        <v>7500000</v>
      </c>
      <c r="P733" s="86"/>
      <c r="Q733" s="44">
        <f t="shared" si="720"/>
        <v>7254537716</v>
      </c>
      <c r="R733" s="65">
        <v>7247037716</v>
      </c>
      <c r="S733" s="32"/>
      <c r="T733" s="63">
        <v>7500000</v>
      </c>
      <c r="U733" s="32"/>
      <c r="V733" s="32"/>
      <c r="W733" s="49"/>
      <c r="X733" s="49">
        <f t="shared" ref="X733:Z733" si="739">N733-S733</f>
        <v>0</v>
      </c>
      <c r="Y733" s="49">
        <f t="shared" si="739"/>
        <v>0</v>
      </c>
      <c r="Z733" s="49">
        <f t="shared" si="739"/>
        <v>0</v>
      </c>
      <c r="AA733" s="54"/>
      <c r="AB733" s="54"/>
      <c r="AC733" s="2">
        <f t="shared" si="722"/>
        <v>2</v>
      </c>
      <c r="AD733" s="6"/>
      <c r="AE733" s="6"/>
      <c r="AF733" s="6"/>
      <c r="AG733" s="6"/>
      <c r="AH733" s="6"/>
      <c r="AI733" s="6"/>
      <c r="AJ733" s="6"/>
      <c r="AK733" s="6"/>
      <c r="AL733" s="6"/>
      <c r="AM733" s="6"/>
      <c r="AN733" s="6"/>
      <c r="AO733" s="6"/>
      <c r="AP733" s="6"/>
      <c r="AQ733" s="6"/>
      <c r="AR733" s="6"/>
      <c r="AS733" s="6"/>
    </row>
    <row r="734" spans="1:45" ht="78" hidden="1" customHeight="1" x14ac:dyDescent="0.25">
      <c r="A734" s="33" t="s">
        <v>60</v>
      </c>
      <c r="B734" s="42">
        <v>631</v>
      </c>
      <c r="C734" s="33" t="s">
        <v>53</v>
      </c>
      <c r="D734" s="33" t="s">
        <v>3321</v>
      </c>
      <c r="E734" s="32"/>
      <c r="F734" s="54"/>
      <c r="G734" s="33" t="s">
        <v>3322</v>
      </c>
      <c r="H734" s="32"/>
      <c r="I734" s="32"/>
      <c r="J734" s="62" t="s">
        <v>3323</v>
      </c>
      <c r="K734" s="33" t="s">
        <v>43</v>
      </c>
      <c r="L734" s="33" t="s">
        <v>3324</v>
      </c>
      <c r="M734" s="63">
        <v>3170225742</v>
      </c>
      <c r="N734" s="45"/>
      <c r="O734" s="63">
        <v>15000000</v>
      </c>
      <c r="P734" s="86"/>
      <c r="Q734" s="44">
        <f t="shared" si="720"/>
        <v>3185225742</v>
      </c>
      <c r="R734" s="65">
        <v>3170225742</v>
      </c>
      <c r="S734" s="32"/>
      <c r="T734" s="44">
        <v>15000000</v>
      </c>
      <c r="U734" s="32"/>
      <c r="V734" s="32"/>
      <c r="W734" s="49"/>
      <c r="X734" s="49">
        <f t="shared" ref="X734:Z734" si="740">N734-S734</f>
        <v>0</v>
      </c>
      <c r="Y734" s="49">
        <f t="shared" si="740"/>
        <v>0</v>
      </c>
      <c r="Z734" s="49">
        <f t="shared" si="740"/>
        <v>0</v>
      </c>
      <c r="AA734" s="54"/>
      <c r="AB734" s="54"/>
      <c r="AC734" s="2">
        <f t="shared" si="722"/>
        <v>2</v>
      </c>
      <c r="AD734" s="6"/>
      <c r="AE734" s="6"/>
      <c r="AF734" s="6"/>
      <c r="AG734" s="6"/>
      <c r="AH734" s="6"/>
      <c r="AI734" s="6"/>
      <c r="AJ734" s="6"/>
      <c r="AK734" s="6"/>
      <c r="AL734" s="6"/>
      <c r="AM734" s="6"/>
      <c r="AN734" s="6"/>
      <c r="AO734" s="6"/>
      <c r="AP734" s="6"/>
      <c r="AQ734" s="6"/>
      <c r="AR734" s="6"/>
      <c r="AS734" s="6"/>
    </row>
    <row r="735" spans="1:45" ht="40.5" hidden="1" x14ac:dyDescent="0.25">
      <c r="A735" s="33" t="s">
        <v>60</v>
      </c>
      <c r="B735" s="42">
        <v>632</v>
      </c>
      <c r="C735" s="33" t="s">
        <v>53</v>
      </c>
      <c r="D735" s="33" t="s">
        <v>3325</v>
      </c>
      <c r="E735" s="32"/>
      <c r="F735" s="54"/>
      <c r="G735" s="33" t="s">
        <v>3326</v>
      </c>
      <c r="H735" s="32"/>
      <c r="I735" s="32"/>
      <c r="J735" s="62" t="s">
        <v>3327</v>
      </c>
      <c r="K735" s="33" t="s">
        <v>43</v>
      </c>
      <c r="L735" s="33" t="s">
        <v>3328</v>
      </c>
      <c r="M735" s="63">
        <v>5063021384</v>
      </c>
      <c r="N735" s="45"/>
      <c r="O735" s="63">
        <v>15000000</v>
      </c>
      <c r="P735" s="86"/>
      <c r="Q735" s="44">
        <f t="shared" si="720"/>
        <v>5078021384</v>
      </c>
      <c r="R735" s="65">
        <v>5063021384</v>
      </c>
      <c r="S735" s="32"/>
      <c r="T735" s="44">
        <v>15000000</v>
      </c>
      <c r="U735" s="32"/>
      <c r="V735" s="32"/>
      <c r="W735" s="49"/>
      <c r="X735" s="49">
        <f t="shared" ref="X735:Z735" si="741">N735-S735</f>
        <v>0</v>
      </c>
      <c r="Y735" s="49">
        <f t="shared" si="741"/>
        <v>0</v>
      </c>
      <c r="Z735" s="49">
        <f t="shared" si="741"/>
        <v>0</v>
      </c>
      <c r="AA735" s="54"/>
      <c r="AB735" s="54"/>
      <c r="AC735" s="2">
        <f t="shared" si="722"/>
        <v>2</v>
      </c>
      <c r="AD735" s="6"/>
      <c r="AE735" s="6"/>
      <c r="AF735" s="6"/>
      <c r="AG735" s="6"/>
      <c r="AH735" s="6"/>
      <c r="AI735" s="6"/>
      <c r="AJ735" s="6"/>
      <c r="AK735" s="6"/>
      <c r="AL735" s="6"/>
      <c r="AM735" s="6"/>
      <c r="AN735" s="6"/>
      <c r="AO735" s="6"/>
      <c r="AP735" s="6"/>
      <c r="AQ735" s="6"/>
      <c r="AR735" s="6"/>
      <c r="AS735" s="6"/>
    </row>
    <row r="736" spans="1:45" ht="101.25" hidden="1" x14ac:dyDescent="0.25">
      <c r="A736" s="33" t="s">
        <v>46</v>
      </c>
      <c r="B736" s="42">
        <v>633</v>
      </c>
      <c r="C736" s="33" t="s">
        <v>53</v>
      </c>
      <c r="D736" s="33" t="s">
        <v>3329</v>
      </c>
      <c r="E736" s="32"/>
      <c r="F736" s="54"/>
      <c r="G736" s="33" t="s">
        <v>3330</v>
      </c>
      <c r="H736" s="32"/>
      <c r="I736" s="33" t="s">
        <v>261</v>
      </c>
      <c r="J736" s="62" t="s">
        <v>3331</v>
      </c>
      <c r="K736" s="33" t="s">
        <v>43</v>
      </c>
      <c r="L736" s="33" t="s">
        <v>3332</v>
      </c>
      <c r="M736" s="63">
        <v>3070287800</v>
      </c>
      <c r="N736" s="45"/>
      <c r="O736" s="63">
        <v>7500000</v>
      </c>
      <c r="P736" s="86"/>
      <c r="Q736" s="44">
        <f t="shared" si="720"/>
        <v>3077787800</v>
      </c>
      <c r="R736" s="65">
        <v>3070287800</v>
      </c>
      <c r="S736" s="32"/>
      <c r="T736" s="44">
        <v>7500000</v>
      </c>
      <c r="U736" s="32"/>
      <c r="V736" s="32"/>
      <c r="W736" s="49"/>
      <c r="X736" s="49">
        <f t="shared" ref="X736:Z736" si="742">N736-S736</f>
        <v>0</v>
      </c>
      <c r="Y736" s="49">
        <f t="shared" si="742"/>
        <v>0</v>
      </c>
      <c r="Z736" s="49">
        <f t="shared" si="742"/>
        <v>0</v>
      </c>
      <c r="AA736" s="54"/>
      <c r="AB736" s="54"/>
      <c r="AC736" s="2">
        <f t="shared" si="722"/>
        <v>2</v>
      </c>
      <c r="AD736" s="6"/>
      <c r="AE736" s="6"/>
      <c r="AF736" s="6"/>
      <c r="AG736" s="6"/>
      <c r="AH736" s="6"/>
      <c r="AI736" s="6"/>
      <c r="AJ736" s="6"/>
      <c r="AK736" s="6"/>
      <c r="AL736" s="6"/>
      <c r="AM736" s="6"/>
      <c r="AN736" s="6"/>
      <c r="AO736" s="6"/>
      <c r="AP736" s="6"/>
      <c r="AQ736" s="6"/>
      <c r="AR736" s="6"/>
      <c r="AS736" s="6"/>
    </row>
    <row r="737" spans="1:45" ht="47.25" hidden="1" x14ac:dyDescent="0.25">
      <c r="A737" s="33" t="s">
        <v>35</v>
      </c>
      <c r="B737" s="42">
        <v>634</v>
      </c>
      <c r="C737" s="33" t="s">
        <v>53</v>
      </c>
      <c r="D737" s="33" t="s">
        <v>3333</v>
      </c>
      <c r="E737" s="32"/>
      <c r="F737" s="54"/>
      <c r="G737" s="33" t="s">
        <v>3334</v>
      </c>
      <c r="H737" s="32"/>
      <c r="I737" s="33" t="s">
        <v>261</v>
      </c>
      <c r="J737" s="62" t="s">
        <v>3335</v>
      </c>
      <c r="K737" s="33" t="s">
        <v>43</v>
      </c>
      <c r="L737" s="33" t="s">
        <v>3336</v>
      </c>
      <c r="M737" s="63">
        <v>3569089716</v>
      </c>
      <c r="N737" s="45"/>
      <c r="O737" s="63">
        <v>7500000</v>
      </c>
      <c r="P737" s="86"/>
      <c r="Q737" s="44">
        <f t="shared" si="720"/>
        <v>3576589716</v>
      </c>
      <c r="R737" s="65">
        <v>3569089716</v>
      </c>
      <c r="S737" s="32"/>
      <c r="T737" s="44">
        <v>7500000</v>
      </c>
      <c r="U737" s="32"/>
      <c r="V737" s="32"/>
      <c r="W737" s="49"/>
      <c r="X737" s="49">
        <f t="shared" ref="X737:Z737" si="743">N737-S737</f>
        <v>0</v>
      </c>
      <c r="Y737" s="49">
        <f t="shared" si="743"/>
        <v>0</v>
      </c>
      <c r="Z737" s="49">
        <f t="shared" si="743"/>
        <v>0</v>
      </c>
      <c r="AA737" s="54"/>
      <c r="AB737" s="54"/>
      <c r="AC737" s="2">
        <f t="shared" si="722"/>
        <v>2</v>
      </c>
      <c r="AD737" s="6"/>
      <c r="AE737" s="6"/>
      <c r="AF737" s="6"/>
      <c r="AG737" s="6"/>
      <c r="AH737" s="6"/>
      <c r="AI737" s="6"/>
      <c r="AJ737" s="6"/>
      <c r="AK737" s="6"/>
      <c r="AL737" s="6"/>
      <c r="AM737" s="6"/>
      <c r="AN737" s="6"/>
      <c r="AO737" s="6"/>
      <c r="AP737" s="6"/>
      <c r="AQ737" s="6"/>
      <c r="AR737" s="6"/>
      <c r="AS737" s="6"/>
    </row>
    <row r="738" spans="1:45" ht="31.5" hidden="1" x14ac:dyDescent="0.25">
      <c r="A738" s="33" t="s">
        <v>46</v>
      </c>
      <c r="B738" s="42">
        <v>635</v>
      </c>
      <c r="C738" s="33" t="s">
        <v>53</v>
      </c>
      <c r="D738" s="33" t="s">
        <v>3337</v>
      </c>
      <c r="E738" s="32"/>
      <c r="F738" s="54"/>
      <c r="G738" s="33" t="s">
        <v>3338</v>
      </c>
      <c r="H738" s="32"/>
      <c r="I738" s="33" t="s">
        <v>321</v>
      </c>
      <c r="J738" s="62" t="s">
        <v>3339</v>
      </c>
      <c r="K738" s="33" t="s">
        <v>43</v>
      </c>
      <c r="L738" s="33" t="s">
        <v>3340</v>
      </c>
      <c r="M738" s="63">
        <v>1028645990</v>
      </c>
      <c r="N738" s="45"/>
      <c r="O738" s="63">
        <v>7500000</v>
      </c>
      <c r="P738" s="86"/>
      <c r="Q738" s="44">
        <f t="shared" si="720"/>
        <v>1036145990</v>
      </c>
      <c r="R738" s="65">
        <v>1028645990</v>
      </c>
      <c r="S738" s="32"/>
      <c r="T738" s="63">
        <v>7500000</v>
      </c>
      <c r="U738" s="32"/>
      <c r="V738" s="32"/>
      <c r="W738" s="49"/>
      <c r="X738" s="49">
        <f t="shared" ref="X738:Z738" si="744">N738-S738</f>
        <v>0</v>
      </c>
      <c r="Y738" s="49">
        <f t="shared" si="744"/>
        <v>0</v>
      </c>
      <c r="Z738" s="49">
        <f t="shared" si="744"/>
        <v>0</v>
      </c>
      <c r="AA738" s="54"/>
      <c r="AB738" s="54"/>
      <c r="AC738" s="2">
        <f t="shared" si="722"/>
        <v>2</v>
      </c>
      <c r="AD738" s="6"/>
      <c r="AE738" s="6"/>
      <c r="AF738" s="6"/>
      <c r="AG738" s="6"/>
      <c r="AH738" s="6"/>
      <c r="AI738" s="6"/>
      <c r="AJ738" s="6"/>
      <c r="AK738" s="6"/>
      <c r="AL738" s="6"/>
      <c r="AM738" s="6"/>
      <c r="AN738" s="6"/>
      <c r="AO738" s="6"/>
      <c r="AP738" s="6"/>
      <c r="AQ738" s="6"/>
      <c r="AR738" s="6"/>
      <c r="AS738" s="6"/>
    </row>
    <row r="739" spans="1:45" ht="62.25" hidden="1" customHeight="1" x14ac:dyDescent="0.3">
      <c r="A739" s="33" t="s">
        <v>60</v>
      </c>
      <c r="B739" s="42">
        <v>636</v>
      </c>
      <c r="C739" s="33" t="s">
        <v>53</v>
      </c>
      <c r="D739" s="33" t="s">
        <v>3341</v>
      </c>
      <c r="E739" s="33"/>
      <c r="F739" s="54"/>
      <c r="G739" s="33" t="s">
        <v>3342</v>
      </c>
      <c r="H739" s="33"/>
      <c r="I739" s="33"/>
      <c r="J739" s="33" t="s">
        <v>3343</v>
      </c>
      <c r="K739" s="33" t="s">
        <v>43</v>
      </c>
      <c r="L739" s="33" t="s">
        <v>3344</v>
      </c>
      <c r="M739" s="63">
        <v>4288374500</v>
      </c>
      <c r="N739" s="45"/>
      <c r="O739" s="44">
        <v>7500000</v>
      </c>
      <c r="P739" s="86"/>
      <c r="Q739" s="44">
        <f t="shared" si="720"/>
        <v>4295874500</v>
      </c>
      <c r="R739" s="32"/>
      <c r="S739" s="32"/>
      <c r="T739" s="66"/>
      <c r="U739" s="32"/>
      <c r="V739" s="32"/>
      <c r="W739" s="49">
        <v>4288374500</v>
      </c>
      <c r="X739" s="49">
        <f t="shared" ref="X739:Z739" si="745">N739-S739</f>
        <v>0</v>
      </c>
      <c r="Y739" s="52">
        <f t="shared" si="745"/>
        <v>7500000</v>
      </c>
      <c r="Z739" s="49">
        <f t="shared" si="745"/>
        <v>0</v>
      </c>
      <c r="AA739" s="98">
        <v>4288374500</v>
      </c>
      <c r="AB739" s="43"/>
      <c r="AC739" s="15">
        <f t="shared" si="722"/>
        <v>2</v>
      </c>
      <c r="AD739" s="15"/>
      <c r="AE739" s="6"/>
      <c r="AF739" s="6"/>
      <c r="AG739" s="6"/>
      <c r="AH739" s="6"/>
      <c r="AI739" s="6"/>
      <c r="AJ739" s="6"/>
      <c r="AK739" s="6"/>
      <c r="AL739" s="6"/>
      <c r="AM739" s="6"/>
      <c r="AN739" s="6"/>
      <c r="AO739" s="6"/>
      <c r="AP739" s="6"/>
      <c r="AQ739" s="6"/>
      <c r="AR739" s="6"/>
      <c r="AS739" s="6"/>
    </row>
    <row r="740" spans="1:45" ht="31.5" hidden="1" x14ac:dyDescent="0.25">
      <c r="A740" s="33" t="s">
        <v>35</v>
      </c>
      <c r="B740" s="42">
        <v>637</v>
      </c>
      <c r="C740" s="33" t="s">
        <v>53</v>
      </c>
      <c r="D740" s="33" t="s">
        <v>3345</v>
      </c>
      <c r="E740" s="32"/>
      <c r="F740" s="54"/>
      <c r="G740" s="33" t="s">
        <v>3346</v>
      </c>
      <c r="H740" s="32"/>
      <c r="I740" s="32"/>
      <c r="J740" s="62" t="s">
        <v>3347</v>
      </c>
      <c r="K740" s="33" t="s">
        <v>43</v>
      </c>
      <c r="L740" s="33" t="s">
        <v>3348</v>
      </c>
      <c r="M740" s="63">
        <v>1265664188</v>
      </c>
      <c r="N740" s="45"/>
      <c r="O740" s="63">
        <v>7500000</v>
      </c>
      <c r="P740" s="86"/>
      <c r="Q740" s="44">
        <f t="shared" si="720"/>
        <v>1273164188</v>
      </c>
      <c r="R740" s="65">
        <v>1265664188</v>
      </c>
      <c r="S740" s="32"/>
      <c r="T740" s="44">
        <v>7500000</v>
      </c>
      <c r="U740" s="32"/>
      <c r="V740" s="32"/>
      <c r="W740" s="49"/>
      <c r="X740" s="49">
        <f t="shared" ref="X740:Z740" si="746">N740-S740</f>
        <v>0</v>
      </c>
      <c r="Y740" s="49">
        <f t="shared" si="746"/>
        <v>0</v>
      </c>
      <c r="Z740" s="49">
        <f t="shared" si="746"/>
        <v>0</v>
      </c>
      <c r="AA740" s="54"/>
      <c r="AB740" s="54"/>
      <c r="AC740" s="2">
        <f t="shared" si="722"/>
        <v>2</v>
      </c>
      <c r="AD740" s="6"/>
      <c r="AE740" s="6"/>
      <c r="AF740" s="6"/>
      <c r="AG740" s="6"/>
      <c r="AH740" s="6"/>
      <c r="AI740" s="6"/>
      <c r="AJ740" s="6"/>
      <c r="AK740" s="6"/>
      <c r="AL740" s="6"/>
      <c r="AM740" s="6"/>
      <c r="AN740" s="6"/>
      <c r="AO740" s="6"/>
      <c r="AP740" s="6"/>
      <c r="AQ740" s="6"/>
      <c r="AR740" s="6"/>
      <c r="AS740" s="6"/>
    </row>
    <row r="741" spans="1:45" ht="40.5" hidden="1" x14ac:dyDescent="0.25">
      <c r="A741" s="33" t="s">
        <v>46</v>
      </c>
      <c r="B741" s="42">
        <v>638</v>
      </c>
      <c r="C741" s="33" t="s">
        <v>53</v>
      </c>
      <c r="D741" s="33" t="s">
        <v>3349</v>
      </c>
      <c r="E741" s="32"/>
      <c r="F741" s="54"/>
      <c r="G741" s="33" t="s">
        <v>3350</v>
      </c>
      <c r="H741" s="32"/>
      <c r="I741" s="33" t="s">
        <v>3351</v>
      </c>
      <c r="J741" s="62" t="s">
        <v>3352</v>
      </c>
      <c r="K741" s="33" t="s">
        <v>43</v>
      </c>
      <c r="L741" s="33" t="s">
        <v>3353</v>
      </c>
      <c r="M741" s="63">
        <v>301882620</v>
      </c>
      <c r="N741" s="45"/>
      <c r="O741" s="63">
        <v>7500000</v>
      </c>
      <c r="P741" s="86"/>
      <c r="Q741" s="44">
        <f t="shared" si="720"/>
        <v>309382620</v>
      </c>
      <c r="R741" s="65">
        <v>301882620</v>
      </c>
      <c r="S741" s="32"/>
      <c r="T741" s="63">
        <v>7500000</v>
      </c>
      <c r="U741" s="32"/>
      <c r="V741" s="32"/>
      <c r="W741" s="49"/>
      <c r="X741" s="49">
        <f t="shared" ref="X741:Z741" si="747">N741-S741</f>
        <v>0</v>
      </c>
      <c r="Y741" s="49">
        <f t="shared" si="747"/>
        <v>0</v>
      </c>
      <c r="Z741" s="49">
        <f t="shared" si="747"/>
        <v>0</v>
      </c>
      <c r="AA741" s="54"/>
      <c r="AB741" s="54"/>
      <c r="AC741" s="2">
        <f t="shared" si="722"/>
        <v>2</v>
      </c>
      <c r="AD741" s="6"/>
      <c r="AE741" s="6"/>
      <c r="AF741" s="6"/>
      <c r="AG741" s="6"/>
      <c r="AH741" s="6"/>
      <c r="AI741" s="6"/>
      <c r="AJ741" s="6"/>
      <c r="AK741" s="6"/>
      <c r="AL741" s="6"/>
      <c r="AM741" s="6"/>
      <c r="AN741" s="6"/>
      <c r="AO741" s="6"/>
      <c r="AP741" s="6"/>
      <c r="AQ741" s="6"/>
      <c r="AR741" s="6"/>
      <c r="AS741" s="6"/>
    </row>
    <row r="742" spans="1:45" ht="31.5" hidden="1" x14ac:dyDescent="0.25">
      <c r="A742" s="33" t="s">
        <v>46</v>
      </c>
      <c r="B742" s="42">
        <v>640</v>
      </c>
      <c r="C742" s="33" t="s">
        <v>53</v>
      </c>
      <c r="D742" s="33" t="s">
        <v>3355</v>
      </c>
      <c r="E742" s="33" t="s">
        <v>3664</v>
      </c>
      <c r="F742" s="54"/>
      <c r="G742" s="33" t="s">
        <v>3356</v>
      </c>
      <c r="H742" s="33" t="s">
        <v>3665</v>
      </c>
      <c r="I742" s="33" t="s">
        <v>321</v>
      </c>
      <c r="J742" s="33" t="s">
        <v>3357</v>
      </c>
      <c r="K742" s="33" t="s">
        <v>43</v>
      </c>
      <c r="L742" s="33" t="s">
        <v>3358</v>
      </c>
      <c r="M742" s="44">
        <v>1387021608</v>
      </c>
      <c r="N742" s="66">
        <v>346755402</v>
      </c>
      <c r="O742" s="44">
        <v>7500000</v>
      </c>
      <c r="P742" s="86"/>
      <c r="Q742" s="44">
        <f t="shared" si="720"/>
        <v>1741277010</v>
      </c>
      <c r="R742" s="32"/>
      <c r="S742" s="33"/>
      <c r="T742" s="66"/>
      <c r="U742" s="32"/>
      <c r="V742" s="32"/>
      <c r="W742" s="49">
        <v>1387021608</v>
      </c>
      <c r="X742" s="52">
        <f t="shared" ref="X742:Z742" si="748">N742-S742</f>
        <v>346755402</v>
      </c>
      <c r="Y742" s="52">
        <f t="shared" si="748"/>
        <v>7500000</v>
      </c>
      <c r="Z742" s="49">
        <f t="shared" si="748"/>
        <v>0</v>
      </c>
      <c r="AA742" s="69">
        <v>1387021608</v>
      </c>
      <c r="AB742" s="43"/>
      <c r="AC742" s="15">
        <f t="shared" si="722"/>
        <v>2</v>
      </c>
      <c r="AD742" s="15"/>
      <c r="AE742" s="6"/>
      <c r="AF742" s="6"/>
      <c r="AG742" s="6"/>
      <c r="AH742" s="6"/>
      <c r="AI742" s="6"/>
      <c r="AJ742" s="6"/>
      <c r="AK742" s="6"/>
      <c r="AL742" s="6"/>
      <c r="AM742" s="6"/>
      <c r="AN742" s="6"/>
      <c r="AO742" s="6"/>
      <c r="AP742" s="6"/>
      <c r="AQ742" s="6"/>
      <c r="AR742" s="6"/>
      <c r="AS742" s="6"/>
    </row>
    <row r="743" spans="1:45" ht="31.5" hidden="1" x14ac:dyDescent="0.25">
      <c r="A743" s="33" t="s">
        <v>46</v>
      </c>
      <c r="B743" s="42">
        <v>641</v>
      </c>
      <c r="C743" s="33" t="s">
        <v>53</v>
      </c>
      <c r="D743" s="33" t="s">
        <v>3359</v>
      </c>
      <c r="E743" s="32"/>
      <c r="F743" s="54"/>
      <c r="G743" s="33" t="s">
        <v>3360</v>
      </c>
      <c r="H743" s="32"/>
      <c r="I743" s="33" t="s">
        <v>85</v>
      </c>
      <c r="J743" s="62" t="s">
        <v>3361</v>
      </c>
      <c r="K743" s="33" t="s">
        <v>43</v>
      </c>
      <c r="L743" s="33" t="s">
        <v>3362</v>
      </c>
      <c r="M743" s="63">
        <v>258157180</v>
      </c>
      <c r="N743" s="45"/>
      <c r="O743" s="63">
        <v>3750000</v>
      </c>
      <c r="P743" s="86"/>
      <c r="Q743" s="44">
        <f t="shared" si="720"/>
        <v>261907180</v>
      </c>
      <c r="R743" s="65">
        <v>258157180</v>
      </c>
      <c r="S743" s="32"/>
      <c r="T743" s="63">
        <v>3750000</v>
      </c>
      <c r="U743" s="32"/>
      <c r="V743" s="32"/>
      <c r="W743" s="49"/>
      <c r="X743" s="49">
        <f t="shared" ref="X743:Z743" si="749">N743-S743</f>
        <v>0</v>
      </c>
      <c r="Y743" s="49">
        <f t="shared" si="749"/>
        <v>0</v>
      </c>
      <c r="Z743" s="49">
        <f t="shared" si="749"/>
        <v>0</v>
      </c>
      <c r="AA743" s="54"/>
      <c r="AB743" s="54"/>
      <c r="AC743" s="2">
        <f t="shared" si="722"/>
        <v>2</v>
      </c>
      <c r="AD743" s="6"/>
      <c r="AE743" s="6"/>
      <c r="AF743" s="6"/>
      <c r="AG743" s="6"/>
      <c r="AH743" s="6"/>
      <c r="AI743" s="6"/>
      <c r="AJ743" s="6"/>
      <c r="AK743" s="6"/>
      <c r="AL743" s="6"/>
      <c r="AM743" s="6"/>
      <c r="AN743" s="6"/>
      <c r="AO743" s="6"/>
      <c r="AP743" s="6"/>
      <c r="AQ743" s="6"/>
      <c r="AR743" s="6"/>
      <c r="AS743" s="6"/>
    </row>
    <row r="744" spans="1:45" ht="60.75" hidden="1" x14ac:dyDescent="0.25">
      <c r="A744" s="33" t="s">
        <v>46</v>
      </c>
      <c r="B744" s="42">
        <v>642</v>
      </c>
      <c r="C744" s="33" t="s">
        <v>53</v>
      </c>
      <c r="D744" s="33" t="s">
        <v>3363</v>
      </c>
      <c r="E744" s="32"/>
      <c r="F744" s="54"/>
      <c r="G744" s="33" t="s">
        <v>3364</v>
      </c>
      <c r="H744" s="32"/>
      <c r="I744" s="33" t="s">
        <v>321</v>
      </c>
      <c r="J744" s="62" t="s">
        <v>3365</v>
      </c>
      <c r="K744" s="33" t="s">
        <v>43</v>
      </c>
      <c r="L744" s="33" t="s">
        <v>3366</v>
      </c>
      <c r="M744" s="63">
        <v>3184129002</v>
      </c>
      <c r="N744" s="45"/>
      <c r="O744" s="63">
        <v>15000000</v>
      </c>
      <c r="P744" s="86"/>
      <c r="Q744" s="44">
        <f t="shared" si="720"/>
        <v>3199129002</v>
      </c>
      <c r="R744" s="65">
        <v>3184129002</v>
      </c>
      <c r="S744" s="32"/>
      <c r="T744" s="63">
        <v>15000000</v>
      </c>
      <c r="U744" s="32"/>
      <c r="V744" s="32"/>
      <c r="W744" s="49"/>
      <c r="X744" s="49">
        <f t="shared" ref="X744:Z744" si="750">N744-S744</f>
        <v>0</v>
      </c>
      <c r="Y744" s="49">
        <f t="shared" si="750"/>
        <v>0</v>
      </c>
      <c r="Z744" s="49">
        <f t="shared" si="750"/>
        <v>0</v>
      </c>
      <c r="AA744" s="54"/>
      <c r="AB744" s="54"/>
      <c r="AC744" s="2">
        <f t="shared" si="722"/>
        <v>2</v>
      </c>
      <c r="AD744" s="6"/>
      <c r="AE744" s="6"/>
      <c r="AF744" s="6"/>
      <c r="AG744" s="6"/>
      <c r="AH744" s="6"/>
      <c r="AI744" s="6"/>
      <c r="AJ744" s="6"/>
      <c r="AK744" s="6"/>
      <c r="AL744" s="6"/>
      <c r="AM744" s="6"/>
      <c r="AN744" s="6"/>
      <c r="AO744" s="6"/>
      <c r="AP744" s="6"/>
      <c r="AQ744" s="6"/>
      <c r="AR744" s="6"/>
      <c r="AS744" s="6"/>
    </row>
    <row r="745" spans="1:45" ht="31.5" hidden="1" x14ac:dyDescent="0.25">
      <c r="A745" s="33" t="s">
        <v>275</v>
      </c>
      <c r="B745" s="42">
        <v>643</v>
      </c>
      <c r="C745" s="33" t="s">
        <v>53</v>
      </c>
      <c r="D745" s="33" t="s">
        <v>3367</v>
      </c>
      <c r="E745" s="33" t="s">
        <v>3368</v>
      </c>
      <c r="F745" s="54"/>
      <c r="G745" s="33" t="s">
        <v>3369</v>
      </c>
      <c r="H745" s="33" t="s">
        <v>3370</v>
      </c>
      <c r="I745" s="33" t="s">
        <v>321</v>
      </c>
      <c r="J745" s="62" t="s">
        <v>3371</v>
      </c>
      <c r="K745" s="33" t="s">
        <v>43</v>
      </c>
      <c r="L745" s="33" t="s">
        <v>3372</v>
      </c>
      <c r="M745" s="63">
        <v>5429528230</v>
      </c>
      <c r="N745" s="63">
        <v>1005357150</v>
      </c>
      <c r="O745" s="63">
        <v>7500000</v>
      </c>
      <c r="P745" s="86"/>
      <c r="Q745" s="44">
        <f t="shared" si="720"/>
        <v>6442385380</v>
      </c>
      <c r="R745" s="65">
        <v>5429528230</v>
      </c>
      <c r="S745" s="48">
        <v>1005357150</v>
      </c>
      <c r="T745" s="63">
        <v>7500000</v>
      </c>
      <c r="U745" s="32"/>
      <c r="V745" s="32"/>
      <c r="W745" s="49"/>
      <c r="X745" s="49">
        <f t="shared" ref="X745:Z745" si="751">N745-S745</f>
        <v>0</v>
      </c>
      <c r="Y745" s="49">
        <f t="shared" si="751"/>
        <v>0</v>
      </c>
      <c r="Z745" s="49">
        <f t="shared" si="751"/>
        <v>0</v>
      </c>
      <c r="AA745" s="54"/>
      <c r="AB745" s="54"/>
      <c r="AC745" s="2">
        <f t="shared" si="722"/>
        <v>2</v>
      </c>
      <c r="AD745" s="6"/>
      <c r="AE745" s="6"/>
      <c r="AF745" s="6"/>
      <c r="AG745" s="6"/>
      <c r="AH745" s="6"/>
      <c r="AI745" s="6"/>
      <c r="AJ745" s="6"/>
      <c r="AK745" s="6"/>
      <c r="AL745" s="6"/>
      <c r="AM745" s="6"/>
      <c r="AN745" s="6"/>
      <c r="AO745" s="6"/>
      <c r="AP745" s="6"/>
      <c r="AQ745" s="6"/>
      <c r="AR745" s="6"/>
      <c r="AS745" s="6"/>
    </row>
    <row r="746" spans="1:45" ht="31.5" hidden="1" x14ac:dyDescent="0.25">
      <c r="A746" s="33" t="s">
        <v>35</v>
      </c>
      <c r="B746" s="42">
        <v>647</v>
      </c>
      <c r="C746" s="33" t="s">
        <v>53</v>
      </c>
      <c r="D746" s="33" t="s">
        <v>3374</v>
      </c>
      <c r="E746" s="32"/>
      <c r="F746" s="54"/>
      <c r="G746" s="33" t="s">
        <v>3375</v>
      </c>
      <c r="H746" s="32"/>
      <c r="I746" s="32"/>
      <c r="J746" s="62" t="s">
        <v>3376</v>
      </c>
      <c r="K746" s="33" t="s">
        <v>43</v>
      </c>
      <c r="L746" s="33" t="s">
        <v>3377</v>
      </c>
      <c r="M746" s="63">
        <v>1533758900</v>
      </c>
      <c r="N746" s="45"/>
      <c r="O746" s="63">
        <v>7500000</v>
      </c>
      <c r="P746" s="86"/>
      <c r="Q746" s="44">
        <f t="shared" si="720"/>
        <v>1541258900</v>
      </c>
      <c r="R746" s="65">
        <v>1533758900</v>
      </c>
      <c r="S746" s="32"/>
      <c r="T746" s="63">
        <v>7500000</v>
      </c>
      <c r="U746" s="32"/>
      <c r="V746" s="32"/>
      <c r="W746" s="49"/>
      <c r="X746" s="49">
        <f t="shared" ref="X746:Z746" si="752">N746-S746</f>
        <v>0</v>
      </c>
      <c r="Y746" s="49">
        <f t="shared" si="752"/>
        <v>0</v>
      </c>
      <c r="Z746" s="49">
        <f t="shared" si="752"/>
        <v>0</v>
      </c>
      <c r="AA746" s="54"/>
      <c r="AB746" s="54"/>
      <c r="AC746" s="2">
        <f t="shared" si="722"/>
        <v>2</v>
      </c>
      <c r="AD746" s="6"/>
      <c r="AE746" s="6"/>
      <c r="AF746" s="6"/>
      <c r="AG746" s="6"/>
      <c r="AH746" s="6"/>
      <c r="AI746" s="6"/>
      <c r="AJ746" s="6"/>
      <c r="AK746" s="6"/>
      <c r="AL746" s="6"/>
      <c r="AM746" s="6"/>
      <c r="AN746" s="6"/>
      <c r="AO746" s="6"/>
      <c r="AP746" s="6"/>
      <c r="AQ746" s="6"/>
      <c r="AR746" s="6"/>
      <c r="AS746" s="6"/>
    </row>
    <row r="747" spans="1:45" ht="62.25" hidden="1" customHeight="1" x14ac:dyDescent="0.25">
      <c r="A747" s="33" t="s">
        <v>46</v>
      </c>
      <c r="B747" s="42">
        <v>648</v>
      </c>
      <c r="C747" s="33" t="s">
        <v>53</v>
      </c>
      <c r="D747" s="33" t="s">
        <v>3378</v>
      </c>
      <c r="E747" s="32"/>
      <c r="F747" s="54"/>
      <c r="G747" s="33" t="s">
        <v>3379</v>
      </c>
      <c r="H747" s="32"/>
      <c r="I747" s="33" t="s">
        <v>261</v>
      </c>
      <c r="J747" s="62" t="s">
        <v>3380</v>
      </c>
      <c r="K747" s="33" t="s">
        <v>43</v>
      </c>
      <c r="L747" s="33" t="s">
        <v>3381</v>
      </c>
      <c r="M747" s="63">
        <v>7462791400</v>
      </c>
      <c r="N747" s="45"/>
      <c r="O747" s="63">
        <v>15000000</v>
      </c>
      <c r="P747" s="86"/>
      <c r="Q747" s="44">
        <f t="shared" si="720"/>
        <v>7477791400</v>
      </c>
      <c r="R747" s="65">
        <v>7462791400</v>
      </c>
      <c r="S747" s="32"/>
      <c r="T747" s="63">
        <v>15000000</v>
      </c>
      <c r="U747" s="32"/>
      <c r="V747" s="32"/>
      <c r="W747" s="49"/>
      <c r="X747" s="49">
        <f t="shared" ref="X747:Z747" si="753">N747-S747</f>
        <v>0</v>
      </c>
      <c r="Y747" s="49">
        <f t="shared" si="753"/>
        <v>0</v>
      </c>
      <c r="Z747" s="49">
        <f t="shared" si="753"/>
        <v>0</v>
      </c>
      <c r="AA747" s="54"/>
      <c r="AB747" s="54"/>
      <c r="AC747" s="2">
        <f t="shared" si="722"/>
        <v>2</v>
      </c>
      <c r="AD747" s="6"/>
      <c r="AE747" s="6"/>
      <c r="AF747" s="6"/>
      <c r="AG747" s="6"/>
      <c r="AH747" s="6"/>
      <c r="AI747" s="6"/>
      <c r="AJ747" s="6"/>
      <c r="AK747" s="6"/>
      <c r="AL747" s="6"/>
      <c r="AM747" s="6"/>
      <c r="AN747" s="6"/>
      <c r="AO747" s="6"/>
      <c r="AP747" s="6"/>
      <c r="AQ747" s="6"/>
      <c r="AR747" s="6"/>
      <c r="AS747" s="6"/>
    </row>
    <row r="748" spans="1:45" ht="62.25" hidden="1" customHeight="1" x14ac:dyDescent="0.25">
      <c r="A748" s="33" t="s">
        <v>275</v>
      </c>
      <c r="B748" s="42">
        <v>649</v>
      </c>
      <c r="C748" s="33" t="s">
        <v>53</v>
      </c>
      <c r="D748" s="33" t="s">
        <v>3382</v>
      </c>
      <c r="E748" s="32"/>
      <c r="F748" s="54"/>
      <c r="G748" s="33" t="s">
        <v>3383</v>
      </c>
      <c r="H748" s="32"/>
      <c r="I748" s="33" t="s">
        <v>321</v>
      </c>
      <c r="J748" s="62" t="s">
        <v>3384</v>
      </c>
      <c r="K748" s="33" t="s">
        <v>43</v>
      </c>
      <c r="L748" s="33" t="s">
        <v>3385</v>
      </c>
      <c r="M748" s="63">
        <v>5198673388</v>
      </c>
      <c r="N748" s="45"/>
      <c r="O748" s="63">
        <v>15000000</v>
      </c>
      <c r="P748" s="86"/>
      <c r="Q748" s="44">
        <f t="shared" si="720"/>
        <v>5213673388</v>
      </c>
      <c r="R748" s="65">
        <v>5198673388</v>
      </c>
      <c r="S748" s="32"/>
      <c r="T748" s="44">
        <v>15000000</v>
      </c>
      <c r="U748" s="32"/>
      <c r="V748" s="32"/>
      <c r="W748" s="49"/>
      <c r="X748" s="49">
        <f t="shared" ref="X748:Z748" si="754">N748-S748</f>
        <v>0</v>
      </c>
      <c r="Y748" s="49">
        <f t="shared" si="754"/>
        <v>0</v>
      </c>
      <c r="Z748" s="49">
        <f t="shared" si="754"/>
        <v>0</v>
      </c>
      <c r="AA748" s="54"/>
      <c r="AB748" s="54"/>
      <c r="AC748" s="2">
        <f t="shared" si="722"/>
        <v>2</v>
      </c>
      <c r="AD748" s="6"/>
      <c r="AE748" s="6"/>
      <c r="AF748" s="6"/>
      <c r="AG748" s="6"/>
      <c r="AH748" s="6"/>
      <c r="AI748" s="6"/>
      <c r="AJ748" s="6"/>
      <c r="AK748" s="6"/>
      <c r="AL748" s="6"/>
      <c r="AM748" s="6"/>
      <c r="AN748" s="6"/>
      <c r="AO748" s="6"/>
      <c r="AP748" s="6"/>
      <c r="AQ748" s="6"/>
      <c r="AR748" s="6"/>
      <c r="AS748" s="6"/>
    </row>
    <row r="749" spans="1:45" ht="78" hidden="1" customHeight="1" x14ac:dyDescent="0.25">
      <c r="A749" s="33" t="s">
        <v>275</v>
      </c>
      <c r="B749" s="42">
        <v>650</v>
      </c>
      <c r="C749" s="33" t="s">
        <v>53</v>
      </c>
      <c r="D749" s="33" t="s">
        <v>3386</v>
      </c>
      <c r="E749" s="32"/>
      <c r="F749" s="54"/>
      <c r="G749" s="33" t="s">
        <v>3387</v>
      </c>
      <c r="H749" s="32"/>
      <c r="I749" s="33" t="s">
        <v>261</v>
      </c>
      <c r="J749" s="62" t="s">
        <v>3388</v>
      </c>
      <c r="K749" s="33" t="s">
        <v>43</v>
      </c>
      <c r="L749" s="33" t="s">
        <v>3389</v>
      </c>
      <c r="M749" s="63">
        <v>2087490465</v>
      </c>
      <c r="N749" s="45"/>
      <c r="O749" s="63">
        <v>15000000</v>
      </c>
      <c r="P749" s="86"/>
      <c r="Q749" s="44">
        <f t="shared" si="720"/>
        <v>2102490465</v>
      </c>
      <c r="R749" s="65">
        <v>2087490465</v>
      </c>
      <c r="S749" s="32"/>
      <c r="T749" s="44">
        <v>15000000</v>
      </c>
      <c r="U749" s="32"/>
      <c r="V749" s="32"/>
      <c r="W749" s="49"/>
      <c r="X749" s="49">
        <f t="shared" ref="X749:Z749" si="755">N749-S749</f>
        <v>0</v>
      </c>
      <c r="Y749" s="49">
        <f t="shared" si="755"/>
        <v>0</v>
      </c>
      <c r="Z749" s="49">
        <f t="shared" si="755"/>
        <v>0</v>
      </c>
      <c r="AA749" s="54"/>
      <c r="AB749" s="54"/>
      <c r="AC749" s="2">
        <f t="shared" si="722"/>
        <v>2</v>
      </c>
      <c r="AD749" s="6"/>
      <c r="AE749" s="6"/>
      <c r="AF749" s="6"/>
      <c r="AG749" s="6"/>
      <c r="AH749" s="6"/>
      <c r="AI749" s="6"/>
      <c r="AJ749" s="6"/>
      <c r="AK749" s="6"/>
      <c r="AL749" s="6"/>
      <c r="AM749" s="6"/>
      <c r="AN749" s="6"/>
      <c r="AO749" s="6"/>
      <c r="AP749" s="6"/>
      <c r="AQ749" s="6"/>
      <c r="AR749" s="6"/>
      <c r="AS749" s="6"/>
    </row>
    <row r="750" spans="1:45" ht="93" hidden="1" customHeight="1" x14ac:dyDescent="0.25">
      <c r="A750" s="33" t="s">
        <v>35</v>
      </c>
      <c r="B750" s="42">
        <v>651</v>
      </c>
      <c r="C750" s="33" t="s">
        <v>53</v>
      </c>
      <c r="D750" s="33" t="s">
        <v>3390</v>
      </c>
      <c r="E750" s="33"/>
      <c r="F750" s="54"/>
      <c r="G750" s="33" t="s">
        <v>3391</v>
      </c>
      <c r="H750" s="33"/>
      <c r="I750" s="33"/>
      <c r="J750" s="33" t="s">
        <v>3392</v>
      </c>
      <c r="K750" s="33" t="s">
        <v>43</v>
      </c>
      <c r="L750" s="33" t="s">
        <v>3393</v>
      </c>
      <c r="M750" s="63">
        <v>5912489280</v>
      </c>
      <c r="N750" s="45"/>
      <c r="O750" s="44">
        <v>15000000</v>
      </c>
      <c r="P750" s="86"/>
      <c r="Q750" s="44">
        <f t="shared" si="720"/>
        <v>5927489280</v>
      </c>
      <c r="R750" s="65">
        <v>5912489280</v>
      </c>
      <c r="S750" s="32"/>
      <c r="T750" s="66"/>
      <c r="U750" s="32"/>
      <c r="V750" s="32"/>
      <c r="W750" s="49"/>
      <c r="X750" s="49">
        <f t="shared" ref="X750:Z750" si="756">N750-S750</f>
        <v>0</v>
      </c>
      <c r="Y750" s="52">
        <f t="shared" si="756"/>
        <v>15000000</v>
      </c>
      <c r="Z750" s="49">
        <f t="shared" si="756"/>
        <v>0</v>
      </c>
      <c r="AA750" s="54"/>
      <c r="AB750" s="43"/>
      <c r="AC750" s="15">
        <f t="shared" si="722"/>
        <v>2</v>
      </c>
      <c r="AD750" s="15"/>
      <c r="AE750" s="6"/>
      <c r="AF750" s="6"/>
      <c r="AG750" s="6"/>
      <c r="AH750" s="6"/>
      <c r="AI750" s="6"/>
      <c r="AJ750" s="6"/>
      <c r="AK750" s="6"/>
      <c r="AL750" s="6"/>
      <c r="AM750" s="6"/>
      <c r="AN750" s="6"/>
      <c r="AO750" s="6"/>
      <c r="AP750" s="6"/>
      <c r="AQ750" s="6"/>
      <c r="AR750" s="6"/>
      <c r="AS750" s="6"/>
    </row>
    <row r="751" spans="1:45" ht="62.25" hidden="1" customHeight="1" x14ac:dyDescent="0.25">
      <c r="A751" s="33" t="s">
        <v>275</v>
      </c>
      <c r="B751" s="42">
        <v>653</v>
      </c>
      <c r="C751" s="33" t="s">
        <v>53</v>
      </c>
      <c r="D751" s="33" t="s">
        <v>3394</v>
      </c>
      <c r="E751" s="32"/>
      <c r="F751" s="54"/>
      <c r="G751" s="33" t="s">
        <v>3395</v>
      </c>
      <c r="H751" s="32"/>
      <c r="I751" s="33" t="s">
        <v>321</v>
      </c>
      <c r="J751" s="62" t="s">
        <v>3396</v>
      </c>
      <c r="K751" s="33" t="s">
        <v>43</v>
      </c>
      <c r="L751" s="33" t="s">
        <v>3397</v>
      </c>
      <c r="M751" s="63">
        <v>3035947492</v>
      </c>
      <c r="N751" s="45"/>
      <c r="O751" s="63">
        <v>15000000</v>
      </c>
      <c r="P751" s="86"/>
      <c r="Q751" s="44">
        <f t="shared" si="720"/>
        <v>3050947492</v>
      </c>
      <c r="R751" s="65">
        <v>3035947492</v>
      </c>
      <c r="S751" s="32"/>
      <c r="T751" s="44">
        <v>15000000</v>
      </c>
      <c r="U751" s="32"/>
      <c r="V751" s="32"/>
      <c r="W751" s="49"/>
      <c r="X751" s="49">
        <f t="shared" ref="X751:Z751" si="757">N751-S751</f>
        <v>0</v>
      </c>
      <c r="Y751" s="49">
        <f t="shared" si="757"/>
        <v>0</v>
      </c>
      <c r="Z751" s="49">
        <f t="shared" si="757"/>
        <v>0</v>
      </c>
      <c r="AA751" s="54"/>
      <c r="AB751" s="54"/>
      <c r="AC751" s="2">
        <f t="shared" si="722"/>
        <v>2</v>
      </c>
      <c r="AD751" s="6"/>
      <c r="AE751" s="6"/>
      <c r="AF751" s="6"/>
      <c r="AG751" s="6"/>
      <c r="AH751" s="6"/>
      <c r="AI751" s="6"/>
      <c r="AJ751" s="6"/>
      <c r="AK751" s="6"/>
      <c r="AL751" s="6"/>
      <c r="AM751" s="6"/>
      <c r="AN751" s="6"/>
      <c r="AO751" s="6"/>
      <c r="AP751" s="6"/>
      <c r="AQ751" s="6"/>
      <c r="AR751" s="6"/>
      <c r="AS751" s="6"/>
    </row>
    <row r="752" spans="1:45" ht="31.5" hidden="1" x14ac:dyDescent="0.25">
      <c r="A752" s="33" t="s">
        <v>275</v>
      </c>
      <c r="B752" s="42">
        <v>654</v>
      </c>
      <c r="C752" s="33" t="s">
        <v>53</v>
      </c>
      <c r="D752" s="33" t="s">
        <v>3398</v>
      </c>
      <c r="E752" s="33"/>
      <c r="F752" s="54"/>
      <c r="G752" s="33" t="s">
        <v>3399</v>
      </c>
      <c r="H752" s="33"/>
      <c r="I752" s="33"/>
      <c r="J752" s="33" t="s">
        <v>3400</v>
      </c>
      <c r="K752" s="33" t="s">
        <v>43</v>
      </c>
      <c r="L752" s="33" t="s">
        <v>3401</v>
      </c>
      <c r="M752" s="63">
        <v>5634993422</v>
      </c>
      <c r="N752" s="45"/>
      <c r="O752" s="44">
        <v>15000000</v>
      </c>
      <c r="P752" s="86"/>
      <c r="Q752" s="44">
        <f t="shared" si="720"/>
        <v>5649993422</v>
      </c>
      <c r="R752" s="65">
        <v>5634993422</v>
      </c>
      <c r="S752" s="32"/>
      <c r="T752" s="66"/>
      <c r="U752" s="32"/>
      <c r="V752" s="32"/>
      <c r="W752" s="49"/>
      <c r="X752" s="49">
        <f t="shared" ref="X752:Z752" si="758">N752-S752</f>
        <v>0</v>
      </c>
      <c r="Y752" s="52">
        <f t="shared" si="758"/>
        <v>15000000</v>
      </c>
      <c r="Z752" s="49">
        <f t="shared" si="758"/>
        <v>0</v>
      </c>
      <c r="AA752" s="54"/>
      <c r="AB752" s="43"/>
      <c r="AC752" s="15">
        <f t="shared" si="722"/>
        <v>2</v>
      </c>
      <c r="AD752" s="15"/>
      <c r="AE752" s="6"/>
      <c r="AF752" s="6"/>
      <c r="AG752" s="6"/>
      <c r="AH752" s="6"/>
      <c r="AI752" s="6"/>
      <c r="AJ752" s="6"/>
      <c r="AK752" s="6"/>
      <c r="AL752" s="6"/>
      <c r="AM752" s="6"/>
      <c r="AN752" s="6"/>
      <c r="AO752" s="6"/>
      <c r="AP752" s="6"/>
      <c r="AQ752" s="6"/>
      <c r="AR752" s="6"/>
      <c r="AS752" s="6"/>
    </row>
    <row r="753" spans="1:45" ht="62.25" hidden="1" customHeight="1" x14ac:dyDescent="0.25">
      <c r="A753" s="33" t="s">
        <v>52</v>
      </c>
      <c r="B753" s="42">
        <v>655</v>
      </c>
      <c r="C753" s="33" t="s">
        <v>730</v>
      </c>
      <c r="D753" s="33" t="s">
        <v>3402</v>
      </c>
      <c r="E753" s="33" t="s">
        <v>1993</v>
      </c>
      <c r="F753" s="54"/>
      <c r="G753" s="33" t="s">
        <v>3403</v>
      </c>
      <c r="H753" s="32"/>
      <c r="I753" s="32"/>
      <c r="J753" s="62" t="s">
        <v>3404</v>
      </c>
      <c r="K753" s="33" t="s">
        <v>43</v>
      </c>
      <c r="L753" s="33" t="s">
        <v>3183</v>
      </c>
      <c r="M753" s="63">
        <v>9457911350</v>
      </c>
      <c r="N753" s="63">
        <v>415138500</v>
      </c>
      <c r="O753" s="63">
        <v>7500000</v>
      </c>
      <c r="P753" s="86"/>
      <c r="Q753" s="44">
        <f t="shared" si="720"/>
        <v>9880549850</v>
      </c>
      <c r="R753" s="65">
        <v>9457911350</v>
      </c>
      <c r="S753" s="48">
        <v>415138500</v>
      </c>
      <c r="T753" s="63">
        <v>7500000</v>
      </c>
      <c r="U753" s="32"/>
      <c r="V753" s="32"/>
      <c r="W753" s="49"/>
      <c r="X753" s="49">
        <f t="shared" ref="X753:Z753" si="759">N753-S753</f>
        <v>0</v>
      </c>
      <c r="Y753" s="49">
        <f t="shared" si="759"/>
        <v>0</v>
      </c>
      <c r="Z753" s="49">
        <f t="shared" si="759"/>
        <v>0</v>
      </c>
      <c r="AA753" s="54"/>
      <c r="AB753" s="54"/>
      <c r="AC753" s="2">
        <f t="shared" si="722"/>
        <v>2</v>
      </c>
      <c r="AD753" s="6"/>
      <c r="AE753" s="6"/>
      <c r="AF753" s="6"/>
      <c r="AG753" s="6"/>
      <c r="AH753" s="6"/>
      <c r="AI753" s="6"/>
      <c r="AJ753" s="6"/>
      <c r="AK753" s="6"/>
      <c r="AL753" s="6"/>
      <c r="AM753" s="6"/>
      <c r="AN753" s="6"/>
      <c r="AO753" s="6"/>
      <c r="AP753" s="6"/>
      <c r="AQ753" s="6"/>
      <c r="AR753" s="6"/>
      <c r="AS753" s="6"/>
    </row>
    <row r="754" spans="1:45" ht="62.25" hidden="1" customHeight="1" x14ac:dyDescent="0.25">
      <c r="A754" s="33" t="s">
        <v>35</v>
      </c>
      <c r="B754" s="42">
        <v>657</v>
      </c>
      <c r="C754" s="33" t="s">
        <v>730</v>
      </c>
      <c r="D754" s="33" t="s">
        <v>3405</v>
      </c>
      <c r="E754" s="32"/>
      <c r="F754" s="54"/>
      <c r="G754" s="33" t="s">
        <v>3406</v>
      </c>
      <c r="H754" s="32"/>
      <c r="I754" s="33" t="s">
        <v>85</v>
      </c>
      <c r="J754" s="62" t="s">
        <v>262</v>
      </c>
      <c r="K754" s="33" t="s">
        <v>43</v>
      </c>
      <c r="L754" s="33" t="s">
        <v>2621</v>
      </c>
      <c r="M754" s="63">
        <v>3993807300</v>
      </c>
      <c r="N754" s="45"/>
      <c r="O754" s="63">
        <v>3750000</v>
      </c>
      <c r="P754" s="86"/>
      <c r="Q754" s="44">
        <f t="shared" si="720"/>
        <v>3997557300</v>
      </c>
      <c r="R754" s="65">
        <v>3993807300</v>
      </c>
      <c r="S754" s="32"/>
      <c r="T754" s="44">
        <v>3750000</v>
      </c>
      <c r="U754" s="32"/>
      <c r="V754" s="32"/>
      <c r="W754" s="49"/>
      <c r="X754" s="49">
        <f t="shared" ref="X754:Z754" si="760">N754-S754</f>
        <v>0</v>
      </c>
      <c r="Y754" s="49">
        <f t="shared" si="760"/>
        <v>0</v>
      </c>
      <c r="Z754" s="49">
        <f t="shared" si="760"/>
        <v>0</v>
      </c>
      <c r="AA754" s="54"/>
      <c r="AB754" s="54"/>
      <c r="AC754" s="2">
        <f t="shared" si="722"/>
        <v>2</v>
      </c>
      <c r="AD754" s="6"/>
      <c r="AE754" s="6"/>
      <c r="AF754" s="6"/>
      <c r="AG754" s="6"/>
      <c r="AH754" s="6"/>
      <c r="AI754" s="6"/>
      <c r="AJ754" s="6"/>
      <c r="AK754" s="6"/>
      <c r="AL754" s="6"/>
      <c r="AM754" s="6"/>
      <c r="AN754" s="6"/>
      <c r="AO754" s="6"/>
      <c r="AP754" s="6"/>
      <c r="AQ754" s="6"/>
      <c r="AR754" s="6"/>
      <c r="AS754" s="6"/>
    </row>
    <row r="755" spans="1:45" ht="47.25" hidden="1" x14ac:dyDescent="0.25">
      <c r="A755" s="33" t="s">
        <v>60</v>
      </c>
      <c r="B755" s="42">
        <v>658</v>
      </c>
      <c r="C755" s="33" t="s">
        <v>730</v>
      </c>
      <c r="D755" s="33" t="s">
        <v>3407</v>
      </c>
      <c r="E755" s="33" t="s">
        <v>2834</v>
      </c>
      <c r="F755" s="54"/>
      <c r="G755" s="33" t="s">
        <v>3408</v>
      </c>
      <c r="H755" s="33" t="s">
        <v>3409</v>
      </c>
      <c r="I755" s="33"/>
      <c r="J755" s="33" t="s">
        <v>3410</v>
      </c>
      <c r="K755" s="33" t="s">
        <v>43</v>
      </c>
      <c r="L755" s="33" t="s">
        <v>3411</v>
      </c>
      <c r="M755" s="63">
        <v>2023224224</v>
      </c>
      <c r="N755" s="63">
        <v>497631632</v>
      </c>
      <c r="O755" s="44">
        <v>7500000</v>
      </c>
      <c r="P755" s="86"/>
      <c r="Q755" s="44">
        <f t="shared" si="720"/>
        <v>2528355856</v>
      </c>
      <c r="R755" s="65">
        <v>2023224224</v>
      </c>
      <c r="S755" s="65">
        <v>497631632</v>
      </c>
      <c r="T755" s="66"/>
      <c r="U755" s="32"/>
      <c r="V755" s="32"/>
      <c r="W755" s="49"/>
      <c r="X755" s="49">
        <f t="shared" ref="X755:Z755" si="761">N755-S755</f>
        <v>0</v>
      </c>
      <c r="Y755" s="52">
        <f t="shared" si="761"/>
        <v>7500000</v>
      </c>
      <c r="Z755" s="49">
        <f t="shared" si="761"/>
        <v>0</v>
      </c>
      <c r="AA755" s="54"/>
      <c r="AB755" s="43"/>
      <c r="AC755" s="15">
        <f t="shared" si="722"/>
        <v>2</v>
      </c>
      <c r="AD755" s="15"/>
      <c r="AE755" s="6"/>
      <c r="AF755" s="6"/>
      <c r="AG755" s="6"/>
      <c r="AH755" s="6"/>
      <c r="AI755" s="6"/>
      <c r="AJ755" s="6"/>
      <c r="AK755" s="6"/>
      <c r="AL755" s="6"/>
      <c r="AM755" s="6"/>
      <c r="AN755" s="6"/>
      <c r="AO755" s="6"/>
      <c r="AP755" s="6"/>
      <c r="AQ755" s="6"/>
      <c r="AR755" s="6"/>
      <c r="AS755" s="6"/>
    </row>
    <row r="756" spans="1:45" ht="40.5" hidden="1" x14ac:dyDescent="0.25">
      <c r="A756" s="33" t="s">
        <v>35</v>
      </c>
      <c r="B756" s="42">
        <v>659</v>
      </c>
      <c r="C756" s="33" t="s">
        <v>730</v>
      </c>
      <c r="D756" s="33" t="s">
        <v>3412</v>
      </c>
      <c r="E756" s="33" t="s">
        <v>3298</v>
      </c>
      <c r="F756" s="54"/>
      <c r="G756" s="33" t="s">
        <v>3413</v>
      </c>
      <c r="H756" s="33" t="s">
        <v>3414</v>
      </c>
      <c r="I756" s="32"/>
      <c r="J756" s="62" t="s">
        <v>3415</v>
      </c>
      <c r="K756" s="33" t="s">
        <v>43</v>
      </c>
      <c r="L756" s="33" t="s">
        <v>3416</v>
      </c>
      <c r="M756" s="63">
        <v>10422381215</v>
      </c>
      <c r="N756" s="63">
        <v>330976800</v>
      </c>
      <c r="O756" s="63">
        <v>7500000</v>
      </c>
      <c r="P756" s="86"/>
      <c r="Q756" s="44">
        <f t="shared" si="720"/>
        <v>10760858015</v>
      </c>
      <c r="R756" s="65">
        <v>10422381215</v>
      </c>
      <c r="S756" s="65">
        <v>330976800</v>
      </c>
      <c r="T756" s="44">
        <v>7500000</v>
      </c>
      <c r="U756" s="32"/>
      <c r="V756" s="32"/>
      <c r="W756" s="49"/>
      <c r="X756" s="49">
        <f t="shared" ref="X756:Z756" si="762">N756-S756</f>
        <v>0</v>
      </c>
      <c r="Y756" s="49">
        <f t="shared" si="762"/>
        <v>0</v>
      </c>
      <c r="Z756" s="49">
        <f t="shared" si="762"/>
        <v>0</v>
      </c>
      <c r="AA756" s="54"/>
      <c r="AB756" s="54"/>
      <c r="AC756" s="2">
        <f t="shared" si="722"/>
        <v>2</v>
      </c>
      <c r="AD756" s="6"/>
      <c r="AE756" s="6"/>
      <c r="AF756" s="6"/>
      <c r="AG756" s="6"/>
      <c r="AH756" s="6"/>
      <c r="AI756" s="6"/>
      <c r="AJ756" s="6"/>
      <c r="AK756" s="6"/>
      <c r="AL756" s="6"/>
      <c r="AM756" s="6"/>
      <c r="AN756" s="6"/>
      <c r="AO756" s="6"/>
      <c r="AP756" s="6"/>
      <c r="AQ756" s="6"/>
      <c r="AR756" s="6"/>
      <c r="AS756" s="6"/>
    </row>
    <row r="757" spans="1:45" ht="47.25" hidden="1" x14ac:dyDescent="0.25">
      <c r="A757" s="33" t="s">
        <v>60</v>
      </c>
      <c r="B757" s="42">
        <v>661</v>
      </c>
      <c r="C757" s="33" t="s">
        <v>730</v>
      </c>
      <c r="D757" s="33" t="s">
        <v>3420</v>
      </c>
      <c r="E757" s="32"/>
      <c r="F757" s="54"/>
      <c r="G757" s="33" t="s">
        <v>3421</v>
      </c>
      <c r="H757" s="32"/>
      <c r="I757" s="32"/>
      <c r="J757" s="62" t="s">
        <v>3422</v>
      </c>
      <c r="K757" s="33" t="s">
        <v>43</v>
      </c>
      <c r="L757" s="33" t="s">
        <v>735</v>
      </c>
      <c r="M757" s="63">
        <v>619998256</v>
      </c>
      <c r="N757" s="45"/>
      <c r="O757" s="63">
        <v>15000000</v>
      </c>
      <c r="P757" s="86"/>
      <c r="Q757" s="44">
        <f t="shared" si="720"/>
        <v>634998256</v>
      </c>
      <c r="R757" s="52">
        <v>619998256</v>
      </c>
      <c r="S757" s="32"/>
      <c r="T757" s="63">
        <v>15000000</v>
      </c>
      <c r="U757" s="32"/>
      <c r="V757" s="32"/>
      <c r="W757" s="49"/>
      <c r="X757" s="49">
        <f t="shared" ref="X757:Z757" si="763">N757-S757</f>
        <v>0</v>
      </c>
      <c r="Y757" s="49">
        <f t="shared" si="763"/>
        <v>0</v>
      </c>
      <c r="Z757" s="49">
        <f t="shared" si="763"/>
        <v>0</v>
      </c>
      <c r="AA757" s="54"/>
      <c r="AB757" s="54"/>
      <c r="AC757" s="2">
        <f t="shared" si="722"/>
        <v>2</v>
      </c>
      <c r="AD757" s="6"/>
      <c r="AE757" s="6"/>
      <c r="AF757" s="6"/>
      <c r="AG757" s="6"/>
      <c r="AH757" s="6"/>
      <c r="AI757" s="6"/>
      <c r="AJ757" s="6"/>
      <c r="AK757" s="6"/>
      <c r="AL757" s="6"/>
      <c r="AM757" s="6"/>
      <c r="AN757" s="6"/>
      <c r="AO757" s="6"/>
      <c r="AP757" s="6"/>
      <c r="AQ757" s="6"/>
      <c r="AR757" s="6"/>
      <c r="AS757" s="6"/>
    </row>
    <row r="758" spans="1:45" ht="81" hidden="1" x14ac:dyDescent="0.25">
      <c r="A758" s="33" t="s">
        <v>60</v>
      </c>
      <c r="B758" s="42">
        <v>662</v>
      </c>
      <c r="C758" s="33" t="s">
        <v>730</v>
      </c>
      <c r="D758" s="33" t="s">
        <v>3423</v>
      </c>
      <c r="E758" s="32"/>
      <c r="F758" s="54"/>
      <c r="G758" s="33" t="s">
        <v>3424</v>
      </c>
      <c r="H758" s="32"/>
      <c r="I758" s="32"/>
      <c r="J758" s="62" t="s">
        <v>3425</v>
      </c>
      <c r="K758" s="33" t="s">
        <v>43</v>
      </c>
      <c r="L758" s="33" t="s">
        <v>3426</v>
      </c>
      <c r="M758" s="63">
        <v>3682837780</v>
      </c>
      <c r="N758" s="45"/>
      <c r="O758" s="63">
        <v>15000000</v>
      </c>
      <c r="P758" s="86"/>
      <c r="Q758" s="44">
        <f t="shared" si="720"/>
        <v>3697837780</v>
      </c>
      <c r="R758" s="65">
        <v>3682837780</v>
      </c>
      <c r="S758" s="32"/>
      <c r="T758" s="44">
        <v>15000000</v>
      </c>
      <c r="U758" s="32"/>
      <c r="V758" s="32"/>
      <c r="W758" s="49"/>
      <c r="X758" s="49">
        <f t="shared" ref="X758:Z758" si="764">N758-S758</f>
        <v>0</v>
      </c>
      <c r="Y758" s="49">
        <f t="shared" si="764"/>
        <v>0</v>
      </c>
      <c r="Z758" s="49">
        <f t="shared" si="764"/>
        <v>0</v>
      </c>
      <c r="AA758" s="54"/>
      <c r="AB758" s="54"/>
      <c r="AC758" s="2">
        <f t="shared" si="722"/>
        <v>2</v>
      </c>
      <c r="AD758" s="6"/>
      <c r="AE758" s="6"/>
      <c r="AF758" s="6"/>
      <c r="AG758" s="6"/>
      <c r="AH758" s="6"/>
      <c r="AI758" s="6"/>
      <c r="AJ758" s="6"/>
      <c r="AK758" s="6"/>
      <c r="AL758" s="6"/>
      <c r="AM758" s="6"/>
      <c r="AN758" s="6"/>
      <c r="AO758" s="6"/>
      <c r="AP758" s="6"/>
      <c r="AQ758" s="6"/>
      <c r="AR758" s="6"/>
      <c r="AS758" s="6"/>
    </row>
    <row r="759" spans="1:45" ht="78" hidden="1" customHeight="1" x14ac:dyDescent="0.25">
      <c r="A759" s="33" t="s">
        <v>60</v>
      </c>
      <c r="B759" s="42">
        <v>663</v>
      </c>
      <c r="C759" s="33" t="s">
        <v>730</v>
      </c>
      <c r="D759" s="33" t="s">
        <v>3427</v>
      </c>
      <c r="E759" s="32"/>
      <c r="F759" s="54"/>
      <c r="G759" s="33" t="s">
        <v>3428</v>
      </c>
      <c r="H759" s="32"/>
      <c r="I759" s="32"/>
      <c r="J759" s="62" t="s">
        <v>3429</v>
      </c>
      <c r="K759" s="33" t="s">
        <v>43</v>
      </c>
      <c r="L759" s="33" t="s">
        <v>3430</v>
      </c>
      <c r="M759" s="63">
        <v>30531714626</v>
      </c>
      <c r="N759" s="45"/>
      <c r="O759" s="63">
        <v>15000000</v>
      </c>
      <c r="P759" s="86"/>
      <c r="Q759" s="44">
        <f t="shared" si="720"/>
        <v>30546714626</v>
      </c>
      <c r="R759" s="65">
        <v>30531714626</v>
      </c>
      <c r="S759" s="32"/>
      <c r="T759" s="45">
        <v>15000000</v>
      </c>
      <c r="U759" s="32"/>
      <c r="V759" s="32"/>
      <c r="W759" s="49"/>
      <c r="X759" s="49">
        <f t="shared" ref="X759:Z759" si="765">N759-S759</f>
        <v>0</v>
      </c>
      <c r="Y759" s="49">
        <f t="shared" si="765"/>
        <v>0</v>
      </c>
      <c r="Z759" s="49">
        <f t="shared" si="765"/>
        <v>0</v>
      </c>
      <c r="AA759" s="54"/>
      <c r="AB759" s="54"/>
      <c r="AC759" s="2">
        <f t="shared" si="722"/>
        <v>2</v>
      </c>
      <c r="AD759" s="6"/>
      <c r="AE759" s="6"/>
      <c r="AF759" s="6"/>
      <c r="AG759" s="6"/>
      <c r="AH759" s="6"/>
      <c r="AI759" s="6"/>
      <c r="AJ759" s="6"/>
      <c r="AK759" s="6"/>
      <c r="AL759" s="6"/>
      <c r="AM759" s="6"/>
      <c r="AN759" s="6"/>
      <c r="AO759" s="6"/>
      <c r="AP759" s="6"/>
      <c r="AQ759" s="6"/>
      <c r="AR759" s="6"/>
      <c r="AS759" s="6"/>
    </row>
    <row r="760" spans="1:45" ht="40.5" hidden="1" x14ac:dyDescent="0.25">
      <c r="A760" s="33" t="s">
        <v>60</v>
      </c>
      <c r="B760" s="42">
        <v>665</v>
      </c>
      <c r="C760" s="33" t="s">
        <v>327</v>
      </c>
      <c r="D760" s="33" t="s">
        <v>3431</v>
      </c>
      <c r="E760" s="33" t="s">
        <v>377</v>
      </c>
      <c r="F760" s="54"/>
      <c r="G760" s="33" t="s">
        <v>3432</v>
      </c>
      <c r="H760" s="33" t="s">
        <v>3433</v>
      </c>
      <c r="I760" s="32"/>
      <c r="J760" s="62" t="s">
        <v>3434</v>
      </c>
      <c r="K760" s="33" t="s">
        <v>43</v>
      </c>
      <c r="L760" s="33" t="s">
        <v>3435</v>
      </c>
      <c r="M760" s="63">
        <v>2569591424</v>
      </c>
      <c r="N760" s="63">
        <v>588296218</v>
      </c>
      <c r="O760" s="63">
        <v>15000000</v>
      </c>
      <c r="P760" s="86"/>
      <c r="Q760" s="44">
        <f t="shared" si="720"/>
        <v>3172887642</v>
      </c>
      <c r="R760" s="65">
        <v>2569591424</v>
      </c>
      <c r="S760" s="65">
        <v>588296218</v>
      </c>
      <c r="T760" s="44">
        <v>15000000</v>
      </c>
      <c r="U760" s="32"/>
      <c r="V760" s="32"/>
      <c r="W760" s="49"/>
      <c r="X760" s="49">
        <f t="shared" ref="X760:Z760" si="766">N760-S760</f>
        <v>0</v>
      </c>
      <c r="Y760" s="49">
        <f t="shared" si="766"/>
        <v>0</v>
      </c>
      <c r="Z760" s="49">
        <f t="shared" si="766"/>
        <v>0</v>
      </c>
      <c r="AA760" s="54"/>
      <c r="AB760" s="54"/>
      <c r="AC760" s="2">
        <f t="shared" si="722"/>
        <v>2</v>
      </c>
      <c r="AD760" s="6"/>
      <c r="AE760" s="6"/>
      <c r="AF760" s="6"/>
      <c r="AG760" s="6"/>
      <c r="AH760" s="6"/>
      <c r="AI760" s="6"/>
      <c r="AJ760" s="6"/>
      <c r="AK760" s="6"/>
      <c r="AL760" s="6"/>
      <c r="AM760" s="6"/>
      <c r="AN760" s="6"/>
      <c r="AO760" s="6"/>
      <c r="AP760" s="6"/>
      <c r="AQ760" s="6"/>
      <c r="AR760" s="6"/>
      <c r="AS760" s="6"/>
    </row>
    <row r="761" spans="1:45" ht="78.75" hidden="1" x14ac:dyDescent="0.25">
      <c r="A761" s="101" t="s">
        <v>60</v>
      </c>
      <c r="B761" s="42">
        <v>667</v>
      </c>
      <c r="C761" s="101" t="s">
        <v>327</v>
      </c>
      <c r="D761" s="101" t="s">
        <v>3436</v>
      </c>
      <c r="E761" s="101" t="s">
        <v>3440</v>
      </c>
      <c r="F761" s="54"/>
      <c r="G761" s="101" t="s">
        <v>3692</v>
      </c>
      <c r="H761" s="101" t="s">
        <v>3442</v>
      </c>
      <c r="I761" s="33"/>
      <c r="J761" s="101" t="s">
        <v>3438</v>
      </c>
      <c r="K761" s="101" t="s">
        <v>43</v>
      </c>
      <c r="L761" s="101" t="s">
        <v>3439</v>
      </c>
      <c r="M761" s="116">
        <v>10000000</v>
      </c>
      <c r="N761" s="80">
        <v>965448012</v>
      </c>
      <c r="O761" s="80">
        <f>15000000+15000000</f>
        <v>30000000</v>
      </c>
      <c r="P761" s="86"/>
      <c r="Q761" s="44">
        <f t="shared" si="720"/>
        <v>1005448012</v>
      </c>
      <c r="R761" s="100">
        <v>10000000</v>
      </c>
      <c r="S761" s="100">
        <v>955448012</v>
      </c>
      <c r="T761" s="80">
        <v>15000000</v>
      </c>
      <c r="U761" s="32"/>
      <c r="V761" s="32"/>
      <c r="W761" s="49"/>
      <c r="X761" s="49">
        <f t="shared" ref="X761:Z761" si="767">N761-S761</f>
        <v>10000000</v>
      </c>
      <c r="Y761" s="52">
        <f t="shared" si="767"/>
        <v>15000000</v>
      </c>
      <c r="Z761" s="49">
        <f t="shared" si="767"/>
        <v>0</v>
      </c>
      <c r="AA761" s="54"/>
      <c r="AB761" s="43" t="s">
        <v>3699</v>
      </c>
      <c r="AC761" s="15">
        <f t="shared" si="722"/>
        <v>2</v>
      </c>
      <c r="AD761" s="15"/>
      <c r="AE761" s="6"/>
      <c r="AF761" s="6"/>
      <c r="AG761" s="6"/>
      <c r="AH761" s="6"/>
      <c r="AI761" s="6"/>
      <c r="AJ761" s="6"/>
      <c r="AK761" s="6"/>
      <c r="AL761" s="6"/>
      <c r="AM761" s="6"/>
      <c r="AN761" s="6"/>
      <c r="AO761" s="6"/>
      <c r="AP761" s="6"/>
      <c r="AQ761" s="6"/>
      <c r="AR761" s="6"/>
      <c r="AS761" s="6"/>
    </row>
    <row r="762" spans="1:45" ht="78.75" hidden="1" x14ac:dyDescent="0.3">
      <c r="A762" s="33" t="s">
        <v>60</v>
      </c>
      <c r="B762" s="42">
        <v>669</v>
      </c>
      <c r="C762" s="33" t="s">
        <v>327</v>
      </c>
      <c r="D762" s="33" t="s">
        <v>3444</v>
      </c>
      <c r="E762" s="33" t="s">
        <v>3445</v>
      </c>
      <c r="F762" s="54"/>
      <c r="G762" s="33"/>
      <c r="H762" s="33"/>
      <c r="I762" s="33" t="s">
        <v>3446</v>
      </c>
      <c r="J762" s="33" t="s">
        <v>3447</v>
      </c>
      <c r="K762" s="33" t="s">
        <v>43</v>
      </c>
      <c r="L762" s="33" t="s">
        <v>3448</v>
      </c>
      <c r="M762" s="63">
        <v>10000000</v>
      </c>
      <c r="N762" s="45"/>
      <c r="O762" s="44">
        <v>15000000</v>
      </c>
      <c r="P762" s="86"/>
      <c r="Q762" s="44">
        <f t="shared" si="720"/>
        <v>25000000</v>
      </c>
      <c r="R762" s="32"/>
      <c r="S762" s="32"/>
      <c r="T762" s="66"/>
      <c r="U762" s="32"/>
      <c r="V762" s="32"/>
      <c r="W762" s="49">
        <v>10000000</v>
      </c>
      <c r="X762" s="49">
        <f t="shared" ref="X762:Z762" si="768">N762-S762</f>
        <v>0</v>
      </c>
      <c r="Y762" s="52">
        <f t="shared" si="768"/>
        <v>15000000</v>
      </c>
      <c r="Z762" s="49">
        <f t="shared" si="768"/>
        <v>0</v>
      </c>
      <c r="AA762" s="98">
        <v>10000000</v>
      </c>
      <c r="AB762" s="43"/>
      <c r="AC762" s="15">
        <f t="shared" si="722"/>
        <v>1</v>
      </c>
      <c r="AD762" s="15"/>
      <c r="AE762" s="6"/>
      <c r="AF762" s="6"/>
      <c r="AG762" s="6"/>
      <c r="AH762" s="6"/>
      <c r="AI762" s="6"/>
      <c r="AJ762" s="6"/>
      <c r="AK762" s="6"/>
      <c r="AL762" s="6"/>
      <c r="AM762" s="6"/>
      <c r="AN762" s="6"/>
      <c r="AO762" s="6"/>
      <c r="AP762" s="6"/>
      <c r="AQ762" s="6"/>
      <c r="AR762" s="6"/>
      <c r="AS762" s="6"/>
    </row>
    <row r="763" spans="1:45" ht="31.5" hidden="1" x14ac:dyDescent="0.25">
      <c r="A763" s="33" t="s">
        <v>60</v>
      </c>
      <c r="B763" s="42">
        <v>670</v>
      </c>
      <c r="C763" s="33" t="s">
        <v>327</v>
      </c>
      <c r="D763" s="33" t="s">
        <v>3449</v>
      </c>
      <c r="E763" s="33"/>
      <c r="F763" s="54"/>
      <c r="G763" s="33" t="s">
        <v>3450</v>
      </c>
      <c r="H763" s="33"/>
      <c r="I763" s="33"/>
      <c r="J763" s="33" t="s">
        <v>3451</v>
      </c>
      <c r="K763" s="33" t="s">
        <v>43</v>
      </c>
      <c r="L763" s="33" t="s">
        <v>3452</v>
      </c>
      <c r="M763" s="63">
        <v>6640287381</v>
      </c>
      <c r="N763" s="45"/>
      <c r="O763" s="44">
        <v>15000000</v>
      </c>
      <c r="P763" s="86"/>
      <c r="Q763" s="44">
        <f t="shared" si="720"/>
        <v>6655287381</v>
      </c>
      <c r="R763" s="65">
        <v>6640287381</v>
      </c>
      <c r="S763" s="32"/>
      <c r="T763" s="66"/>
      <c r="U763" s="32"/>
      <c r="V763" s="32"/>
      <c r="W763" s="49"/>
      <c r="X763" s="49">
        <f t="shared" ref="X763:Z763" si="769">N763-S763</f>
        <v>0</v>
      </c>
      <c r="Y763" s="52">
        <f t="shared" si="769"/>
        <v>15000000</v>
      </c>
      <c r="Z763" s="49">
        <f t="shared" si="769"/>
        <v>0</v>
      </c>
      <c r="AA763" s="54"/>
      <c r="AB763" s="43"/>
      <c r="AC763" s="15">
        <f t="shared" si="722"/>
        <v>2</v>
      </c>
      <c r="AD763" s="15"/>
      <c r="AE763" s="6"/>
      <c r="AF763" s="6"/>
      <c r="AG763" s="6"/>
      <c r="AH763" s="6"/>
      <c r="AI763" s="6"/>
      <c r="AJ763" s="6"/>
      <c r="AK763" s="6"/>
      <c r="AL763" s="6"/>
      <c r="AM763" s="6"/>
      <c r="AN763" s="6"/>
      <c r="AO763" s="6"/>
      <c r="AP763" s="6"/>
      <c r="AQ763" s="6"/>
      <c r="AR763" s="6"/>
      <c r="AS763" s="6"/>
    </row>
    <row r="764" spans="1:45" ht="31.5" hidden="1" x14ac:dyDescent="0.25">
      <c r="A764" s="33" t="s">
        <v>52</v>
      </c>
      <c r="B764" s="42">
        <v>671</v>
      </c>
      <c r="C764" s="33" t="s">
        <v>67</v>
      </c>
      <c r="D764" s="33" t="s">
        <v>3453</v>
      </c>
      <c r="E764" s="33" t="s">
        <v>3454</v>
      </c>
      <c r="F764" s="54"/>
      <c r="G764" s="33" t="s">
        <v>3455</v>
      </c>
      <c r="H764" s="33" t="s">
        <v>3456</v>
      </c>
      <c r="I764" s="32"/>
      <c r="J764" s="33" t="s">
        <v>3457</v>
      </c>
      <c r="K764" s="33" t="s">
        <v>43</v>
      </c>
      <c r="L764" s="33" t="s">
        <v>3458</v>
      </c>
      <c r="M764" s="44">
        <v>21170862212</v>
      </c>
      <c r="N764" s="44">
        <v>250496432</v>
      </c>
      <c r="O764" s="63">
        <v>7500000</v>
      </c>
      <c r="P764" s="86"/>
      <c r="Q764" s="44">
        <f t="shared" si="720"/>
        <v>21428858644</v>
      </c>
      <c r="R764" s="65">
        <v>21170862212</v>
      </c>
      <c r="S764" s="33"/>
      <c r="T764" s="63">
        <v>7500000</v>
      </c>
      <c r="U764" s="32"/>
      <c r="V764" s="32"/>
      <c r="W764" s="49"/>
      <c r="X764" s="52">
        <f t="shared" ref="X764:Z764" si="770">N764-S764</f>
        <v>250496432</v>
      </c>
      <c r="Y764" s="49">
        <f t="shared" si="770"/>
        <v>0</v>
      </c>
      <c r="Z764" s="49">
        <f t="shared" si="770"/>
        <v>0</v>
      </c>
      <c r="AA764" s="43"/>
      <c r="AB764" s="43"/>
      <c r="AC764" s="6">
        <f t="shared" si="722"/>
        <v>2</v>
      </c>
      <c r="AD764" s="6"/>
      <c r="AE764" s="6"/>
      <c r="AF764" s="6"/>
      <c r="AG764" s="6"/>
      <c r="AH764" s="6"/>
      <c r="AI764" s="6"/>
      <c r="AJ764" s="6"/>
      <c r="AK764" s="6"/>
      <c r="AL764" s="6"/>
      <c r="AM764" s="6"/>
      <c r="AN764" s="6"/>
      <c r="AO764" s="6"/>
      <c r="AP764" s="6"/>
      <c r="AQ764" s="6"/>
      <c r="AR764" s="6"/>
      <c r="AS764" s="6"/>
    </row>
    <row r="765" spans="1:45" ht="60.75" hidden="1" x14ac:dyDescent="0.25">
      <c r="A765" s="33" t="s">
        <v>52</v>
      </c>
      <c r="B765" s="42">
        <v>672</v>
      </c>
      <c r="C765" s="33" t="s">
        <v>67</v>
      </c>
      <c r="D765" s="33" t="s">
        <v>3459</v>
      </c>
      <c r="E765" s="32"/>
      <c r="F765" s="54"/>
      <c r="G765" s="33" t="s">
        <v>3460</v>
      </c>
      <c r="H765" s="32"/>
      <c r="I765" s="32"/>
      <c r="J765" s="62" t="s">
        <v>3461</v>
      </c>
      <c r="K765" s="33" t="s">
        <v>43</v>
      </c>
      <c r="L765" s="33" t="s">
        <v>3462</v>
      </c>
      <c r="M765" s="63">
        <v>2853972350</v>
      </c>
      <c r="N765" s="45"/>
      <c r="O765" s="63">
        <v>7500000</v>
      </c>
      <c r="P765" s="86"/>
      <c r="Q765" s="44">
        <f t="shared" si="720"/>
        <v>2861472350</v>
      </c>
      <c r="R765" s="65">
        <v>2853972350</v>
      </c>
      <c r="S765" s="32"/>
      <c r="T765" s="44">
        <v>7500000</v>
      </c>
      <c r="U765" s="32"/>
      <c r="V765" s="32"/>
      <c r="W765" s="49"/>
      <c r="X765" s="49">
        <f t="shared" ref="X765:Z765" si="771">N765-S765</f>
        <v>0</v>
      </c>
      <c r="Y765" s="49">
        <f t="shared" si="771"/>
        <v>0</v>
      </c>
      <c r="Z765" s="49">
        <f t="shared" si="771"/>
        <v>0</v>
      </c>
      <c r="AA765" s="54"/>
      <c r="AB765" s="54"/>
      <c r="AC765" s="2">
        <f t="shared" si="722"/>
        <v>2</v>
      </c>
      <c r="AD765" s="6"/>
      <c r="AE765" s="6"/>
      <c r="AF765" s="6"/>
      <c r="AG765" s="6"/>
      <c r="AH765" s="6"/>
      <c r="AI765" s="6"/>
      <c r="AJ765" s="6"/>
      <c r="AK765" s="6"/>
      <c r="AL765" s="6"/>
      <c r="AM765" s="6"/>
      <c r="AN765" s="6"/>
      <c r="AO765" s="6"/>
      <c r="AP765" s="6"/>
      <c r="AQ765" s="6"/>
      <c r="AR765" s="6"/>
      <c r="AS765" s="6"/>
    </row>
    <row r="766" spans="1:45" ht="31.5" hidden="1" x14ac:dyDescent="0.25">
      <c r="A766" s="33" t="s">
        <v>60</v>
      </c>
      <c r="B766" s="42">
        <v>674</v>
      </c>
      <c r="C766" s="33" t="s">
        <v>67</v>
      </c>
      <c r="D766" s="33" t="s">
        <v>3463</v>
      </c>
      <c r="E766" s="33" t="s">
        <v>1923</v>
      </c>
      <c r="F766" s="54"/>
      <c r="G766" s="33" t="s">
        <v>3464</v>
      </c>
      <c r="H766" s="33"/>
      <c r="I766" s="33"/>
      <c r="J766" s="33" t="s">
        <v>3465</v>
      </c>
      <c r="K766" s="33" t="s">
        <v>43</v>
      </c>
      <c r="L766" s="33" t="s">
        <v>3466</v>
      </c>
      <c r="M766" s="63">
        <v>54817863740</v>
      </c>
      <c r="N766" s="63">
        <v>10109297</v>
      </c>
      <c r="O766" s="44">
        <v>7500000</v>
      </c>
      <c r="P766" s="86"/>
      <c r="Q766" s="44">
        <f t="shared" si="720"/>
        <v>54835473037</v>
      </c>
      <c r="R766" s="65">
        <v>54817863740</v>
      </c>
      <c r="S766" s="65">
        <v>10109297</v>
      </c>
      <c r="T766" s="66"/>
      <c r="U766" s="32"/>
      <c r="V766" s="32"/>
      <c r="W766" s="49"/>
      <c r="X766" s="49">
        <f t="shared" ref="X766:Z766" si="772">N766-S766</f>
        <v>0</v>
      </c>
      <c r="Y766" s="52">
        <f t="shared" si="772"/>
        <v>7500000</v>
      </c>
      <c r="Z766" s="49">
        <f t="shared" si="772"/>
        <v>0</v>
      </c>
      <c r="AA766" s="54"/>
      <c r="AB766" s="43"/>
      <c r="AC766" s="15">
        <f t="shared" si="722"/>
        <v>2</v>
      </c>
      <c r="AD766" s="15"/>
      <c r="AE766" s="6"/>
      <c r="AF766" s="6"/>
      <c r="AG766" s="6"/>
      <c r="AH766" s="6"/>
      <c r="AI766" s="6"/>
      <c r="AJ766" s="6"/>
      <c r="AK766" s="6"/>
      <c r="AL766" s="6"/>
      <c r="AM766" s="6"/>
      <c r="AN766" s="6"/>
      <c r="AO766" s="6"/>
      <c r="AP766" s="6"/>
      <c r="AQ766" s="6"/>
      <c r="AR766" s="6"/>
      <c r="AS766" s="6"/>
    </row>
    <row r="767" spans="1:45" ht="40.5" hidden="1" x14ac:dyDescent="0.25">
      <c r="A767" s="33" t="s">
        <v>52</v>
      </c>
      <c r="B767" s="42">
        <v>675</v>
      </c>
      <c r="C767" s="33" t="s">
        <v>67</v>
      </c>
      <c r="D767" s="33" t="s">
        <v>3467</v>
      </c>
      <c r="E767" s="32"/>
      <c r="F767" s="54"/>
      <c r="G767" s="33" t="s">
        <v>3468</v>
      </c>
      <c r="H767" s="32"/>
      <c r="I767" s="32"/>
      <c r="J767" s="62" t="s">
        <v>3469</v>
      </c>
      <c r="K767" s="33" t="s">
        <v>43</v>
      </c>
      <c r="L767" s="33" t="s">
        <v>3470</v>
      </c>
      <c r="M767" s="63">
        <v>3446384400</v>
      </c>
      <c r="N767" s="45"/>
      <c r="O767" s="63">
        <v>7500000</v>
      </c>
      <c r="P767" s="86"/>
      <c r="Q767" s="44">
        <f t="shared" si="720"/>
        <v>3453884400</v>
      </c>
      <c r="R767" s="65">
        <v>3446384400</v>
      </c>
      <c r="S767" s="32"/>
      <c r="T767" s="44">
        <v>7500000</v>
      </c>
      <c r="U767" s="32"/>
      <c r="V767" s="32"/>
      <c r="W767" s="49"/>
      <c r="X767" s="49">
        <f t="shared" ref="X767:Z767" si="773">N767-S767</f>
        <v>0</v>
      </c>
      <c r="Y767" s="49">
        <f t="shared" si="773"/>
        <v>0</v>
      </c>
      <c r="Z767" s="49">
        <f t="shared" si="773"/>
        <v>0</v>
      </c>
      <c r="AA767" s="54"/>
      <c r="AB767" s="54"/>
      <c r="AC767" s="2">
        <f t="shared" si="722"/>
        <v>2</v>
      </c>
      <c r="AD767" s="6"/>
      <c r="AE767" s="6"/>
      <c r="AF767" s="6"/>
      <c r="AG767" s="6"/>
      <c r="AH767" s="6"/>
      <c r="AI767" s="6"/>
      <c r="AJ767" s="6"/>
      <c r="AK767" s="6"/>
      <c r="AL767" s="6"/>
      <c r="AM767" s="6"/>
      <c r="AN767" s="6"/>
      <c r="AO767" s="6"/>
      <c r="AP767" s="6"/>
      <c r="AQ767" s="6"/>
      <c r="AR767" s="6"/>
      <c r="AS767" s="6"/>
    </row>
    <row r="768" spans="1:45" ht="40.5" hidden="1" x14ac:dyDescent="0.25">
      <c r="A768" s="33" t="s">
        <v>35</v>
      </c>
      <c r="B768" s="42">
        <v>678</v>
      </c>
      <c r="C768" s="33" t="s">
        <v>67</v>
      </c>
      <c r="D768" s="33" t="s">
        <v>3473</v>
      </c>
      <c r="E768" s="32"/>
      <c r="F768" s="54"/>
      <c r="G768" s="33" t="s">
        <v>3474</v>
      </c>
      <c r="H768" s="32"/>
      <c r="I768" s="32"/>
      <c r="J768" s="62" t="s">
        <v>3475</v>
      </c>
      <c r="K768" s="33" t="s">
        <v>43</v>
      </c>
      <c r="L768" s="33" t="s">
        <v>3476</v>
      </c>
      <c r="M768" s="63">
        <v>7884922752</v>
      </c>
      <c r="N768" s="45"/>
      <c r="O768" s="63">
        <v>7500000</v>
      </c>
      <c r="P768" s="86"/>
      <c r="Q768" s="44">
        <f t="shared" si="720"/>
        <v>7892422752</v>
      </c>
      <c r="R768" s="65">
        <v>7884922752</v>
      </c>
      <c r="S768" s="32"/>
      <c r="T768" s="44">
        <v>7500000</v>
      </c>
      <c r="U768" s="32"/>
      <c r="V768" s="32"/>
      <c r="W768" s="49"/>
      <c r="X768" s="49">
        <f t="shared" ref="X768:Z768" si="774">N768-S768</f>
        <v>0</v>
      </c>
      <c r="Y768" s="49">
        <f t="shared" si="774"/>
        <v>0</v>
      </c>
      <c r="Z768" s="49">
        <f t="shared" si="774"/>
        <v>0</v>
      </c>
      <c r="AA768" s="54"/>
      <c r="AB768" s="54"/>
      <c r="AC768" s="2">
        <f t="shared" si="722"/>
        <v>2</v>
      </c>
      <c r="AD768" s="6"/>
      <c r="AE768" s="6"/>
      <c r="AF768" s="6"/>
      <c r="AG768" s="6"/>
      <c r="AH768" s="6"/>
      <c r="AI768" s="6"/>
      <c r="AJ768" s="6"/>
      <c r="AK768" s="6"/>
      <c r="AL768" s="6"/>
      <c r="AM768" s="6"/>
      <c r="AN768" s="6"/>
      <c r="AO768" s="6"/>
      <c r="AP768" s="6"/>
      <c r="AQ768" s="6"/>
      <c r="AR768" s="6"/>
      <c r="AS768" s="6"/>
    </row>
    <row r="769" spans="1:45" ht="47.25" hidden="1" x14ac:dyDescent="0.3">
      <c r="A769" s="33" t="s">
        <v>60</v>
      </c>
      <c r="B769" s="42">
        <v>680</v>
      </c>
      <c r="C769" s="33" t="s">
        <v>67</v>
      </c>
      <c r="D769" s="33" t="s">
        <v>3477</v>
      </c>
      <c r="E769" s="33"/>
      <c r="F769" s="54"/>
      <c r="G769" s="33" t="s">
        <v>3478</v>
      </c>
      <c r="H769" s="33"/>
      <c r="I769" s="33"/>
      <c r="J769" s="33" t="s">
        <v>3479</v>
      </c>
      <c r="K769" s="33" t="s">
        <v>43</v>
      </c>
      <c r="L769" s="33" t="s">
        <v>3480</v>
      </c>
      <c r="M769" s="63">
        <v>2778910722</v>
      </c>
      <c r="N769" s="45"/>
      <c r="O769" s="44">
        <v>7500000</v>
      </c>
      <c r="P769" s="86"/>
      <c r="Q769" s="44">
        <f t="shared" si="720"/>
        <v>2786410722</v>
      </c>
      <c r="R769" s="32"/>
      <c r="S769" s="32"/>
      <c r="T769" s="66"/>
      <c r="U769" s="32"/>
      <c r="V769" s="32"/>
      <c r="W769" s="49">
        <v>2778910722</v>
      </c>
      <c r="X769" s="49">
        <f t="shared" ref="X769:Z769" si="775">N769-S769</f>
        <v>0</v>
      </c>
      <c r="Y769" s="52">
        <f t="shared" si="775"/>
        <v>7500000</v>
      </c>
      <c r="Z769" s="49">
        <f t="shared" si="775"/>
        <v>0</v>
      </c>
      <c r="AA769" s="98">
        <v>2778910722</v>
      </c>
      <c r="AB769" s="43"/>
      <c r="AC769" s="15">
        <f t="shared" si="722"/>
        <v>2</v>
      </c>
      <c r="AD769" s="15"/>
      <c r="AE769" s="6"/>
      <c r="AF769" s="6"/>
      <c r="AG769" s="6"/>
      <c r="AH769" s="6"/>
      <c r="AI769" s="6"/>
      <c r="AJ769" s="6"/>
      <c r="AK769" s="6"/>
      <c r="AL769" s="6"/>
      <c r="AM769" s="6"/>
      <c r="AN769" s="6"/>
      <c r="AO769" s="6"/>
      <c r="AP769" s="6"/>
      <c r="AQ769" s="6"/>
      <c r="AR769" s="6"/>
      <c r="AS769" s="6"/>
    </row>
    <row r="770" spans="1:45" ht="31.5" hidden="1" x14ac:dyDescent="0.25">
      <c r="A770" s="33" t="s">
        <v>52</v>
      </c>
      <c r="B770" s="42">
        <v>681</v>
      </c>
      <c r="C770" s="33" t="s">
        <v>67</v>
      </c>
      <c r="D770" s="33" t="s">
        <v>3481</v>
      </c>
      <c r="E770" s="32"/>
      <c r="F770" s="54"/>
      <c r="G770" s="33" t="s">
        <v>3482</v>
      </c>
      <c r="H770" s="32"/>
      <c r="I770" s="32"/>
      <c r="J770" s="62" t="s">
        <v>766</v>
      </c>
      <c r="K770" s="33" t="s">
        <v>43</v>
      </c>
      <c r="L770" s="33" t="s">
        <v>3483</v>
      </c>
      <c r="M770" s="63">
        <v>1260476040</v>
      </c>
      <c r="N770" s="45"/>
      <c r="O770" s="63">
        <v>7500000</v>
      </c>
      <c r="P770" s="86"/>
      <c r="Q770" s="44">
        <f t="shared" si="720"/>
        <v>1267976040</v>
      </c>
      <c r="R770" s="65">
        <v>1260476040</v>
      </c>
      <c r="S770" s="32"/>
      <c r="T770" s="63">
        <v>7500000</v>
      </c>
      <c r="U770" s="32"/>
      <c r="V770" s="32"/>
      <c r="W770" s="49"/>
      <c r="X770" s="49">
        <f t="shared" ref="X770:Z770" si="776">N770-S770</f>
        <v>0</v>
      </c>
      <c r="Y770" s="49">
        <f t="shared" si="776"/>
        <v>0</v>
      </c>
      <c r="Z770" s="49">
        <f t="shared" si="776"/>
        <v>0</v>
      </c>
      <c r="AA770" s="54"/>
      <c r="AB770" s="54"/>
      <c r="AC770" s="2">
        <f t="shared" si="722"/>
        <v>2</v>
      </c>
      <c r="AD770" s="6"/>
      <c r="AE770" s="6"/>
      <c r="AF770" s="6"/>
      <c r="AG770" s="6"/>
      <c r="AH770" s="6"/>
      <c r="AI770" s="6"/>
      <c r="AJ770" s="6"/>
      <c r="AK770" s="6"/>
      <c r="AL770" s="6"/>
      <c r="AM770" s="6"/>
      <c r="AN770" s="6"/>
      <c r="AO770" s="6"/>
      <c r="AP770" s="6"/>
      <c r="AQ770" s="6"/>
      <c r="AR770" s="6"/>
      <c r="AS770" s="6"/>
    </row>
    <row r="771" spans="1:45" ht="47.25" hidden="1" x14ac:dyDescent="0.25">
      <c r="A771" s="33" t="s">
        <v>60</v>
      </c>
      <c r="B771" s="42">
        <v>682</v>
      </c>
      <c r="C771" s="33" t="s">
        <v>67</v>
      </c>
      <c r="D771" s="33" t="s">
        <v>3486</v>
      </c>
      <c r="E771" s="32"/>
      <c r="F771" s="54"/>
      <c r="G771" s="33" t="s">
        <v>3487</v>
      </c>
      <c r="H771" s="32"/>
      <c r="I771" s="32"/>
      <c r="J771" s="62" t="s">
        <v>3488</v>
      </c>
      <c r="K771" s="33" t="s">
        <v>43</v>
      </c>
      <c r="L771" s="33" t="s">
        <v>3489</v>
      </c>
      <c r="M771" s="63">
        <v>331459398</v>
      </c>
      <c r="N771" s="45"/>
      <c r="O771" s="63">
        <v>15000000</v>
      </c>
      <c r="P771" s="86"/>
      <c r="Q771" s="44">
        <f t="shared" si="720"/>
        <v>346459398</v>
      </c>
      <c r="R771" s="65">
        <v>331459398</v>
      </c>
      <c r="S771" s="32"/>
      <c r="T771" s="44">
        <v>15000000</v>
      </c>
      <c r="U771" s="32"/>
      <c r="V771" s="32"/>
      <c r="W771" s="49"/>
      <c r="X771" s="49">
        <f t="shared" ref="X771:Z771" si="777">N771-S771</f>
        <v>0</v>
      </c>
      <c r="Y771" s="49">
        <f t="shared" si="777"/>
        <v>0</v>
      </c>
      <c r="Z771" s="49">
        <f t="shared" si="777"/>
        <v>0</v>
      </c>
      <c r="AA771" s="54"/>
      <c r="AB771" s="54"/>
      <c r="AC771" s="2">
        <f t="shared" si="722"/>
        <v>2</v>
      </c>
      <c r="AD771" s="6"/>
      <c r="AE771" s="6"/>
      <c r="AF771" s="6"/>
      <c r="AG771" s="6"/>
      <c r="AH771" s="6"/>
      <c r="AI771" s="6"/>
      <c r="AJ771" s="6"/>
      <c r="AK771" s="6"/>
      <c r="AL771" s="6"/>
      <c r="AM771" s="6"/>
      <c r="AN771" s="6"/>
      <c r="AO771" s="6"/>
      <c r="AP771" s="6"/>
      <c r="AQ771" s="6"/>
      <c r="AR771" s="6"/>
      <c r="AS771" s="6"/>
    </row>
    <row r="772" spans="1:45" ht="62.25" hidden="1" customHeight="1" x14ac:dyDescent="0.25">
      <c r="A772" s="33" t="s">
        <v>275</v>
      </c>
      <c r="B772" s="42">
        <v>683</v>
      </c>
      <c r="C772" s="33" t="s">
        <v>67</v>
      </c>
      <c r="D772" s="33" t="s">
        <v>3491</v>
      </c>
      <c r="E772" s="32"/>
      <c r="F772" s="54"/>
      <c r="G772" s="33" t="s">
        <v>3492</v>
      </c>
      <c r="H772" s="32"/>
      <c r="I772" s="32"/>
      <c r="J772" s="62" t="s">
        <v>3493</v>
      </c>
      <c r="K772" s="33" t="s">
        <v>43</v>
      </c>
      <c r="L772" s="33" t="s">
        <v>3494</v>
      </c>
      <c r="M772" s="63">
        <v>10000000</v>
      </c>
      <c r="N772" s="45"/>
      <c r="O772" s="63">
        <v>15000000</v>
      </c>
      <c r="P772" s="86"/>
      <c r="Q772" s="44">
        <f t="shared" si="720"/>
        <v>25000000</v>
      </c>
      <c r="R772" s="65">
        <v>10000000</v>
      </c>
      <c r="S772" s="32"/>
      <c r="T772" s="44">
        <v>15000000</v>
      </c>
      <c r="U772" s="32"/>
      <c r="V772" s="32"/>
      <c r="W772" s="49"/>
      <c r="X772" s="49">
        <f t="shared" ref="X772:Z772" si="778">N772-S772</f>
        <v>0</v>
      </c>
      <c r="Y772" s="49">
        <f t="shared" si="778"/>
        <v>0</v>
      </c>
      <c r="Z772" s="49">
        <f t="shared" si="778"/>
        <v>0</v>
      </c>
      <c r="AA772" s="54"/>
      <c r="AB772" s="54"/>
      <c r="AC772" s="2">
        <f t="shared" si="722"/>
        <v>2</v>
      </c>
      <c r="AD772" s="6"/>
      <c r="AE772" s="6"/>
      <c r="AF772" s="6"/>
      <c r="AG772" s="6"/>
      <c r="AH772" s="6"/>
      <c r="AI772" s="6"/>
      <c r="AJ772" s="6"/>
      <c r="AK772" s="6"/>
      <c r="AL772" s="6"/>
      <c r="AM772" s="6"/>
      <c r="AN772" s="6"/>
      <c r="AO772" s="6"/>
      <c r="AP772" s="6"/>
      <c r="AQ772" s="6"/>
      <c r="AR772" s="6"/>
      <c r="AS772" s="6"/>
    </row>
    <row r="773" spans="1:45" ht="63" hidden="1" x14ac:dyDescent="0.25">
      <c r="A773" s="33" t="s">
        <v>60</v>
      </c>
      <c r="B773" s="42">
        <v>686</v>
      </c>
      <c r="C773" s="33" t="s">
        <v>67</v>
      </c>
      <c r="D773" s="33" t="s">
        <v>3495</v>
      </c>
      <c r="E773" s="33" t="s">
        <v>3496</v>
      </c>
      <c r="F773" s="54"/>
      <c r="G773" s="33"/>
      <c r="H773" s="33"/>
      <c r="I773" s="33" t="s">
        <v>3497</v>
      </c>
      <c r="J773" s="33" t="s">
        <v>3498</v>
      </c>
      <c r="K773" s="33" t="s">
        <v>43</v>
      </c>
      <c r="L773" s="33" t="s">
        <v>3499</v>
      </c>
      <c r="M773" s="63">
        <v>0</v>
      </c>
      <c r="N773" s="45"/>
      <c r="O773" s="44">
        <v>7500000</v>
      </c>
      <c r="P773" s="86"/>
      <c r="Q773" s="44">
        <f t="shared" si="720"/>
        <v>7500000</v>
      </c>
      <c r="R773" s="42">
        <v>0</v>
      </c>
      <c r="S773" s="32"/>
      <c r="T773" s="66"/>
      <c r="U773" s="32"/>
      <c r="V773" s="32"/>
      <c r="W773" s="49"/>
      <c r="X773" s="49">
        <f t="shared" ref="X773:Z773" si="779">N773-S773</f>
        <v>0</v>
      </c>
      <c r="Y773" s="52">
        <f t="shared" si="779"/>
        <v>7500000</v>
      </c>
      <c r="Z773" s="49">
        <f t="shared" si="779"/>
        <v>0</v>
      </c>
      <c r="AA773" s="54"/>
      <c r="AB773" s="43"/>
      <c r="AC773" s="15">
        <f t="shared" si="722"/>
        <v>1</v>
      </c>
      <c r="AD773" s="15"/>
      <c r="AE773" s="6"/>
      <c r="AF773" s="6"/>
      <c r="AG773" s="6"/>
      <c r="AH773" s="6"/>
      <c r="AI773" s="6"/>
      <c r="AJ773" s="6"/>
      <c r="AK773" s="6"/>
      <c r="AL773" s="6"/>
      <c r="AM773" s="6"/>
      <c r="AN773" s="6"/>
      <c r="AO773" s="6"/>
      <c r="AP773" s="6"/>
      <c r="AQ773" s="6"/>
      <c r="AR773" s="6"/>
      <c r="AS773" s="6"/>
    </row>
    <row r="774" spans="1:45" ht="78.75" hidden="1" x14ac:dyDescent="0.25">
      <c r="A774" s="33" t="s">
        <v>60</v>
      </c>
      <c r="B774" s="42">
        <v>687</v>
      </c>
      <c r="C774" s="33" t="s">
        <v>67</v>
      </c>
      <c r="D774" s="33" t="s">
        <v>3500</v>
      </c>
      <c r="E774" s="33" t="s">
        <v>3496</v>
      </c>
      <c r="F774" s="54"/>
      <c r="G774" s="33"/>
      <c r="H774" s="33"/>
      <c r="I774" s="33" t="s">
        <v>3501</v>
      </c>
      <c r="J774" s="33" t="s">
        <v>803</v>
      </c>
      <c r="K774" s="33" t="s">
        <v>43</v>
      </c>
      <c r="L774" s="33" t="s">
        <v>3499</v>
      </c>
      <c r="M774" s="63">
        <v>10000000</v>
      </c>
      <c r="N774" s="45"/>
      <c r="O774" s="44">
        <v>15000000</v>
      </c>
      <c r="P774" s="86"/>
      <c r="Q774" s="44">
        <f t="shared" si="720"/>
        <v>25000000</v>
      </c>
      <c r="R774" s="32"/>
      <c r="S774" s="32"/>
      <c r="T774" s="66"/>
      <c r="U774" s="32"/>
      <c r="V774" s="32"/>
      <c r="W774" s="49">
        <v>10000000</v>
      </c>
      <c r="X774" s="49">
        <f t="shared" ref="X774:Z774" si="780">N774-S774</f>
        <v>0</v>
      </c>
      <c r="Y774" s="52">
        <f t="shared" si="780"/>
        <v>15000000</v>
      </c>
      <c r="Z774" s="49">
        <f t="shared" si="780"/>
        <v>0</v>
      </c>
      <c r="AA774" s="73">
        <v>10000000</v>
      </c>
      <c r="AB774" s="43"/>
      <c r="AC774" s="15">
        <f t="shared" si="722"/>
        <v>1</v>
      </c>
      <c r="AD774" s="15"/>
      <c r="AE774" s="6"/>
      <c r="AF774" s="6"/>
      <c r="AG774" s="6"/>
      <c r="AH774" s="6"/>
      <c r="AI774" s="6"/>
      <c r="AJ774" s="6"/>
      <c r="AK774" s="6"/>
      <c r="AL774" s="6"/>
      <c r="AM774" s="6"/>
      <c r="AN774" s="6"/>
      <c r="AO774" s="6"/>
      <c r="AP774" s="6"/>
      <c r="AQ774" s="6"/>
      <c r="AR774" s="6"/>
      <c r="AS774" s="6"/>
    </row>
    <row r="775" spans="1:45" ht="40.5" hidden="1" x14ac:dyDescent="0.25">
      <c r="A775" s="33" t="s">
        <v>275</v>
      </c>
      <c r="B775" s="42">
        <v>691</v>
      </c>
      <c r="C775" s="33" t="s">
        <v>67</v>
      </c>
      <c r="D775" s="33" t="s">
        <v>3502</v>
      </c>
      <c r="E775" s="32"/>
      <c r="F775" s="54"/>
      <c r="G775" s="33" t="s">
        <v>3503</v>
      </c>
      <c r="H775" s="32"/>
      <c r="I775" s="32"/>
      <c r="J775" s="62" t="s">
        <v>3504</v>
      </c>
      <c r="K775" s="33" t="s">
        <v>43</v>
      </c>
      <c r="L775" s="33" t="s">
        <v>3505</v>
      </c>
      <c r="M775" s="63">
        <v>1271355500</v>
      </c>
      <c r="N775" s="45"/>
      <c r="O775" s="63">
        <v>7500000</v>
      </c>
      <c r="P775" s="86"/>
      <c r="Q775" s="44">
        <f t="shared" si="720"/>
        <v>1278855500</v>
      </c>
      <c r="R775" s="65">
        <v>1271355500</v>
      </c>
      <c r="S775" s="32"/>
      <c r="T775" s="63">
        <v>7500000</v>
      </c>
      <c r="U775" s="32"/>
      <c r="V775" s="32"/>
      <c r="W775" s="49"/>
      <c r="X775" s="49">
        <f t="shared" ref="X775:Z775" si="781">N775-S775</f>
        <v>0</v>
      </c>
      <c r="Y775" s="49">
        <f t="shared" si="781"/>
        <v>0</v>
      </c>
      <c r="Z775" s="49">
        <f t="shared" si="781"/>
        <v>0</v>
      </c>
      <c r="AA775" s="54"/>
      <c r="AB775" s="54"/>
      <c r="AC775" s="2">
        <f t="shared" si="722"/>
        <v>2</v>
      </c>
      <c r="AD775" s="6"/>
      <c r="AE775" s="6"/>
      <c r="AF775" s="6"/>
      <c r="AG775" s="6"/>
      <c r="AH775" s="6"/>
      <c r="AI775" s="6"/>
      <c r="AJ775" s="6"/>
      <c r="AK775" s="6"/>
      <c r="AL775" s="6"/>
      <c r="AM775" s="6"/>
      <c r="AN775" s="6"/>
      <c r="AO775" s="6"/>
      <c r="AP775" s="6"/>
      <c r="AQ775" s="6"/>
      <c r="AR775" s="6"/>
      <c r="AS775" s="6"/>
    </row>
    <row r="776" spans="1:45" ht="31.5" hidden="1" x14ac:dyDescent="0.25">
      <c r="A776" s="33" t="s">
        <v>52</v>
      </c>
      <c r="B776" s="42">
        <v>693</v>
      </c>
      <c r="C776" s="33" t="s">
        <v>67</v>
      </c>
      <c r="D776" s="33" t="s">
        <v>3507</v>
      </c>
      <c r="E776" s="32"/>
      <c r="F776" s="54"/>
      <c r="G776" s="33" t="s">
        <v>3508</v>
      </c>
      <c r="H776" s="32"/>
      <c r="I776" s="32"/>
      <c r="J776" s="62" t="s">
        <v>3509</v>
      </c>
      <c r="K776" s="33" t="s">
        <v>43</v>
      </c>
      <c r="L776" s="33" t="s">
        <v>3510</v>
      </c>
      <c r="M776" s="63">
        <v>3795291327</v>
      </c>
      <c r="N776" s="45"/>
      <c r="O776" s="63">
        <v>7500000</v>
      </c>
      <c r="P776" s="86"/>
      <c r="Q776" s="44">
        <f t="shared" si="720"/>
        <v>3802791327</v>
      </c>
      <c r="R776" s="65">
        <v>3795291327</v>
      </c>
      <c r="S776" s="32"/>
      <c r="T776" s="44">
        <v>7500000</v>
      </c>
      <c r="U776" s="32"/>
      <c r="V776" s="32"/>
      <c r="W776" s="49"/>
      <c r="X776" s="49">
        <f t="shared" ref="X776:Z776" si="782">N776-S776</f>
        <v>0</v>
      </c>
      <c r="Y776" s="49">
        <f t="shared" si="782"/>
        <v>0</v>
      </c>
      <c r="Z776" s="49">
        <f t="shared" si="782"/>
        <v>0</v>
      </c>
      <c r="AA776" s="54"/>
      <c r="AB776" s="54"/>
      <c r="AC776" s="2">
        <f t="shared" si="722"/>
        <v>2</v>
      </c>
      <c r="AD776" s="6"/>
      <c r="AE776" s="6"/>
      <c r="AF776" s="6"/>
      <c r="AG776" s="6"/>
      <c r="AH776" s="6"/>
      <c r="AI776" s="6"/>
      <c r="AJ776" s="6"/>
      <c r="AK776" s="6"/>
      <c r="AL776" s="6"/>
      <c r="AM776" s="6"/>
      <c r="AN776" s="6"/>
      <c r="AO776" s="6"/>
      <c r="AP776" s="6"/>
      <c r="AQ776" s="6"/>
      <c r="AR776" s="6"/>
      <c r="AS776" s="6"/>
    </row>
    <row r="777" spans="1:45" ht="40.5" hidden="1" x14ac:dyDescent="0.25">
      <c r="A777" s="33" t="s">
        <v>52</v>
      </c>
      <c r="B777" s="42">
        <v>694</v>
      </c>
      <c r="C777" s="33" t="s">
        <v>67</v>
      </c>
      <c r="D777" s="33" t="s">
        <v>3511</v>
      </c>
      <c r="E777" s="32"/>
      <c r="F777" s="54"/>
      <c r="G777" s="33" t="s">
        <v>3512</v>
      </c>
      <c r="H777" s="32"/>
      <c r="I777" s="32"/>
      <c r="J777" s="62" t="s">
        <v>3513</v>
      </c>
      <c r="K777" s="33" t="s">
        <v>43</v>
      </c>
      <c r="L777" s="33" t="s">
        <v>3514</v>
      </c>
      <c r="M777" s="63">
        <v>1838697914</v>
      </c>
      <c r="N777" s="45"/>
      <c r="O777" s="63">
        <v>7500000</v>
      </c>
      <c r="P777" s="86"/>
      <c r="Q777" s="44">
        <f t="shared" si="720"/>
        <v>1846197914</v>
      </c>
      <c r="R777" s="65">
        <v>1838697914</v>
      </c>
      <c r="S777" s="32"/>
      <c r="T777" s="63">
        <v>7500000</v>
      </c>
      <c r="U777" s="32"/>
      <c r="V777" s="32"/>
      <c r="W777" s="49"/>
      <c r="X777" s="49">
        <f t="shared" ref="X777:Z777" si="783">N777-S777</f>
        <v>0</v>
      </c>
      <c r="Y777" s="49">
        <f t="shared" si="783"/>
        <v>0</v>
      </c>
      <c r="Z777" s="49">
        <f t="shared" si="783"/>
        <v>0</v>
      </c>
      <c r="AA777" s="54"/>
      <c r="AB777" s="54"/>
      <c r="AC777" s="2">
        <f t="shared" si="722"/>
        <v>2</v>
      </c>
      <c r="AD777" s="6"/>
      <c r="AE777" s="6"/>
      <c r="AF777" s="6"/>
      <c r="AG777" s="6"/>
      <c r="AH777" s="6"/>
      <c r="AI777" s="6"/>
      <c r="AJ777" s="6"/>
      <c r="AK777" s="6"/>
      <c r="AL777" s="6"/>
      <c r="AM777" s="6"/>
      <c r="AN777" s="6"/>
      <c r="AO777" s="6"/>
      <c r="AP777" s="6"/>
      <c r="AQ777" s="6"/>
      <c r="AR777" s="6"/>
      <c r="AS777" s="6"/>
    </row>
    <row r="778" spans="1:45" ht="40.5" hidden="1" x14ac:dyDescent="0.25">
      <c r="A778" s="33" t="s">
        <v>35</v>
      </c>
      <c r="B778" s="42">
        <v>695</v>
      </c>
      <c r="C778" s="33" t="s">
        <v>67</v>
      </c>
      <c r="D778" s="33" t="s">
        <v>3515</v>
      </c>
      <c r="E778" s="32"/>
      <c r="F778" s="54"/>
      <c r="G778" s="33" t="s">
        <v>3516</v>
      </c>
      <c r="H778" s="32"/>
      <c r="I778" s="32"/>
      <c r="J778" s="62" t="s">
        <v>3517</v>
      </c>
      <c r="K778" s="33" t="s">
        <v>43</v>
      </c>
      <c r="L778" s="33" t="s">
        <v>3518</v>
      </c>
      <c r="M778" s="63">
        <v>9228830690</v>
      </c>
      <c r="N778" s="45"/>
      <c r="O778" s="63">
        <v>15000000</v>
      </c>
      <c r="P778" s="86"/>
      <c r="Q778" s="44">
        <f t="shared" si="720"/>
        <v>9243830690</v>
      </c>
      <c r="R778" s="65">
        <v>9228830690</v>
      </c>
      <c r="S778" s="32"/>
      <c r="T778" s="45">
        <v>15000000</v>
      </c>
      <c r="U778" s="32"/>
      <c r="V778" s="32"/>
      <c r="W778" s="49"/>
      <c r="X778" s="49">
        <f t="shared" ref="X778:Z778" si="784">N778-S778</f>
        <v>0</v>
      </c>
      <c r="Y778" s="49">
        <f t="shared" si="784"/>
        <v>0</v>
      </c>
      <c r="Z778" s="49">
        <f t="shared" si="784"/>
        <v>0</v>
      </c>
      <c r="AA778" s="54"/>
      <c r="AB778" s="54"/>
      <c r="AC778" s="2">
        <f t="shared" si="722"/>
        <v>2</v>
      </c>
      <c r="AD778" s="6"/>
      <c r="AE778" s="6"/>
      <c r="AF778" s="6"/>
      <c r="AG778" s="6"/>
      <c r="AH778" s="6"/>
      <c r="AI778" s="6"/>
      <c r="AJ778" s="6"/>
      <c r="AK778" s="6"/>
      <c r="AL778" s="6"/>
      <c r="AM778" s="6"/>
      <c r="AN778" s="6"/>
      <c r="AO778" s="6"/>
      <c r="AP778" s="6"/>
      <c r="AQ778" s="6"/>
      <c r="AR778" s="6"/>
      <c r="AS778" s="6"/>
    </row>
    <row r="779" spans="1:45" ht="46.5" hidden="1" customHeight="1" x14ac:dyDescent="0.25">
      <c r="A779" s="33" t="s">
        <v>35</v>
      </c>
      <c r="B779" s="42">
        <v>697</v>
      </c>
      <c r="C779" s="33" t="s">
        <v>67</v>
      </c>
      <c r="D779" s="33" t="s">
        <v>3520</v>
      </c>
      <c r="E779" s="33" t="s">
        <v>3298</v>
      </c>
      <c r="F779" s="54"/>
      <c r="G779" s="33" t="s">
        <v>3521</v>
      </c>
      <c r="H779" s="33" t="s">
        <v>3522</v>
      </c>
      <c r="I779" s="32"/>
      <c r="J779" s="62" t="s">
        <v>3523</v>
      </c>
      <c r="K779" s="33" t="s">
        <v>43</v>
      </c>
      <c r="L779" s="33" t="s">
        <v>3524</v>
      </c>
      <c r="M779" s="63">
        <v>8588500084</v>
      </c>
      <c r="N779" s="63">
        <v>1184688218</v>
      </c>
      <c r="O779" s="63">
        <v>7500000</v>
      </c>
      <c r="P779" s="86"/>
      <c r="Q779" s="44">
        <f t="shared" si="720"/>
        <v>9780688302</v>
      </c>
      <c r="R779" s="65">
        <v>8588500084</v>
      </c>
      <c r="S779" s="65">
        <v>1184688218</v>
      </c>
      <c r="T779" s="44">
        <v>7500000</v>
      </c>
      <c r="U779" s="32"/>
      <c r="V779" s="32"/>
      <c r="W779" s="49"/>
      <c r="X779" s="49">
        <f t="shared" ref="X779:Z779" si="785">N779-S779</f>
        <v>0</v>
      </c>
      <c r="Y779" s="49">
        <f t="shared" si="785"/>
        <v>0</v>
      </c>
      <c r="Z779" s="49">
        <f t="shared" si="785"/>
        <v>0</v>
      </c>
      <c r="AA779" s="54"/>
      <c r="AB779" s="54"/>
      <c r="AC779" s="2">
        <f t="shared" si="722"/>
        <v>2</v>
      </c>
      <c r="AD779" s="6"/>
      <c r="AE779" s="6"/>
      <c r="AF779" s="6"/>
      <c r="AG779" s="6"/>
      <c r="AH779" s="6"/>
      <c r="AI779" s="6"/>
      <c r="AJ779" s="6"/>
      <c r="AK779" s="6"/>
      <c r="AL779" s="6"/>
      <c r="AM779" s="6"/>
      <c r="AN779" s="6"/>
      <c r="AO779" s="6"/>
      <c r="AP779" s="6"/>
      <c r="AQ779" s="6"/>
      <c r="AR779" s="6"/>
      <c r="AS779" s="6"/>
    </row>
    <row r="780" spans="1:45" ht="31.5" hidden="1" x14ac:dyDescent="0.25">
      <c r="A780" s="33" t="s">
        <v>52</v>
      </c>
      <c r="B780" s="42">
        <v>699</v>
      </c>
      <c r="C780" s="33" t="s">
        <v>67</v>
      </c>
      <c r="D780" s="33" t="s">
        <v>3528</v>
      </c>
      <c r="E780" s="32"/>
      <c r="F780" s="54"/>
      <c r="G780" s="33" t="s">
        <v>3529</v>
      </c>
      <c r="H780" s="32"/>
      <c r="I780" s="32"/>
      <c r="J780" s="62" t="s">
        <v>3530</v>
      </c>
      <c r="K780" s="33" t="s">
        <v>43</v>
      </c>
      <c r="L780" s="33" t="s">
        <v>3531</v>
      </c>
      <c r="M780" s="63">
        <v>793397916</v>
      </c>
      <c r="N780" s="45"/>
      <c r="O780" s="63">
        <v>15000000</v>
      </c>
      <c r="P780" s="86"/>
      <c r="Q780" s="44">
        <f t="shared" si="720"/>
        <v>808397916</v>
      </c>
      <c r="R780" s="65">
        <v>793397916</v>
      </c>
      <c r="S780" s="32"/>
      <c r="T780" s="63">
        <v>15000000</v>
      </c>
      <c r="U780" s="32"/>
      <c r="V780" s="32"/>
      <c r="W780" s="49"/>
      <c r="X780" s="49">
        <f t="shared" ref="X780:Z780" si="786">N780-S780</f>
        <v>0</v>
      </c>
      <c r="Y780" s="49">
        <f t="shared" si="786"/>
        <v>0</v>
      </c>
      <c r="Z780" s="49">
        <f t="shared" si="786"/>
        <v>0</v>
      </c>
      <c r="AA780" s="54"/>
      <c r="AB780" s="54"/>
      <c r="AC780" s="2">
        <f t="shared" si="722"/>
        <v>2</v>
      </c>
      <c r="AD780" s="6"/>
      <c r="AE780" s="6"/>
      <c r="AF780" s="6"/>
      <c r="AG780" s="6"/>
      <c r="AH780" s="6"/>
      <c r="AI780" s="6"/>
      <c r="AJ780" s="6"/>
      <c r="AK780" s="6"/>
      <c r="AL780" s="6"/>
      <c r="AM780" s="6"/>
      <c r="AN780" s="6"/>
      <c r="AO780" s="6"/>
      <c r="AP780" s="6"/>
      <c r="AQ780" s="6"/>
      <c r="AR780" s="6"/>
      <c r="AS780" s="6"/>
    </row>
    <row r="781" spans="1:45" ht="40.5" hidden="1" x14ac:dyDescent="0.25">
      <c r="A781" s="33" t="s">
        <v>35</v>
      </c>
      <c r="B781" s="42">
        <v>704</v>
      </c>
      <c r="C781" s="33" t="s">
        <v>67</v>
      </c>
      <c r="D781" s="33" t="s">
        <v>3536</v>
      </c>
      <c r="E781" s="32"/>
      <c r="F781" s="54"/>
      <c r="G781" s="33" t="s">
        <v>3537</v>
      </c>
      <c r="H781" s="32"/>
      <c r="I781" s="32"/>
      <c r="J781" s="62" t="s">
        <v>3538</v>
      </c>
      <c r="K781" s="33" t="s">
        <v>43</v>
      </c>
      <c r="L781" s="33" t="s">
        <v>3539</v>
      </c>
      <c r="M781" s="63">
        <v>1040312692</v>
      </c>
      <c r="N781" s="45"/>
      <c r="O781" s="63">
        <v>7500000</v>
      </c>
      <c r="P781" s="86"/>
      <c r="Q781" s="44">
        <f t="shared" si="720"/>
        <v>1047812692</v>
      </c>
      <c r="R781" s="65">
        <v>1040312692</v>
      </c>
      <c r="S781" s="32"/>
      <c r="T781" s="44">
        <v>7500000</v>
      </c>
      <c r="U781" s="32"/>
      <c r="V781" s="32"/>
      <c r="W781" s="49"/>
      <c r="X781" s="49">
        <f t="shared" ref="X781:Z781" si="787">N781-S781</f>
        <v>0</v>
      </c>
      <c r="Y781" s="49">
        <f t="shared" si="787"/>
        <v>0</v>
      </c>
      <c r="Z781" s="49">
        <f t="shared" si="787"/>
        <v>0</v>
      </c>
      <c r="AA781" s="54"/>
      <c r="AB781" s="54"/>
      <c r="AC781" s="2">
        <f t="shared" si="722"/>
        <v>2</v>
      </c>
      <c r="AD781" s="6"/>
      <c r="AE781" s="6"/>
      <c r="AF781" s="6"/>
      <c r="AG781" s="6"/>
      <c r="AH781" s="6"/>
      <c r="AI781" s="6"/>
      <c r="AJ781" s="6"/>
      <c r="AK781" s="6"/>
      <c r="AL781" s="6"/>
      <c r="AM781" s="6"/>
      <c r="AN781" s="6"/>
      <c r="AO781" s="6"/>
      <c r="AP781" s="6"/>
      <c r="AQ781" s="6"/>
      <c r="AR781" s="6"/>
      <c r="AS781" s="6"/>
    </row>
    <row r="782" spans="1:45" ht="62.25" hidden="1" customHeight="1" x14ac:dyDescent="0.25">
      <c r="A782" s="33" t="s">
        <v>35</v>
      </c>
      <c r="B782" s="42">
        <v>705</v>
      </c>
      <c r="C782" s="33" t="s">
        <v>67</v>
      </c>
      <c r="D782" s="33" t="s">
        <v>3540</v>
      </c>
      <c r="E782" s="32"/>
      <c r="F782" s="54"/>
      <c r="G782" s="33" t="s">
        <v>3541</v>
      </c>
      <c r="H782" s="33" t="s">
        <v>1020</v>
      </c>
      <c r="I782" s="32"/>
      <c r="J782" s="114" t="s">
        <v>3542</v>
      </c>
      <c r="K782" s="33" t="s">
        <v>43</v>
      </c>
      <c r="L782" s="33" t="s">
        <v>3543</v>
      </c>
      <c r="M782" s="63">
        <v>810543033</v>
      </c>
      <c r="N782" s="45"/>
      <c r="O782" s="63">
        <v>15000000</v>
      </c>
      <c r="P782" s="86"/>
      <c r="Q782" s="44">
        <f t="shared" si="720"/>
        <v>825543033</v>
      </c>
      <c r="R782" s="65">
        <v>810543033</v>
      </c>
      <c r="S782" s="32"/>
      <c r="T782" s="44">
        <v>15000000</v>
      </c>
      <c r="U782" s="32"/>
      <c r="V782" s="32"/>
      <c r="W782" s="49"/>
      <c r="X782" s="49">
        <f t="shared" ref="X782:Z782" si="788">N782-S782</f>
        <v>0</v>
      </c>
      <c r="Y782" s="49">
        <f t="shared" si="788"/>
        <v>0</v>
      </c>
      <c r="Z782" s="49">
        <f t="shared" si="788"/>
        <v>0</v>
      </c>
      <c r="AA782" s="54"/>
      <c r="AB782" s="54"/>
      <c r="AC782" s="2">
        <f t="shared" si="722"/>
        <v>2</v>
      </c>
      <c r="AD782" s="6"/>
      <c r="AE782" s="6"/>
      <c r="AF782" s="6"/>
      <c r="AG782" s="6"/>
      <c r="AH782" s="6"/>
      <c r="AI782" s="6"/>
      <c r="AJ782" s="6"/>
      <c r="AK782" s="6"/>
      <c r="AL782" s="6"/>
      <c r="AM782" s="6"/>
      <c r="AN782" s="6"/>
      <c r="AO782" s="6"/>
      <c r="AP782" s="6"/>
      <c r="AQ782" s="6"/>
      <c r="AR782" s="6"/>
      <c r="AS782" s="6"/>
    </row>
    <row r="783" spans="1:45" ht="40.5" hidden="1" x14ac:dyDescent="0.25">
      <c r="A783" s="33" t="s">
        <v>35</v>
      </c>
      <c r="B783" s="42">
        <v>706</v>
      </c>
      <c r="C783" s="33" t="s">
        <v>67</v>
      </c>
      <c r="D783" s="33" t="s">
        <v>3544</v>
      </c>
      <c r="E783" s="32"/>
      <c r="F783" s="54"/>
      <c r="G783" s="33" t="s">
        <v>3545</v>
      </c>
      <c r="H783" s="32"/>
      <c r="I783" s="32"/>
      <c r="J783" s="62" t="s">
        <v>3546</v>
      </c>
      <c r="K783" s="33" t="s">
        <v>43</v>
      </c>
      <c r="L783" s="33" t="s">
        <v>3547</v>
      </c>
      <c r="M783" s="63">
        <v>332579306</v>
      </c>
      <c r="N783" s="45"/>
      <c r="O783" s="63">
        <v>7500000</v>
      </c>
      <c r="P783" s="86"/>
      <c r="Q783" s="44">
        <f t="shared" si="720"/>
        <v>340079306</v>
      </c>
      <c r="R783" s="65">
        <v>332579306</v>
      </c>
      <c r="S783" s="32"/>
      <c r="T783" s="63">
        <v>7500000</v>
      </c>
      <c r="U783" s="32"/>
      <c r="V783" s="32"/>
      <c r="W783" s="49"/>
      <c r="X783" s="49">
        <f t="shared" ref="X783:Z783" si="789">N783-S783</f>
        <v>0</v>
      </c>
      <c r="Y783" s="49">
        <f t="shared" si="789"/>
        <v>0</v>
      </c>
      <c r="Z783" s="49">
        <f t="shared" si="789"/>
        <v>0</v>
      </c>
      <c r="AA783" s="54"/>
      <c r="AB783" s="54"/>
      <c r="AC783" s="2">
        <f t="shared" si="722"/>
        <v>2</v>
      </c>
      <c r="AD783" s="6"/>
      <c r="AE783" s="6"/>
      <c r="AF783" s="6"/>
      <c r="AG783" s="6"/>
      <c r="AH783" s="6"/>
      <c r="AI783" s="6"/>
      <c r="AJ783" s="6"/>
      <c r="AK783" s="6"/>
      <c r="AL783" s="6"/>
      <c r="AM783" s="6"/>
      <c r="AN783" s="6"/>
      <c r="AO783" s="6"/>
      <c r="AP783" s="6"/>
      <c r="AQ783" s="6"/>
      <c r="AR783" s="6"/>
      <c r="AS783" s="6"/>
    </row>
    <row r="784" spans="1:45" ht="47.25" hidden="1" x14ac:dyDescent="0.25">
      <c r="A784" s="33" t="s">
        <v>35</v>
      </c>
      <c r="B784" s="42">
        <v>707</v>
      </c>
      <c r="C784" s="33" t="s">
        <v>67</v>
      </c>
      <c r="D784" s="33" t="s">
        <v>3548</v>
      </c>
      <c r="E784" s="32"/>
      <c r="F784" s="54"/>
      <c r="G784" s="33" t="s">
        <v>3549</v>
      </c>
      <c r="H784" s="32"/>
      <c r="I784" s="32"/>
      <c r="J784" s="62" t="s">
        <v>3550</v>
      </c>
      <c r="K784" s="33" t="s">
        <v>43</v>
      </c>
      <c r="L784" s="33" t="s">
        <v>285</v>
      </c>
      <c r="M784" s="63">
        <v>72618840</v>
      </c>
      <c r="N784" s="45"/>
      <c r="O784" s="63">
        <v>7500000</v>
      </c>
      <c r="P784" s="86"/>
      <c r="Q784" s="44">
        <f t="shared" si="720"/>
        <v>80118840</v>
      </c>
      <c r="R784" s="65">
        <v>72618840</v>
      </c>
      <c r="S784" s="32"/>
      <c r="T784" s="44">
        <v>7500000</v>
      </c>
      <c r="U784" s="32"/>
      <c r="V784" s="32"/>
      <c r="W784" s="49"/>
      <c r="X784" s="49">
        <f t="shared" ref="X784:Z784" si="790">N784-S784</f>
        <v>0</v>
      </c>
      <c r="Y784" s="49">
        <f t="shared" si="790"/>
        <v>0</v>
      </c>
      <c r="Z784" s="49">
        <f t="shared" si="790"/>
        <v>0</v>
      </c>
      <c r="AA784" s="54"/>
      <c r="AB784" s="54"/>
      <c r="AC784" s="2">
        <f t="shared" si="722"/>
        <v>2</v>
      </c>
      <c r="AD784" s="6"/>
      <c r="AE784" s="6"/>
      <c r="AF784" s="6"/>
      <c r="AG784" s="6"/>
      <c r="AH784" s="6"/>
      <c r="AI784" s="6"/>
      <c r="AJ784" s="6"/>
      <c r="AK784" s="6"/>
      <c r="AL784" s="6"/>
      <c r="AM784" s="6"/>
      <c r="AN784" s="6"/>
      <c r="AO784" s="6"/>
      <c r="AP784" s="6"/>
      <c r="AQ784" s="6"/>
      <c r="AR784" s="6"/>
      <c r="AS784" s="6"/>
    </row>
    <row r="785" spans="1:45" ht="31.5" hidden="1" x14ac:dyDescent="0.25">
      <c r="A785" s="33" t="s">
        <v>35</v>
      </c>
      <c r="B785" s="42">
        <v>709</v>
      </c>
      <c r="C785" s="33" t="s">
        <v>67</v>
      </c>
      <c r="D785" s="33" t="s">
        <v>3551</v>
      </c>
      <c r="E785" s="32"/>
      <c r="F785" s="54"/>
      <c r="G785" s="33" t="s">
        <v>3552</v>
      </c>
      <c r="H785" s="33" t="s">
        <v>3553</v>
      </c>
      <c r="I785" s="32"/>
      <c r="J785" s="62" t="s">
        <v>3554</v>
      </c>
      <c r="K785" s="33" t="s">
        <v>43</v>
      </c>
      <c r="L785" s="33" t="s">
        <v>3197</v>
      </c>
      <c r="M785" s="63">
        <v>3969631000</v>
      </c>
      <c r="N785" s="45"/>
      <c r="O785" s="63">
        <v>15000000</v>
      </c>
      <c r="P785" s="86"/>
      <c r="Q785" s="44">
        <f t="shared" si="720"/>
        <v>3984631000</v>
      </c>
      <c r="R785" s="65">
        <v>3969631000</v>
      </c>
      <c r="S785" s="32"/>
      <c r="T785" s="44">
        <v>15000000</v>
      </c>
      <c r="U785" s="32"/>
      <c r="V785" s="32"/>
      <c r="W785" s="49"/>
      <c r="X785" s="49">
        <f t="shared" ref="X785:Z785" si="791">N785-S785</f>
        <v>0</v>
      </c>
      <c r="Y785" s="49">
        <f t="shared" si="791"/>
        <v>0</v>
      </c>
      <c r="Z785" s="49">
        <f t="shared" si="791"/>
        <v>0</v>
      </c>
      <c r="AA785" s="54"/>
      <c r="AB785" s="54"/>
      <c r="AC785" s="2">
        <f t="shared" si="722"/>
        <v>2</v>
      </c>
      <c r="AD785" s="6"/>
      <c r="AE785" s="6"/>
      <c r="AF785" s="6"/>
      <c r="AG785" s="6"/>
      <c r="AH785" s="6"/>
      <c r="AI785" s="6"/>
      <c r="AJ785" s="6"/>
      <c r="AK785" s="6"/>
      <c r="AL785" s="6"/>
      <c r="AM785" s="6"/>
      <c r="AN785" s="6"/>
      <c r="AO785" s="6"/>
      <c r="AP785" s="6"/>
      <c r="AQ785" s="6"/>
      <c r="AR785" s="6"/>
      <c r="AS785" s="6"/>
    </row>
    <row r="786" spans="1:45" ht="63" hidden="1" x14ac:dyDescent="0.25">
      <c r="A786" s="33" t="s">
        <v>52</v>
      </c>
      <c r="B786" s="42">
        <v>712</v>
      </c>
      <c r="C786" s="33" t="s">
        <v>67</v>
      </c>
      <c r="D786" s="33" t="s">
        <v>3557</v>
      </c>
      <c r="E786" s="33" t="s">
        <v>3558</v>
      </c>
      <c r="F786" s="54"/>
      <c r="G786" s="33" t="s">
        <v>3559</v>
      </c>
      <c r="H786" s="33" t="s">
        <v>3560</v>
      </c>
      <c r="I786" s="32"/>
      <c r="J786" s="62" t="s">
        <v>3561</v>
      </c>
      <c r="K786" s="33" t="s">
        <v>43</v>
      </c>
      <c r="L786" s="33" t="s">
        <v>82</v>
      </c>
      <c r="M786" s="63">
        <v>560918363</v>
      </c>
      <c r="N786" s="63">
        <v>113902001</v>
      </c>
      <c r="O786" s="63">
        <v>15000000</v>
      </c>
      <c r="P786" s="86"/>
      <c r="Q786" s="44">
        <f t="shared" si="720"/>
        <v>689820364</v>
      </c>
      <c r="R786" s="65">
        <v>560918363</v>
      </c>
      <c r="S786" s="65">
        <v>113902001</v>
      </c>
      <c r="T786" s="63">
        <v>15000000</v>
      </c>
      <c r="U786" s="32"/>
      <c r="V786" s="32"/>
      <c r="W786" s="49"/>
      <c r="X786" s="49">
        <f t="shared" ref="X786:Z786" si="792">N786-S786</f>
        <v>0</v>
      </c>
      <c r="Y786" s="49">
        <f t="shared" si="792"/>
        <v>0</v>
      </c>
      <c r="Z786" s="49">
        <f t="shared" si="792"/>
        <v>0</v>
      </c>
      <c r="AA786" s="54"/>
      <c r="AB786" s="54"/>
      <c r="AC786" s="2">
        <f t="shared" si="722"/>
        <v>2</v>
      </c>
      <c r="AD786" s="6"/>
      <c r="AE786" s="6"/>
      <c r="AF786" s="6"/>
      <c r="AG786" s="6"/>
      <c r="AH786" s="6"/>
      <c r="AI786" s="6"/>
      <c r="AJ786" s="6"/>
      <c r="AK786" s="6"/>
      <c r="AL786" s="6"/>
      <c r="AM786" s="6"/>
      <c r="AN786" s="6"/>
      <c r="AO786" s="6"/>
      <c r="AP786" s="6"/>
      <c r="AQ786" s="6"/>
      <c r="AR786" s="6"/>
      <c r="AS786" s="6"/>
    </row>
    <row r="787" spans="1:45" ht="93" hidden="1" customHeight="1" x14ac:dyDescent="0.25">
      <c r="A787" s="33" t="s">
        <v>52</v>
      </c>
      <c r="B787" s="42">
        <v>713</v>
      </c>
      <c r="C787" s="33" t="s">
        <v>67</v>
      </c>
      <c r="D787" s="33" t="s">
        <v>3562</v>
      </c>
      <c r="E787" s="33" t="s">
        <v>3563</v>
      </c>
      <c r="F787" s="54"/>
      <c r="G787" s="33" t="s">
        <v>3564</v>
      </c>
      <c r="H787" s="33" t="s">
        <v>3565</v>
      </c>
      <c r="I787" s="32"/>
      <c r="J787" s="62" t="s">
        <v>3566</v>
      </c>
      <c r="K787" s="33" t="s">
        <v>43</v>
      </c>
      <c r="L787" s="33" t="s">
        <v>3567</v>
      </c>
      <c r="M787" s="63">
        <v>905632360</v>
      </c>
      <c r="N787" s="63">
        <v>164705380</v>
      </c>
      <c r="O787" s="63">
        <v>15000000</v>
      </c>
      <c r="P787" s="86"/>
      <c r="Q787" s="44">
        <f t="shared" si="720"/>
        <v>1085337740</v>
      </c>
      <c r="R787" s="65">
        <v>905632360</v>
      </c>
      <c r="S787" s="65">
        <v>164705380</v>
      </c>
      <c r="T787" s="63">
        <v>15000000</v>
      </c>
      <c r="U787" s="32"/>
      <c r="V787" s="32"/>
      <c r="W787" s="49"/>
      <c r="X787" s="49">
        <f t="shared" ref="X787:Z787" si="793">N787-S787</f>
        <v>0</v>
      </c>
      <c r="Y787" s="49">
        <f t="shared" si="793"/>
        <v>0</v>
      </c>
      <c r="Z787" s="49">
        <f t="shared" si="793"/>
        <v>0</v>
      </c>
      <c r="AA787" s="54"/>
      <c r="AB787" s="54"/>
      <c r="AC787" s="2">
        <f t="shared" si="722"/>
        <v>2</v>
      </c>
      <c r="AD787" s="6"/>
      <c r="AE787" s="6"/>
      <c r="AF787" s="6"/>
      <c r="AG787" s="6"/>
      <c r="AH787" s="6"/>
      <c r="AI787" s="6"/>
      <c r="AJ787" s="6"/>
      <c r="AK787" s="6"/>
      <c r="AL787" s="6"/>
      <c r="AM787" s="6"/>
      <c r="AN787" s="6"/>
      <c r="AO787" s="6"/>
      <c r="AP787" s="6"/>
      <c r="AQ787" s="6"/>
      <c r="AR787" s="6"/>
      <c r="AS787" s="6"/>
    </row>
    <row r="788" spans="1:45" ht="31.5" hidden="1" x14ac:dyDescent="0.25">
      <c r="A788" s="33" t="s">
        <v>35</v>
      </c>
      <c r="B788" s="42">
        <v>714</v>
      </c>
      <c r="C788" s="33" t="s">
        <v>67</v>
      </c>
      <c r="D788" s="33" t="s">
        <v>3568</v>
      </c>
      <c r="E788" s="33" t="s">
        <v>3569</v>
      </c>
      <c r="F788" s="54"/>
      <c r="G788" s="33" t="s">
        <v>3570</v>
      </c>
      <c r="H788" s="33" t="s">
        <v>3571</v>
      </c>
      <c r="I788" s="32"/>
      <c r="J788" s="33" t="s">
        <v>3572</v>
      </c>
      <c r="K788" s="33" t="s">
        <v>43</v>
      </c>
      <c r="L788" s="33" t="s">
        <v>3573</v>
      </c>
      <c r="M788" s="44">
        <v>366299104</v>
      </c>
      <c r="N788" s="44">
        <v>60646656</v>
      </c>
      <c r="O788" s="63">
        <v>15000000</v>
      </c>
      <c r="P788" s="86"/>
      <c r="Q788" s="44">
        <f t="shared" si="720"/>
        <v>441945760</v>
      </c>
      <c r="R788" s="65">
        <v>366299104</v>
      </c>
      <c r="S788" s="33"/>
      <c r="T788" s="44">
        <v>15000000</v>
      </c>
      <c r="U788" s="32"/>
      <c r="V788" s="32"/>
      <c r="W788" s="49"/>
      <c r="X788" s="52">
        <f t="shared" ref="X788:Z788" si="794">N788-S788</f>
        <v>60646656</v>
      </c>
      <c r="Y788" s="49">
        <f t="shared" si="794"/>
        <v>0</v>
      </c>
      <c r="Z788" s="49">
        <f t="shared" si="794"/>
        <v>0</v>
      </c>
      <c r="AA788" s="43"/>
      <c r="AB788" s="43"/>
      <c r="AC788" s="6">
        <f t="shared" si="722"/>
        <v>2</v>
      </c>
      <c r="AD788" s="6"/>
      <c r="AE788" s="6"/>
      <c r="AF788" s="6"/>
      <c r="AG788" s="6"/>
      <c r="AH788" s="6"/>
      <c r="AI788" s="6"/>
      <c r="AJ788" s="6"/>
      <c r="AK788" s="6"/>
      <c r="AL788" s="6"/>
      <c r="AM788" s="6"/>
      <c r="AN788" s="6"/>
      <c r="AO788" s="6"/>
      <c r="AP788" s="6"/>
      <c r="AQ788" s="6"/>
      <c r="AR788" s="6"/>
      <c r="AS788" s="6"/>
    </row>
    <row r="789" spans="1:45" ht="47.25" hidden="1" x14ac:dyDescent="0.25">
      <c r="A789" s="33" t="s">
        <v>35</v>
      </c>
      <c r="B789" s="42">
        <v>715</v>
      </c>
      <c r="C789" s="33" t="s">
        <v>67</v>
      </c>
      <c r="D789" s="33" t="s">
        <v>3574</v>
      </c>
      <c r="E789" s="32"/>
      <c r="F789" s="54"/>
      <c r="G789" s="33" t="s">
        <v>3575</v>
      </c>
      <c r="H789" s="32"/>
      <c r="I789" s="32"/>
      <c r="J789" s="62" t="s">
        <v>3576</v>
      </c>
      <c r="K789" s="33" t="s">
        <v>43</v>
      </c>
      <c r="L789" s="33" t="s">
        <v>3577</v>
      </c>
      <c r="M789" s="63">
        <v>4243700000</v>
      </c>
      <c r="N789" s="45"/>
      <c r="O789" s="63">
        <v>15000000</v>
      </c>
      <c r="P789" s="86"/>
      <c r="Q789" s="44">
        <f t="shared" si="720"/>
        <v>4258700000</v>
      </c>
      <c r="R789" s="65">
        <v>4243700000</v>
      </c>
      <c r="S789" s="32"/>
      <c r="T789" s="44">
        <v>15000000</v>
      </c>
      <c r="U789" s="32"/>
      <c r="V789" s="32"/>
      <c r="W789" s="49"/>
      <c r="X789" s="49">
        <f t="shared" ref="X789:Z789" si="795">N789-S789</f>
        <v>0</v>
      </c>
      <c r="Y789" s="49">
        <f t="shared" si="795"/>
        <v>0</v>
      </c>
      <c r="Z789" s="49">
        <f t="shared" si="795"/>
        <v>0</v>
      </c>
      <c r="AA789" s="54"/>
      <c r="AB789" s="54"/>
      <c r="AC789" s="2">
        <f t="shared" si="722"/>
        <v>2</v>
      </c>
      <c r="AD789" s="6"/>
      <c r="AE789" s="6"/>
      <c r="AF789" s="6"/>
      <c r="AG789" s="6"/>
      <c r="AH789" s="6"/>
      <c r="AI789" s="6"/>
      <c r="AJ789" s="6"/>
      <c r="AK789" s="6"/>
      <c r="AL789" s="6"/>
      <c r="AM789" s="6"/>
      <c r="AN789" s="6"/>
      <c r="AO789" s="6"/>
      <c r="AP789" s="6"/>
      <c r="AQ789" s="6"/>
      <c r="AR789" s="6"/>
      <c r="AS789" s="6"/>
    </row>
    <row r="790" spans="1:45" ht="47.25" hidden="1" x14ac:dyDescent="0.25">
      <c r="A790" s="33" t="s">
        <v>35</v>
      </c>
      <c r="B790" s="42">
        <v>716</v>
      </c>
      <c r="C790" s="33" t="s">
        <v>67</v>
      </c>
      <c r="D790" s="33" t="s">
        <v>3578</v>
      </c>
      <c r="E790" s="33" t="s">
        <v>3579</v>
      </c>
      <c r="F790" s="54"/>
      <c r="G790" s="33" t="s">
        <v>3580</v>
      </c>
      <c r="H790" s="33" t="s">
        <v>3581</v>
      </c>
      <c r="I790" s="32"/>
      <c r="J790" s="62" t="s">
        <v>3576</v>
      </c>
      <c r="K790" s="33" t="s">
        <v>43</v>
      </c>
      <c r="L790" s="33" t="s">
        <v>3582</v>
      </c>
      <c r="M790" s="63">
        <v>2565803620</v>
      </c>
      <c r="N790" s="44">
        <v>861892128</v>
      </c>
      <c r="O790" s="63">
        <v>15000000</v>
      </c>
      <c r="P790" s="86"/>
      <c r="Q790" s="44">
        <f t="shared" si="720"/>
        <v>3442695748</v>
      </c>
      <c r="R790" s="65">
        <v>2565803620</v>
      </c>
      <c r="S790" s="65">
        <v>861892128</v>
      </c>
      <c r="T790" s="44">
        <v>15000000</v>
      </c>
      <c r="U790" s="32"/>
      <c r="V790" s="32"/>
      <c r="W790" s="49"/>
      <c r="X790" s="49">
        <f t="shared" ref="X790:Z790" si="796">N790-S790</f>
        <v>0</v>
      </c>
      <c r="Y790" s="49">
        <f t="shared" si="796"/>
        <v>0</v>
      </c>
      <c r="Z790" s="49">
        <f t="shared" si="796"/>
        <v>0</v>
      </c>
      <c r="AA790" s="54"/>
      <c r="AB790" s="54"/>
      <c r="AC790" s="2">
        <f t="shared" si="722"/>
        <v>2</v>
      </c>
      <c r="AD790" s="6"/>
      <c r="AE790" s="6"/>
      <c r="AF790" s="6"/>
      <c r="AG790" s="6"/>
      <c r="AH790" s="6"/>
      <c r="AI790" s="6"/>
      <c r="AJ790" s="6"/>
      <c r="AK790" s="6"/>
      <c r="AL790" s="6"/>
      <c r="AM790" s="6"/>
      <c r="AN790" s="6"/>
      <c r="AO790" s="6"/>
      <c r="AP790" s="6"/>
      <c r="AQ790" s="6"/>
      <c r="AR790" s="6"/>
      <c r="AS790" s="6"/>
    </row>
    <row r="791" spans="1:45" ht="62.25" hidden="1" customHeight="1" x14ac:dyDescent="0.25">
      <c r="A791" s="33" t="s">
        <v>35</v>
      </c>
      <c r="B791" s="42">
        <v>718</v>
      </c>
      <c r="C791" s="33" t="s">
        <v>67</v>
      </c>
      <c r="D791" s="33" t="s">
        <v>3583</v>
      </c>
      <c r="E791" s="32"/>
      <c r="F791" s="54"/>
      <c r="G791" s="33" t="s">
        <v>3584</v>
      </c>
      <c r="H791" s="32"/>
      <c r="I791" s="32"/>
      <c r="J791" s="62" t="s">
        <v>3585</v>
      </c>
      <c r="K791" s="33" t="s">
        <v>43</v>
      </c>
      <c r="L791" s="33" t="s">
        <v>3586</v>
      </c>
      <c r="M791" s="63">
        <v>6447053210</v>
      </c>
      <c r="N791" s="45"/>
      <c r="O791" s="63">
        <v>7500000</v>
      </c>
      <c r="P791" s="86"/>
      <c r="Q791" s="44">
        <f t="shared" si="720"/>
        <v>6454553210</v>
      </c>
      <c r="R791" s="65">
        <v>6447053210</v>
      </c>
      <c r="S791" s="32"/>
      <c r="T791" s="63">
        <v>7500000</v>
      </c>
      <c r="U791" s="32"/>
      <c r="V791" s="32"/>
      <c r="W791" s="49"/>
      <c r="X791" s="49">
        <f t="shared" ref="X791:Z791" si="797">N791-S791</f>
        <v>0</v>
      </c>
      <c r="Y791" s="49">
        <f t="shared" si="797"/>
        <v>0</v>
      </c>
      <c r="Z791" s="49">
        <f t="shared" si="797"/>
        <v>0</v>
      </c>
      <c r="AA791" s="54"/>
      <c r="AB791" s="54"/>
      <c r="AC791" s="2">
        <f t="shared" si="722"/>
        <v>2</v>
      </c>
      <c r="AD791" s="6"/>
      <c r="AE791" s="6"/>
      <c r="AF791" s="6"/>
      <c r="AG791" s="6"/>
      <c r="AH791" s="6"/>
      <c r="AI791" s="6"/>
      <c r="AJ791" s="6"/>
      <c r="AK791" s="6"/>
      <c r="AL791" s="6"/>
      <c r="AM791" s="6"/>
      <c r="AN791" s="6"/>
      <c r="AO791" s="6"/>
      <c r="AP791" s="6"/>
      <c r="AQ791" s="6"/>
      <c r="AR791" s="6"/>
      <c r="AS791" s="6"/>
    </row>
    <row r="792" spans="1:45" ht="31.5" hidden="1" x14ac:dyDescent="0.3">
      <c r="A792" s="33" t="s">
        <v>52</v>
      </c>
      <c r="B792" s="42">
        <v>720</v>
      </c>
      <c r="C792" s="33" t="s">
        <v>67</v>
      </c>
      <c r="D792" s="33" t="s">
        <v>3587</v>
      </c>
      <c r="E792" s="33"/>
      <c r="F792" s="54"/>
      <c r="G792" s="33" t="s">
        <v>3588</v>
      </c>
      <c r="H792" s="33"/>
      <c r="I792" s="33"/>
      <c r="J792" s="33" t="s">
        <v>3589</v>
      </c>
      <c r="K792" s="33" t="s">
        <v>43</v>
      </c>
      <c r="L792" s="33" t="s">
        <v>3590</v>
      </c>
      <c r="M792" s="63">
        <v>1242447888</v>
      </c>
      <c r="N792" s="45"/>
      <c r="O792" s="44">
        <v>7500000</v>
      </c>
      <c r="P792" s="86"/>
      <c r="Q792" s="44">
        <f t="shared" si="720"/>
        <v>1249947888</v>
      </c>
      <c r="R792" s="32"/>
      <c r="S792" s="32"/>
      <c r="T792" s="66"/>
      <c r="U792" s="32"/>
      <c r="V792" s="32"/>
      <c r="W792" s="49">
        <v>1242447888</v>
      </c>
      <c r="X792" s="49">
        <f t="shared" ref="X792:Z792" si="798">N792-S792</f>
        <v>0</v>
      </c>
      <c r="Y792" s="52">
        <f t="shared" si="798"/>
        <v>7500000</v>
      </c>
      <c r="Z792" s="49">
        <f t="shared" si="798"/>
        <v>0</v>
      </c>
      <c r="AA792" s="98">
        <v>1242447888</v>
      </c>
      <c r="AB792" s="43"/>
      <c r="AC792" s="15">
        <f t="shared" si="722"/>
        <v>2</v>
      </c>
      <c r="AD792" s="15"/>
      <c r="AE792" s="6"/>
      <c r="AF792" s="6"/>
      <c r="AG792" s="6"/>
      <c r="AH792" s="6"/>
      <c r="AI792" s="6"/>
      <c r="AJ792" s="6"/>
      <c r="AK792" s="6"/>
      <c r="AL792" s="6"/>
      <c r="AM792" s="6"/>
      <c r="AN792" s="6"/>
      <c r="AO792" s="6"/>
      <c r="AP792" s="6"/>
      <c r="AQ792" s="6"/>
      <c r="AR792" s="6"/>
      <c r="AS792" s="6"/>
    </row>
    <row r="793" spans="1:45" ht="63" hidden="1" x14ac:dyDescent="0.25">
      <c r="A793" s="33" t="s">
        <v>35</v>
      </c>
      <c r="B793" s="42">
        <v>721</v>
      </c>
      <c r="C793" s="33" t="s">
        <v>67</v>
      </c>
      <c r="D793" s="33" t="s">
        <v>3591</v>
      </c>
      <c r="E793" s="33" t="s">
        <v>3592</v>
      </c>
      <c r="F793" s="54"/>
      <c r="G793" s="33" t="s">
        <v>3593</v>
      </c>
      <c r="H793" s="33" t="s">
        <v>3594</v>
      </c>
      <c r="I793" s="32"/>
      <c r="J793" s="62" t="s">
        <v>3595</v>
      </c>
      <c r="K793" s="33" t="s">
        <v>43</v>
      </c>
      <c r="L793" s="33" t="s">
        <v>82</v>
      </c>
      <c r="M793" s="63">
        <v>505786413</v>
      </c>
      <c r="N793" s="63">
        <v>205440547</v>
      </c>
      <c r="O793" s="63">
        <v>15000000</v>
      </c>
      <c r="P793" s="86"/>
      <c r="Q793" s="44">
        <f t="shared" si="720"/>
        <v>726226960</v>
      </c>
      <c r="R793" s="65">
        <v>505786413</v>
      </c>
      <c r="S793" s="65">
        <v>205440547</v>
      </c>
      <c r="T793" s="44">
        <v>15000000</v>
      </c>
      <c r="U793" s="32"/>
      <c r="V793" s="32"/>
      <c r="W793" s="49"/>
      <c r="X793" s="49">
        <f t="shared" ref="X793:Z793" si="799">N793-S793</f>
        <v>0</v>
      </c>
      <c r="Y793" s="49">
        <f t="shared" si="799"/>
        <v>0</v>
      </c>
      <c r="Z793" s="49">
        <f t="shared" si="799"/>
        <v>0</v>
      </c>
      <c r="AA793" s="54"/>
      <c r="AB793" s="54"/>
      <c r="AC793" s="2">
        <f t="shared" si="722"/>
        <v>2</v>
      </c>
      <c r="AD793" s="6"/>
      <c r="AE793" s="6"/>
      <c r="AF793" s="6"/>
      <c r="AG793" s="6"/>
      <c r="AH793" s="6"/>
      <c r="AI793" s="6"/>
      <c r="AJ793" s="6"/>
      <c r="AK793" s="6"/>
      <c r="AL793" s="6"/>
      <c r="AM793" s="6"/>
      <c r="AN793" s="6"/>
      <c r="AO793" s="6"/>
      <c r="AP793" s="6"/>
      <c r="AQ793" s="6"/>
      <c r="AR793" s="6"/>
      <c r="AS793" s="6"/>
    </row>
    <row r="794" spans="1:45" ht="40.5" hidden="1" x14ac:dyDescent="0.25">
      <c r="A794" s="33" t="s">
        <v>52</v>
      </c>
      <c r="B794" s="42">
        <v>722</v>
      </c>
      <c r="C794" s="33" t="s">
        <v>67</v>
      </c>
      <c r="D794" s="33" t="s">
        <v>3596</v>
      </c>
      <c r="E794" s="32"/>
      <c r="F794" s="54"/>
      <c r="G794" s="33" t="s">
        <v>3597</v>
      </c>
      <c r="H794" s="32"/>
      <c r="I794" s="32"/>
      <c r="J794" s="62" t="s">
        <v>3598</v>
      </c>
      <c r="K794" s="33" t="s">
        <v>43</v>
      </c>
      <c r="L794" s="33" t="s">
        <v>3599</v>
      </c>
      <c r="M794" s="63">
        <v>5071257372</v>
      </c>
      <c r="N794" s="45"/>
      <c r="O794" s="63">
        <v>7500000</v>
      </c>
      <c r="P794" s="86"/>
      <c r="Q794" s="44">
        <f t="shared" si="720"/>
        <v>5078757372</v>
      </c>
      <c r="R794" s="65">
        <v>5071257372</v>
      </c>
      <c r="S794" s="32"/>
      <c r="T794" s="44">
        <v>7500000</v>
      </c>
      <c r="U794" s="32"/>
      <c r="V794" s="32"/>
      <c r="W794" s="49"/>
      <c r="X794" s="49">
        <f t="shared" ref="X794:Z794" si="800">N794-S794</f>
        <v>0</v>
      </c>
      <c r="Y794" s="49">
        <f t="shared" si="800"/>
        <v>0</v>
      </c>
      <c r="Z794" s="49">
        <f t="shared" si="800"/>
        <v>0</v>
      </c>
      <c r="AA794" s="54"/>
      <c r="AB794" s="54"/>
      <c r="AC794" s="2">
        <f t="shared" si="722"/>
        <v>2</v>
      </c>
      <c r="AD794" s="6"/>
      <c r="AE794" s="6"/>
      <c r="AF794" s="6"/>
      <c r="AG794" s="6"/>
      <c r="AH794" s="6"/>
      <c r="AI794" s="6"/>
      <c r="AJ794" s="6"/>
      <c r="AK794" s="6"/>
      <c r="AL794" s="6"/>
      <c r="AM794" s="6"/>
      <c r="AN794" s="6"/>
      <c r="AO794" s="6"/>
      <c r="AP794" s="6"/>
      <c r="AQ794" s="6"/>
      <c r="AR794" s="6"/>
      <c r="AS794" s="6"/>
    </row>
    <row r="795" spans="1:45" ht="40.5" hidden="1" x14ac:dyDescent="0.25">
      <c r="A795" s="33" t="s">
        <v>60</v>
      </c>
      <c r="B795" s="42">
        <v>723</v>
      </c>
      <c r="C795" s="33" t="s">
        <v>67</v>
      </c>
      <c r="D795" s="33" t="s">
        <v>3600</v>
      </c>
      <c r="E795" s="32"/>
      <c r="F795" s="54"/>
      <c r="G795" s="33" t="s">
        <v>3601</v>
      </c>
      <c r="H795" s="32"/>
      <c r="I795" s="32"/>
      <c r="J795" s="62" t="s">
        <v>3602</v>
      </c>
      <c r="K795" s="33" t="s">
        <v>43</v>
      </c>
      <c r="L795" s="33" t="s">
        <v>3603</v>
      </c>
      <c r="M795" s="63">
        <v>835979508</v>
      </c>
      <c r="N795" s="45"/>
      <c r="O795" s="63">
        <v>7500000</v>
      </c>
      <c r="P795" s="86"/>
      <c r="Q795" s="44">
        <f t="shared" si="720"/>
        <v>843479508</v>
      </c>
      <c r="R795" s="65">
        <v>835979508</v>
      </c>
      <c r="S795" s="32"/>
      <c r="T795" s="44">
        <v>7500000</v>
      </c>
      <c r="U795" s="32"/>
      <c r="V795" s="32"/>
      <c r="W795" s="49"/>
      <c r="X795" s="49">
        <f t="shared" ref="X795:Z795" si="801">N795-S795</f>
        <v>0</v>
      </c>
      <c r="Y795" s="49">
        <f t="shared" si="801"/>
        <v>0</v>
      </c>
      <c r="Z795" s="49">
        <f t="shared" si="801"/>
        <v>0</v>
      </c>
      <c r="AA795" s="54"/>
      <c r="AB795" s="54"/>
      <c r="AC795" s="2">
        <f t="shared" si="722"/>
        <v>2</v>
      </c>
      <c r="AD795" s="6"/>
      <c r="AE795" s="6"/>
      <c r="AF795" s="6"/>
      <c r="AG795" s="6"/>
      <c r="AH795" s="6"/>
      <c r="AI795" s="6"/>
      <c r="AJ795" s="6"/>
      <c r="AK795" s="6"/>
      <c r="AL795" s="6"/>
      <c r="AM795" s="6"/>
      <c r="AN795" s="6"/>
      <c r="AO795" s="6"/>
      <c r="AP795" s="6"/>
      <c r="AQ795" s="6"/>
      <c r="AR795" s="6"/>
      <c r="AS795" s="6"/>
    </row>
    <row r="796" spans="1:45" ht="40.5" hidden="1" x14ac:dyDescent="0.25">
      <c r="A796" s="33" t="s">
        <v>88</v>
      </c>
      <c r="B796" s="42">
        <v>724</v>
      </c>
      <c r="C796" s="33" t="s">
        <v>67</v>
      </c>
      <c r="D796" s="33" t="s">
        <v>3604</v>
      </c>
      <c r="E796" s="32"/>
      <c r="F796" s="54"/>
      <c r="G796" s="33" t="s">
        <v>3605</v>
      </c>
      <c r="H796" s="32"/>
      <c r="I796" s="32"/>
      <c r="J796" s="62" t="s">
        <v>3606</v>
      </c>
      <c r="K796" s="33" t="s">
        <v>43</v>
      </c>
      <c r="L796" s="33" t="s">
        <v>3607</v>
      </c>
      <c r="M796" s="63">
        <v>1687785424</v>
      </c>
      <c r="N796" s="45"/>
      <c r="O796" s="63">
        <v>15000000</v>
      </c>
      <c r="P796" s="86"/>
      <c r="Q796" s="44">
        <f t="shared" si="720"/>
        <v>1702785424</v>
      </c>
      <c r="R796" s="52">
        <v>1687785424</v>
      </c>
      <c r="S796" s="32"/>
      <c r="T796" s="44">
        <v>15000000</v>
      </c>
      <c r="U796" s="32"/>
      <c r="V796" s="32"/>
      <c r="W796" s="49"/>
      <c r="X796" s="49">
        <f t="shared" ref="X796:Z796" si="802">N796-S796</f>
        <v>0</v>
      </c>
      <c r="Y796" s="49">
        <f t="shared" si="802"/>
        <v>0</v>
      </c>
      <c r="Z796" s="49">
        <f t="shared" si="802"/>
        <v>0</v>
      </c>
      <c r="AA796" s="54"/>
      <c r="AB796" s="54"/>
      <c r="AC796" s="2">
        <f t="shared" si="722"/>
        <v>2</v>
      </c>
      <c r="AD796" s="6"/>
      <c r="AE796" s="6"/>
      <c r="AF796" s="6"/>
      <c r="AG796" s="6"/>
      <c r="AH796" s="6"/>
      <c r="AI796" s="6"/>
      <c r="AJ796" s="6"/>
      <c r="AK796" s="6"/>
      <c r="AL796" s="6"/>
      <c r="AM796" s="6"/>
      <c r="AN796" s="6"/>
      <c r="AO796" s="6"/>
      <c r="AP796" s="6"/>
      <c r="AQ796" s="6"/>
      <c r="AR796" s="6"/>
      <c r="AS796" s="6"/>
    </row>
    <row r="797" spans="1:45" ht="63" hidden="1" x14ac:dyDescent="0.3">
      <c r="A797" s="33" t="s">
        <v>60</v>
      </c>
      <c r="B797" s="42">
        <v>727</v>
      </c>
      <c r="C797" s="33" t="s">
        <v>67</v>
      </c>
      <c r="D797" s="33" t="s">
        <v>3609</v>
      </c>
      <c r="E797" s="33" t="s">
        <v>3496</v>
      </c>
      <c r="F797" s="54"/>
      <c r="G797" s="33"/>
      <c r="H797" s="33"/>
      <c r="I797" s="33" t="s">
        <v>3610</v>
      </c>
      <c r="J797" s="33" t="s">
        <v>3611</v>
      </c>
      <c r="K797" s="33" t="s">
        <v>43</v>
      </c>
      <c r="L797" s="33" t="s">
        <v>735</v>
      </c>
      <c r="M797" s="63">
        <v>10000000</v>
      </c>
      <c r="N797" s="45"/>
      <c r="O797" s="44">
        <v>15000000</v>
      </c>
      <c r="P797" s="86"/>
      <c r="Q797" s="44">
        <f t="shared" si="720"/>
        <v>25000000</v>
      </c>
      <c r="R797" s="32"/>
      <c r="S797" s="32"/>
      <c r="T797" s="66"/>
      <c r="U797" s="32"/>
      <c r="V797" s="32"/>
      <c r="W797" s="49">
        <v>10000000</v>
      </c>
      <c r="X797" s="49">
        <f t="shared" ref="X797:Z797" si="803">N797-S797</f>
        <v>0</v>
      </c>
      <c r="Y797" s="52">
        <f t="shared" si="803"/>
        <v>15000000</v>
      </c>
      <c r="Z797" s="49">
        <f t="shared" si="803"/>
        <v>0</v>
      </c>
      <c r="AA797" s="98">
        <v>10000000</v>
      </c>
      <c r="AB797" s="43"/>
      <c r="AC797" s="15">
        <f t="shared" si="722"/>
        <v>1</v>
      </c>
      <c r="AD797" s="15"/>
      <c r="AE797" s="6"/>
      <c r="AF797" s="6"/>
      <c r="AG797" s="6"/>
      <c r="AH797" s="6"/>
      <c r="AI797" s="6"/>
      <c r="AJ797" s="6"/>
      <c r="AK797" s="6"/>
      <c r="AL797" s="6"/>
      <c r="AM797" s="6"/>
      <c r="AN797" s="6"/>
      <c r="AO797" s="6"/>
      <c r="AP797" s="6"/>
      <c r="AQ797" s="6"/>
      <c r="AR797" s="6"/>
      <c r="AS797" s="6"/>
    </row>
    <row r="798" spans="1:45" ht="47.25" hidden="1" x14ac:dyDescent="0.25">
      <c r="A798" s="33" t="s">
        <v>60</v>
      </c>
      <c r="B798" s="42">
        <v>729</v>
      </c>
      <c r="C798" s="33" t="s">
        <v>67</v>
      </c>
      <c r="D798" s="33" t="s">
        <v>3612</v>
      </c>
      <c r="E798" s="32"/>
      <c r="F798" s="54"/>
      <c r="G798" s="33" t="s">
        <v>3613</v>
      </c>
      <c r="H798" s="32"/>
      <c r="I798" s="32"/>
      <c r="J798" s="62" t="s">
        <v>3614</v>
      </c>
      <c r="K798" s="33" t="s">
        <v>43</v>
      </c>
      <c r="L798" s="33" t="s">
        <v>3615</v>
      </c>
      <c r="M798" s="63">
        <v>379903110</v>
      </c>
      <c r="N798" s="45"/>
      <c r="O798" s="63">
        <v>7500000</v>
      </c>
      <c r="P798" s="86"/>
      <c r="Q798" s="44">
        <f t="shared" si="720"/>
        <v>387403110</v>
      </c>
      <c r="R798" s="65">
        <v>379903110</v>
      </c>
      <c r="S798" s="32"/>
      <c r="T798" s="44">
        <v>7500000</v>
      </c>
      <c r="U798" s="32"/>
      <c r="V798" s="32"/>
      <c r="W798" s="49"/>
      <c r="X798" s="49">
        <f t="shared" ref="X798:Z798" si="804">N798-S798</f>
        <v>0</v>
      </c>
      <c r="Y798" s="49">
        <f t="shared" si="804"/>
        <v>0</v>
      </c>
      <c r="Z798" s="49">
        <f t="shared" si="804"/>
        <v>0</v>
      </c>
      <c r="AA798" s="54"/>
      <c r="AB798" s="54"/>
      <c r="AC798" s="2">
        <f t="shared" si="722"/>
        <v>2</v>
      </c>
      <c r="AD798" s="6"/>
      <c r="AE798" s="6"/>
      <c r="AF798" s="6"/>
      <c r="AG798" s="6"/>
      <c r="AH798" s="6"/>
      <c r="AI798" s="6"/>
      <c r="AJ798" s="6"/>
      <c r="AK798" s="6"/>
      <c r="AL798" s="6"/>
      <c r="AM798" s="6"/>
      <c r="AN798" s="6"/>
      <c r="AO798" s="6"/>
      <c r="AP798" s="6"/>
      <c r="AQ798" s="6"/>
      <c r="AR798" s="6"/>
      <c r="AS798" s="6"/>
    </row>
    <row r="799" spans="1:45" ht="63" hidden="1" x14ac:dyDescent="0.25">
      <c r="A799" s="33" t="s">
        <v>52</v>
      </c>
      <c r="B799" s="42">
        <v>731</v>
      </c>
      <c r="C799" s="33" t="s">
        <v>67</v>
      </c>
      <c r="D799" s="33" t="s">
        <v>3617</v>
      </c>
      <c r="E799" s="33" t="s">
        <v>3618</v>
      </c>
      <c r="F799" s="54"/>
      <c r="G799" s="33" t="s">
        <v>3619</v>
      </c>
      <c r="H799" s="33" t="s">
        <v>3620</v>
      </c>
      <c r="I799" s="32"/>
      <c r="J799" s="62" t="s">
        <v>3621</v>
      </c>
      <c r="K799" s="33" t="s">
        <v>43</v>
      </c>
      <c r="L799" s="33" t="s">
        <v>3622</v>
      </c>
      <c r="M799" s="63">
        <v>4043584200</v>
      </c>
      <c r="N799" s="63">
        <v>161992320</v>
      </c>
      <c r="O799" s="63">
        <v>15000000</v>
      </c>
      <c r="P799" s="86"/>
      <c r="Q799" s="44">
        <f t="shared" si="720"/>
        <v>4220576520</v>
      </c>
      <c r="R799" s="83">
        <v>4043584200</v>
      </c>
      <c r="S799" s="65">
        <v>161992320</v>
      </c>
      <c r="T799" s="44">
        <v>15000000</v>
      </c>
      <c r="U799" s="32"/>
      <c r="V799" s="32"/>
      <c r="W799" s="49"/>
      <c r="X799" s="49">
        <f t="shared" ref="X799:Z799" si="805">N799-S799</f>
        <v>0</v>
      </c>
      <c r="Y799" s="49">
        <f t="shared" si="805"/>
        <v>0</v>
      </c>
      <c r="Z799" s="49">
        <f t="shared" si="805"/>
        <v>0</v>
      </c>
      <c r="AA799" s="54"/>
      <c r="AB799" s="54"/>
      <c r="AC799" s="2">
        <f t="shared" si="722"/>
        <v>2</v>
      </c>
      <c r="AD799" s="6"/>
      <c r="AE799" s="6"/>
      <c r="AF799" s="6"/>
      <c r="AG799" s="6"/>
      <c r="AH799" s="6"/>
      <c r="AI799" s="6"/>
      <c r="AJ799" s="6"/>
      <c r="AK799" s="6"/>
      <c r="AL799" s="6"/>
      <c r="AM799" s="6"/>
      <c r="AN799" s="6"/>
      <c r="AO799" s="6"/>
      <c r="AP799" s="6"/>
      <c r="AQ799" s="6"/>
      <c r="AR799" s="6"/>
      <c r="AS799" s="6"/>
    </row>
    <row r="800" spans="1:45" ht="62.25" hidden="1" customHeight="1" x14ac:dyDescent="0.25">
      <c r="A800" s="33" t="s">
        <v>35</v>
      </c>
      <c r="B800" s="42">
        <v>734</v>
      </c>
      <c r="C800" s="33" t="s">
        <v>67</v>
      </c>
      <c r="D800" s="33" t="s">
        <v>3624</v>
      </c>
      <c r="E800" s="32"/>
      <c r="F800" s="54"/>
      <c r="G800" s="33" t="s">
        <v>3625</v>
      </c>
      <c r="H800" s="32"/>
      <c r="I800" s="32"/>
      <c r="J800" s="62" t="s">
        <v>3626</v>
      </c>
      <c r="K800" s="33" t="s">
        <v>43</v>
      </c>
      <c r="L800" s="33" t="s">
        <v>3627</v>
      </c>
      <c r="M800" s="63">
        <v>7225075720</v>
      </c>
      <c r="N800" s="45"/>
      <c r="O800" s="63">
        <v>15000000</v>
      </c>
      <c r="P800" s="86"/>
      <c r="Q800" s="44">
        <f t="shared" si="720"/>
        <v>7240075720</v>
      </c>
      <c r="R800" s="65">
        <v>7225075720</v>
      </c>
      <c r="S800" s="32"/>
      <c r="T800" s="44">
        <v>15000000</v>
      </c>
      <c r="U800" s="32"/>
      <c r="V800" s="32"/>
      <c r="W800" s="49"/>
      <c r="X800" s="49">
        <f t="shared" ref="X800:Z800" si="806">N800-S800</f>
        <v>0</v>
      </c>
      <c r="Y800" s="49">
        <f t="shared" si="806"/>
        <v>0</v>
      </c>
      <c r="Z800" s="49">
        <f t="shared" si="806"/>
        <v>0</v>
      </c>
      <c r="AA800" s="54"/>
      <c r="AB800" s="54"/>
      <c r="AC800" s="2">
        <f t="shared" si="722"/>
        <v>2</v>
      </c>
      <c r="AD800" s="6"/>
      <c r="AE800" s="6"/>
      <c r="AF800" s="6"/>
      <c r="AG800" s="6"/>
      <c r="AH800" s="6"/>
      <c r="AI800" s="6"/>
      <c r="AJ800" s="6"/>
      <c r="AK800" s="6"/>
      <c r="AL800" s="6"/>
      <c r="AM800" s="6"/>
      <c r="AN800" s="6"/>
      <c r="AO800" s="6"/>
      <c r="AP800" s="6"/>
      <c r="AQ800" s="6"/>
      <c r="AR800" s="6"/>
      <c r="AS800" s="6"/>
    </row>
    <row r="801" spans="1:45" ht="31.5" hidden="1" x14ac:dyDescent="0.25">
      <c r="A801" s="33" t="s">
        <v>52</v>
      </c>
      <c r="B801" s="42">
        <v>736</v>
      </c>
      <c r="C801" s="33" t="s">
        <v>67</v>
      </c>
      <c r="D801" s="33" t="s">
        <v>3630</v>
      </c>
      <c r="E801" s="32"/>
      <c r="F801" s="54"/>
      <c r="G801" s="33" t="s">
        <v>3631</v>
      </c>
      <c r="H801" s="32"/>
      <c r="I801" s="32"/>
      <c r="J801" s="62" t="s">
        <v>3632</v>
      </c>
      <c r="K801" s="33" t="s">
        <v>43</v>
      </c>
      <c r="L801" s="33" t="s">
        <v>3633</v>
      </c>
      <c r="M801" s="63">
        <v>1376202443</v>
      </c>
      <c r="N801" s="45"/>
      <c r="O801" s="63">
        <v>15000000</v>
      </c>
      <c r="P801" s="86"/>
      <c r="Q801" s="44">
        <f t="shared" si="720"/>
        <v>1391202443</v>
      </c>
      <c r="R801" s="83">
        <v>1376202443</v>
      </c>
      <c r="S801" s="32"/>
      <c r="T801" s="63">
        <v>15000000</v>
      </c>
      <c r="U801" s="32"/>
      <c r="V801" s="32"/>
      <c r="W801" s="49"/>
      <c r="X801" s="49">
        <f t="shared" ref="X801:Z801" si="807">N801-S801</f>
        <v>0</v>
      </c>
      <c r="Y801" s="49">
        <f t="shared" si="807"/>
        <v>0</v>
      </c>
      <c r="Z801" s="49">
        <f t="shared" si="807"/>
        <v>0</v>
      </c>
      <c r="AA801" s="54"/>
      <c r="AB801" s="54"/>
      <c r="AC801" s="2">
        <f t="shared" si="722"/>
        <v>2</v>
      </c>
      <c r="AD801" s="6"/>
      <c r="AE801" s="6"/>
      <c r="AF801" s="6"/>
      <c r="AG801" s="6"/>
      <c r="AH801" s="6"/>
      <c r="AI801" s="6"/>
      <c r="AJ801" s="6"/>
      <c r="AK801" s="6"/>
      <c r="AL801" s="6"/>
      <c r="AM801" s="6"/>
      <c r="AN801" s="6"/>
      <c r="AO801" s="6"/>
      <c r="AP801" s="6"/>
      <c r="AQ801" s="6"/>
      <c r="AR801" s="6"/>
      <c r="AS801" s="6"/>
    </row>
    <row r="802" spans="1:45" ht="60.75" hidden="1" x14ac:dyDescent="0.25">
      <c r="A802" s="33" t="s">
        <v>52</v>
      </c>
      <c r="B802" s="42">
        <v>737</v>
      </c>
      <c r="C802" s="33" t="s">
        <v>67</v>
      </c>
      <c r="D802" s="33" t="s">
        <v>3634</v>
      </c>
      <c r="E802" s="32"/>
      <c r="F802" s="54"/>
      <c r="G802" s="33" t="s">
        <v>3635</v>
      </c>
      <c r="H802" s="32"/>
      <c r="I802" s="32"/>
      <c r="J802" s="62" t="s">
        <v>3636</v>
      </c>
      <c r="K802" s="33" t="s">
        <v>43</v>
      </c>
      <c r="L802" s="33" t="s">
        <v>3639</v>
      </c>
      <c r="M802" s="63">
        <v>299923956</v>
      </c>
      <c r="N802" s="45"/>
      <c r="O802" s="63">
        <v>15000000</v>
      </c>
      <c r="P802" s="86"/>
      <c r="Q802" s="44">
        <f t="shared" si="720"/>
        <v>314923956</v>
      </c>
      <c r="R802" s="83">
        <v>299923956</v>
      </c>
      <c r="S802" s="32"/>
      <c r="T802" s="63">
        <v>15000000</v>
      </c>
      <c r="U802" s="32"/>
      <c r="V802" s="32"/>
      <c r="W802" s="49"/>
      <c r="X802" s="49">
        <f t="shared" ref="X802:Z802" si="808">N802-S802</f>
        <v>0</v>
      </c>
      <c r="Y802" s="49">
        <f t="shared" si="808"/>
        <v>0</v>
      </c>
      <c r="Z802" s="49">
        <f t="shared" si="808"/>
        <v>0</v>
      </c>
      <c r="AA802" s="54"/>
      <c r="AB802" s="54"/>
      <c r="AC802" s="2">
        <f t="shared" si="722"/>
        <v>2</v>
      </c>
      <c r="AD802" s="6"/>
      <c r="AE802" s="6"/>
      <c r="AF802" s="6"/>
      <c r="AG802" s="6"/>
      <c r="AH802" s="6"/>
      <c r="AI802" s="6"/>
      <c r="AJ802" s="6"/>
      <c r="AK802" s="6"/>
      <c r="AL802" s="6"/>
      <c r="AM802" s="6"/>
      <c r="AN802" s="6"/>
      <c r="AO802" s="6"/>
      <c r="AP802" s="6"/>
      <c r="AQ802" s="6"/>
      <c r="AR802" s="6"/>
      <c r="AS802" s="6"/>
    </row>
    <row r="803" spans="1:45" ht="40.5" hidden="1" x14ac:dyDescent="0.25">
      <c r="A803" s="33" t="s">
        <v>52</v>
      </c>
      <c r="B803" s="42">
        <v>738</v>
      </c>
      <c r="C803" s="33" t="s">
        <v>67</v>
      </c>
      <c r="D803" s="33" t="s">
        <v>3640</v>
      </c>
      <c r="E803" s="32"/>
      <c r="F803" s="54"/>
      <c r="G803" s="33" t="s">
        <v>3641</v>
      </c>
      <c r="H803" s="32"/>
      <c r="I803" s="32"/>
      <c r="J803" s="62" t="s">
        <v>3642</v>
      </c>
      <c r="K803" s="33" t="s">
        <v>43</v>
      </c>
      <c r="L803" s="33" t="s">
        <v>3643</v>
      </c>
      <c r="M803" s="63">
        <v>5079928644</v>
      </c>
      <c r="N803" s="45"/>
      <c r="O803" s="63">
        <v>7500000</v>
      </c>
      <c r="P803" s="86"/>
      <c r="Q803" s="44">
        <f t="shared" si="720"/>
        <v>5087428644</v>
      </c>
      <c r="R803" s="65">
        <v>5079928644</v>
      </c>
      <c r="S803" s="32"/>
      <c r="T803" s="63">
        <v>7500000</v>
      </c>
      <c r="U803" s="32"/>
      <c r="V803" s="32"/>
      <c r="W803" s="49"/>
      <c r="X803" s="49">
        <f t="shared" ref="X803:Z803" si="809">N803-S803</f>
        <v>0</v>
      </c>
      <c r="Y803" s="49">
        <f t="shared" si="809"/>
        <v>0</v>
      </c>
      <c r="Z803" s="49">
        <f t="shared" si="809"/>
        <v>0</v>
      </c>
      <c r="AA803" s="54"/>
      <c r="AB803" s="54"/>
      <c r="AC803" s="2">
        <f t="shared" si="722"/>
        <v>2</v>
      </c>
      <c r="AD803" s="6"/>
      <c r="AE803" s="6"/>
      <c r="AF803" s="6"/>
      <c r="AG803" s="6"/>
      <c r="AH803" s="6"/>
      <c r="AI803" s="6"/>
      <c r="AJ803" s="6"/>
      <c r="AK803" s="6"/>
      <c r="AL803" s="6"/>
      <c r="AM803" s="6"/>
      <c r="AN803" s="6"/>
      <c r="AO803" s="6"/>
      <c r="AP803" s="6"/>
      <c r="AQ803" s="6"/>
      <c r="AR803" s="6"/>
      <c r="AS803" s="6"/>
    </row>
    <row r="804" spans="1:45" ht="40.5" hidden="1" x14ac:dyDescent="0.25">
      <c r="A804" s="33" t="s">
        <v>60</v>
      </c>
      <c r="B804" s="42">
        <v>739</v>
      </c>
      <c r="C804" s="33" t="s">
        <v>67</v>
      </c>
      <c r="D804" s="33" t="s">
        <v>3644</v>
      </c>
      <c r="E804" s="32"/>
      <c r="F804" s="54"/>
      <c r="G804" s="33" t="s">
        <v>3645</v>
      </c>
      <c r="H804" s="33" t="s">
        <v>2623</v>
      </c>
      <c r="I804" s="32"/>
      <c r="J804" s="62" t="s">
        <v>3646</v>
      </c>
      <c r="K804" s="33" t="s">
        <v>43</v>
      </c>
      <c r="L804" s="33" t="s">
        <v>3647</v>
      </c>
      <c r="M804" s="63">
        <v>2887146088</v>
      </c>
      <c r="N804" s="45"/>
      <c r="O804" s="63">
        <v>15000000</v>
      </c>
      <c r="P804" s="86"/>
      <c r="Q804" s="44">
        <f t="shared" si="720"/>
        <v>2902146088</v>
      </c>
      <c r="R804" s="83">
        <v>2887146088</v>
      </c>
      <c r="S804" s="32"/>
      <c r="T804" s="63">
        <v>15000000</v>
      </c>
      <c r="U804" s="32"/>
      <c r="V804" s="32"/>
      <c r="W804" s="49"/>
      <c r="X804" s="49">
        <f t="shared" ref="X804:Z804" si="810">N804-S804</f>
        <v>0</v>
      </c>
      <c r="Y804" s="49">
        <f t="shared" si="810"/>
        <v>0</v>
      </c>
      <c r="Z804" s="49">
        <f t="shared" si="810"/>
        <v>0</v>
      </c>
      <c r="AA804" s="54"/>
      <c r="AB804" s="54"/>
      <c r="AC804" s="2">
        <f t="shared" si="722"/>
        <v>2</v>
      </c>
      <c r="AD804" s="6"/>
      <c r="AE804" s="6"/>
      <c r="AF804" s="6"/>
      <c r="AG804" s="6"/>
      <c r="AH804" s="6"/>
      <c r="AI804" s="6"/>
      <c r="AJ804" s="6"/>
      <c r="AK804" s="6"/>
      <c r="AL804" s="6"/>
      <c r="AM804" s="6"/>
      <c r="AN804" s="6"/>
      <c r="AO804" s="6"/>
      <c r="AP804" s="6"/>
      <c r="AQ804" s="6"/>
      <c r="AR804" s="6"/>
      <c r="AS804" s="6"/>
    </row>
    <row r="805" spans="1:45" ht="40.5" hidden="1" x14ac:dyDescent="0.25">
      <c r="A805" s="33" t="s">
        <v>52</v>
      </c>
      <c r="B805" s="42">
        <v>740</v>
      </c>
      <c r="C805" s="33" t="s">
        <v>67</v>
      </c>
      <c r="D805" s="33" t="s">
        <v>3648</v>
      </c>
      <c r="E805" s="32"/>
      <c r="F805" s="54"/>
      <c r="G805" s="33" t="s">
        <v>3649</v>
      </c>
      <c r="H805" s="33" t="s">
        <v>3650</v>
      </c>
      <c r="I805" s="32"/>
      <c r="J805" s="62" t="s">
        <v>3651</v>
      </c>
      <c r="K805" s="33" t="s">
        <v>43</v>
      </c>
      <c r="L805" s="33" t="s">
        <v>3652</v>
      </c>
      <c r="M805" s="63">
        <v>1459373626</v>
      </c>
      <c r="N805" s="45"/>
      <c r="O805" s="63">
        <v>15000000</v>
      </c>
      <c r="P805" s="86"/>
      <c r="Q805" s="44">
        <f t="shared" si="720"/>
        <v>1474373626</v>
      </c>
      <c r="R805" s="65">
        <v>1459373626</v>
      </c>
      <c r="S805" s="32"/>
      <c r="T805" s="63">
        <v>15000000</v>
      </c>
      <c r="U805" s="32"/>
      <c r="V805" s="32"/>
      <c r="W805" s="49"/>
      <c r="X805" s="49">
        <f t="shared" ref="X805:Z805" si="811">N805-S805</f>
        <v>0</v>
      </c>
      <c r="Y805" s="49">
        <f t="shared" si="811"/>
        <v>0</v>
      </c>
      <c r="Z805" s="49">
        <f t="shared" si="811"/>
        <v>0</v>
      </c>
      <c r="AA805" s="54"/>
      <c r="AB805" s="54"/>
      <c r="AC805" s="2">
        <f t="shared" si="722"/>
        <v>2</v>
      </c>
      <c r="AD805" s="6"/>
      <c r="AE805" s="6"/>
      <c r="AF805" s="6"/>
      <c r="AG805" s="6"/>
      <c r="AH805" s="6"/>
      <c r="AI805" s="6"/>
      <c r="AJ805" s="6"/>
      <c r="AK805" s="6"/>
      <c r="AL805" s="6"/>
      <c r="AM805" s="6"/>
      <c r="AN805" s="6"/>
      <c r="AO805" s="6"/>
      <c r="AP805" s="6"/>
      <c r="AQ805" s="6"/>
      <c r="AR805" s="6"/>
      <c r="AS805" s="6"/>
    </row>
    <row r="806" spans="1:45" ht="62.25" hidden="1" customHeight="1" x14ac:dyDescent="0.25">
      <c r="A806" s="33" t="s">
        <v>275</v>
      </c>
      <c r="B806" s="42">
        <v>741</v>
      </c>
      <c r="C806" s="33" t="s">
        <v>67</v>
      </c>
      <c r="D806" s="33" t="s">
        <v>3653</v>
      </c>
      <c r="E806" s="32"/>
      <c r="F806" s="54"/>
      <c r="G806" s="33" t="s">
        <v>3654</v>
      </c>
      <c r="H806" s="32"/>
      <c r="I806" s="32"/>
      <c r="J806" s="62" t="s">
        <v>3655</v>
      </c>
      <c r="K806" s="33" t="s">
        <v>43</v>
      </c>
      <c r="L806" s="33" t="s">
        <v>3656</v>
      </c>
      <c r="M806" s="63">
        <v>82301352</v>
      </c>
      <c r="N806" s="45"/>
      <c r="O806" s="63">
        <v>7500000</v>
      </c>
      <c r="P806" s="86"/>
      <c r="Q806" s="44">
        <f t="shared" si="720"/>
        <v>89801352</v>
      </c>
      <c r="R806" s="65">
        <v>82301352</v>
      </c>
      <c r="S806" s="32"/>
      <c r="T806" s="63">
        <v>7500000</v>
      </c>
      <c r="U806" s="32"/>
      <c r="V806" s="32"/>
      <c r="W806" s="49"/>
      <c r="X806" s="49">
        <f t="shared" ref="X806:Z806" si="812">N806-S806</f>
        <v>0</v>
      </c>
      <c r="Y806" s="49">
        <f t="shared" si="812"/>
        <v>0</v>
      </c>
      <c r="Z806" s="49">
        <f t="shared" si="812"/>
        <v>0</v>
      </c>
      <c r="AA806" s="54"/>
      <c r="AB806" s="54"/>
      <c r="AC806" s="2">
        <f t="shared" si="722"/>
        <v>2</v>
      </c>
      <c r="AD806" s="6"/>
      <c r="AE806" s="6"/>
      <c r="AF806" s="6"/>
      <c r="AG806" s="6"/>
      <c r="AH806" s="6"/>
      <c r="AI806" s="6"/>
      <c r="AJ806" s="6"/>
      <c r="AK806" s="6"/>
      <c r="AL806" s="6"/>
      <c r="AM806" s="6"/>
      <c r="AN806" s="6"/>
      <c r="AO806" s="6"/>
      <c r="AP806" s="6"/>
      <c r="AQ806" s="6"/>
      <c r="AR806" s="6"/>
      <c r="AS806" s="6"/>
    </row>
    <row r="807" spans="1:45" ht="60.75" hidden="1" x14ac:dyDescent="0.25">
      <c r="A807" s="33" t="s">
        <v>52</v>
      </c>
      <c r="B807" s="42">
        <v>742</v>
      </c>
      <c r="C807" s="33" t="s">
        <v>67</v>
      </c>
      <c r="D807" s="33" t="s">
        <v>3657</v>
      </c>
      <c r="E807" s="32"/>
      <c r="F807" s="54"/>
      <c r="G807" s="33" t="s">
        <v>3658</v>
      </c>
      <c r="H807" s="32"/>
      <c r="I807" s="32"/>
      <c r="J807" s="62" t="s">
        <v>3659</v>
      </c>
      <c r="K807" s="33" t="s">
        <v>43</v>
      </c>
      <c r="L807" s="33" t="s">
        <v>3660</v>
      </c>
      <c r="M807" s="63">
        <v>1439532080</v>
      </c>
      <c r="N807" s="45"/>
      <c r="O807" s="63">
        <v>15000000</v>
      </c>
      <c r="P807" s="86"/>
      <c r="Q807" s="44">
        <f t="shared" si="720"/>
        <v>1454532080</v>
      </c>
      <c r="R807" s="83">
        <v>1439532080</v>
      </c>
      <c r="S807" s="32"/>
      <c r="T807" s="44">
        <v>15000000</v>
      </c>
      <c r="U807" s="32"/>
      <c r="V807" s="32"/>
      <c r="W807" s="49"/>
      <c r="X807" s="49">
        <f t="shared" ref="X807:Z807" si="813">N807-S807</f>
        <v>0</v>
      </c>
      <c r="Y807" s="49">
        <f t="shared" si="813"/>
        <v>0</v>
      </c>
      <c r="Z807" s="49">
        <f t="shared" si="813"/>
        <v>0</v>
      </c>
      <c r="AA807" s="54"/>
      <c r="AB807" s="54"/>
      <c r="AC807" s="2">
        <f t="shared" si="722"/>
        <v>2</v>
      </c>
      <c r="AD807" s="6"/>
      <c r="AE807" s="6"/>
      <c r="AF807" s="6"/>
      <c r="AG807" s="6"/>
      <c r="AH807" s="6"/>
      <c r="AI807" s="6"/>
      <c r="AJ807" s="6"/>
      <c r="AK807" s="6"/>
      <c r="AL807" s="6"/>
      <c r="AM807" s="6"/>
      <c r="AN807" s="6"/>
      <c r="AO807" s="6"/>
      <c r="AP807" s="6"/>
      <c r="AQ807" s="6"/>
      <c r="AR807" s="6"/>
      <c r="AS807" s="6"/>
    </row>
    <row r="808" spans="1:45" ht="40.5" hidden="1" x14ac:dyDescent="0.25">
      <c r="A808" s="33" t="s">
        <v>88</v>
      </c>
      <c r="B808" s="42">
        <v>748</v>
      </c>
      <c r="C808" s="33" t="s">
        <v>67</v>
      </c>
      <c r="D808" s="33" t="s">
        <v>3667</v>
      </c>
      <c r="E808" s="32"/>
      <c r="F808" s="54"/>
      <c r="G808" s="33" t="s">
        <v>3668</v>
      </c>
      <c r="H808" s="32"/>
      <c r="I808" s="32"/>
      <c r="J808" s="62" t="s">
        <v>3669</v>
      </c>
      <c r="K808" s="33" t="s">
        <v>43</v>
      </c>
      <c r="L808" s="33" t="s">
        <v>449</v>
      </c>
      <c r="M808" s="63">
        <v>1272966611</v>
      </c>
      <c r="N808" s="45"/>
      <c r="O808" s="63">
        <v>15000000</v>
      </c>
      <c r="P808" s="86"/>
      <c r="Q808" s="44">
        <f t="shared" si="720"/>
        <v>1287966611</v>
      </c>
      <c r="R808" s="52">
        <v>1272966611</v>
      </c>
      <c r="S808" s="32"/>
      <c r="T808" s="44">
        <v>15000000</v>
      </c>
      <c r="U808" s="32"/>
      <c r="V808" s="32"/>
      <c r="W808" s="49"/>
      <c r="X808" s="49">
        <f t="shared" ref="X808:Z808" si="814">N808-S808</f>
        <v>0</v>
      </c>
      <c r="Y808" s="49">
        <f t="shared" si="814"/>
        <v>0</v>
      </c>
      <c r="Z808" s="49">
        <f t="shared" si="814"/>
        <v>0</v>
      </c>
      <c r="AA808" s="54"/>
      <c r="AB808" s="54"/>
      <c r="AC808" s="2">
        <f t="shared" si="722"/>
        <v>2</v>
      </c>
      <c r="AD808" s="6"/>
      <c r="AE808" s="6"/>
      <c r="AF808" s="6"/>
      <c r="AG808" s="6"/>
      <c r="AH808" s="6"/>
      <c r="AI808" s="6"/>
      <c r="AJ808" s="6"/>
      <c r="AK808" s="6"/>
      <c r="AL808" s="6"/>
      <c r="AM808" s="6"/>
      <c r="AN808" s="6"/>
      <c r="AO808" s="6"/>
      <c r="AP808" s="6"/>
      <c r="AQ808" s="6"/>
      <c r="AR808" s="6"/>
      <c r="AS808" s="6"/>
    </row>
    <row r="809" spans="1:45" ht="60.75" hidden="1" x14ac:dyDescent="0.25">
      <c r="A809" s="33" t="s">
        <v>60</v>
      </c>
      <c r="B809" s="42">
        <v>751</v>
      </c>
      <c r="C809" s="33" t="s">
        <v>67</v>
      </c>
      <c r="D809" s="33" t="s">
        <v>3671</v>
      </c>
      <c r="E809" s="32"/>
      <c r="F809" s="54"/>
      <c r="G809" s="33" t="s">
        <v>3672</v>
      </c>
      <c r="H809" s="33" t="s">
        <v>3673</v>
      </c>
      <c r="I809" s="32"/>
      <c r="J809" s="62" t="s">
        <v>3674</v>
      </c>
      <c r="K809" s="33" t="s">
        <v>43</v>
      </c>
      <c r="L809" s="33" t="s">
        <v>3675</v>
      </c>
      <c r="M809" s="63">
        <v>10997534236</v>
      </c>
      <c r="N809" s="45"/>
      <c r="O809" s="63">
        <v>15000000</v>
      </c>
      <c r="P809" s="86"/>
      <c r="Q809" s="44">
        <f t="shared" si="720"/>
        <v>11012534236</v>
      </c>
      <c r="R809" s="65">
        <v>10997534236</v>
      </c>
      <c r="S809" s="32"/>
      <c r="T809" s="45">
        <v>15000000</v>
      </c>
      <c r="U809" s="32"/>
      <c r="V809" s="32"/>
      <c r="W809" s="49"/>
      <c r="X809" s="49">
        <f t="shared" ref="X809:Z809" si="815">N809-S809</f>
        <v>0</v>
      </c>
      <c r="Y809" s="49">
        <f t="shared" si="815"/>
        <v>0</v>
      </c>
      <c r="Z809" s="49">
        <f t="shared" si="815"/>
        <v>0</v>
      </c>
      <c r="AA809" s="54"/>
      <c r="AB809" s="54"/>
      <c r="AC809" s="2">
        <f t="shared" si="722"/>
        <v>2</v>
      </c>
      <c r="AD809" s="6"/>
      <c r="AE809" s="6"/>
      <c r="AF809" s="6"/>
      <c r="AG809" s="6"/>
      <c r="AH809" s="6"/>
      <c r="AI809" s="6"/>
      <c r="AJ809" s="6"/>
      <c r="AK809" s="6"/>
      <c r="AL809" s="6"/>
      <c r="AM809" s="6"/>
      <c r="AN809" s="6"/>
      <c r="AO809" s="6"/>
      <c r="AP809" s="6"/>
      <c r="AQ809" s="6"/>
      <c r="AR809" s="6"/>
      <c r="AS809" s="6"/>
    </row>
    <row r="810" spans="1:45" ht="78" hidden="1" customHeight="1" x14ac:dyDescent="0.25">
      <c r="A810" s="33" t="s">
        <v>88</v>
      </c>
      <c r="B810" s="42">
        <v>753</v>
      </c>
      <c r="C810" s="33" t="s">
        <v>67</v>
      </c>
      <c r="D810" s="33" t="s">
        <v>3677</v>
      </c>
      <c r="E810" s="32"/>
      <c r="F810" s="54"/>
      <c r="G810" s="33" t="s">
        <v>3678</v>
      </c>
      <c r="H810" s="33" t="s">
        <v>3679</v>
      </c>
      <c r="I810" s="32"/>
      <c r="J810" s="62" t="s">
        <v>3680</v>
      </c>
      <c r="K810" s="33" t="s">
        <v>43</v>
      </c>
      <c r="L810" s="33" t="s">
        <v>3681</v>
      </c>
      <c r="M810" s="63">
        <v>2463725120</v>
      </c>
      <c r="N810" s="45"/>
      <c r="O810" s="63">
        <v>15000000</v>
      </c>
      <c r="P810" s="86"/>
      <c r="Q810" s="44">
        <f t="shared" si="720"/>
        <v>2478725120</v>
      </c>
      <c r="R810" s="48">
        <v>2463725120</v>
      </c>
      <c r="S810" s="32"/>
      <c r="T810" s="44">
        <v>15000000</v>
      </c>
      <c r="U810" s="32"/>
      <c r="V810" s="32"/>
      <c r="W810" s="49"/>
      <c r="X810" s="49">
        <f t="shared" ref="X810:Z810" si="816">N810-S810</f>
        <v>0</v>
      </c>
      <c r="Y810" s="49">
        <f t="shared" si="816"/>
        <v>0</v>
      </c>
      <c r="Z810" s="49">
        <f t="shared" si="816"/>
        <v>0</v>
      </c>
      <c r="AA810" s="54"/>
      <c r="AB810" s="54"/>
      <c r="AC810" s="2">
        <f t="shared" si="722"/>
        <v>2</v>
      </c>
      <c r="AD810" s="6"/>
      <c r="AE810" s="6"/>
      <c r="AF810" s="6"/>
      <c r="AG810" s="6"/>
      <c r="AH810" s="6"/>
      <c r="AI810" s="6"/>
      <c r="AJ810" s="6"/>
      <c r="AK810" s="6"/>
      <c r="AL810" s="6"/>
      <c r="AM810" s="6"/>
      <c r="AN810" s="6"/>
      <c r="AO810" s="6"/>
      <c r="AP810" s="6"/>
      <c r="AQ810" s="6"/>
      <c r="AR810" s="6"/>
      <c r="AS810" s="6"/>
    </row>
    <row r="811" spans="1:45" ht="62.25" hidden="1" customHeight="1" x14ac:dyDescent="0.25">
      <c r="A811" s="33" t="s">
        <v>35</v>
      </c>
      <c r="B811" s="42">
        <v>754</v>
      </c>
      <c r="C811" s="33" t="s">
        <v>67</v>
      </c>
      <c r="D811" s="33" t="s">
        <v>3682</v>
      </c>
      <c r="E811" s="32"/>
      <c r="F811" s="54"/>
      <c r="G811" s="33" t="s">
        <v>3683</v>
      </c>
      <c r="H811" s="32"/>
      <c r="I811" s="32"/>
      <c r="J811" s="62" t="s">
        <v>3684</v>
      </c>
      <c r="K811" s="33" t="s">
        <v>43</v>
      </c>
      <c r="L811" s="33" t="s">
        <v>3385</v>
      </c>
      <c r="M811" s="63">
        <v>1935531328</v>
      </c>
      <c r="N811" s="45"/>
      <c r="O811" s="63">
        <v>15000000</v>
      </c>
      <c r="P811" s="86"/>
      <c r="Q811" s="44">
        <f t="shared" si="720"/>
        <v>1950531328</v>
      </c>
      <c r="R811" s="52">
        <v>1935531328</v>
      </c>
      <c r="S811" s="32"/>
      <c r="T811" s="44">
        <v>15000000</v>
      </c>
      <c r="U811" s="32"/>
      <c r="V811" s="32"/>
      <c r="W811" s="49"/>
      <c r="X811" s="49">
        <f t="shared" ref="X811:Z811" si="817">N811-S811</f>
        <v>0</v>
      </c>
      <c r="Y811" s="49">
        <f t="shared" si="817"/>
        <v>0</v>
      </c>
      <c r="Z811" s="49">
        <f t="shared" si="817"/>
        <v>0</v>
      </c>
      <c r="AA811" s="54"/>
      <c r="AB811" s="54"/>
      <c r="AC811" s="2">
        <f t="shared" si="722"/>
        <v>2</v>
      </c>
      <c r="AD811" s="6"/>
      <c r="AE811" s="6"/>
      <c r="AF811" s="6"/>
      <c r="AG811" s="6"/>
      <c r="AH811" s="6"/>
      <c r="AI811" s="6"/>
      <c r="AJ811" s="6"/>
      <c r="AK811" s="6"/>
      <c r="AL811" s="6"/>
      <c r="AM811" s="6"/>
      <c r="AN811" s="6"/>
      <c r="AO811" s="6"/>
      <c r="AP811" s="6"/>
      <c r="AQ811" s="6"/>
      <c r="AR811" s="6"/>
      <c r="AS811" s="6"/>
    </row>
    <row r="812" spans="1:45" ht="40.5" hidden="1" x14ac:dyDescent="0.25">
      <c r="A812" s="33" t="s">
        <v>60</v>
      </c>
      <c r="B812" s="42">
        <v>757</v>
      </c>
      <c r="C812" s="33" t="s">
        <v>67</v>
      </c>
      <c r="D812" s="33" t="s">
        <v>3688</v>
      </c>
      <c r="E812" s="32"/>
      <c r="F812" s="54"/>
      <c r="G812" s="33" t="s">
        <v>3689</v>
      </c>
      <c r="H812" s="33" t="s">
        <v>1861</v>
      </c>
      <c r="I812" s="32"/>
      <c r="J812" s="62" t="s">
        <v>3690</v>
      </c>
      <c r="K812" s="33" t="s">
        <v>43</v>
      </c>
      <c r="L812" s="33" t="s">
        <v>3691</v>
      </c>
      <c r="M812" s="63">
        <v>5689097581</v>
      </c>
      <c r="N812" s="45"/>
      <c r="O812" s="63">
        <v>15000000</v>
      </c>
      <c r="P812" s="86"/>
      <c r="Q812" s="44">
        <f t="shared" si="720"/>
        <v>5704097581</v>
      </c>
      <c r="R812" s="65">
        <v>5689097581</v>
      </c>
      <c r="S812" s="32"/>
      <c r="T812" s="44">
        <v>15000000</v>
      </c>
      <c r="U812" s="32"/>
      <c r="V812" s="32"/>
      <c r="W812" s="49"/>
      <c r="X812" s="49">
        <f t="shared" ref="X812:Z812" si="818">N812-S812</f>
        <v>0</v>
      </c>
      <c r="Y812" s="49">
        <f t="shared" si="818"/>
        <v>0</v>
      </c>
      <c r="Z812" s="49">
        <f t="shared" si="818"/>
        <v>0</v>
      </c>
      <c r="AA812" s="54"/>
      <c r="AB812" s="54"/>
      <c r="AC812" s="2">
        <f t="shared" si="722"/>
        <v>2</v>
      </c>
      <c r="AD812" s="6"/>
      <c r="AE812" s="6"/>
      <c r="AF812" s="6"/>
      <c r="AG812" s="6"/>
      <c r="AH812" s="6"/>
      <c r="AI812" s="6"/>
      <c r="AJ812" s="6"/>
      <c r="AK812" s="6"/>
      <c r="AL812" s="6"/>
      <c r="AM812" s="6"/>
      <c r="AN812" s="6"/>
      <c r="AO812" s="6"/>
      <c r="AP812" s="6"/>
      <c r="AQ812" s="6"/>
      <c r="AR812" s="6"/>
      <c r="AS812" s="6"/>
    </row>
    <row r="813" spans="1:45" ht="60.75" hidden="1" x14ac:dyDescent="0.25">
      <c r="A813" s="33" t="s">
        <v>52</v>
      </c>
      <c r="B813" s="42">
        <v>758</v>
      </c>
      <c r="C813" s="33" t="s">
        <v>67</v>
      </c>
      <c r="D813" s="33" t="s">
        <v>3693</v>
      </c>
      <c r="E813" s="32"/>
      <c r="F813" s="54"/>
      <c r="G813" s="33" t="s">
        <v>3694</v>
      </c>
      <c r="H813" s="32"/>
      <c r="I813" s="32"/>
      <c r="J813" s="62" t="s">
        <v>3695</v>
      </c>
      <c r="K813" s="33" t="s">
        <v>43</v>
      </c>
      <c r="L813" s="33" t="s">
        <v>3696</v>
      </c>
      <c r="M813" s="63">
        <v>2504835588</v>
      </c>
      <c r="N813" s="45"/>
      <c r="O813" s="63">
        <v>15000000</v>
      </c>
      <c r="P813" s="86"/>
      <c r="Q813" s="44">
        <f t="shared" si="720"/>
        <v>2519835588</v>
      </c>
      <c r="R813" s="65">
        <v>2504835588</v>
      </c>
      <c r="S813" s="32"/>
      <c r="T813" s="63">
        <v>15000000</v>
      </c>
      <c r="U813" s="32"/>
      <c r="V813" s="32"/>
      <c r="W813" s="49"/>
      <c r="X813" s="49">
        <f t="shared" ref="X813:Z813" si="819">N813-S813</f>
        <v>0</v>
      </c>
      <c r="Y813" s="49">
        <f t="shared" si="819"/>
        <v>0</v>
      </c>
      <c r="Z813" s="49">
        <f t="shared" si="819"/>
        <v>0</v>
      </c>
      <c r="AA813" s="54"/>
      <c r="AB813" s="54"/>
      <c r="AC813" s="2">
        <f t="shared" si="722"/>
        <v>2</v>
      </c>
      <c r="AD813" s="6"/>
      <c r="AE813" s="6"/>
      <c r="AF813" s="6"/>
      <c r="AG813" s="6"/>
      <c r="AH813" s="6"/>
      <c r="AI813" s="6"/>
      <c r="AJ813" s="6"/>
      <c r="AK813" s="6"/>
      <c r="AL813" s="6"/>
      <c r="AM813" s="6"/>
      <c r="AN813" s="6"/>
      <c r="AO813" s="6"/>
      <c r="AP813" s="6"/>
      <c r="AQ813" s="6"/>
      <c r="AR813" s="6"/>
      <c r="AS813" s="6"/>
    </row>
    <row r="814" spans="1:45" ht="40.5" hidden="1" x14ac:dyDescent="0.25">
      <c r="A814" s="33" t="s">
        <v>35</v>
      </c>
      <c r="B814" s="42">
        <v>759</v>
      </c>
      <c r="C814" s="33" t="s">
        <v>67</v>
      </c>
      <c r="D814" s="33" t="s">
        <v>3697</v>
      </c>
      <c r="E814" s="32"/>
      <c r="F814" s="54"/>
      <c r="G814" s="33" t="s">
        <v>3698</v>
      </c>
      <c r="H814" s="32"/>
      <c r="I814" s="32"/>
      <c r="J814" s="62" t="s">
        <v>479</v>
      </c>
      <c r="K814" s="33" t="s">
        <v>43</v>
      </c>
      <c r="L814" s="33" t="s">
        <v>82</v>
      </c>
      <c r="M814" s="63">
        <v>851472352</v>
      </c>
      <c r="N814" s="45"/>
      <c r="O814" s="63">
        <v>15000000</v>
      </c>
      <c r="P814" s="86"/>
      <c r="Q814" s="44">
        <f t="shared" si="720"/>
        <v>866472352</v>
      </c>
      <c r="R814" s="65">
        <v>851472352</v>
      </c>
      <c r="S814" s="32"/>
      <c r="T814" s="63">
        <v>15000000</v>
      </c>
      <c r="U814" s="32"/>
      <c r="V814" s="32"/>
      <c r="W814" s="49"/>
      <c r="X814" s="49">
        <f t="shared" ref="X814:Z814" si="820">N814-S814</f>
        <v>0</v>
      </c>
      <c r="Y814" s="49">
        <f t="shared" si="820"/>
        <v>0</v>
      </c>
      <c r="Z814" s="49">
        <f t="shared" si="820"/>
        <v>0</v>
      </c>
      <c r="AA814" s="54"/>
      <c r="AB814" s="54"/>
      <c r="AC814" s="2">
        <f t="shared" si="722"/>
        <v>2</v>
      </c>
      <c r="AD814" s="6"/>
      <c r="AE814" s="6"/>
      <c r="AF814" s="6"/>
      <c r="AG814" s="6"/>
      <c r="AH814" s="6"/>
      <c r="AI814" s="6"/>
      <c r="AJ814" s="6"/>
      <c r="AK814" s="6"/>
      <c r="AL814" s="6"/>
      <c r="AM814" s="6"/>
      <c r="AN814" s="6"/>
      <c r="AO814" s="6"/>
      <c r="AP814" s="6"/>
      <c r="AQ814" s="6"/>
      <c r="AR814" s="6"/>
      <c r="AS814" s="6"/>
    </row>
    <row r="815" spans="1:45" ht="60.75" hidden="1" x14ac:dyDescent="0.25">
      <c r="A815" s="33" t="s">
        <v>52</v>
      </c>
      <c r="B815" s="42">
        <v>761</v>
      </c>
      <c r="C815" s="33" t="s">
        <v>67</v>
      </c>
      <c r="D815" s="33" t="s">
        <v>3702</v>
      </c>
      <c r="E815" s="33" t="s">
        <v>3703</v>
      </c>
      <c r="F815" s="54"/>
      <c r="G815" s="33" t="s">
        <v>3704</v>
      </c>
      <c r="H815" s="32"/>
      <c r="I815" s="32"/>
      <c r="J815" s="62" t="s">
        <v>3705</v>
      </c>
      <c r="K815" s="33" t="s">
        <v>43</v>
      </c>
      <c r="L815" s="33" t="s">
        <v>82</v>
      </c>
      <c r="M815" s="63">
        <v>10000000</v>
      </c>
      <c r="N815" s="63">
        <v>570457608</v>
      </c>
      <c r="O815" s="63">
        <v>15000000</v>
      </c>
      <c r="P815" s="86"/>
      <c r="Q815" s="44">
        <f t="shared" si="720"/>
        <v>595457608</v>
      </c>
      <c r="R815" s="99">
        <v>10000000</v>
      </c>
      <c r="S815" s="99">
        <v>570457608</v>
      </c>
      <c r="T815" s="44">
        <v>15000000</v>
      </c>
      <c r="U815" s="32"/>
      <c r="V815" s="32"/>
      <c r="W815" s="49"/>
      <c r="X815" s="49">
        <f t="shared" ref="X815:Z815" si="821">N815-S815</f>
        <v>0</v>
      </c>
      <c r="Y815" s="49">
        <f t="shared" si="821"/>
        <v>0</v>
      </c>
      <c r="Z815" s="49">
        <f t="shared" si="821"/>
        <v>0</v>
      </c>
      <c r="AA815" s="54"/>
      <c r="AB815" s="54"/>
      <c r="AC815" s="2">
        <f t="shared" si="722"/>
        <v>2</v>
      </c>
      <c r="AD815" s="6"/>
      <c r="AE815" s="6"/>
      <c r="AF815" s="6"/>
      <c r="AG815" s="6"/>
      <c r="AH815" s="6"/>
      <c r="AI815" s="6"/>
      <c r="AJ815" s="6"/>
      <c r="AK815" s="6"/>
      <c r="AL815" s="6"/>
      <c r="AM815" s="6"/>
      <c r="AN815" s="6"/>
      <c r="AO815" s="6"/>
      <c r="AP815" s="6"/>
      <c r="AQ815" s="6"/>
      <c r="AR815" s="6"/>
      <c r="AS815" s="6"/>
    </row>
    <row r="816" spans="1:45" ht="47.25" hidden="1" x14ac:dyDescent="0.25">
      <c r="A816" s="33" t="s">
        <v>60</v>
      </c>
      <c r="B816" s="42">
        <v>765</v>
      </c>
      <c r="C816" s="33" t="s">
        <v>67</v>
      </c>
      <c r="D816" s="33" t="s">
        <v>3709</v>
      </c>
      <c r="E816" s="32"/>
      <c r="F816" s="54"/>
      <c r="G816" s="33" t="s">
        <v>3710</v>
      </c>
      <c r="H816" s="32"/>
      <c r="I816" s="32"/>
      <c r="J816" s="62" t="s">
        <v>3711</v>
      </c>
      <c r="K816" s="33" t="s">
        <v>43</v>
      </c>
      <c r="L816" s="33" t="s">
        <v>735</v>
      </c>
      <c r="M816" s="63">
        <v>10000000</v>
      </c>
      <c r="N816" s="45"/>
      <c r="O816" s="63">
        <v>15000000</v>
      </c>
      <c r="P816" s="86"/>
      <c r="Q816" s="44">
        <f t="shared" si="720"/>
        <v>25000000</v>
      </c>
      <c r="R816" s="99">
        <v>10000000</v>
      </c>
      <c r="S816" s="32"/>
      <c r="T816" s="44">
        <v>15000000</v>
      </c>
      <c r="U816" s="32"/>
      <c r="V816" s="32"/>
      <c r="W816" s="49"/>
      <c r="X816" s="49">
        <f t="shared" ref="X816:Z816" si="822">N816-S816</f>
        <v>0</v>
      </c>
      <c r="Y816" s="49">
        <f t="shared" si="822"/>
        <v>0</v>
      </c>
      <c r="Z816" s="49">
        <f t="shared" si="822"/>
        <v>0</v>
      </c>
      <c r="AA816" s="54"/>
      <c r="AB816" s="54"/>
      <c r="AC816" s="2">
        <f t="shared" si="722"/>
        <v>2</v>
      </c>
      <c r="AD816" s="6"/>
      <c r="AE816" s="6"/>
      <c r="AF816" s="6"/>
      <c r="AG816" s="6"/>
      <c r="AH816" s="6"/>
      <c r="AI816" s="6"/>
      <c r="AJ816" s="6"/>
      <c r="AK816" s="6"/>
      <c r="AL816" s="6"/>
      <c r="AM816" s="6"/>
      <c r="AN816" s="6"/>
      <c r="AO816" s="6"/>
      <c r="AP816" s="6"/>
      <c r="AQ816" s="6"/>
      <c r="AR816" s="6"/>
      <c r="AS816" s="6"/>
    </row>
    <row r="817" spans="1:45" ht="47.25" hidden="1" x14ac:dyDescent="0.25">
      <c r="A817" s="33" t="s">
        <v>60</v>
      </c>
      <c r="B817" s="42">
        <v>766</v>
      </c>
      <c r="C817" s="33" t="s">
        <v>67</v>
      </c>
      <c r="D817" s="33" t="s">
        <v>3712</v>
      </c>
      <c r="E817" s="33"/>
      <c r="F817" s="54"/>
      <c r="G817" s="33" t="s">
        <v>3713</v>
      </c>
      <c r="H817" s="33"/>
      <c r="I817" s="33"/>
      <c r="J817" s="33" t="s">
        <v>3714</v>
      </c>
      <c r="K817" s="33" t="s">
        <v>43</v>
      </c>
      <c r="L817" s="33" t="s">
        <v>3715</v>
      </c>
      <c r="M817" s="63">
        <v>14658797865</v>
      </c>
      <c r="N817" s="45"/>
      <c r="O817" s="44">
        <v>15000000</v>
      </c>
      <c r="P817" s="86"/>
      <c r="Q817" s="44">
        <f t="shared" si="720"/>
        <v>14673797865</v>
      </c>
      <c r="R817" s="32"/>
      <c r="S817" s="32"/>
      <c r="T817" s="66"/>
      <c r="U817" s="32"/>
      <c r="V817" s="32"/>
      <c r="W817" s="49">
        <v>14658797865</v>
      </c>
      <c r="X817" s="49">
        <f t="shared" ref="X817:Z817" si="823">N817-S817</f>
        <v>0</v>
      </c>
      <c r="Y817" s="52">
        <f t="shared" si="823"/>
        <v>15000000</v>
      </c>
      <c r="Z817" s="49">
        <f t="shared" si="823"/>
        <v>0</v>
      </c>
      <c r="AA817" s="69">
        <v>14658797865</v>
      </c>
      <c r="AB817" s="43"/>
      <c r="AC817" s="15">
        <f t="shared" si="722"/>
        <v>2</v>
      </c>
      <c r="AD817" s="15"/>
      <c r="AE817" s="6"/>
      <c r="AF817" s="6"/>
      <c r="AG817" s="6"/>
      <c r="AH817" s="6"/>
      <c r="AI817" s="6"/>
      <c r="AJ817" s="6"/>
      <c r="AK817" s="6"/>
      <c r="AL817" s="6"/>
      <c r="AM817" s="6"/>
      <c r="AN817" s="6"/>
      <c r="AO817" s="6"/>
      <c r="AP817" s="6"/>
      <c r="AQ817" s="6"/>
      <c r="AR817" s="6"/>
      <c r="AS817" s="6"/>
    </row>
    <row r="818" spans="1:45" ht="31.5" hidden="1" x14ac:dyDescent="0.25">
      <c r="A818" s="33" t="s">
        <v>88</v>
      </c>
      <c r="B818" s="42">
        <v>769</v>
      </c>
      <c r="C818" s="33" t="s">
        <v>67</v>
      </c>
      <c r="D818" s="33" t="s">
        <v>3716</v>
      </c>
      <c r="E818" s="33" t="s">
        <v>3717</v>
      </c>
      <c r="F818" s="54"/>
      <c r="G818" s="33" t="s">
        <v>3718</v>
      </c>
      <c r="H818" s="33" t="s">
        <v>3719</v>
      </c>
      <c r="I818" s="32"/>
      <c r="J818" s="62" t="s">
        <v>3720</v>
      </c>
      <c r="K818" s="33" t="s">
        <v>43</v>
      </c>
      <c r="L818" s="33" t="s">
        <v>3721</v>
      </c>
      <c r="M818" s="63">
        <v>3490863064</v>
      </c>
      <c r="N818" s="44">
        <v>10000000</v>
      </c>
      <c r="O818" s="63">
        <v>15000000</v>
      </c>
      <c r="P818" s="86"/>
      <c r="Q818" s="44">
        <f t="shared" si="720"/>
        <v>3515863064</v>
      </c>
      <c r="R818" s="83">
        <v>3490863064</v>
      </c>
      <c r="S818" s="49">
        <v>10000000</v>
      </c>
      <c r="T818" s="45">
        <v>15000000</v>
      </c>
      <c r="U818" s="32"/>
      <c r="V818" s="32"/>
      <c r="W818" s="49"/>
      <c r="X818" s="49">
        <f t="shared" ref="X818:Z818" si="824">N818-S818</f>
        <v>0</v>
      </c>
      <c r="Y818" s="49">
        <f t="shared" si="824"/>
        <v>0</v>
      </c>
      <c r="Z818" s="49">
        <f t="shared" si="824"/>
        <v>0</v>
      </c>
      <c r="AA818" s="54"/>
      <c r="AB818" s="54"/>
      <c r="AC818" s="2">
        <f t="shared" si="722"/>
        <v>2</v>
      </c>
      <c r="AD818" s="6"/>
      <c r="AE818" s="6"/>
      <c r="AF818" s="6"/>
      <c r="AG818" s="6"/>
      <c r="AH818" s="6"/>
      <c r="AI818" s="6"/>
      <c r="AJ818" s="6"/>
      <c r="AK818" s="6"/>
      <c r="AL818" s="6"/>
      <c r="AM818" s="6"/>
      <c r="AN818" s="6"/>
      <c r="AO818" s="6"/>
      <c r="AP818" s="6"/>
      <c r="AQ818" s="6"/>
      <c r="AR818" s="6"/>
      <c r="AS818" s="6"/>
    </row>
    <row r="819" spans="1:45" ht="60.75" hidden="1" x14ac:dyDescent="0.25">
      <c r="A819" s="33" t="s">
        <v>52</v>
      </c>
      <c r="B819" s="42">
        <v>770</v>
      </c>
      <c r="C819" s="33" t="s">
        <v>74</v>
      </c>
      <c r="D819" s="33" t="s">
        <v>3722</v>
      </c>
      <c r="E819" s="32"/>
      <c r="F819" s="54"/>
      <c r="G819" s="33" t="s">
        <v>3723</v>
      </c>
      <c r="H819" s="32"/>
      <c r="I819" s="32"/>
      <c r="J819" s="62" t="s">
        <v>3724</v>
      </c>
      <c r="K819" s="33" t="s">
        <v>43</v>
      </c>
      <c r="L819" s="33" t="s">
        <v>3725</v>
      </c>
      <c r="M819" s="63">
        <v>2618310690</v>
      </c>
      <c r="N819" s="45"/>
      <c r="O819" s="63">
        <v>15000000</v>
      </c>
      <c r="P819" s="86"/>
      <c r="Q819" s="44">
        <f t="shared" si="720"/>
        <v>2633310690</v>
      </c>
      <c r="R819" s="65">
        <v>2618310690</v>
      </c>
      <c r="S819" s="32"/>
      <c r="T819" s="44">
        <v>15000000</v>
      </c>
      <c r="U819" s="32"/>
      <c r="V819" s="32"/>
      <c r="W819" s="49"/>
      <c r="X819" s="49">
        <f t="shared" ref="X819:Z819" si="825">N819-S819</f>
        <v>0</v>
      </c>
      <c r="Y819" s="49">
        <f t="shared" si="825"/>
        <v>0</v>
      </c>
      <c r="Z819" s="49">
        <f t="shared" si="825"/>
        <v>0</v>
      </c>
      <c r="AA819" s="54"/>
      <c r="AB819" s="54"/>
      <c r="AC819" s="2">
        <f t="shared" si="722"/>
        <v>2</v>
      </c>
      <c r="AD819" s="6"/>
      <c r="AE819" s="6"/>
      <c r="AF819" s="6"/>
      <c r="AG819" s="6"/>
      <c r="AH819" s="6"/>
      <c r="AI819" s="6"/>
      <c r="AJ819" s="6"/>
      <c r="AK819" s="6"/>
      <c r="AL819" s="6"/>
      <c r="AM819" s="6"/>
      <c r="AN819" s="6"/>
      <c r="AO819" s="6"/>
      <c r="AP819" s="6"/>
      <c r="AQ819" s="6"/>
      <c r="AR819" s="6"/>
      <c r="AS819" s="6"/>
    </row>
    <row r="820" spans="1:45" ht="40.5" hidden="1" x14ac:dyDescent="0.25">
      <c r="A820" s="33" t="s">
        <v>35</v>
      </c>
      <c r="B820" s="42">
        <v>771</v>
      </c>
      <c r="C820" s="33" t="s">
        <v>74</v>
      </c>
      <c r="D820" s="33" t="s">
        <v>3726</v>
      </c>
      <c r="E820" s="33" t="s">
        <v>3727</v>
      </c>
      <c r="F820" s="54"/>
      <c r="G820" s="33" t="s">
        <v>1154</v>
      </c>
      <c r="H820" s="33" t="s">
        <v>3728</v>
      </c>
      <c r="I820" s="32"/>
      <c r="J820" s="62" t="s">
        <v>479</v>
      </c>
      <c r="K820" s="33" t="s">
        <v>43</v>
      </c>
      <c r="L820" s="33" t="s">
        <v>3729</v>
      </c>
      <c r="M820" s="63">
        <v>1712844388</v>
      </c>
      <c r="N820" s="63">
        <v>448994826</v>
      </c>
      <c r="O820" s="63">
        <v>15000000</v>
      </c>
      <c r="P820" s="86"/>
      <c r="Q820" s="44">
        <f t="shared" si="720"/>
        <v>2176839214</v>
      </c>
      <c r="R820" s="65">
        <v>1712844388</v>
      </c>
      <c r="S820" s="48">
        <v>448994826</v>
      </c>
      <c r="T820" s="44">
        <v>15000000</v>
      </c>
      <c r="U820" s="32"/>
      <c r="V820" s="32"/>
      <c r="W820" s="49"/>
      <c r="X820" s="49">
        <f t="shared" ref="X820:Z820" si="826">N820-S820</f>
        <v>0</v>
      </c>
      <c r="Y820" s="49">
        <f t="shared" si="826"/>
        <v>0</v>
      </c>
      <c r="Z820" s="49">
        <f t="shared" si="826"/>
        <v>0</v>
      </c>
      <c r="AA820" s="54"/>
      <c r="AB820" s="54"/>
      <c r="AC820" s="2">
        <f t="shared" si="722"/>
        <v>2</v>
      </c>
      <c r="AD820" s="6"/>
      <c r="AE820" s="6"/>
      <c r="AF820" s="6"/>
      <c r="AG820" s="6"/>
      <c r="AH820" s="6"/>
      <c r="AI820" s="6"/>
      <c r="AJ820" s="6"/>
      <c r="AK820" s="6"/>
      <c r="AL820" s="6"/>
      <c r="AM820" s="6"/>
      <c r="AN820" s="6"/>
      <c r="AO820" s="6"/>
      <c r="AP820" s="6"/>
      <c r="AQ820" s="6"/>
      <c r="AR820" s="6"/>
      <c r="AS820" s="6"/>
    </row>
    <row r="821" spans="1:45" ht="31.5" hidden="1" x14ac:dyDescent="0.25">
      <c r="A821" s="33" t="s">
        <v>52</v>
      </c>
      <c r="B821" s="42">
        <v>772</v>
      </c>
      <c r="C821" s="33" t="s">
        <v>74</v>
      </c>
      <c r="D821" s="33" t="s">
        <v>3730</v>
      </c>
      <c r="E821" s="32"/>
      <c r="F821" s="54"/>
      <c r="G821" s="33" t="s">
        <v>3731</v>
      </c>
      <c r="H821" s="32"/>
      <c r="I821" s="33" t="s">
        <v>80</v>
      </c>
      <c r="J821" s="62" t="s">
        <v>3732</v>
      </c>
      <c r="K821" s="33" t="s">
        <v>43</v>
      </c>
      <c r="L821" s="33" t="s">
        <v>838</v>
      </c>
      <c r="M821" s="63">
        <v>621204580</v>
      </c>
      <c r="N821" s="45"/>
      <c r="O821" s="63">
        <v>15000000</v>
      </c>
      <c r="P821" s="86"/>
      <c r="Q821" s="44">
        <f t="shared" si="720"/>
        <v>636204580</v>
      </c>
      <c r="R821" s="65">
        <v>621204580</v>
      </c>
      <c r="S821" s="32"/>
      <c r="T821" s="44">
        <v>15000000</v>
      </c>
      <c r="U821" s="32"/>
      <c r="V821" s="32"/>
      <c r="W821" s="49"/>
      <c r="X821" s="49">
        <f t="shared" ref="X821:Z821" si="827">N821-S821</f>
        <v>0</v>
      </c>
      <c r="Y821" s="49">
        <f t="shared" si="827"/>
        <v>0</v>
      </c>
      <c r="Z821" s="49">
        <f t="shared" si="827"/>
        <v>0</v>
      </c>
      <c r="AA821" s="54"/>
      <c r="AB821" s="54"/>
      <c r="AC821" s="2">
        <f t="shared" si="722"/>
        <v>2</v>
      </c>
      <c r="AD821" s="6"/>
      <c r="AE821" s="6"/>
      <c r="AF821" s="6"/>
      <c r="AG821" s="6"/>
      <c r="AH821" s="6"/>
      <c r="AI821" s="6"/>
      <c r="AJ821" s="6"/>
      <c r="AK821" s="6"/>
      <c r="AL821" s="6"/>
      <c r="AM821" s="6"/>
      <c r="AN821" s="6"/>
      <c r="AO821" s="6"/>
      <c r="AP821" s="6"/>
      <c r="AQ821" s="6"/>
      <c r="AR821" s="6"/>
      <c r="AS821" s="6"/>
    </row>
    <row r="822" spans="1:45" ht="31.5" hidden="1" x14ac:dyDescent="0.25">
      <c r="A822" s="33" t="s">
        <v>52</v>
      </c>
      <c r="B822" s="42">
        <v>773</v>
      </c>
      <c r="C822" s="33" t="s">
        <v>74</v>
      </c>
      <c r="D822" s="33" t="s">
        <v>3733</v>
      </c>
      <c r="E822" s="33" t="s">
        <v>3734</v>
      </c>
      <c r="F822" s="54"/>
      <c r="G822" s="33" t="s">
        <v>3735</v>
      </c>
      <c r="H822" s="33" t="s">
        <v>3736</v>
      </c>
      <c r="I822" s="32"/>
      <c r="J822" s="62" t="s">
        <v>3737</v>
      </c>
      <c r="K822" s="33" t="s">
        <v>43</v>
      </c>
      <c r="L822" s="33" t="s">
        <v>82</v>
      </c>
      <c r="M822" s="63">
        <v>628099720</v>
      </c>
      <c r="N822" s="63">
        <v>86421485</v>
      </c>
      <c r="O822" s="63">
        <v>15000000</v>
      </c>
      <c r="P822" s="86"/>
      <c r="Q822" s="44">
        <f t="shared" si="720"/>
        <v>729521205</v>
      </c>
      <c r="R822" s="65">
        <v>628099720</v>
      </c>
      <c r="S822" s="65">
        <v>86421485</v>
      </c>
      <c r="T822" s="63">
        <v>15000000</v>
      </c>
      <c r="U822" s="32"/>
      <c r="V822" s="32"/>
      <c r="W822" s="49"/>
      <c r="X822" s="49">
        <f t="shared" ref="X822:Z822" si="828">N822-S822</f>
        <v>0</v>
      </c>
      <c r="Y822" s="49">
        <f t="shared" si="828"/>
        <v>0</v>
      </c>
      <c r="Z822" s="49">
        <f t="shared" si="828"/>
        <v>0</v>
      </c>
      <c r="AA822" s="54"/>
      <c r="AB822" s="54"/>
      <c r="AC822" s="2">
        <f t="shared" si="722"/>
        <v>2</v>
      </c>
      <c r="AD822" s="6"/>
      <c r="AE822" s="6"/>
      <c r="AF822" s="6"/>
      <c r="AG822" s="6"/>
      <c r="AH822" s="6"/>
      <c r="AI822" s="6"/>
      <c r="AJ822" s="6"/>
      <c r="AK822" s="6"/>
      <c r="AL822" s="6"/>
      <c r="AM822" s="6"/>
      <c r="AN822" s="6"/>
      <c r="AO822" s="6"/>
      <c r="AP822" s="6"/>
      <c r="AQ822" s="6"/>
      <c r="AR822" s="6"/>
      <c r="AS822" s="6"/>
    </row>
    <row r="823" spans="1:45" ht="40.5" hidden="1" x14ac:dyDescent="0.25">
      <c r="A823" s="33" t="s">
        <v>52</v>
      </c>
      <c r="B823" s="42">
        <v>774</v>
      </c>
      <c r="C823" s="33" t="s">
        <v>74</v>
      </c>
      <c r="D823" s="33" t="s">
        <v>3739</v>
      </c>
      <c r="E823" s="32"/>
      <c r="F823" s="54"/>
      <c r="G823" s="33" t="s">
        <v>3740</v>
      </c>
      <c r="H823" s="32"/>
      <c r="I823" s="33" t="s">
        <v>80</v>
      </c>
      <c r="J823" s="62" t="s">
        <v>3741</v>
      </c>
      <c r="K823" s="33" t="s">
        <v>43</v>
      </c>
      <c r="L823" s="33" t="s">
        <v>3742</v>
      </c>
      <c r="M823" s="63">
        <v>8111488</v>
      </c>
      <c r="N823" s="45"/>
      <c r="O823" s="63">
        <v>7500000</v>
      </c>
      <c r="P823" s="86"/>
      <c r="Q823" s="44">
        <f t="shared" si="720"/>
        <v>15611488</v>
      </c>
      <c r="R823" s="65">
        <v>8111488</v>
      </c>
      <c r="S823" s="32"/>
      <c r="T823" s="63">
        <v>7500000</v>
      </c>
      <c r="U823" s="32"/>
      <c r="V823" s="32"/>
      <c r="W823" s="49"/>
      <c r="X823" s="49">
        <f t="shared" ref="X823:Z823" si="829">N823-S823</f>
        <v>0</v>
      </c>
      <c r="Y823" s="49">
        <f t="shared" si="829"/>
        <v>0</v>
      </c>
      <c r="Z823" s="49">
        <f t="shared" si="829"/>
        <v>0</v>
      </c>
      <c r="AA823" s="54"/>
      <c r="AB823" s="54"/>
      <c r="AC823" s="2">
        <f t="shared" si="722"/>
        <v>2</v>
      </c>
      <c r="AD823" s="6"/>
      <c r="AE823" s="6"/>
      <c r="AF823" s="6"/>
      <c r="AG823" s="6"/>
      <c r="AH823" s="6"/>
      <c r="AI823" s="6"/>
      <c r="AJ823" s="6"/>
      <c r="AK823" s="6"/>
      <c r="AL823" s="6"/>
      <c r="AM823" s="6"/>
      <c r="AN823" s="6"/>
      <c r="AO823" s="6"/>
      <c r="AP823" s="6"/>
      <c r="AQ823" s="6"/>
      <c r="AR823" s="6"/>
      <c r="AS823" s="6"/>
    </row>
    <row r="824" spans="1:45" ht="31.5" hidden="1" x14ac:dyDescent="0.25">
      <c r="A824" s="33" t="s">
        <v>60</v>
      </c>
      <c r="B824" s="42">
        <v>776</v>
      </c>
      <c r="C824" s="33" t="s">
        <v>74</v>
      </c>
      <c r="D824" s="33" t="s">
        <v>3743</v>
      </c>
      <c r="E824" s="33" t="s">
        <v>3744</v>
      </c>
      <c r="F824" s="54"/>
      <c r="G824" s="33" t="s">
        <v>3745</v>
      </c>
      <c r="H824" s="33" t="s">
        <v>3746</v>
      </c>
      <c r="I824" s="33" t="s">
        <v>80</v>
      </c>
      <c r="J824" s="33" t="s">
        <v>3747</v>
      </c>
      <c r="K824" s="33" t="s">
        <v>43</v>
      </c>
      <c r="L824" s="33" t="s">
        <v>82</v>
      </c>
      <c r="M824" s="44">
        <v>449682880</v>
      </c>
      <c r="N824" s="44">
        <v>66332280</v>
      </c>
      <c r="O824" s="63">
        <v>15000000</v>
      </c>
      <c r="P824" s="86"/>
      <c r="Q824" s="44">
        <f t="shared" si="720"/>
        <v>531015160</v>
      </c>
      <c r="R824" s="65">
        <v>449682880</v>
      </c>
      <c r="S824" s="52">
        <v>66332280</v>
      </c>
      <c r="T824" s="45">
        <v>15000000</v>
      </c>
      <c r="U824" s="32"/>
      <c r="V824" s="32"/>
      <c r="W824" s="49"/>
      <c r="X824" s="52">
        <f t="shared" ref="X824:Z824" si="830">N824-S824</f>
        <v>0</v>
      </c>
      <c r="Y824" s="49">
        <f t="shared" si="830"/>
        <v>0</v>
      </c>
      <c r="Z824" s="49">
        <f t="shared" si="830"/>
        <v>0</v>
      </c>
      <c r="AA824" s="43"/>
      <c r="AB824" s="43"/>
      <c r="AC824" s="6">
        <f t="shared" si="722"/>
        <v>2</v>
      </c>
      <c r="AD824" s="6"/>
      <c r="AE824" s="6"/>
      <c r="AF824" s="6"/>
      <c r="AG824" s="6"/>
      <c r="AH824" s="6"/>
      <c r="AI824" s="6"/>
      <c r="AJ824" s="6"/>
      <c r="AK824" s="6"/>
      <c r="AL824" s="6"/>
      <c r="AM824" s="6"/>
      <c r="AN824" s="6"/>
      <c r="AO824" s="6"/>
      <c r="AP824" s="6"/>
      <c r="AQ824" s="6"/>
      <c r="AR824" s="6"/>
      <c r="AS824" s="6"/>
    </row>
    <row r="825" spans="1:45" ht="47.25" hidden="1" x14ac:dyDescent="0.25">
      <c r="A825" s="33" t="s">
        <v>52</v>
      </c>
      <c r="B825" s="42">
        <v>779</v>
      </c>
      <c r="C825" s="33" t="s">
        <v>74</v>
      </c>
      <c r="D825" s="33" t="s">
        <v>3750</v>
      </c>
      <c r="E825" s="32"/>
      <c r="F825" s="54"/>
      <c r="G825" s="33" t="s">
        <v>3751</v>
      </c>
      <c r="H825" s="32"/>
      <c r="I825" s="33" t="s">
        <v>80</v>
      </c>
      <c r="J825" s="62" t="s">
        <v>3752</v>
      </c>
      <c r="K825" s="33" t="s">
        <v>43</v>
      </c>
      <c r="L825" s="33" t="s">
        <v>3753</v>
      </c>
      <c r="M825" s="63">
        <v>10000000</v>
      </c>
      <c r="N825" s="45"/>
      <c r="O825" s="63">
        <v>15000000</v>
      </c>
      <c r="P825" s="86"/>
      <c r="Q825" s="44">
        <f t="shared" si="720"/>
        <v>25000000</v>
      </c>
      <c r="R825" s="65">
        <v>10000000</v>
      </c>
      <c r="S825" s="32"/>
      <c r="T825" s="44">
        <v>15000000</v>
      </c>
      <c r="U825" s="32"/>
      <c r="V825" s="32"/>
      <c r="W825" s="49"/>
      <c r="X825" s="49">
        <f t="shared" ref="X825:Z825" si="831">N825-S825</f>
        <v>0</v>
      </c>
      <c r="Y825" s="49">
        <f t="shared" si="831"/>
        <v>0</v>
      </c>
      <c r="Z825" s="49">
        <f t="shared" si="831"/>
        <v>0</v>
      </c>
      <c r="AA825" s="54"/>
      <c r="AB825" s="54"/>
      <c r="AC825" s="2">
        <f t="shared" si="722"/>
        <v>2</v>
      </c>
      <c r="AD825" s="6"/>
      <c r="AE825" s="6"/>
      <c r="AF825" s="6"/>
      <c r="AG825" s="6"/>
      <c r="AH825" s="6"/>
      <c r="AI825" s="6"/>
      <c r="AJ825" s="6"/>
      <c r="AK825" s="6"/>
      <c r="AL825" s="6"/>
      <c r="AM825" s="6"/>
      <c r="AN825" s="6"/>
      <c r="AO825" s="6"/>
      <c r="AP825" s="6"/>
      <c r="AQ825" s="6"/>
      <c r="AR825" s="6"/>
      <c r="AS825" s="6"/>
    </row>
    <row r="826" spans="1:45" ht="40.5" hidden="1" x14ac:dyDescent="0.25">
      <c r="A826" s="33" t="s">
        <v>52</v>
      </c>
      <c r="B826" s="42">
        <v>782</v>
      </c>
      <c r="C826" s="33" t="s">
        <v>74</v>
      </c>
      <c r="D826" s="33" t="s">
        <v>3755</v>
      </c>
      <c r="E826" s="32"/>
      <c r="F826" s="54"/>
      <c r="G826" s="33" t="s">
        <v>3756</v>
      </c>
      <c r="H826" s="32"/>
      <c r="I826" s="32"/>
      <c r="J826" s="62" t="s">
        <v>3757</v>
      </c>
      <c r="K826" s="33" t="s">
        <v>43</v>
      </c>
      <c r="L826" s="33" t="s">
        <v>3758</v>
      </c>
      <c r="M826" s="63">
        <v>1564043176</v>
      </c>
      <c r="N826" s="45"/>
      <c r="O826" s="63">
        <v>15000000</v>
      </c>
      <c r="P826" s="86"/>
      <c r="Q826" s="44">
        <f t="shared" si="720"/>
        <v>1579043176</v>
      </c>
      <c r="R826" s="65">
        <v>1564043176</v>
      </c>
      <c r="S826" s="32"/>
      <c r="T826" s="44">
        <v>15000000</v>
      </c>
      <c r="U826" s="32"/>
      <c r="V826" s="32"/>
      <c r="W826" s="49"/>
      <c r="X826" s="49">
        <f t="shared" ref="X826:Z826" si="832">N826-S826</f>
        <v>0</v>
      </c>
      <c r="Y826" s="49">
        <f t="shared" si="832"/>
        <v>0</v>
      </c>
      <c r="Z826" s="49">
        <f t="shared" si="832"/>
        <v>0</v>
      </c>
      <c r="AA826" s="54"/>
      <c r="AB826" s="54"/>
      <c r="AC826" s="2">
        <f t="shared" si="722"/>
        <v>2</v>
      </c>
      <c r="AD826" s="6"/>
      <c r="AE826" s="6"/>
      <c r="AF826" s="6"/>
      <c r="AG826" s="6"/>
      <c r="AH826" s="6"/>
      <c r="AI826" s="6"/>
      <c r="AJ826" s="6"/>
      <c r="AK826" s="6"/>
      <c r="AL826" s="6"/>
      <c r="AM826" s="6"/>
      <c r="AN826" s="6"/>
      <c r="AO826" s="6"/>
      <c r="AP826" s="6"/>
      <c r="AQ826" s="6"/>
      <c r="AR826" s="6"/>
      <c r="AS826" s="6"/>
    </row>
    <row r="827" spans="1:45" ht="47.25" hidden="1" x14ac:dyDescent="0.25">
      <c r="A827" s="33" t="s">
        <v>52</v>
      </c>
      <c r="B827" s="42">
        <v>784</v>
      </c>
      <c r="C827" s="33" t="s">
        <v>74</v>
      </c>
      <c r="D827" s="33" t="s">
        <v>3759</v>
      </c>
      <c r="E827" s="32"/>
      <c r="F827" s="54"/>
      <c r="G827" s="33" t="s">
        <v>3760</v>
      </c>
      <c r="H827" s="32"/>
      <c r="I827" s="32"/>
      <c r="J827" s="62" t="s">
        <v>3761</v>
      </c>
      <c r="K827" s="33" t="s">
        <v>43</v>
      </c>
      <c r="L827" s="33" t="s">
        <v>3762</v>
      </c>
      <c r="M827" s="63">
        <v>253344640</v>
      </c>
      <c r="N827" s="45"/>
      <c r="O827" s="63">
        <v>15000000</v>
      </c>
      <c r="P827" s="86"/>
      <c r="Q827" s="44">
        <f t="shared" si="720"/>
        <v>268344640</v>
      </c>
      <c r="R827" s="65">
        <v>253344640</v>
      </c>
      <c r="S827" s="32"/>
      <c r="T827" s="63">
        <v>15000000</v>
      </c>
      <c r="U827" s="32"/>
      <c r="V827" s="32"/>
      <c r="W827" s="49"/>
      <c r="X827" s="49">
        <f t="shared" ref="X827:Z827" si="833">N827-S827</f>
        <v>0</v>
      </c>
      <c r="Y827" s="49">
        <f t="shared" si="833"/>
        <v>0</v>
      </c>
      <c r="Z827" s="49">
        <f t="shared" si="833"/>
        <v>0</v>
      </c>
      <c r="AA827" s="54"/>
      <c r="AB827" s="54"/>
      <c r="AC827" s="2">
        <f t="shared" si="722"/>
        <v>2</v>
      </c>
      <c r="AD827" s="6"/>
      <c r="AE827" s="6"/>
      <c r="AF827" s="6"/>
      <c r="AG827" s="6"/>
      <c r="AH827" s="6"/>
      <c r="AI827" s="6"/>
      <c r="AJ827" s="6"/>
      <c r="AK827" s="6"/>
      <c r="AL827" s="6"/>
      <c r="AM827" s="6"/>
      <c r="AN827" s="6"/>
      <c r="AO827" s="6"/>
      <c r="AP827" s="6"/>
      <c r="AQ827" s="6"/>
      <c r="AR827" s="6"/>
      <c r="AS827" s="6"/>
    </row>
    <row r="828" spans="1:45" ht="40.5" hidden="1" x14ac:dyDescent="0.25">
      <c r="A828" s="33" t="s">
        <v>52</v>
      </c>
      <c r="B828" s="42">
        <v>785</v>
      </c>
      <c r="C828" s="33" t="s">
        <v>74</v>
      </c>
      <c r="D828" s="33" t="s">
        <v>3763</v>
      </c>
      <c r="E828" s="33" t="s">
        <v>3764</v>
      </c>
      <c r="F828" s="54"/>
      <c r="G828" s="33" t="s">
        <v>3765</v>
      </c>
      <c r="H828" s="33" t="s">
        <v>3766</v>
      </c>
      <c r="I828" s="32"/>
      <c r="J828" s="62" t="s">
        <v>1064</v>
      </c>
      <c r="K828" s="33" t="s">
        <v>43</v>
      </c>
      <c r="L828" s="33" t="s">
        <v>82</v>
      </c>
      <c r="M828" s="63">
        <v>1955817254</v>
      </c>
      <c r="N828" s="63">
        <v>42737240</v>
      </c>
      <c r="O828" s="63">
        <v>15000000</v>
      </c>
      <c r="P828" s="86"/>
      <c r="Q828" s="44">
        <f t="shared" si="720"/>
        <v>2013554494</v>
      </c>
      <c r="R828" s="65">
        <v>1955817254</v>
      </c>
      <c r="S828" s="65">
        <v>42737240</v>
      </c>
      <c r="T828" s="44">
        <v>15000000</v>
      </c>
      <c r="U828" s="32"/>
      <c r="V828" s="32"/>
      <c r="W828" s="49"/>
      <c r="X828" s="49">
        <f t="shared" ref="X828:Z828" si="834">N828-S828</f>
        <v>0</v>
      </c>
      <c r="Y828" s="49">
        <f t="shared" si="834"/>
        <v>0</v>
      </c>
      <c r="Z828" s="49">
        <f t="shared" si="834"/>
        <v>0</v>
      </c>
      <c r="AA828" s="54"/>
      <c r="AB828" s="54"/>
      <c r="AC828" s="2">
        <f t="shared" si="722"/>
        <v>2</v>
      </c>
      <c r="AD828" s="6"/>
      <c r="AE828" s="6"/>
      <c r="AF828" s="6"/>
      <c r="AG828" s="6"/>
      <c r="AH828" s="6"/>
      <c r="AI828" s="6"/>
      <c r="AJ828" s="6"/>
      <c r="AK828" s="6"/>
      <c r="AL828" s="6"/>
      <c r="AM828" s="6"/>
      <c r="AN828" s="6"/>
      <c r="AO828" s="6"/>
      <c r="AP828" s="6"/>
      <c r="AQ828" s="6"/>
      <c r="AR828" s="6"/>
      <c r="AS828" s="6"/>
    </row>
    <row r="829" spans="1:45" ht="40.5" hidden="1" x14ac:dyDescent="0.25">
      <c r="A829" s="33" t="s">
        <v>52</v>
      </c>
      <c r="B829" s="42">
        <v>788</v>
      </c>
      <c r="C829" s="33" t="s">
        <v>74</v>
      </c>
      <c r="D829" s="33" t="s">
        <v>3768</v>
      </c>
      <c r="E829" s="32"/>
      <c r="F829" s="54"/>
      <c r="G829" s="33" t="s">
        <v>3769</v>
      </c>
      <c r="H829" s="33" t="s">
        <v>3770</v>
      </c>
      <c r="I829" s="32"/>
      <c r="J829" s="62" t="s">
        <v>3771</v>
      </c>
      <c r="K829" s="33" t="s">
        <v>43</v>
      </c>
      <c r="L829" s="33" t="s">
        <v>3772</v>
      </c>
      <c r="M829" s="63">
        <v>1471524200</v>
      </c>
      <c r="N829" s="45"/>
      <c r="O829" s="63">
        <v>15000000</v>
      </c>
      <c r="P829" s="86"/>
      <c r="Q829" s="44">
        <f t="shared" si="720"/>
        <v>1486524200</v>
      </c>
      <c r="R829" s="65">
        <v>1471524200</v>
      </c>
      <c r="S829" s="32"/>
      <c r="T829" s="63">
        <v>15000000</v>
      </c>
      <c r="U829" s="32"/>
      <c r="V829" s="32"/>
      <c r="W829" s="49"/>
      <c r="X829" s="49">
        <f t="shared" ref="X829:Z829" si="835">N829-S829</f>
        <v>0</v>
      </c>
      <c r="Y829" s="49">
        <f t="shared" si="835"/>
        <v>0</v>
      </c>
      <c r="Z829" s="49">
        <f t="shared" si="835"/>
        <v>0</v>
      </c>
      <c r="AA829" s="54"/>
      <c r="AB829" s="54"/>
      <c r="AC829" s="2">
        <f t="shared" si="722"/>
        <v>2</v>
      </c>
      <c r="AD829" s="6"/>
      <c r="AE829" s="6"/>
      <c r="AF829" s="6"/>
      <c r="AG829" s="6"/>
      <c r="AH829" s="6"/>
      <c r="AI829" s="6"/>
      <c r="AJ829" s="6"/>
      <c r="AK829" s="6"/>
      <c r="AL829" s="6"/>
      <c r="AM829" s="6"/>
      <c r="AN829" s="6"/>
      <c r="AO829" s="6"/>
      <c r="AP829" s="6"/>
      <c r="AQ829" s="6"/>
      <c r="AR829" s="6"/>
      <c r="AS829" s="6"/>
    </row>
    <row r="830" spans="1:45" ht="40.5" hidden="1" x14ac:dyDescent="0.25">
      <c r="A830" s="33" t="s">
        <v>52</v>
      </c>
      <c r="B830" s="42">
        <v>789</v>
      </c>
      <c r="C830" s="33" t="s">
        <v>74</v>
      </c>
      <c r="D830" s="33" t="s">
        <v>3773</v>
      </c>
      <c r="E830" s="33" t="s">
        <v>3774</v>
      </c>
      <c r="F830" s="54"/>
      <c r="G830" s="33" t="s">
        <v>3775</v>
      </c>
      <c r="H830" s="33" t="s">
        <v>3776</v>
      </c>
      <c r="I830" s="32"/>
      <c r="J830" s="62" t="s">
        <v>1064</v>
      </c>
      <c r="K830" s="33" t="s">
        <v>43</v>
      </c>
      <c r="L830" s="33" t="s">
        <v>3573</v>
      </c>
      <c r="M830" s="63">
        <v>10000000</v>
      </c>
      <c r="N830" s="63">
        <v>210398720</v>
      </c>
      <c r="O830" s="63">
        <v>15000000</v>
      </c>
      <c r="P830" s="86"/>
      <c r="Q830" s="44">
        <f t="shared" si="720"/>
        <v>235398720</v>
      </c>
      <c r="R830" s="65">
        <v>10000000</v>
      </c>
      <c r="S830" s="65">
        <v>210398720</v>
      </c>
      <c r="T830" s="44">
        <v>15000000</v>
      </c>
      <c r="U830" s="32"/>
      <c r="V830" s="32"/>
      <c r="W830" s="49"/>
      <c r="X830" s="49">
        <f t="shared" ref="X830:Z830" si="836">N830-S830</f>
        <v>0</v>
      </c>
      <c r="Y830" s="49">
        <f t="shared" si="836"/>
        <v>0</v>
      </c>
      <c r="Z830" s="49">
        <f t="shared" si="836"/>
        <v>0</v>
      </c>
      <c r="AA830" s="54"/>
      <c r="AB830" s="54"/>
      <c r="AC830" s="2">
        <f t="shared" si="722"/>
        <v>2</v>
      </c>
      <c r="AD830" s="6"/>
      <c r="AE830" s="6"/>
      <c r="AF830" s="6"/>
      <c r="AG830" s="6"/>
      <c r="AH830" s="6"/>
      <c r="AI830" s="6"/>
      <c r="AJ830" s="6"/>
      <c r="AK830" s="6"/>
      <c r="AL830" s="6"/>
      <c r="AM830" s="6"/>
      <c r="AN830" s="6"/>
      <c r="AO830" s="6"/>
      <c r="AP830" s="6"/>
      <c r="AQ830" s="6"/>
      <c r="AR830" s="6"/>
      <c r="AS830" s="6"/>
    </row>
    <row r="831" spans="1:45" ht="47.25" hidden="1" x14ac:dyDescent="0.25">
      <c r="A831" s="33" t="s">
        <v>88</v>
      </c>
      <c r="B831" s="42">
        <v>791</v>
      </c>
      <c r="C831" s="33" t="s">
        <v>74</v>
      </c>
      <c r="D831" s="33" t="s">
        <v>3777</v>
      </c>
      <c r="E831" s="32"/>
      <c r="F831" s="54"/>
      <c r="G831" s="33" t="s">
        <v>3778</v>
      </c>
      <c r="H831" s="32"/>
      <c r="I831" s="32"/>
      <c r="J831" s="62" t="s">
        <v>3779</v>
      </c>
      <c r="K831" s="33" t="s">
        <v>43</v>
      </c>
      <c r="L831" s="33" t="s">
        <v>3780</v>
      </c>
      <c r="M831" s="63">
        <v>590950720</v>
      </c>
      <c r="N831" s="45"/>
      <c r="O831" s="63">
        <v>15000000</v>
      </c>
      <c r="P831" s="86"/>
      <c r="Q831" s="44">
        <f t="shared" si="720"/>
        <v>605950720</v>
      </c>
      <c r="R831" s="65">
        <v>590950720</v>
      </c>
      <c r="S831" s="32"/>
      <c r="T831" s="44">
        <v>15000000</v>
      </c>
      <c r="U831" s="32"/>
      <c r="V831" s="32"/>
      <c r="W831" s="49"/>
      <c r="X831" s="49">
        <f t="shared" ref="X831:Z831" si="837">N831-S831</f>
        <v>0</v>
      </c>
      <c r="Y831" s="49">
        <f t="shared" si="837"/>
        <v>0</v>
      </c>
      <c r="Z831" s="49">
        <f t="shared" si="837"/>
        <v>0</v>
      </c>
      <c r="AA831" s="54"/>
      <c r="AB831" s="54"/>
      <c r="AC831" s="2">
        <f t="shared" si="722"/>
        <v>2</v>
      </c>
      <c r="AD831" s="6"/>
      <c r="AE831" s="6"/>
      <c r="AF831" s="6"/>
      <c r="AG831" s="6"/>
      <c r="AH831" s="6"/>
      <c r="AI831" s="6"/>
      <c r="AJ831" s="6"/>
      <c r="AK831" s="6"/>
      <c r="AL831" s="6"/>
      <c r="AM831" s="6"/>
      <c r="AN831" s="6"/>
      <c r="AO831" s="6"/>
      <c r="AP831" s="6"/>
      <c r="AQ831" s="6"/>
      <c r="AR831" s="6"/>
      <c r="AS831" s="6"/>
    </row>
    <row r="832" spans="1:45" ht="60.75" hidden="1" x14ac:dyDescent="0.25">
      <c r="A832" s="33" t="s">
        <v>52</v>
      </c>
      <c r="B832" s="42">
        <v>792</v>
      </c>
      <c r="C832" s="33" t="s">
        <v>74</v>
      </c>
      <c r="D832" s="33" t="s">
        <v>3781</v>
      </c>
      <c r="E832" s="32"/>
      <c r="F832" s="54"/>
      <c r="G832" s="33" t="s">
        <v>3782</v>
      </c>
      <c r="H832" s="32"/>
      <c r="I832" s="32"/>
      <c r="J832" s="62" t="s">
        <v>3783</v>
      </c>
      <c r="K832" s="33" t="s">
        <v>43</v>
      </c>
      <c r="L832" s="33" t="s">
        <v>212</v>
      </c>
      <c r="M832" s="63">
        <v>692152100</v>
      </c>
      <c r="N832" s="45"/>
      <c r="O832" s="63">
        <v>15000000</v>
      </c>
      <c r="P832" s="86"/>
      <c r="Q832" s="44">
        <f t="shared" si="720"/>
        <v>707152100</v>
      </c>
      <c r="R832" s="65">
        <v>692152100</v>
      </c>
      <c r="S832" s="32"/>
      <c r="T832" s="44">
        <v>15000000</v>
      </c>
      <c r="U832" s="32"/>
      <c r="V832" s="32"/>
      <c r="W832" s="49"/>
      <c r="X832" s="49">
        <f t="shared" ref="X832:Z832" si="838">N832-S832</f>
        <v>0</v>
      </c>
      <c r="Y832" s="49">
        <f t="shared" si="838"/>
        <v>0</v>
      </c>
      <c r="Z832" s="49">
        <f t="shared" si="838"/>
        <v>0</v>
      </c>
      <c r="AA832" s="54"/>
      <c r="AB832" s="54"/>
      <c r="AC832" s="2">
        <f t="shared" si="722"/>
        <v>2</v>
      </c>
      <c r="AD832" s="6"/>
      <c r="AE832" s="6"/>
      <c r="AF832" s="6"/>
      <c r="AG832" s="6"/>
      <c r="AH832" s="6"/>
      <c r="AI832" s="6"/>
      <c r="AJ832" s="6"/>
      <c r="AK832" s="6"/>
      <c r="AL832" s="6"/>
      <c r="AM832" s="6"/>
      <c r="AN832" s="6"/>
      <c r="AO832" s="6"/>
      <c r="AP832" s="6"/>
      <c r="AQ832" s="6"/>
      <c r="AR832" s="6"/>
      <c r="AS832" s="6"/>
    </row>
    <row r="833" spans="1:45" ht="40.5" hidden="1" x14ac:dyDescent="0.25">
      <c r="A833" s="33" t="s">
        <v>52</v>
      </c>
      <c r="B833" s="42">
        <v>793</v>
      </c>
      <c r="C833" s="33" t="s">
        <v>74</v>
      </c>
      <c r="D833" s="33" t="s">
        <v>3784</v>
      </c>
      <c r="E833" s="32"/>
      <c r="F833" s="54"/>
      <c r="G833" s="33" t="s">
        <v>3785</v>
      </c>
      <c r="H833" s="32"/>
      <c r="I833" s="32"/>
      <c r="J833" s="62" t="s">
        <v>3786</v>
      </c>
      <c r="K833" s="33" t="s">
        <v>43</v>
      </c>
      <c r="L833" s="33" t="s">
        <v>3385</v>
      </c>
      <c r="M833" s="63">
        <v>1833190096</v>
      </c>
      <c r="N833" s="45"/>
      <c r="O833" s="63">
        <v>15000000</v>
      </c>
      <c r="P833" s="86"/>
      <c r="Q833" s="44">
        <f t="shared" si="720"/>
        <v>1848190096</v>
      </c>
      <c r="R833" s="65">
        <v>1833190096</v>
      </c>
      <c r="S833" s="32"/>
      <c r="T833" s="63">
        <v>15000000</v>
      </c>
      <c r="U833" s="32"/>
      <c r="V833" s="32"/>
      <c r="W833" s="49"/>
      <c r="X833" s="49">
        <f t="shared" ref="X833:Z833" si="839">N833-S833</f>
        <v>0</v>
      </c>
      <c r="Y833" s="49">
        <f t="shared" si="839"/>
        <v>0</v>
      </c>
      <c r="Z833" s="49">
        <f t="shared" si="839"/>
        <v>0</v>
      </c>
      <c r="AA833" s="54"/>
      <c r="AB833" s="54"/>
      <c r="AC833" s="2">
        <f t="shared" si="722"/>
        <v>2</v>
      </c>
      <c r="AD833" s="6"/>
      <c r="AE833" s="6"/>
      <c r="AF833" s="6"/>
      <c r="AG833" s="6"/>
      <c r="AH833" s="6"/>
      <c r="AI833" s="6"/>
      <c r="AJ833" s="6"/>
      <c r="AK833" s="6"/>
      <c r="AL833" s="6"/>
      <c r="AM833" s="6"/>
      <c r="AN833" s="6"/>
      <c r="AO833" s="6"/>
      <c r="AP833" s="6"/>
      <c r="AQ833" s="6"/>
      <c r="AR833" s="6"/>
      <c r="AS833" s="6"/>
    </row>
    <row r="834" spans="1:45" ht="31.5" hidden="1" x14ac:dyDescent="0.25">
      <c r="A834" s="33" t="s">
        <v>52</v>
      </c>
      <c r="B834" s="42">
        <v>794</v>
      </c>
      <c r="C834" s="33" t="s">
        <v>74</v>
      </c>
      <c r="D834" s="33" t="s">
        <v>3787</v>
      </c>
      <c r="E834" s="33" t="s">
        <v>3788</v>
      </c>
      <c r="F834" s="54"/>
      <c r="G834" s="33" t="s">
        <v>3789</v>
      </c>
      <c r="H834" s="33" t="s">
        <v>3790</v>
      </c>
      <c r="I834" s="33" t="s">
        <v>80</v>
      </c>
      <c r="J834" s="62" t="s">
        <v>3791</v>
      </c>
      <c r="K834" s="33" t="s">
        <v>43</v>
      </c>
      <c r="L834" s="33" t="s">
        <v>3792</v>
      </c>
      <c r="M834" s="63">
        <v>339766192</v>
      </c>
      <c r="N834" s="63">
        <v>82441548</v>
      </c>
      <c r="O834" s="63">
        <v>15000000</v>
      </c>
      <c r="P834" s="86"/>
      <c r="Q834" s="44">
        <f t="shared" si="720"/>
        <v>437207740</v>
      </c>
      <c r="R834" s="65">
        <v>339766192</v>
      </c>
      <c r="S834" s="65">
        <v>82441548</v>
      </c>
      <c r="T834" s="44">
        <v>15000000</v>
      </c>
      <c r="U834" s="32"/>
      <c r="V834" s="32"/>
      <c r="W834" s="49"/>
      <c r="X834" s="49">
        <f t="shared" ref="X834:Z834" si="840">N834-S834</f>
        <v>0</v>
      </c>
      <c r="Y834" s="49">
        <f t="shared" si="840"/>
        <v>0</v>
      </c>
      <c r="Z834" s="49">
        <f t="shared" si="840"/>
        <v>0</v>
      </c>
      <c r="AA834" s="54"/>
      <c r="AB834" s="54"/>
      <c r="AC834" s="2">
        <f t="shared" si="722"/>
        <v>2</v>
      </c>
      <c r="AD834" s="6"/>
      <c r="AE834" s="6"/>
      <c r="AF834" s="6"/>
      <c r="AG834" s="6"/>
      <c r="AH834" s="6"/>
      <c r="AI834" s="6"/>
      <c r="AJ834" s="6"/>
      <c r="AK834" s="6"/>
      <c r="AL834" s="6"/>
      <c r="AM834" s="6"/>
      <c r="AN834" s="6"/>
      <c r="AO834" s="6"/>
      <c r="AP834" s="6"/>
      <c r="AQ834" s="6"/>
      <c r="AR834" s="6"/>
      <c r="AS834" s="6"/>
    </row>
    <row r="835" spans="1:45" ht="47.25" hidden="1" x14ac:dyDescent="0.25">
      <c r="A835" s="33" t="s">
        <v>60</v>
      </c>
      <c r="B835" s="42">
        <v>797</v>
      </c>
      <c r="C835" s="33" t="s">
        <v>74</v>
      </c>
      <c r="D835" s="33" t="s">
        <v>3793</v>
      </c>
      <c r="E835" s="32"/>
      <c r="F835" s="54"/>
      <c r="G835" s="33" t="s">
        <v>3794</v>
      </c>
      <c r="H835" s="32"/>
      <c r="I835" s="32"/>
      <c r="J835" s="62" t="s">
        <v>3795</v>
      </c>
      <c r="K835" s="33" t="s">
        <v>43</v>
      </c>
      <c r="L835" s="33" t="s">
        <v>3796</v>
      </c>
      <c r="M835" s="63">
        <v>869322940</v>
      </c>
      <c r="N835" s="45"/>
      <c r="O835" s="63">
        <v>15000000</v>
      </c>
      <c r="P835" s="86"/>
      <c r="Q835" s="44">
        <f t="shared" si="720"/>
        <v>884322940</v>
      </c>
      <c r="R835" s="52">
        <v>869322940</v>
      </c>
      <c r="S835" s="32"/>
      <c r="T835" s="44">
        <v>15000000</v>
      </c>
      <c r="U835" s="32"/>
      <c r="V835" s="32"/>
      <c r="W835" s="49"/>
      <c r="X835" s="49">
        <f t="shared" ref="X835:Z835" si="841">N835-S835</f>
        <v>0</v>
      </c>
      <c r="Y835" s="49">
        <f t="shared" si="841"/>
        <v>0</v>
      </c>
      <c r="Z835" s="49">
        <f t="shared" si="841"/>
        <v>0</v>
      </c>
      <c r="AA835" s="54"/>
      <c r="AB835" s="54"/>
      <c r="AC835" s="2">
        <f t="shared" si="722"/>
        <v>2</v>
      </c>
      <c r="AD835" s="6"/>
      <c r="AE835" s="6"/>
      <c r="AF835" s="6"/>
      <c r="AG835" s="6"/>
      <c r="AH835" s="6"/>
      <c r="AI835" s="6"/>
      <c r="AJ835" s="6"/>
      <c r="AK835" s="6"/>
      <c r="AL835" s="6"/>
      <c r="AM835" s="6"/>
      <c r="AN835" s="6"/>
      <c r="AO835" s="6"/>
      <c r="AP835" s="6"/>
      <c r="AQ835" s="6"/>
      <c r="AR835" s="6"/>
      <c r="AS835" s="6"/>
    </row>
    <row r="836" spans="1:45" ht="47.25" hidden="1" x14ac:dyDescent="0.25">
      <c r="A836" s="33" t="s">
        <v>60</v>
      </c>
      <c r="B836" s="42">
        <v>798</v>
      </c>
      <c r="C836" s="33" t="s">
        <v>74</v>
      </c>
      <c r="D836" s="33" t="s">
        <v>3797</v>
      </c>
      <c r="E836" s="32"/>
      <c r="F836" s="54"/>
      <c r="G836" s="33" t="s">
        <v>3798</v>
      </c>
      <c r="H836" s="32"/>
      <c r="I836" s="32"/>
      <c r="J836" s="62" t="s">
        <v>1064</v>
      </c>
      <c r="K836" s="33" t="s">
        <v>43</v>
      </c>
      <c r="L836" s="33" t="s">
        <v>3799</v>
      </c>
      <c r="M836" s="63">
        <v>323702710</v>
      </c>
      <c r="N836" s="45"/>
      <c r="O836" s="63">
        <v>15000000</v>
      </c>
      <c r="P836" s="86"/>
      <c r="Q836" s="44">
        <f t="shared" si="720"/>
        <v>338702710</v>
      </c>
      <c r="R836" s="52">
        <v>323702710</v>
      </c>
      <c r="S836" s="32"/>
      <c r="T836" s="44">
        <v>15000000</v>
      </c>
      <c r="U836" s="32"/>
      <c r="V836" s="32"/>
      <c r="W836" s="49"/>
      <c r="X836" s="49">
        <f t="shared" ref="X836:Z836" si="842">N836-S836</f>
        <v>0</v>
      </c>
      <c r="Y836" s="49">
        <f t="shared" si="842"/>
        <v>0</v>
      </c>
      <c r="Z836" s="49">
        <f t="shared" si="842"/>
        <v>0</v>
      </c>
      <c r="AA836" s="54"/>
      <c r="AB836" s="54"/>
      <c r="AC836" s="2">
        <f t="shared" si="722"/>
        <v>2</v>
      </c>
      <c r="AD836" s="6"/>
      <c r="AE836" s="6"/>
      <c r="AF836" s="6"/>
      <c r="AG836" s="6"/>
      <c r="AH836" s="6"/>
      <c r="AI836" s="6"/>
      <c r="AJ836" s="6"/>
      <c r="AK836" s="6"/>
      <c r="AL836" s="6"/>
      <c r="AM836" s="6"/>
      <c r="AN836" s="6"/>
      <c r="AO836" s="6"/>
      <c r="AP836" s="6"/>
      <c r="AQ836" s="6"/>
      <c r="AR836" s="6"/>
      <c r="AS836" s="6"/>
    </row>
    <row r="837" spans="1:45" ht="31.5" hidden="1" x14ac:dyDescent="0.25">
      <c r="A837" s="33" t="s">
        <v>60</v>
      </c>
      <c r="B837" s="42">
        <v>799</v>
      </c>
      <c r="C837" s="33" t="s">
        <v>74</v>
      </c>
      <c r="D837" s="33" t="s">
        <v>3800</v>
      </c>
      <c r="E837" s="32"/>
      <c r="F837" s="54"/>
      <c r="G837" s="33" t="s">
        <v>3801</v>
      </c>
      <c r="H837" s="32"/>
      <c r="I837" s="32"/>
      <c r="J837" s="62" t="s">
        <v>3802</v>
      </c>
      <c r="K837" s="33" t="s">
        <v>43</v>
      </c>
      <c r="L837" s="33" t="s">
        <v>3803</v>
      </c>
      <c r="M837" s="63">
        <v>1566913848</v>
      </c>
      <c r="N837" s="45"/>
      <c r="O837" s="63">
        <v>15000000</v>
      </c>
      <c r="P837" s="86"/>
      <c r="Q837" s="44">
        <f t="shared" si="720"/>
        <v>1581913848</v>
      </c>
      <c r="R837" s="65">
        <v>1566913848</v>
      </c>
      <c r="S837" s="32"/>
      <c r="T837" s="44">
        <v>15000000</v>
      </c>
      <c r="U837" s="32"/>
      <c r="V837" s="32"/>
      <c r="W837" s="49"/>
      <c r="X837" s="49">
        <f t="shared" ref="X837:Z837" si="843">N837-S837</f>
        <v>0</v>
      </c>
      <c r="Y837" s="49">
        <f t="shared" si="843"/>
        <v>0</v>
      </c>
      <c r="Z837" s="49">
        <f t="shared" si="843"/>
        <v>0</v>
      </c>
      <c r="AA837" s="54"/>
      <c r="AB837" s="54"/>
      <c r="AC837" s="2">
        <f t="shared" si="722"/>
        <v>2</v>
      </c>
      <c r="AD837" s="6"/>
      <c r="AE837" s="6"/>
      <c r="AF837" s="6"/>
      <c r="AG837" s="6"/>
      <c r="AH837" s="6"/>
      <c r="AI837" s="6"/>
      <c r="AJ837" s="6"/>
      <c r="AK837" s="6"/>
      <c r="AL837" s="6"/>
      <c r="AM837" s="6"/>
      <c r="AN837" s="6"/>
      <c r="AO837" s="6"/>
      <c r="AP837" s="6"/>
      <c r="AQ837" s="6"/>
      <c r="AR837" s="6"/>
      <c r="AS837" s="6"/>
    </row>
    <row r="838" spans="1:45" ht="47.25" hidden="1" x14ac:dyDescent="0.25">
      <c r="A838" s="33" t="s">
        <v>60</v>
      </c>
      <c r="B838" s="42">
        <v>801</v>
      </c>
      <c r="C838" s="33" t="s">
        <v>74</v>
      </c>
      <c r="D838" s="33" t="s">
        <v>3804</v>
      </c>
      <c r="E838" s="33" t="s">
        <v>3805</v>
      </c>
      <c r="F838" s="54"/>
      <c r="G838" s="33" t="s">
        <v>3806</v>
      </c>
      <c r="H838" s="33"/>
      <c r="I838" s="33"/>
      <c r="J838" s="33" t="s">
        <v>3807</v>
      </c>
      <c r="K838" s="33" t="s">
        <v>43</v>
      </c>
      <c r="L838" s="33" t="s">
        <v>1447</v>
      </c>
      <c r="M838" s="63">
        <v>10000000</v>
      </c>
      <c r="N838" s="63">
        <v>2092077756</v>
      </c>
      <c r="O838" s="44">
        <v>15000000</v>
      </c>
      <c r="P838" s="86"/>
      <c r="Q838" s="44">
        <f t="shared" si="720"/>
        <v>2117077756</v>
      </c>
      <c r="R838" s="52">
        <v>10000000</v>
      </c>
      <c r="S838" s="48">
        <v>2092077756</v>
      </c>
      <c r="T838" s="66"/>
      <c r="U838" s="32"/>
      <c r="V838" s="32"/>
      <c r="W838" s="49"/>
      <c r="X838" s="49">
        <f t="shared" ref="X838:Z838" si="844">N838-S838</f>
        <v>0</v>
      </c>
      <c r="Y838" s="52">
        <f t="shared" si="844"/>
        <v>15000000</v>
      </c>
      <c r="Z838" s="49">
        <f t="shared" si="844"/>
        <v>0</v>
      </c>
      <c r="AA838" s="54"/>
      <c r="AB838" s="43"/>
      <c r="AC838" s="15">
        <f t="shared" si="722"/>
        <v>2</v>
      </c>
      <c r="AD838" s="15"/>
      <c r="AE838" s="6"/>
      <c r="AF838" s="6"/>
      <c r="AG838" s="6"/>
      <c r="AH838" s="6"/>
      <c r="AI838" s="6"/>
      <c r="AJ838" s="6"/>
      <c r="AK838" s="6"/>
      <c r="AL838" s="6"/>
      <c r="AM838" s="6"/>
      <c r="AN838" s="6"/>
      <c r="AO838" s="6"/>
      <c r="AP838" s="6"/>
      <c r="AQ838" s="6"/>
      <c r="AR838" s="6"/>
      <c r="AS838" s="6"/>
    </row>
    <row r="839" spans="1:45" ht="47.25" hidden="1" x14ac:dyDescent="0.25">
      <c r="A839" s="33" t="s">
        <v>60</v>
      </c>
      <c r="B839" s="42">
        <v>803</v>
      </c>
      <c r="C839" s="33" t="s">
        <v>74</v>
      </c>
      <c r="D839" s="33" t="s">
        <v>3811</v>
      </c>
      <c r="E839" s="33"/>
      <c r="F839" s="54"/>
      <c r="G839" s="33" t="s">
        <v>3812</v>
      </c>
      <c r="H839" s="33" t="s">
        <v>3813</v>
      </c>
      <c r="I839" s="33"/>
      <c r="J839" s="33" t="s">
        <v>3814</v>
      </c>
      <c r="K839" s="33" t="s">
        <v>43</v>
      </c>
      <c r="L839" s="33" t="s">
        <v>3815</v>
      </c>
      <c r="M839" s="63">
        <v>5236394180</v>
      </c>
      <c r="N839" s="45"/>
      <c r="O839" s="44">
        <v>15000000</v>
      </c>
      <c r="P839" s="86"/>
      <c r="Q839" s="44">
        <f t="shared" si="720"/>
        <v>5251394180</v>
      </c>
      <c r="R839" s="65">
        <v>5236394180</v>
      </c>
      <c r="S839" s="32"/>
      <c r="T839" s="66"/>
      <c r="U839" s="32"/>
      <c r="V839" s="32"/>
      <c r="W839" s="49"/>
      <c r="X839" s="49">
        <f t="shared" ref="X839:Z839" si="845">N839-S839</f>
        <v>0</v>
      </c>
      <c r="Y839" s="52">
        <f t="shared" si="845"/>
        <v>15000000</v>
      </c>
      <c r="Z839" s="49">
        <f t="shared" si="845"/>
        <v>0</v>
      </c>
      <c r="AA839" s="54"/>
      <c r="AB839" s="43"/>
      <c r="AC839" s="15">
        <f t="shared" si="722"/>
        <v>2</v>
      </c>
      <c r="AD839" s="15"/>
      <c r="AE839" s="6"/>
      <c r="AF839" s="6"/>
      <c r="AG839" s="6"/>
      <c r="AH839" s="6"/>
      <c r="AI839" s="6"/>
      <c r="AJ839" s="6"/>
      <c r="AK839" s="6"/>
      <c r="AL839" s="6"/>
      <c r="AM839" s="6"/>
      <c r="AN839" s="6"/>
      <c r="AO839" s="6"/>
      <c r="AP839" s="6"/>
      <c r="AQ839" s="6"/>
      <c r="AR839" s="6"/>
      <c r="AS839" s="6"/>
    </row>
    <row r="840" spans="1:45" ht="60.75" hidden="1" x14ac:dyDescent="0.25">
      <c r="A840" s="33" t="s">
        <v>35</v>
      </c>
      <c r="B840" s="42">
        <v>805</v>
      </c>
      <c r="C840" s="33" t="s">
        <v>74</v>
      </c>
      <c r="D840" s="33" t="s">
        <v>3816</v>
      </c>
      <c r="E840" s="33" t="s">
        <v>3817</v>
      </c>
      <c r="F840" s="54"/>
      <c r="G840" s="33" t="s">
        <v>3818</v>
      </c>
      <c r="H840" s="32"/>
      <c r="I840" s="32"/>
      <c r="J840" s="62" t="s">
        <v>3819</v>
      </c>
      <c r="K840" s="33" t="s">
        <v>43</v>
      </c>
      <c r="L840" s="33" t="s">
        <v>212</v>
      </c>
      <c r="M840" s="63">
        <v>10000000</v>
      </c>
      <c r="N840" s="63">
        <v>5132223264</v>
      </c>
      <c r="O840" s="63">
        <v>15000000</v>
      </c>
      <c r="P840" s="86"/>
      <c r="Q840" s="44">
        <f t="shared" si="720"/>
        <v>5157223264</v>
      </c>
      <c r="R840" s="65">
        <v>10000000</v>
      </c>
      <c r="S840" s="48">
        <v>5132223264</v>
      </c>
      <c r="T840" s="44">
        <v>15000000</v>
      </c>
      <c r="U840" s="32"/>
      <c r="V840" s="32"/>
      <c r="W840" s="49"/>
      <c r="X840" s="49">
        <f t="shared" ref="X840:Z840" si="846">N840-S840</f>
        <v>0</v>
      </c>
      <c r="Y840" s="49">
        <f t="shared" si="846"/>
        <v>0</v>
      </c>
      <c r="Z840" s="49">
        <f t="shared" si="846"/>
        <v>0</v>
      </c>
      <c r="AA840" s="54"/>
      <c r="AB840" s="54"/>
      <c r="AC840" s="2">
        <f t="shared" si="722"/>
        <v>2</v>
      </c>
      <c r="AD840" s="6"/>
      <c r="AE840" s="6"/>
      <c r="AF840" s="6"/>
      <c r="AG840" s="6"/>
      <c r="AH840" s="6"/>
      <c r="AI840" s="6"/>
      <c r="AJ840" s="6"/>
      <c r="AK840" s="6"/>
      <c r="AL840" s="6"/>
      <c r="AM840" s="6"/>
      <c r="AN840" s="6"/>
      <c r="AO840" s="6"/>
      <c r="AP840" s="6"/>
      <c r="AQ840" s="6"/>
      <c r="AR840" s="6"/>
      <c r="AS840" s="6"/>
    </row>
    <row r="841" spans="1:45" ht="47.25" hidden="1" x14ac:dyDescent="0.25">
      <c r="A841" s="33" t="s">
        <v>60</v>
      </c>
      <c r="B841" s="42">
        <v>809</v>
      </c>
      <c r="C841" s="33" t="s">
        <v>74</v>
      </c>
      <c r="D841" s="33" t="s">
        <v>3821</v>
      </c>
      <c r="E841" s="32"/>
      <c r="F841" s="54"/>
      <c r="G841" s="33" t="s">
        <v>3822</v>
      </c>
      <c r="H841" s="32"/>
      <c r="I841" s="32"/>
      <c r="J841" s="62" t="s">
        <v>3823</v>
      </c>
      <c r="K841" s="33" t="s">
        <v>43</v>
      </c>
      <c r="L841" s="33" t="s">
        <v>3824</v>
      </c>
      <c r="M841" s="63">
        <v>3051594287</v>
      </c>
      <c r="N841" s="45"/>
      <c r="O841" s="63">
        <v>15000000</v>
      </c>
      <c r="P841" s="86"/>
      <c r="Q841" s="44">
        <f t="shared" si="720"/>
        <v>3066594287</v>
      </c>
      <c r="R841" s="52">
        <v>3051594287</v>
      </c>
      <c r="S841" s="32"/>
      <c r="T841" s="44">
        <v>15000000</v>
      </c>
      <c r="U841" s="32"/>
      <c r="V841" s="32"/>
      <c r="W841" s="49"/>
      <c r="X841" s="49">
        <f t="shared" ref="X841:Z841" si="847">N841-S841</f>
        <v>0</v>
      </c>
      <c r="Y841" s="49">
        <f t="shared" si="847"/>
        <v>0</v>
      </c>
      <c r="Z841" s="49">
        <f t="shared" si="847"/>
        <v>0</v>
      </c>
      <c r="AA841" s="54"/>
      <c r="AB841" s="54"/>
      <c r="AC841" s="2">
        <f t="shared" si="722"/>
        <v>2</v>
      </c>
      <c r="AD841" s="6"/>
      <c r="AE841" s="6"/>
      <c r="AF841" s="6"/>
      <c r="AG841" s="6"/>
      <c r="AH841" s="6"/>
      <c r="AI841" s="6"/>
      <c r="AJ841" s="6"/>
      <c r="AK841" s="6"/>
      <c r="AL841" s="6"/>
      <c r="AM841" s="6"/>
      <c r="AN841" s="6"/>
      <c r="AO841" s="6"/>
      <c r="AP841" s="6"/>
      <c r="AQ841" s="6"/>
      <c r="AR841" s="6"/>
      <c r="AS841" s="6"/>
    </row>
    <row r="842" spans="1:45" ht="31.5" hidden="1" x14ac:dyDescent="0.25">
      <c r="A842" s="33" t="s">
        <v>60</v>
      </c>
      <c r="B842" s="42">
        <v>810</v>
      </c>
      <c r="C842" s="33" t="s">
        <v>74</v>
      </c>
      <c r="D842" s="33" t="s">
        <v>3825</v>
      </c>
      <c r="E842" s="32"/>
      <c r="F842" s="54"/>
      <c r="G842" s="33" t="s">
        <v>3826</v>
      </c>
      <c r="H842" s="33" t="s">
        <v>3827</v>
      </c>
      <c r="I842" s="32"/>
      <c r="J842" s="62" t="s">
        <v>3828</v>
      </c>
      <c r="K842" s="33" t="s">
        <v>43</v>
      </c>
      <c r="L842" s="33" t="s">
        <v>3829</v>
      </c>
      <c r="M842" s="63">
        <v>22476062320</v>
      </c>
      <c r="N842" s="45"/>
      <c r="O842" s="63">
        <v>15000000</v>
      </c>
      <c r="P842" s="86"/>
      <c r="Q842" s="44">
        <f t="shared" si="720"/>
        <v>22491062320</v>
      </c>
      <c r="R842" s="65">
        <v>22476062320</v>
      </c>
      <c r="S842" s="32"/>
      <c r="T842" s="44">
        <v>15000000</v>
      </c>
      <c r="U842" s="32"/>
      <c r="V842" s="32"/>
      <c r="W842" s="49"/>
      <c r="X842" s="49">
        <f t="shared" ref="X842:Z842" si="848">N842-S842</f>
        <v>0</v>
      </c>
      <c r="Y842" s="49">
        <f t="shared" si="848"/>
        <v>0</v>
      </c>
      <c r="Z842" s="49">
        <f t="shared" si="848"/>
        <v>0</v>
      </c>
      <c r="AA842" s="54"/>
      <c r="AB842" s="54"/>
      <c r="AC842" s="2">
        <f t="shared" si="722"/>
        <v>2</v>
      </c>
      <c r="AD842" s="6"/>
      <c r="AE842" s="6"/>
      <c r="AF842" s="6"/>
      <c r="AG842" s="6"/>
      <c r="AH842" s="6"/>
      <c r="AI842" s="6"/>
      <c r="AJ842" s="6"/>
      <c r="AK842" s="6"/>
      <c r="AL842" s="6"/>
      <c r="AM842" s="6"/>
      <c r="AN842" s="6"/>
      <c r="AO842" s="6"/>
      <c r="AP842" s="6"/>
      <c r="AQ842" s="6"/>
      <c r="AR842" s="6"/>
      <c r="AS842" s="6"/>
    </row>
    <row r="843" spans="1:45" ht="31.5" hidden="1" x14ac:dyDescent="0.3">
      <c r="A843" s="33" t="s">
        <v>60</v>
      </c>
      <c r="B843" s="42">
        <v>811</v>
      </c>
      <c r="C843" s="33" t="s">
        <v>74</v>
      </c>
      <c r="D843" s="33" t="s">
        <v>3830</v>
      </c>
      <c r="E843" s="33" t="s">
        <v>3831</v>
      </c>
      <c r="F843" s="54"/>
      <c r="G843" s="33" t="s">
        <v>3832</v>
      </c>
      <c r="H843" s="33" t="s">
        <v>3833</v>
      </c>
      <c r="I843" s="32"/>
      <c r="J843" s="62" t="s">
        <v>3834</v>
      </c>
      <c r="K843" s="33" t="s">
        <v>43</v>
      </c>
      <c r="L843" s="33" t="s">
        <v>838</v>
      </c>
      <c r="M843" s="63">
        <v>1218195100</v>
      </c>
      <c r="N843" s="44">
        <v>178916160</v>
      </c>
      <c r="O843" s="63">
        <v>15000000</v>
      </c>
      <c r="P843" s="86"/>
      <c r="Q843" s="44">
        <f t="shared" si="720"/>
        <v>1412111260</v>
      </c>
      <c r="R843" s="49">
        <v>1218195100</v>
      </c>
      <c r="S843" s="49">
        <v>178916160</v>
      </c>
      <c r="T843" s="44">
        <v>15000000</v>
      </c>
      <c r="U843" s="32"/>
      <c r="V843" s="32"/>
      <c r="W843" s="49"/>
      <c r="X843" s="49">
        <f t="shared" ref="X843:Z843" si="849">N843-S843</f>
        <v>0</v>
      </c>
      <c r="Y843" s="49">
        <f t="shared" si="849"/>
        <v>0</v>
      </c>
      <c r="Z843" s="49">
        <f t="shared" si="849"/>
        <v>0</v>
      </c>
      <c r="AA843" s="98"/>
      <c r="AB843" s="54"/>
      <c r="AC843" s="2">
        <f t="shared" si="722"/>
        <v>2</v>
      </c>
      <c r="AD843" s="6"/>
      <c r="AE843" s="6"/>
      <c r="AF843" s="6"/>
      <c r="AG843" s="6"/>
      <c r="AH843" s="6"/>
      <c r="AI843" s="6"/>
      <c r="AJ843" s="6"/>
      <c r="AK843" s="6"/>
      <c r="AL843" s="6"/>
      <c r="AM843" s="6"/>
      <c r="AN843" s="6"/>
      <c r="AO843" s="6"/>
      <c r="AP843" s="6"/>
      <c r="AQ843" s="6"/>
      <c r="AR843" s="6"/>
      <c r="AS843" s="6"/>
    </row>
    <row r="844" spans="1:45" ht="31.5" hidden="1" x14ac:dyDescent="0.25">
      <c r="A844" s="33" t="s">
        <v>88</v>
      </c>
      <c r="B844" s="42">
        <v>813</v>
      </c>
      <c r="C844" s="33" t="s">
        <v>89</v>
      </c>
      <c r="D844" s="33" t="s">
        <v>1872</v>
      </c>
      <c r="E844" s="33"/>
      <c r="F844" s="54"/>
      <c r="G844" s="33" t="s">
        <v>3835</v>
      </c>
      <c r="H844" s="33"/>
      <c r="I844" s="33"/>
      <c r="J844" s="33" t="s">
        <v>3836</v>
      </c>
      <c r="K844" s="33" t="s">
        <v>43</v>
      </c>
      <c r="L844" s="33" t="s">
        <v>3837</v>
      </c>
      <c r="M844" s="63">
        <v>285679923760</v>
      </c>
      <c r="N844" s="45"/>
      <c r="O844" s="44">
        <v>7500000</v>
      </c>
      <c r="P844" s="86"/>
      <c r="Q844" s="44">
        <f t="shared" si="720"/>
        <v>285687423760</v>
      </c>
      <c r="R844" s="48">
        <v>285679923760</v>
      </c>
      <c r="S844" s="32"/>
      <c r="T844" s="66"/>
      <c r="U844" s="32"/>
      <c r="V844" s="32"/>
      <c r="W844" s="49"/>
      <c r="X844" s="49">
        <f t="shared" ref="X844:Z844" si="850">N844-S844</f>
        <v>0</v>
      </c>
      <c r="Y844" s="52">
        <f t="shared" si="850"/>
        <v>7500000</v>
      </c>
      <c r="Z844" s="49">
        <f t="shared" si="850"/>
        <v>0</v>
      </c>
      <c r="AA844" s="54"/>
      <c r="AB844" s="43"/>
      <c r="AC844" s="15">
        <f t="shared" si="722"/>
        <v>2</v>
      </c>
      <c r="AD844" s="15"/>
      <c r="AE844" s="6"/>
      <c r="AF844" s="6"/>
      <c r="AG844" s="6"/>
      <c r="AH844" s="6"/>
      <c r="AI844" s="6"/>
      <c r="AJ844" s="6"/>
      <c r="AK844" s="6"/>
      <c r="AL844" s="6"/>
      <c r="AM844" s="6"/>
      <c r="AN844" s="6"/>
      <c r="AO844" s="6"/>
      <c r="AP844" s="6"/>
      <c r="AQ844" s="6"/>
      <c r="AR844" s="6"/>
      <c r="AS844" s="6"/>
    </row>
    <row r="845" spans="1:45" ht="40.5" hidden="1" x14ac:dyDescent="0.25">
      <c r="A845" s="33" t="s">
        <v>88</v>
      </c>
      <c r="B845" s="42">
        <v>814</v>
      </c>
      <c r="C845" s="33" t="s">
        <v>89</v>
      </c>
      <c r="D845" s="33" t="s">
        <v>3838</v>
      </c>
      <c r="E845" s="32"/>
      <c r="F845" s="54"/>
      <c r="G845" s="33" t="s">
        <v>3839</v>
      </c>
      <c r="H845" s="32"/>
      <c r="I845" s="32"/>
      <c r="J845" s="62" t="s">
        <v>3840</v>
      </c>
      <c r="K845" s="33" t="s">
        <v>43</v>
      </c>
      <c r="L845" s="33" t="s">
        <v>3841</v>
      </c>
      <c r="M845" s="63">
        <v>886470700</v>
      </c>
      <c r="N845" s="45"/>
      <c r="O845" s="63">
        <v>15000000</v>
      </c>
      <c r="P845" s="86"/>
      <c r="Q845" s="44">
        <f t="shared" si="720"/>
        <v>901470700</v>
      </c>
      <c r="R845" s="65">
        <v>886470700</v>
      </c>
      <c r="S845" s="32"/>
      <c r="T845" s="44">
        <v>15000000</v>
      </c>
      <c r="U845" s="32"/>
      <c r="V845" s="32"/>
      <c r="W845" s="49"/>
      <c r="X845" s="49">
        <f t="shared" ref="X845:Z845" si="851">N845-S845</f>
        <v>0</v>
      </c>
      <c r="Y845" s="49">
        <f t="shared" si="851"/>
        <v>0</v>
      </c>
      <c r="Z845" s="49">
        <f t="shared" si="851"/>
        <v>0</v>
      </c>
      <c r="AA845" s="54"/>
      <c r="AB845" s="54"/>
      <c r="AC845" s="2">
        <f t="shared" si="722"/>
        <v>2</v>
      </c>
      <c r="AD845" s="6"/>
      <c r="AE845" s="6"/>
      <c r="AF845" s="6"/>
      <c r="AG845" s="6"/>
      <c r="AH845" s="6"/>
      <c r="AI845" s="6"/>
      <c r="AJ845" s="6"/>
      <c r="AK845" s="6"/>
      <c r="AL845" s="6"/>
      <c r="AM845" s="6"/>
      <c r="AN845" s="6"/>
      <c r="AO845" s="6"/>
      <c r="AP845" s="6"/>
      <c r="AQ845" s="6"/>
      <c r="AR845" s="6"/>
      <c r="AS845" s="6"/>
    </row>
    <row r="846" spans="1:45" ht="40.5" hidden="1" x14ac:dyDescent="0.25">
      <c r="A846" s="33" t="s">
        <v>35</v>
      </c>
      <c r="B846" s="42">
        <v>815</v>
      </c>
      <c r="C846" s="33" t="s">
        <v>89</v>
      </c>
      <c r="D846" s="33" t="s">
        <v>3842</v>
      </c>
      <c r="E846" s="32"/>
      <c r="F846" s="54"/>
      <c r="G846" s="33" t="s">
        <v>3843</v>
      </c>
      <c r="H846" s="32"/>
      <c r="I846" s="32"/>
      <c r="J846" s="62" t="s">
        <v>3576</v>
      </c>
      <c r="K846" s="33" t="s">
        <v>43</v>
      </c>
      <c r="L846" s="33" t="s">
        <v>3844</v>
      </c>
      <c r="M846" s="63">
        <v>1059226080</v>
      </c>
      <c r="N846" s="45"/>
      <c r="O846" s="63">
        <v>15000000</v>
      </c>
      <c r="P846" s="86"/>
      <c r="Q846" s="44">
        <f t="shared" si="720"/>
        <v>1074226080</v>
      </c>
      <c r="R846" s="65">
        <v>1059226080</v>
      </c>
      <c r="S846" s="32"/>
      <c r="T846" s="44">
        <v>15000000</v>
      </c>
      <c r="U846" s="32"/>
      <c r="V846" s="32"/>
      <c r="W846" s="49"/>
      <c r="X846" s="49">
        <f t="shared" ref="X846:Z846" si="852">N846-S846</f>
        <v>0</v>
      </c>
      <c r="Y846" s="49">
        <f t="shared" si="852"/>
        <v>0</v>
      </c>
      <c r="Z846" s="49">
        <f t="shared" si="852"/>
        <v>0</v>
      </c>
      <c r="AA846" s="54"/>
      <c r="AB846" s="54"/>
      <c r="AC846" s="2">
        <f t="shared" si="722"/>
        <v>2</v>
      </c>
      <c r="AD846" s="6"/>
      <c r="AE846" s="6"/>
      <c r="AF846" s="6"/>
      <c r="AG846" s="6"/>
      <c r="AH846" s="6"/>
      <c r="AI846" s="6"/>
      <c r="AJ846" s="6"/>
      <c r="AK846" s="6"/>
      <c r="AL846" s="6"/>
      <c r="AM846" s="6"/>
      <c r="AN846" s="6"/>
      <c r="AO846" s="6"/>
      <c r="AP846" s="6"/>
      <c r="AQ846" s="6"/>
      <c r="AR846" s="6"/>
      <c r="AS846" s="6"/>
    </row>
    <row r="847" spans="1:45" ht="47.25" hidden="1" x14ac:dyDescent="0.25">
      <c r="A847" s="33" t="s">
        <v>88</v>
      </c>
      <c r="B847" s="42">
        <v>817</v>
      </c>
      <c r="C847" s="33" t="s">
        <v>89</v>
      </c>
      <c r="D847" s="33" t="s">
        <v>3847</v>
      </c>
      <c r="E847" s="32"/>
      <c r="F847" s="54"/>
      <c r="G847" s="33" t="s">
        <v>3848</v>
      </c>
      <c r="H847" s="32"/>
      <c r="I847" s="32"/>
      <c r="J847" s="62" t="s">
        <v>3849</v>
      </c>
      <c r="K847" s="33" t="s">
        <v>43</v>
      </c>
      <c r="L847" s="33" t="s">
        <v>3850</v>
      </c>
      <c r="M847" s="63">
        <v>3385207540</v>
      </c>
      <c r="N847" s="45"/>
      <c r="O847" s="63">
        <v>15000000</v>
      </c>
      <c r="P847" s="86"/>
      <c r="Q847" s="44">
        <f t="shared" si="720"/>
        <v>3400207540</v>
      </c>
      <c r="R847" s="65">
        <v>3385207540</v>
      </c>
      <c r="S847" s="32"/>
      <c r="T847" s="44">
        <v>15000000</v>
      </c>
      <c r="U847" s="32"/>
      <c r="V847" s="32"/>
      <c r="W847" s="49"/>
      <c r="X847" s="49">
        <f t="shared" ref="X847:Z847" si="853">N847-S847</f>
        <v>0</v>
      </c>
      <c r="Y847" s="49">
        <f t="shared" si="853"/>
        <v>0</v>
      </c>
      <c r="Z847" s="49">
        <f t="shared" si="853"/>
        <v>0</v>
      </c>
      <c r="AA847" s="54"/>
      <c r="AB847" s="54"/>
      <c r="AC847" s="2">
        <f t="shared" si="722"/>
        <v>2</v>
      </c>
      <c r="AD847" s="6"/>
      <c r="AE847" s="6"/>
      <c r="AF847" s="6"/>
      <c r="AG847" s="6"/>
      <c r="AH847" s="6"/>
      <c r="AI847" s="6"/>
      <c r="AJ847" s="6"/>
      <c r="AK847" s="6"/>
      <c r="AL847" s="6"/>
      <c r="AM847" s="6"/>
      <c r="AN847" s="6"/>
      <c r="AO847" s="6"/>
      <c r="AP847" s="6"/>
      <c r="AQ847" s="6"/>
      <c r="AR847" s="6"/>
      <c r="AS847" s="6"/>
    </row>
    <row r="848" spans="1:45" ht="47.25" hidden="1" x14ac:dyDescent="0.25">
      <c r="A848" s="33" t="s">
        <v>88</v>
      </c>
      <c r="B848" s="42">
        <v>818</v>
      </c>
      <c r="C848" s="33" t="s">
        <v>89</v>
      </c>
      <c r="D848" s="33" t="s">
        <v>3851</v>
      </c>
      <c r="E848" s="32"/>
      <c r="F848" s="54"/>
      <c r="G848" s="33" t="s">
        <v>3852</v>
      </c>
      <c r="H848" s="32"/>
      <c r="I848" s="32"/>
      <c r="J848" s="62" t="s">
        <v>3853</v>
      </c>
      <c r="K848" s="33" t="s">
        <v>43</v>
      </c>
      <c r="L848" s="33" t="s">
        <v>682</v>
      </c>
      <c r="M848" s="63">
        <v>1230685480</v>
      </c>
      <c r="N848" s="45"/>
      <c r="O848" s="63">
        <v>15000000</v>
      </c>
      <c r="P848" s="86"/>
      <c r="Q848" s="44">
        <f t="shared" si="720"/>
        <v>1245685480</v>
      </c>
      <c r="R848" s="65">
        <v>1230685480</v>
      </c>
      <c r="S848" s="32"/>
      <c r="T848" s="44">
        <v>15000000</v>
      </c>
      <c r="U848" s="32"/>
      <c r="V848" s="32"/>
      <c r="W848" s="49"/>
      <c r="X848" s="49">
        <f t="shared" ref="X848:Z848" si="854">N848-S848</f>
        <v>0</v>
      </c>
      <c r="Y848" s="49">
        <f t="shared" si="854"/>
        <v>0</v>
      </c>
      <c r="Z848" s="49">
        <f t="shared" si="854"/>
        <v>0</v>
      </c>
      <c r="AA848" s="54"/>
      <c r="AB848" s="54"/>
      <c r="AC848" s="2">
        <f t="shared" si="722"/>
        <v>2</v>
      </c>
      <c r="AD848" s="6"/>
      <c r="AE848" s="6"/>
      <c r="AF848" s="6"/>
      <c r="AG848" s="6"/>
      <c r="AH848" s="6"/>
      <c r="AI848" s="6"/>
      <c r="AJ848" s="6"/>
      <c r="AK848" s="6"/>
      <c r="AL848" s="6"/>
      <c r="AM848" s="6"/>
      <c r="AN848" s="6"/>
      <c r="AO848" s="6"/>
      <c r="AP848" s="6"/>
      <c r="AQ848" s="6"/>
      <c r="AR848" s="6"/>
      <c r="AS848" s="6"/>
    </row>
    <row r="849" spans="1:45" ht="40.5" hidden="1" x14ac:dyDescent="0.25">
      <c r="A849" s="33" t="s">
        <v>88</v>
      </c>
      <c r="B849" s="42">
        <v>820</v>
      </c>
      <c r="C849" s="33" t="s">
        <v>89</v>
      </c>
      <c r="D849" s="33" t="s">
        <v>3854</v>
      </c>
      <c r="E849" s="33" t="s">
        <v>3855</v>
      </c>
      <c r="F849" s="54"/>
      <c r="G849" s="33" t="s">
        <v>3856</v>
      </c>
      <c r="H849" s="32"/>
      <c r="I849" s="32"/>
      <c r="J849" s="62" t="s">
        <v>3857</v>
      </c>
      <c r="K849" s="33" t="s">
        <v>43</v>
      </c>
      <c r="L849" s="33" t="s">
        <v>3858</v>
      </c>
      <c r="M849" s="63">
        <v>66562996457</v>
      </c>
      <c r="N849" s="63">
        <v>1413212834</v>
      </c>
      <c r="O849" s="63">
        <v>7500000</v>
      </c>
      <c r="P849" s="86"/>
      <c r="Q849" s="44">
        <f t="shared" si="720"/>
        <v>67983709291</v>
      </c>
      <c r="R849" s="65">
        <v>66562996457</v>
      </c>
      <c r="S849" s="65">
        <v>1413212834</v>
      </c>
      <c r="T849" s="44">
        <v>7500000</v>
      </c>
      <c r="U849" s="32"/>
      <c r="V849" s="32"/>
      <c r="W849" s="49"/>
      <c r="X849" s="49">
        <f t="shared" ref="X849:Z849" si="855">N849-S849</f>
        <v>0</v>
      </c>
      <c r="Y849" s="49">
        <f t="shared" si="855"/>
        <v>0</v>
      </c>
      <c r="Z849" s="49">
        <f t="shared" si="855"/>
        <v>0</v>
      </c>
      <c r="AA849" s="54"/>
      <c r="AB849" s="54"/>
      <c r="AC849" s="2">
        <f t="shared" si="722"/>
        <v>2</v>
      </c>
      <c r="AD849" s="6"/>
      <c r="AE849" s="6"/>
      <c r="AF849" s="6"/>
      <c r="AG849" s="6"/>
      <c r="AH849" s="6"/>
      <c r="AI849" s="6"/>
      <c r="AJ849" s="6"/>
      <c r="AK849" s="6"/>
      <c r="AL849" s="6"/>
      <c r="AM849" s="6"/>
      <c r="AN849" s="6"/>
      <c r="AO849" s="6"/>
      <c r="AP849" s="6"/>
      <c r="AQ849" s="6"/>
      <c r="AR849" s="6"/>
      <c r="AS849" s="6"/>
    </row>
    <row r="850" spans="1:45" ht="40.5" hidden="1" x14ac:dyDescent="0.25">
      <c r="A850" s="33" t="s">
        <v>88</v>
      </c>
      <c r="B850" s="42">
        <v>821</v>
      </c>
      <c r="C850" s="33" t="s">
        <v>89</v>
      </c>
      <c r="D850" s="33" t="s">
        <v>3859</v>
      </c>
      <c r="E850" s="32"/>
      <c r="F850" s="54"/>
      <c r="G850" s="33" t="s">
        <v>3860</v>
      </c>
      <c r="H850" s="32"/>
      <c r="I850" s="33" t="s">
        <v>85</v>
      </c>
      <c r="J850" s="62" t="s">
        <v>3861</v>
      </c>
      <c r="K850" s="33" t="s">
        <v>43</v>
      </c>
      <c r="L850" s="33" t="s">
        <v>3197</v>
      </c>
      <c r="M850" s="63">
        <v>0</v>
      </c>
      <c r="N850" s="45"/>
      <c r="O850" s="117"/>
      <c r="P850" s="86"/>
      <c r="Q850" s="44">
        <f t="shared" si="720"/>
        <v>0</v>
      </c>
      <c r="R850" s="42">
        <v>0</v>
      </c>
      <c r="S850" s="32"/>
      <c r="T850" s="45"/>
      <c r="U850" s="32"/>
      <c r="V850" s="32"/>
      <c r="W850" s="49"/>
      <c r="X850" s="49">
        <f t="shared" ref="X850:Z850" si="856">N850-S850</f>
        <v>0</v>
      </c>
      <c r="Y850" s="49">
        <f t="shared" si="856"/>
        <v>0</v>
      </c>
      <c r="Z850" s="49">
        <f t="shared" si="856"/>
        <v>0</v>
      </c>
      <c r="AA850" s="54"/>
      <c r="AB850" s="54"/>
      <c r="AC850" s="2">
        <f t="shared" si="722"/>
        <v>2</v>
      </c>
      <c r="AD850" s="6"/>
      <c r="AE850" s="6"/>
      <c r="AF850" s="6"/>
      <c r="AG850" s="6"/>
      <c r="AH850" s="6"/>
      <c r="AI850" s="6"/>
      <c r="AJ850" s="6"/>
      <c r="AK850" s="6"/>
      <c r="AL850" s="6"/>
      <c r="AM850" s="6"/>
      <c r="AN850" s="6"/>
      <c r="AO850" s="6"/>
      <c r="AP850" s="6"/>
      <c r="AQ850" s="6"/>
      <c r="AR850" s="6"/>
      <c r="AS850" s="6"/>
    </row>
    <row r="851" spans="1:45" ht="31.5" hidden="1" x14ac:dyDescent="0.25">
      <c r="A851" s="33" t="s">
        <v>35</v>
      </c>
      <c r="B851" s="42">
        <v>825</v>
      </c>
      <c r="C851" s="33" t="s">
        <v>89</v>
      </c>
      <c r="D851" s="33" t="s">
        <v>1694</v>
      </c>
      <c r="E851" s="33" t="s">
        <v>1437</v>
      </c>
      <c r="F851" s="54"/>
      <c r="G851" s="33" t="s">
        <v>3862</v>
      </c>
      <c r="H851" s="33" t="s">
        <v>3863</v>
      </c>
      <c r="I851" s="32"/>
      <c r="J851" s="62" t="s">
        <v>3864</v>
      </c>
      <c r="K851" s="33" t="s">
        <v>43</v>
      </c>
      <c r="L851" s="33" t="s">
        <v>3865</v>
      </c>
      <c r="M851" s="63">
        <v>1083708020</v>
      </c>
      <c r="N851" s="63">
        <v>1129749824</v>
      </c>
      <c r="O851" s="63">
        <v>15000000</v>
      </c>
      <c r="P851" s="86"/>
      <c r="Q851" s="44">
        <f t="shared" si="720"/>
        <v>2228457844</v>
      </c>
      <c r="R851" s="65">
        <v>1083708020</v>
      </c>
      <c r="S851" s="48">
        <v>1129749824</v>
      </c>
      <c r="T851" s="44">
        <v>15000000</v>
      </c>
      <c r="U851" s="32"/>
      <c r="V851" s="32"/>
      <c r="W851" s="49"/>
      <c r="X851" s="49">
        <f t="shared" ref="X851:Z851" si="857">N851-S851</f>
        <v>0</v>
      </c>
      <c r="Y851" s="49">
        <f t="shared" si="857"/>
        <v>0</v>
      </c>
      <c r="Z851" s="49">
        <f t="shared" si="857"/>
        <v>0</v>
      </c>
      <c r="AA851" s="54"/>
      <c r="AB851" s="54"/>
      <c r="AC851" s="2">
        <f t="shared" si="722"/>
        <v>2</v>
      </c>
      <c r="AD851" s="6"/>
      <c r="AE851" s="6"/>
      <c r="AF851" s="6"/>
      <c r="AG851" s="6"/>
      <c r="AH851" s="6"/>
      <c r="AI851" s="6"/>
      <c r="AJ851" s="6"/>
      <c r="AK851" s="6"/>
      <c r="AL851" s="6"/>
      <c r="AM851" s="6"/>
      <c r="AN851" s="6"/>
      <c r="AO851" s="6"/>
      <c r="AP851" s="6"/>
      <c r="AQ851" s="6"/>
      <c r="AR851" s="6"/>
      <c r="AS851" s="6"/>
    </row>
    <row r="852" spans="1:45" ht="47.25" hidden="1" x14ac:dyDescent="0.25">
      <c r="A852" s="33" t="s">
        <v>88</v>
      </c>
      <c r="B852" s="42">
        <v>827</v>
      </c>
      <c r="C852" s="33" t="s">
        <v>89</v>
      </c>
      <c r="D852" s="33" t="s">
        <v>3866</v>
      </c>
      <c r="E852" s="32"/>
      <c r="F852" s="54"/>
      <c r="G852" s="33" t="s">
        <v>3867</v>
      </c>
      <c r="H852" s="32"/>
      <c r="I852" s="32"/>
      <c r="J852" s="62" t="s">
        <v>3868</v>
      </c>
      <c r="K852" s="33" t="s">
        <v>43</v>
      </c>
      <c r="L852" s="33" t="s">
        <v>3869</v>
      </c>
      <c r="M852" s="63">
        <v>6071608000</v>
      </c>
      <c r="N852" s="45"/>
      <c r="O852" s="63">
        <v>15000000</v>
      </c>
      <c r="P852" s="86"/>
      <c r="Q852" s="44">
        <f t="shared" si="720"/>
        <v>6086608000</v>
      </c>
      <c r="R852" s="65">
        <v>6071608000</v>
      </c>
      <c r="S852" s="32"/>
      <c r="T852" s="44">
        <v>15000000</v>
      </c>
      <c r="U852" s="32"/>
      <c r="V852" s="32"/>
      <c r="W852" s="49"/>
      <c r="X852" s="49">
        <f t="shared" ref="X852:Z852" si="858">N852-S852</f>
        <v>0</v>
      </c>
      <c r="Y852" s="49">
        <f t="shared" si="858"/>
        <v>0</v>
      </c>
      <c r="Z852" s="49">
        <f t="shared" si="858"/>
        <v>0</v>
      </c>
      <c r="AA852" s="54"/>
      <c r="AB852" s="54"/>
      <c r="AC852" s="2">
        <f t="shared" si="722"/>
        <v>2</v>
      </c>
      <c r="AD852" s="6"/>
      <c r="AE852" s="6"/>
      <c r="AF852" s="6"/>
      <c r="AG852" s="6"/>
      <c r="AH852" s="6"/>
      <c r="AI852" s="6"/>
      <c r="AJ852" s="6"/>
      <c r="AK852" s="6"/>
      <c r="AL852" s="6"/>
      <c r="AM852" s="6"/>
      <c r="AN852" s="6"/>
      <c r="AO852" s="6"/>
      <c r="AP852" s="6"/>
      <c r="AQ852" s="6"/>
      <c r="AR852" s="6"/>
      <c r="AS852" s="6"/>
    </row>
    <row r="853" spans="1:45" ht="78" hidden="1" customHeight="1" x14ac:dyDescent="0.25">
      <c r="A853" s="33" t="s">
        <v>88</v>
      </c>
      <c r="B853" s="42">
        <v>829</v>
      </c>
      <c r="C853" s="33" t="s">
        <v>89</v>
      </c>
      <c r="D853" s="33" t="s">
        <v>3870</v>
      </c>
      <c r="E853" s="32"/>
      <c r="F853" s="54"/>
      <c r="G853" s="33" t="s">
        <v>3871</v>
      </c>
      <c r="H853" s="32"/>
      <c r="I853" s="32"/>
      <c r="J853" s="62" t="s">
        <v>3872</v>
      </c>
      <c r="K853" s="33" t="s">
        <v>43</v>
      </c>
      <c r="L853" s="33" t="s">
        <v>293</v>
      </c>
      <c r="M853" s="63">
        <v>1108965112</v>
      </c>
      <c r="N853" s="45"/>
      <c r="O853" s="63">
        <v>15000000</v>
      </c>
      <c r="P853" s="86"/>
      <c r="Q853" s="44">
        <f t="shared" si="720"/>
        <v>1123965112</v>
      </c>
      <c r="R853" s="65">
        <v>1108965112</v>
      </c>
      <c r="S853" s="32"/>
      <c r="T853" s="44">
        <v>15000000</v>
      </c>
      <c r="U853" s="32"/>
      <c r="V853" s="32"/>
      <c r="W853" s="49"/>
      <c r="X853" s="49">
        <f t="shared" ref="X853:Z853" si="859">N853-S853</f>
        <v>0</v>
      </c>
      <c r="Y853" s="49">
        <f t="shared" si="859"/>
        <v>0</v>
      </c>
      <c r="Z853" s="49">
        <f t="shared" si="859"/>
        <v>0</v>
      </c>
      <c r="AA853" s="54"/>
      <c r="AB853" s="54"/>
      <c r="AC853" s="2">
        <f t="shared" si="722"/>
        <v>2</v>
      </c>
      <c r="AD853" s="6"/>
      <c r="AE853" s="6"/>
      <c r="AF853" s="6"/>
      <c r="AG853" s="6"/>
      <c r="AH853" s="6"/>
      <c r="AI853" s="6"/>
      <c r="AJ853" s="6"/>
      <c r="AK853" s="6"/>
      <c r="AL853" s="6"/>
      <c r="AM853" s="6"/>
      <c r="AN853" s="6"/>
      <c r="AO853" s="6"/>
      <c r="AP853" s="6"/>
      <c r="AQ853" s="6"/>
      <c r="AR853" s="6"/>
      <c r="AS853" s="6"/>
    </row>
    <row r="854" spans="1:45" ht="40.5" hidden="1" x14ac:dyDescent="0.25">
      <c r="A854" s="33" t="s">
        <v>88</v>
      </c>
      <c r="B854" s="42">
        <v>830</v>
      </c>
      <c r="C854" s="33" t="s">
        <v>89</v>
      </c>
      <c r="D854" s="33" t="s">
        <v>3873</v>
      </c>
      <c r="E854" s="32"/>
      <c r="F854" s="54"/>
      <c r="G854" s="33" t="s">
        <v>3874</v>
      </c>
      <c r="H854" s="32"/>
      <c r="I854" s="32"/>
      <c r="J854" s="62" t="s">
        <v>2885</v>
      </c>
      <c r="K854" s="33" t="s">
        <v>43</v>
      </c>
      <c r="L854" s="33" t="s">
        <v>3875</v>
      </c>
      <c r="M854" s="63">
        <v>2946358656</v>
      </c>
      <c r="N854" s="45"/>
      <c r="O854" s="63">
        <v>15000000</v>
      </c>
      <c r="P854" s="86"/>
      <c r="Q854" s="44">
        <f t="shared" si="720"/>
        <v>2961358656</v>
      </c>
      <c r="R854" s="65">
        <v>2946358656</v>
      </c>
      <c r="S854" s="32"/>
      <c r="T854" s="44">
        <v>15000000</v>
      </c>
      <c r="U854" s="32"/>
      <c r="V854" s="32"/>
      <c r="W854" s="49"/>
      <c r="X854" s="49">
        <f t="shared" ref="X854:Z854" si="860">N854-S854</f>
        <v>0</v>
      </c>
      <c r="Y854" s="49">
        <f t="shared" si="860"/>
        <v>0</v>
      </c>
      <c r="Z854" s="49">
        <f t="shared" si="860"/>
        <v>0</v>
      </c>
      <c r="AA854" s="54"/>
      <c r="AB854" s="54"/>
      <c r="AC854" s="2">
        <f t="shared" si="722"/>
        <v>2</v>
      </c>
      <c r="AD854" s="6"/>
      <c r="AE854" s="6"/>
      <c r="AF854" s="6"/>
      <c r="AG854" s="6"/>
      <c r="AH854" s="6"/>
      <c r="AI854" s="6"/>
      <c r="AJ854" s="6"/>
      <c r="AK854" s="6"/>
      <c r="AL854" s="6"/>
      <c r="AM854" s="6"/>
      <c r="AN854" s="6"/>
      <c r="AO854" s="6"/>
      <c r="AP854" s="6"/>
      <c r="AQ854" s="6"/>
      <c r="AR854" s="6"/>
      <c r="AS854" s="6"/>
    </row>
    <row r="855" spans="1:45" ht="47.25" hidden="1" x14ac:dyDescent="0.25">
      <c r="A855" s="33" t="s">
        <v>275</v>
      </c>
      <c r="B855" s="42">
        <v>832</v>
      </c>
      <c r="C855" s="33" t="s">
        <v>89</v>
      </c>
      <c r="D855" s="33" t="s">
        <v>3876</v>
      </c>
      <c r="E855" s="33" t="s">
        <v>906</v>
      </c>
      <c r="F855" s="54"/>
      <c r="G855" s="33" t="s">
        <v>3877</v>
      </c>
      <c r="H855" s="32"/>
      <c r="I855" s="32"/>
      <c r="J855" s="62" t="s">
        <v>3878</v>
      </c>
      <c r="K855" s="33" t="s">
        <v>43</v>
      </c>
      <c r="L855" s="33" t="s">
        <v>911</v>
      </c>
      <c r="M855" s="63">
        <v>10000000</v>
      </c>
      <c r="N855" s="63">
        <v>624471036</v>
      </c>
      <c r="O855" s="63">
        <v>15000000</v>
      </c>
      <c r="P855" s="86"/>
      <c r="Q855" s="44">
        <f t="shared" si="720"/>
        <v>649471036</v>
      </c>
      <c r="R855" s="65">
        <v>10000000</v>
      </c>
      <c r="S855" s="65">
        <v>624471036</v>
      </c>
      <c r="T855" s="45">
        <v>15000000</v>
      </c>
      <c r="U855" s="32"/>
      <c r="V855" s="32"/>
      <c r="W855" s="49"/>
      <c r="X855" s="49">
        <f t="shared" ref="X855:Z855" si="861">N855-S855</f>
        <v>0</v>
      </c>
      <c r="Y855" s="49">
        <f t="shared" si="861"/>
        <v>0</v>
      </c>
      <c r="Z855" s="49">
        <f t="shared" si="861"/>
        <v>0</v>
      </c>
      <c r="AA855" s="54"/>
      <c r="AB855" s="54"/>
      <c r="AC855" s="2">
        <f t="shared" si="722"/>
        <v>2</v>
      </c>
      <c r="AD855" s="6"/>
      <c r="AE855" s="6"/>
      <c r="AF855" s="6"/>
      <c r="AG855" s="6"/>
      <c r="AH855" s="6"/>
      <c r="AI855" s="6"/>
      <c r="AJ855" s="6"/>
      <c r="AK855" s="6"/>
      <c r="AL855" s="6"/>
      <c r="AM855" s="6"/>
      <c r="AN855" s="6"/>
      <c r="AO855" s="6"/>
      <c r="AP855" s="6"/>
      <c r="AQ855" s="6"/>
      <c r="AR855" s="6"/>
      <c r="AS855" s="6"/>
    </row>
    <row r="856" spans="1:45" ht="31.5" hidden="1" x14ac:dyDescent="0.25">
      <c r="A856" s="33" t="s">
        <v>275</v>
      </c>
      <c r="B856" s="42">
        <v>833</v>
      </c>
      <c r="C856" s="33" t="s">
        <v>89</v>
      </c>
      <c r="D856" s="33" t="s">
        <v>3879</v>
      </c>
      <c r="E856" s="33" t="s">
        <v>3880</v>
      </c>
      <c r="F856" s="54"/>
      <c r="G856" s="33" t="s">
        <v>3881</v>
      </c>
      <c r="H856" s="33" t="s">
        <v>3882</v>
      </c>
      <c r="I856" s="33"/>
      <c r="J856" s="33" t="s">
        <v>3883</v>
      </c>
      <c r="K856" s="33" t="s">
        <v>43</v>
      </c>
      <c r="L856" s="33" t="s">
        <v>3865</v>
      </c>
      <c r="M856" s="44">
        <v>10000000</v>
      </c>
      <c r="N856" s="44">
        <v>325771956</v>
      </c>
      <c r="O856" s="44">
        <v>15000000</v>
      </c>
      <c r="P856" s="86"/>
      <c r="Q856" s="44">
        <f t="shared" si="720"/>
        <v>350771956</v>
      </c>
      <c r="R856" s="32"/>
      <c r="S856" s="33"/>
      <c r="T856" s="66"/>
      <c r="U856" s="32"/>
      <c r="V856" s="32"/>
      <c r="W856" s="49">
        <v>10000000</v>
      </c>
      <c r="X856" s="52">
        <f t="shared" ref="X856:Z856" si="862">N856-S856</f>
        <v>325771956</v>
      </c>
      <c r="Y856" s="52">
        <f t="shared" si="862"/>
        <v>15000000</v>
      </c>
      <c r="Z856" s="49">
        <f t="shared" si="862"/>
        <v>0</v>
      </c>
      <c r="AA856" s="69">
        <v>10000000</v>
      </c>
      <c r="AB856" s="43"/>
      <c r="AC856" s="15">
        <f t="shared" si="722"/>
        <v>2</v>
      </c>
      <c r="AD856" s="15"/>
      <c r="AE856" s="6"/>
      <c r="AF856" s="6"/>
      <c r="AG856" s="6"/>
      <c r="AH856" s="6"/>
      <c r="AI856" s="6"/>
      <c r="AJ856" s="6"/>
      <c r="AK856" s="6"/>
      <c r="AL856" s="6"/>
      <c r="AM856" s="6"/>
      <c r="AN856" s="6"/>
      <c r="AO856" s="6"/>
      <c r="AP856" s="6"/>
      <c r="AQ856" s="6"/>
      <c r="AR856" s="6"/>
      <c r="AS856" s="6"/>
    </row>
    <row r="857" spans="1:45" ht="62.25" hidden="1" customHeight="1" x14ac:dyDescent="0.25">
      <c r="A857" s="33" t="s">
        <v>275</v>
      </c>
      <c r="B857" s="42">
        <v>834</v>
      </c>
      <c r="C857" s="33" t="s">
        <v>89</v>
      </c>
      <c r="D857" s="33" t="s">
        <v>3884</v>
      </c>
      <c r="E857" s="32"/>
      <c r="F857" s="54"/>
      <c r="G857" s="33" t="s">
        <v>3885</v>
      </c>
      <c r="H857" s="32"/>
      <c r="I857" s="32"/>
      <c r="J857" s="62" t="s">
        <v>3886</v>
      </c>
      <c r="K857" s="33" t="s">
        <v>43</v>
      </c>
      <c r="L857" s="33" t="s">
        <v>3887</v>
      </c>
      <c r="M857" s="63">
        <v>2547765012</v>
      </c>
      <c r="N857" s="45"/>
      <c r="O857" s="63">
        <v>15000000</v>
      </c>
      <c r="P857" s="86"/>
      <c r="Q857" s="44">
        <f t="shared" si="720"/>
        <v>2562765012</v>
      </c>
      <c r="R857" s="65">
        <v>2547765012</v>
      </c>
      <c r="S857" s="32"/>
      <c r="T857" s="44">
        <v>15000000</v>
      </c>
      <c r="U857" s="32"/>
      <c r="V857" s="32"/>
      <c r="W857" s="49"/>
      <c r="X857" s="49">
        <f t="shared" ref="X857:Z857" si="863">N857-S857</f>
        <v>0</v>
      </c>
      <c r="Y857" s="49">
        <f t="shared" si="863"/>
        <v>0</v>
      </c>
      <c r="Z857" s="49">
        <f t="shared" si="863"/>
        <v>0</v>
      </c>
      <c r="AA857" s="54"/>
      <c r="AB857" s="54"/>
      <c r="AC857" s="2">
        <f t="shared" si="722"/>
        <v>2</v>
      </c>
      <c r="AD857" s="6"/>
      <c r="AE857" s="6"/>
      <c r="AF857" s="6"/>
      <c r="AG857" s="6"/>
      <c r="AH857" s="6"/>
      <c r="AI857" s="6"/>
      <c r="AJ857" s="6"/>
      <c r="AK857" s="6"/>
      <c r="AL857" s="6"/>
      <c r="AM857" s="6"/>
      <c r="AN857" s="6"/>
      <c r="AO857" s="6"/>
      <c r="AP857" s="6"/>
      <c r="AQ857" s="6"/>
      <c r="AR857" s="6"/>
      <c r="AS857" s="6"/>
    </row>
    <row r="858" spans="1:45" ht="62.25" hidden="1" customHeight="1" x14ac:dyDescent="0.25">
      <c r="A858" s="33" t="s">
        <v>275</v>
      </c>
      <c r="B858" s="42">
        <v>835</v>
      </c>
      <c r="C858" s="33" t="s">
        <v>89</v>
      </c>
      <c r="D858" s="33" t="s">
        <v>3888</v>
      </c>
      <c r="E858" s="32"/>
      <c r="F858" s="54"/>
      <c r="G858" s="33" t="s">
        <v>3889</v>
      </c>
      <c r="H858" s="32"/>
      <c r="I858" s="32"/>
      <c r="J858" s="62" t="s">
        <v>3890</v>
      </c>
      <c r="K858" s="33" t="s">
        <v>43</v>
      </c>
      <c r="L858" s="33" t="s">
        <v>212</v>
      </c>
      <c r="M858" s="63">
        <v>2743648019</v>
      </c>
      <c r="N858" s="45"/>
      <c r="O858" s="63">
        <v>15000000</v>
      </c>
      <c r="P858" s="86"/>
      <c r="Q858" s="44">
        <f t="shared" si="720"/>
        <v>2758648019</v>
      </c>
      <c r="R858" s="65">
        <v>2743648019</v>
      </c>
      <c r="S858" s="32"/>
      <c r="T858" s="44">
        <v>15000000</v>
      </c>
      <c r="U858" s="32"/>
      <c r="V858" s="32"/>
      <c r="W858" s="49"/>
      <c r="X858" s="49">
        <f t="shared" ref="X858:Z858" si="864">N858-S858</f>
        <v>0</v>
      </c>
      <c r="Y858" s="49">
        <f t="shared" si="864"/>
        <v>0</v>
      </c>
      <c r="Z858" s="49">
        <f t="shared" si="864"/>
        <v>0</v>
      </c>
      <c r="AA858" s="54"/>
      <c r="AB858" s="54"/>
      <c r="AC858" s="2">
        <f t="shared" si="722"/>
        <v>2</v>
      </c>
      <c r="AD858" s="6"/>
      <c r="AE858" s="6"/>
      <c r="AF858" s="6"/>
      <c r="AG858" s="6"/>
      <c r="AH858" s="6"/>
      <c r="AI858" s="6"/>
      <c r="AJ858" s="6"/>
      <c r="AK858" s="6"/>
      <c r="AL858" s="6"/>
      <c r="AM858" s="6"/>
      <c r="AN858" s="6"/>
      <c r="AO858" s="6"/>
      <c r="AP858" s="6"/>
      <c r="AQ858" s="6"/>
      <c r="AR858" s="6"/>
      <c r="AS858" s="6"/>
    </row>
    <row r="859" spans="1:45" ht="47.25" hidden="1" x14ac:dyDescent="0.25">
      <c r="A859" s="33" t="s">
        <v>275</v>
      </c>
      <c r="B859" s="42">
        <v>836</v>
      </c>
      <c r="C859" s="33" t="s">
        <v>89</v>
      </c>
      <c r="D859" s="33" t="s">
        <v>3891</v>
      </c>
      <c r="E859" s="32"/>
      <c r="F859" s="54"/>
      <c r="G859" s="33" t="s">
        <v>3892</v>
      </c>
      <c r="H859" s="32"/>
      <c r="I859" s="32"/>
      <c r="J859" s="62" t="s">
        <v>3893</v>
      </c>
      <c r="K859" s="33" t="s">
        <v>43</v>
      </c>
      <c r="L859" s="33" t="s">
        <v>3894</v>
      </c>
      <c r="M859" s="63">
        <v>1011264694</v>
      </c>
      <c r="N859" s="45"/>
      <c r="O859" s="63">
        <v>7500000</v>
      </c>
      <c r="P859" s="86"/>
      <c r="Q859" s="44">
        <f t="shared" si="720"/>
        <v>1018764694</v>
      </c>
      <c r="R859" s="65">
        <v>1011264694</v>
      </c>
      <c r="S859" s="32"/>
      <c r="T859" s="63">
        <v>7500000</v>
      </c>
      <c r="U859" s="32"/>
      <c r="V859" s="32"/>
      <c r="W859" s="49"/>
      <c r="X859" s="49">
        <f t="shared" ref="X859:Z859" si="865">N859-S859</f>
        <v>0</v>
      </c>
      <c r="Y859" s="49">
        <f t="shared" si="865"/>
        <v>0</v>
      </c>
      <c r="Z859" s="49">
        <f t="shared" si="865"/>
        <v>0</v>
      </c>
      <c r="AA859" s="54"/>
      <c r="AB859" s="54"/>
      <c r="AC859" s="2">
        <f t="shared" si="722"/>
        <v>2</v>
      </c>
      <c r="AD859" s="6"/>
      <c r="AE859" s="6"/>
      <c r="AF859" s="6"/>
      <c r="AG859" s="6"/>
      <c r="AH859" s="6"/>
      <c r="AI859" s="6"/>
      <c r="AJ859" s="6"/>
      <c r="AK859" s="6"/>
      <c r="AL859" s="6"/>
      <c r="AM859" s="6"/>
      <c r="AN859" s="6"/>
      <c r="AO859" s="6"/>
      <c r="AP859" s="6"/>
      <c r="AQ859" s="6"/>
      <c r="AR859" s="6"/>
      <c r="AS859" s="6"/>
    </row>
    <row r="860" spans="1:45" ht="47.25" hidden="1" x14ac:dyDescent="0.25">
      <c r="A860" s="33" t="s">
        <v>275</v>
      </c>
      <c r="B860" s="42">
        <v>837</v>
      </c>
      <c r="C860" s="33" t="s">
        <v>89</v>
      </c>
      <c r="D860" s="33" t="s">
        <v>3895</v>
      </c>
      <c r="E860" s="33" t="s">
        <v>3788</v>
      </c>
      <c r="F860" s="54"/>
      <c r="G860" s="33" t="s">
        <v>3896</v>
      </c>
      <c r="H860" s="33" t="s">
        <v>3897</v>
      </c>
      <c r="I860" s="32"/>
      <c r="J860" s="62" t="s">
        <v>3898</v>
      </c>
      <c r="K860" s="33" t="s">
        <v>43</v>
      </c>
      <c r="L860" s="33" t="s">
        <v>3899</v>
      </c>
      <c r="M860" s="63">
        <v>584627066</v>
      </c>
      <c r="N860" s="63">
        <v>143656766</v>
      </c>
      <c r="O860" s="63">
        <v>15000000</v>
      </c>
      <c r="P860" s="86"/>
      <c r="Q860" s="44">
        <f t="shared" si="720"/>
        <v>743283832</v>
      </c>
      <c r="R860" s="65">
        <v>584627066</v>
      </c>
      <c r="S860" s="65">
        <v>143656766</v>
      </c>
      <c r="T860" s="63">
        <v>15000000</v>
      </c>
      <c r="U860" s="32"/>
      <c r="V860" s="32"/>
      <c r="W860" s="49"/>
      <c r="X860" s="49">
        <f t="shared" ref="X860:Z860" si="866">N860-S860</f>
        <v>0</v>
      </c>
      <c r="Y860" s="49">
        <f t="shared" si="866"/>
        <v>0</v>
      </c>
      <c r="Z860" s="49">
        <f t="shared" si="866"/>
        <v>0</v>
      </c>
      <c r="AA860" s="54"/>
      <c r="AB860" s="54"/>
      <c r="AC860" s="2">
        <f t="shared" si="722"/>
        <v>2</v>
      </c>
      <c r="AD860" s="6"/>
      <c r="AE860" s="6"/>
      <c r="AF860" s="6"/>
      <c r="AG860" s="6"/>
      <c r="AH860" s="6"/>
      <c r="AI860" s="6"/>
      <c r="AJ860" s="6"/>
      <c r="AK860" s="6"/>
      <c r="AL860" s="6"/>
      <c r="AM860" s="6"/>
      <c r="AN860" s="6"/>
      <c r="AO860" s="6"/>
      <c r="AP860" s="6"/>
      <c r="AQ860" s="6"/>
      <c r="AR860" s="6"/>
      <c r="AS860" s="6"/>
    </row>
    <row r="861" spans="1:45" ht="62.25" hidden="1" customHeight="1" x14ac:dyDescent="0.3">
      <c r="A861" s="33" t="s">
        <v>275</v>
      </c>
      <c r="B861" s="42">
        <v>839</v>
      </c>
      <c r="C861" s="33" t="s">
        <v>89</v>
      </c>
      <c r="D861" s="33" t="s">
        <v>3900</v>
      </c>
      <c r="E861" s="33" t="s">
        <v>3445</v>
      </c>
      <c r="F861" s="54"/>
      <c r="G861" s="33"/>
      <c r="H861" s="33"/>
      <c r="I861" s="33" t="s">
        <v>3901</v>
      </c>
      <c r="J861" s="33" t="s">
        <v>3902</v>
      </c>
      <c r="K861" s="33" t="s">
        <v>43</v>
      </c>
      <c r="L861" s="33" t="s">
        <v>212</v>
      </c>
      <c r="M861" s="63">
        <v>10000000</v>
      </c>
      <c r="N861" s="45"/>
      <c r="O861" s="44">
        <v>15000000</v>
      </c>
      <c r="P861" s="86"/>
      <c r="Q861" s="44">
        <f t="shared" si="720"/>
        <v>25000000</v>
      </c>
      <c r="R861" s="32"/>
      <c r="S861" s="32"/>
      <c r="T861" s="66"/>
      <c r="U861" s="32"/>
      <c r="V861" s="32"/>
      <c r="W861" s="49">
        <v>10000000</v>
      </c>
      <c r="X861" s="49">
        <f t="shared" ref="X861:Z861" si="867">N861-S861</f>
        <v>0</v>
      </c>
      <c r="Y861" s="52">
        <f t="shared" si="867"/>
        <v>15000000</v>
      </c>
      <c r="Z861" s="49">
        <f t="shared" si="867"/>
        <v>0</v>
      </c>
      <c r="AA861" s="98">
        <v>10000000</v>
      </c>
      <c r="AB861" s="43"/>
      <c r="AC861" s="15">
        <f t="shared" si="722"/>
        <v>1</v>
      </c>
      <c r="AD861" s="15"/>
      <c r="AE861" s="6"/>
      <c r="AF861" s="6"/>
      <c r="AG861" s="6"/>
      <c r="AH861" s="6"/>
      <c r="AI861" s="6"/>
      <c r="AJ861" s="6"/>
      <c r="AK861" s="6"/>
      <c r="AL861" s="6"/>
      <c r="AM861" s="6"/>
      <c r="AN861" s="6"/>
      <c r="AO861" s="6"/>
      <c r="AP861" s="6"/>
      <c r="AQ861" s="6"/>
      <c r="AR861" s="6"/>
      <c r="AS861" s="6"/>
    </row>
    <row r="862" spans="1:45" ht="73.5" hidden="1" customHeight="1" x14ac:dyDescent="0.25">
      <c r="A862" s="33" t="s">
        <v>275</v>
      </c>
      <c r="B862" s="42">
        <v>840</v>
      </c>
      <c r="C862" s="33" t="s">
        <v>89</v>
      </c>
      <c r="D862" s="33" t="s">
        <v>3903</v>
      </c>
      <c r="E862" s="32"/>
      <c r="F862" s="54"/>
      <c r="G862" s="33" t="s">
        <v>3904</v>
      </c>
      <c r="H862" s="32"/>
      <c r="I862" s="32"/>
      <c r="J862" s="62" t="s">
        <v>3905</v>
      </c>
      <c r="K862" s="33" t="s">
        <v>43</v>
      </c>
      <c r="L862" s="33" t="s">
        <v>3906</v>
      </c>
      <c r="M862" s="63">
        <v>2056824640</v>
      </c>
      <c r="N862" s="45"/>
      <c r="O862" s="63">
        <v>15000000</v>
      </c>
      <c r="P862" s="86"/>
      <c r="Q862" s="44">
        <f t="shared" si="720"/>
        <v>2071824640</v>
      </c>
      <c r="R862" s="65">
        <v>2056824640</v>
      </c>
      <c r="S862" s="32"/>
      <c r="T862" s="63">
        <v>15000000</v>
      </c>
      <c r="U862" s="32"/>
      <c r="V862" s="32"/>
      <c r="W862" s="49"/>
      <c r="X862" s="49">
        <f t="shared" ref="X862:Z862" si="868">N862-S862</f>
        <v>0</v>
      </c>
      <c r="Y862" s="49">
        <f t="shared" si="868"/>
        <v>0</v>
      </c>
      <c r="Z862" s="49">
        <f t="shared" si="868"/>
        <v>0</v>
      </c>
      <c r="AA862" s="54"/>
      <c r="AB862" s="54"/>
      <c r="AC862" s="2">
        <f t="shared" si="722"/>
        <v>2</v>
      </c>
      <c r="AD862" s="6"/>
      <c r="AE862" s="6"/>
      <c r="AF862" s="6"/>
      <c r="AG862" s="6"/>
      <c r="AH862" s="6"/>
      <c r="AI862" s="6"/>
      <c r="AJ862" s="6"/>
      <c r="AK862" s="6"/>
      <c r="AL862" s="6"/>
      <c r="AM862" s="6"/>
      <c r="AN862" s="6"/>
      <c r="AO862" s="6"/>
      <c r="AP862" s="6"/>
      <c r="AQ862" s="6"/>
      <c r="AR862" s="6"/>
      <c r="AS862" s="6"/>
    </row>
    <row r="863" spans="1:45" ht="69" hidden="1" customHeight="1" x14ac:dyDescent="0.3">
      <c r="A863" s="33" t="s">
        <v>275</v>
      </c>
      <c r="B863" s="42">
        <v>841</v>
      </c>
      <c r="C863" s="33" t="s">
        <v>89</v>
      </c>
      <c r="D863" s="33" t="s">
        <v>3907</v>
      </c>
      <c r="E863" s="33"/>
      <c r="F863" s="54"/>
      <c r="G863" s="33" t="s">
        <v>3908</v>
      </c>
      <c r="H863" s="33"/>
      <c r="I863" s="33"/>
      <c r="J863" s="33" t="s">
        <v>3909</v>
      </c>
      <c r="K863" s="33" t="s">
        <v>43</v>
      </c>
      <c r="L863" s="33" t="s">
        <v>745</v>
      </c>
      <c r="M863" s="63">
        <v>4969395064</v>
      </c>
      <c r="N863" s="45"/>
      <c r="O863" s="44">
        <v>15000000</v>
      </c>
      <c r="P863" s="86"/>
      <c r="Q863" s="44">
        <f t="shared" si="720"/>
        <v>4984395064</v>
      </c>
      <c r="R863" s="32"/>
      <c r="S863" s="32"/>
      <c r="T863" s="66"/>
      <c r="U863" s="32"/>
      <c r="V863" s="32"/>
      <c r="W863" s="49">
        <v>4969395064</v>
      </c>
      <c r="X863" s="49">
        <f t="shared" ref="X863:Z863" si="869">N863-S863</f>
        <v>0</v>
      </c>
      <c r="Y863" s="52">
        <f t="shared" si="869"/>
        <v>15000000</v>
      </c>
      <c r="Z863" s="49">
        <f t="shared" si="869"/>
        <v>0</v>
      </c>
      <c r="AA863" s="98">
        <v>4969395064</v>
      </c>
      <c r="AB863" s="43"/>
      <c r="AC863" s="15">
        <f t="shared" si="722"/>
        <v>2</v>
      </c>
      <c r="AD863" s="15"/>
      <c r="AE863" s="6"/>
      <c r="AF863" s="6"/>
      <c r="AG863" s="6"/>
      <c r="AH863" s="6"/>
      <c r="AI863" s="6"/>
      <c r="AJ863" s="6"/>
      <c r="AK863" s="6"/>
      <c r="AL863" s="6"/>
      <c r="AM863" s="6"/>
      <c r="AN863" s="6"/>
      <c r="AO863" s="6"/>
      <c r="AP863" s="6"/>
      <c r="AQ863" s="6"/>
      <c r="AR863" s="6"/>
      <c r="AS863" s="6"/>
    </row>
    <row r="864" spans="1:45" ht="47.25" hidden="1" x14ac:dyDescent="0.25">
      <c r="A864" s="33" t="s">
        <v>275</v>
      </c>
      <c r="B864" s="42">
        <v>842</v>
      </c>
      <c r="C864" s="33" t="s">
        <v>89</v>
      </c>
      <c r="D864" s="33" t="s">
        <v>3910</v>
      </c>
      <c r="E864" s="32"/>
      <c r="F864" s="54"/>
      <c r="G864" s="33" t="s">
        <v>3911</v>
      </c>
      <c r="H864" s="32"/>
      <c r="I864" s="32"/>
      <c r="J864" s="62" t="s">
        <v>3912</v>
      </c>
      <c r="K864" s="33" t="s">
        <v>43</v>
      </c>
      <c r="L864" s="33" t="s">
        <v>3913</v>
      </c>
      <c r="M864" s="63">
        <v>899231594</v>
      </c>
      <c r="N864" s="45"/>
      <c r="O864" s="63">
        <v>15000000</v>
      </c>
      <c r="P864" s="86"/>
      <c r="Q864" s="44">
        <f t="shared" si="720"/>
        <v>914231594</v>
      </c>
      <c r="R864" s="65">
        <v>899231594</v>
      </c>
      <c r="S864" s="32"/>
      <c r="T864" s="63">
        <v>15000000</v>
      </c>
      <c r="U864" s="32"/>
      <c r="V864" s="32"/>
      <c r="W864" s="49"/>
      <c r="X864" s="49">
        <f t="shared" ref="X864:Z864" si="870">N864-S864</f>
        <v>0</v>
      </c>
      <c r="Y864" s="49">
        <f t="shared" si="870"/>
        <v>0</v>
      </c>
      <c r="Z864" s="49">
        <f t="shared" si="870"/>
        <v>0</v>
      </c>
      <c r="AA864" s="54"/>
      <c r="AB864" s="54"/>
      <c r="AC864" s="2">
        <f t="shared" si="722"/>
        <v>2</v>
      </c>
      <c r="AD864" s="6"/>
      <c r="AE864" s="6"/>
      <c r="AF864" s="6"/>
      <c r="AG864" s="6"/>
      <c r="AH864" s="6"/>
      <c r="AI864" s="6"/>
      <c r="AJ864" s="6"/>
      <c r="AK864" s="6"/>
      <c r="AL864" s="6"/>
      <c r="AM864" s="6"/>
      <c r="AN864" s="6"/>
      <c r="AO864" s="6"/>
      <c r="AP864" s="6"/>
      <c r="AQ864" s="6"/>
      <c r="AR864" s="6"/>
      <c r="AS864" s="6"/>
    </row>
    <row r="865" spans="1:45" ht="94.5" hidden="1" x14ac:dyDescent="0.3">
      <c r="A865" s="33" t="s">
        <v>275</v>
      </c>
      <c r="B865" s="42">
        <v>844</v>
      </c>
      <c r="C865" s="33" t="s">
        <v>89</v>
      </c>
      <c r="D865" s="33" t="s">
        <v>3914</v>
      </c>
      <c r="E865" s="33"/>
      <c r="F865" s="54"/>
      <c r="G865" s="33" t="s">
        <v>3915</v>
      </c>
      <c r="H865" s="33"/>
      <c r="I865" s="33" t="s">
        <v>113</v>
      </c>
      <c r="J865" s="33" t="s">
        <v>3916</v>
      </c>
      <c r="K865" s="33" t="s">
        <v>43</v>
      </c>
      <c r="L865" s="33" t="s">
        <v>212</v>
      </c>
      <c r="M865" s="63">
        <v>10000000</v>
      </c>
      <c r="N865" s="45"/>
      <c r="O865" s="44">
        <v>15000000</v>
      </c>
      <c r="P865" s="86"/>
      <c r="Q865" s="44">
        <f t="shared" si="720"/>
        <v>25000000</v>
      </c>
      <c r="R865" s="32"/>
      <c r="S865" s="32"/>
      <c r="T865" s="66"/>
      <c r="U865" s="32"/>
      <c r="V865" s="32"/>
      <c r="W865" s="49">
        <v>10000000</v>
      </c>
      <c r="X865" s="49">
        <f t="shared" ref="X865:Z865" si="871">N865-S865</f>
        <v>0</v>
      </c>
      <c r="Y865" s="52">
        <f t="shared" si="871"/>
        <v>15000000</v>
      </c>
      <c r="Z865" s="49">
        <f t="shared" si="871"/>
        <v>0</v>
      </c>
      <c r="AA865" s="98">
        <v>10000000</v>
      </c>
      <c r="AB865" s="43"/>
      <c r="AC865" s="15">
        <f t="shared" si="722"/>
        <v>2</v>
      </c>
      <c r="AD865" s="15"/>
      <c r="AE865" s="6"/>
      <c r="AF865" s="6"/>
      <c r="AG865" s="6"/>
      <c r="AH865" s="6"/>
      <c r="AI865" s="6"/>
      <c r="AJ865" s="6"/>
      <c r="AK865" s="6"/>
      <c r="AL865" s="6"/>
      <c r="AM865" s="6"/>
      <c r="AN865" s="6"/>
      <c r="AO865" s="6"/>
      <c r="AP865" s="6"/>
      <c r="AQ865" s="6"/>
      <c r="AR865" s="6"/>
      <c r="AS865" s="6"/>
    </row>
    <row r="866" spans="1:45" ht="47.25" hidden="1" x14ac:dyDescent="0.25">
      <c r="A866" s="33" t="s">
        <v>275</v>
      </c>
      <c r="B866" s="42">
        <v>845</v>
      </c>
      <c r="C866" s="33" t="s">
        <v>89</v>
      </c>
      <c r="D866" s="33" t="s">
        <v>3917</v>
      </c>
      <c r="E866" s="33" t="s">
        <v>1453</v>
      </c>
      <c r="F866" s="54"/>
      <c r="G866" s="33" t="s">
        <v>3918</v>
      </c>
      <c r="H866" s="33" t="s">
        <v>3919</v>
      </c>
      <c r="I866" s="32"/>
      <c r="J866" s="62" t="s">
        <v>3920</v>
      </c>
      <c r="K866" s="33" t="s">
        <v>43</v>
      </c>
      <c r="L866" s="33" t="s">
        <v>3921</v>
      </c>
      <c r="M866" s="63">
        <v>1282649070</v>
      </c>
      <c r="N866" s="63">
        <v>622528830</v>
      </c>
      <c r="O866" s="63">
        <v>15000000</v>
      </c>
      <c r="P866" s="86"/>
      <c r="Q866" s="44">
        <f t="shared" si="720"/>
        <v>1920177900</v>
      </c>
      <c r="R866" s="65">
        <v>1282649070</v>
      </c>
      <c r="S866" s="65">
        <v>622528830</v>
      </c>
      <c r="T866" s="44">
        <v>15000000</v>
      </c>
      <c r="U866" s="32"/>
      <c r="V866" s="32"/>
      <c r="W866" s="49"/>
      <c r="X866" s="49">
        <f t="shared" ref="X866:Z866" si="872">N866-S866</f>
        <v>0</v>
      </c>
      <c r="Y866" s="49">
        <f t="shared" si="872"/>
        <v>0</v>
      </c>
      <c r="Z866" s="49">
        <f t="shared" si="872"/>
        <v>0</v>
      </c>
      <c r="AA866" s="54"/>
      <c r="AB866" s="54"/>
      <c r="AC866" s="2">
        <f t="shared" si="722"/>
        <v>2</v>
      </c>
      <c r="AD866" s="6"/>
      <c r="AE866" s="6"/>
      <c r="AF866" s="6"/>
      <c r="AG866" s="6"/>
      <c r="AH866" s="6"/>
      <c r="AI866" s="6"/>
      <c r="AJ866" s="6"/>
      <c r="AK866" s="6"/>
      <c r="AL866" s="6"/>
      <c r="AM866" s="6"/>
      <c r="AN866" s="6"/>
      <c r="AO866" s="6"/>
      <c r="AP866" s="6"/>
      <c r="AQ866" s="6"/>
      <c r="AR866" s="6"/>
      <c r="AS866" s="6"/>
    </row>
    <row r="867" spans="1:45" ht="47.25" hidden="1" x14ac:dyDescent="0.3">
      <c r="A867" s="33" t="s">
        <v>88</v>
      </c>
      <c r="B867" s="42">
        <v>851</v>
      </c>
      <c r="C867" s="33" t="s">
        <v>89</v>
      </c>
      <c r="D867" s="33" t="s">
        <v>3922</v>
      </c>
      <c r="E867" s="33"/>
      <c r="F867" s="54"/>
      <c r="G867" s="33" t="s">
        <v>3923</v>
      </c>
      <c r="H867" s="33"/>
      <c r="I867" s="33"/>
      <c r="J867" s="33" t="s">
        <v>3924</v>
      </c>
      <c r="K867" s="33" t="s">
        <v>43</v>
      </c>
      <c r="L867" s="33" t="s">
        <v>3925</v>
      </c>
      <c r="M867" s="63">
        <v>10000000</v>
      </c>
      <c r="N867" s="45"/>
      <c r="O867" s="44">
        <v>15000000</v>
      </c>
      <c r="P867" s="86"/>
      <c r="Q867" s="44">
        <f t="shared" si="720"/>
        <v>25000000</v>
      </c>
      <c r="R867" s="32"/>
      <c r="S867" s="32"/>
      <c r="T867" s="66"/>
      <c r="U867" s="32"/>
      <c r="V867" s="32"/>
      <c r="W867" s="49">
        <v>10000000</v>
      </c>
      <c r="X867" s="49">
        <f t="shared" ref="X867:Z867" si="873">N867-S867</f>
        <v>0</v>
      </c>
      <c r="Y867" s="52">
        <f t="shared" si="873"/>
        <v>15000000</v>
      </c>
      <c r="Z867" s="49">
        <f t="shared" si="873"/>
        <v>0</v>
      </c>
      <c r="AA867" s="98">
        <v>10000000</v>
      </c>
      <c r="AB867" s="43"/>
      <c r="AC867" s="15">
        <f t="shared" si="722"/>
        <v>2</v>
      </c>
      <c r="AD867" s="15"/>
      <c r="AE867" s="6"/>
      <c r="AF867" s="6"/>
      <c r="AG867" s="6"/>
      <c r="AH867" s="6"/>
      <c r="AI867" s="6"/>
      <c r="AJ867" s="6"/>
      <c r="AK867" s="6"/>
      <c r="AL867" s="6"/>
      <c r="AM867" s="6"/>
      <c r="AN867" s="6"/>
      <c r="AO867" s="6"/>
      <c r="AP867" s="6"/>
      <c r="AQ867" s="6"/>
      <c r="AR867" s="6"/>
      <c r="AS867" s="6"/>
    </row>
    <row r="868" spans="1:45" ht="63" hidden="1" x14ac:dyDescent="0.3">
      <c r="A868" s="33" t="s">
        <v>35</v>
      </c>
      <c r="B868" s="42">
        <v>852</v>
      </c>
      <c r="C868" s="33" t="s">
        <v>89</v>
      </c>
      <c r="D868" s="33" t="s">
        <v>3926</v>
      </c>
      <c r="E868" s="33" t="s">
        <v>3445</v>
      </c>
      <c r="F868" s="54"/>
      <c r="G868" s="33"/>
      <c r="H868" s="33"/>
      <c r="I868" s="33" t="s">
        <v>3927</v>
      </c>
      <c r="J868" s="33" t="s">
        <v>3928</v>
      </c>
      <c r="K868" s="33" t="s">
        <v>43</v>
      </c>
      <c r="L868" s="33" t="s">
        <v>212</v>
      </c>
      <c r="M868" s="63">
        <v>10000000</v>
      </c>
      <c r="N868" s="45"/>
      <c r="O868" s="44">
        <v>15000000</v>
      </c>
      <c r="P868" s="86"/>
      <c r="Q868" s="44">
        <f t="shared" si="720"/>
        <v>25000000</v>
      </c>
      <c r="R868" s="32"/>
      <c r="S868" s="32"/>
      <c r="T868" s="66"/>
      <c r="U868" s="32"/>
      <c r="V868" s="32"/>
      <c r="W868" s="49">
        <v>10000000</v>
      </c>
      <c r="X868" s="49">
        <f t="shared" ref="X868:Z868" si="874">N868-S868</f>
        <v>0</v>
      </c>
      <c r="Y868" s="52">
        <f t="shared" si="874"/>
        <v>15000000</v>
      </c>
      <c r="Z868" s="49">
        <f t="shared" si="874"/>
        <v>0</v>
      </c>
      <c r="AA868" s="98">
        <v>10000000</v>
      </c>
      <c r="AB868" s="43"/>
      <c r="AC868" s="15">
        <f t="shared" si="722"/>
        <v>1</v>
      </c>
      <c r="AD868" s="15"/>
      <c r="AE868" s="6"/>
      <c r="AF868" s="6"/>
      <c r="AG868" s="6"/>
      <c r="AH868" s="6"/>
      <c r="AI868" s="6"/>
      <c r="AJ868" s="6"/>
      <c r="AK868" s="6"/>
      <c r="AL868" s="6"/>
      <c r="AM868" s="6"/>
      <c r="AN868" s="6"/>
      <c r="AO868" s="6"/>
      <c r="AP868" s="6"/>
      <c r="AQ868" s="6"/>
      <c r="AR868" s="6"/>
      <c r="AS868" s="6"/>
    </row>
    <row r="869" spans="1:45" ht="47.25" hidden="1" x14ac:dyDescent="0.25">
      <c r="A869" s="33" t="s">
        <v>35</v>
      </c>
      <c r="B869" s="42">
        <v>855</v>
      </c>
      <c r="C869" s="33" t="s">
        <v>89</v>
      </c>
      <c r="D869" s="33" t="s">
        <v>3931</v>
      </c>
      <c r="E869" s="32"/>
      <c r="F869" s="54"/>
      <c r="G869" s="33" t="s">
        <v>3932</v>
      </c>
      <c r="H869" s="32"/>
      <c r="I869" s="32"/>
      <c r="J869" s="62" t="s">
        <v>3933</v>
      </c>
      <c r="K869" s="33" t="s">
        <v>43</v>
      </c>
      <c r="L869" s="33" t="s">
        <v>3934</v>
      </c>
      <c r="M869" s="63">
        <v>7009180374</v>
      </c>
      <c r="N869" s="45"/>
      <c r="O869" s="63">
        <v>7500000</v>
      </c>
      <c r="P869" s="86"/>
      <c r="Q869" s="44">
        <f t="shared" si="720"/>
        <v>7016680374</v>
      </c>
      <c r="R869" s="65">
        <v>7009180374</v>
      </c>
      <c r="S869" s="32"/>
      <c r="T869" s="44">
        <v>7500000</v>
      </c>
      <c r="U869" s="32"/>
      <c r="V869" s="32"/>
      <c r="W869" s="49"/>
      <c r="X869" s="49">
        <f t="shared" ref="X869:Z869" si="875">N869-S869</f>
        <v>0</v>
      </c>
      <c r="Y869" s="49">
        <f t="shared" si="875"/>
        <v>0</v>
      </c>
      <c r="Z869" s="49">
        <f t="shared" si="875"/>
        <v>0</v>
      </c>
      <c r="AA869" s="54"/>
      <c r="AB869" s="54"/>
      <c r="AC869" s="2">
        <f t="shared" si="722"/>
        <v>2</v>
      </c>
      <c r="AD869" s="6"/>
      <c r="AE869" s="6"/>
      <c r="AF869" s="6"/>
      <c r="AG869" s="6"/>
      <c r="AH869" s="6"/>
      <c r="AI869" s="6"/>
      <c r="AJ869" s="6"/>
      <c r="AK869" s="6"/>
      <c r="AL869" s="6"/>
      <c r="AM869" s="6"/>
      <c r="AN869" s="6"/>
      <c r="AO869" s="6"/>
      <c r="AP869" s="6"/>
      <c r="AQ869" s="6"/>
      <c r="AR869" s="6"/>
      <c r="AS869" s="6"/>
    </row>
    <row r="870" spans="1:45" ht="40.5" hidden="1" x14ac:dyDescent="0.25">
      <c r="A870" s="33" t="s">
        <v>35</v>
      </c>
      <c r="B870" s="42">
        <v>856</v>
      </c>
      <c r="C870" s="33" t="s">
        <v>89</v>
      </c>
      <c r="D870" s="33" t="s">
        <v>3935</v>
      </c>
      <c r="E870" s="32"/>
      <c r="F870" s="54"/>
      <c r="G870" s="33" t="s">
        <v>3936</v>
      </c>
      <c r="H870" s="32"/>
      <c r="I870" s="32"/>
      <c r="J870" s="62" t="s">
        <v>3937</v>
      </c>
      <c r="K870" s="33" t="s">
        <v>43</v>
      </c>
      <c r="L870" s="33" t="s">
        <v>3938</v>
      </c>
      <c r="M870" s="63">
        <v>59125532717</v>
      </c>
      <c r="N870" s="45"/>
      <c r="O870" s="63">
        <v>7500000</v>
      </c>
      <c r="P870" s="59">
        <v>0</v>
      </c>
      <c r="Q870" s="44">
        <f t="shared" si="720"/>
        <v>59133032717</v>
      </c>
      <c r="R870" s="65">
        <v>59125532717</v>
      </c>
      <c r="S870" s="32"/>
      <c r="T870" s="44">
        <v>7500000</v>
      </c>
      <c r="U870" s="32"/>
      <c r="V870" s="32"/>
      <c r="W870" s="49"/>
      <c r="X870" s="49">
        <f t="shared" ref="X870:Z870" si="876">N870-S870</f>
        <v>0</v>
      </c>
      <c r="Y870" s="49">
        <f t="shared" si="876"/>
        <v>0</v>
      </c>
      <c r="Z870" s="49">
        <f t="shared" si="876"/>
        <v>0</v>
      </c>
      <c r="AA870" s="54"/>
      <c r="AB870" s="54"/>
      <c r="AC870" s="2">
        <f t="shared" si="722"/>
        <v>2</v>
      </c>
      <c r="AD870" s="6"/>
      <c r="AE870" s="6"/>
      <c r="AF870" s="6"/>
      <c r="AG870" s="6"/>
      <c r="AH870" s="6"/>
      <c r="AI870" s="6"/>
      <c r="AJ870" s="6"/>
      <c r="AK870" s="6"/>
      <c r="AL870" s="6"/>
      <c r="AM870" s="6"/>
      <c r="AN870" s="6"/>
      <c r="AO870" s="6"/>
      <c r="AP870" s="6"/>
      <c r="AQ870" s="6"/>
      <c r="AR870" s="6"/>
      <c r="AS870" s="6"/>
    </row>
    <row r="871" spans="1:45" ht="47.25" hidden="1" x14ac:dyDescent="0.25">
      <c r="A871" s="33" t="s">
        <v>35</v>
      </c>
      <c r="B871" s="42">
        <v>858</v>
      </c>
      <c r="C871" s="33" t="s">
        <v>89</v>
      </c>
      <c r="D871" s="33" t="s">
        <v>3940</v>
      </c>
      <c r="E871" s="33" t="s">
        <v>3941</v>
      </c>
      <c r="F871" s="54"/>
      <c r="G871" s="33" t="s">
        <v>3942</v>
      </c>
      <c r="H871" s="32"/>
      <c r="I871" s="32"/>
      <c r="J871" s="62" t="s">
        <v>3943</v>
      </c>
      <c r="K871" s="33" t="s">
        <v>43</v>
      </c>
      <c r="L871" s="33" t="s">
        <v>3899</v>
      </c>
      <c r="M871" s="63">
        <v>10000000</v>
      </c>
      <c r="N871" s="63">
        <v>361037124</v>
      </c>
      <c r="O871" s="63">
        <v>15000000</v>
      </c>
      <c r="P871" s="86"/>
      <c r="Q871" s="44">
        <f t="shared" si="720"/>
        <v>386037124</v>
      </c>
      <c r="R871" s="65">
        <v>10000000</v>
      </c>
      <c r="S871" s="65">
        <v>361037124</v>
      </c>
      <c r="T871" s="44">
        <v>15000000</v>
      </c>
      <c r="U871" s="32"/>
      <c r="V871" s="32"/>
      <c r="W871" s="49"/>
      <c r="X871" s="49">
        <f t="shared" ref="X871:Z871" si="877">N871-S871</f>
        <v>0</v>
      </c>
      <c r="Y871" s="49">
        <f t="shared" si="877"/>
        <v>0</v>
      </c>
      <c r="Z871" s="49">
        <f t="shared" si="877"/>
        <v>0</v>
      </c>
      <c r="AA871" s="54"/>
      <c r="AB871" s="54"/>
      <c r="AC871" s="2">
        <f t="shared" si="722"/>
        <v>2</v>
      </c>
      <c r="AD871" s="6"/>
      <c r="AE871" s="6"/>
      <c r="AF871" s="6"/>
      <c r="AG871" s="6"/>
      <c r="AH871" s="6"/>
      <c r="AI871" s="6"/>
      <c r="AJ871" s="6"/>
      <c r="AK871" s="6"/>
      <c r="AL871" s="6"/>
      <c r="AM871" s="6"/>
      <c r="AN871" s="6"/>
      <c r="AO871" s="6"/>
      <c r="AP871" s="6"/>
      <c r="AQ871" s="6"/>
      <c r="AR871" s="6"/>
      <c r="AS871" s="6"/>
    </row>
    <row r="872" spans="1:45" ht="40.5" hidden="1" x14ac:dyDescent="0.25">
      <c r="A872" s="33" t="s">
        <v>35</v>
      </c>
      <c r="B872" s="42">
        <v>860</v>
      </c>
      <c r="C872" s="33" t="s">
        <v>89</v>
      </c>
      <c r="D872" s="33" t="s">
        <v>3944</v>
      </c>
      <c r="E872" s="32"/>
      <c r="F872" s="54"/>
      <c r="G872" s="33" t="s">
        <v>3945</v>
      </c>
      <c r="H872" s="32"/>
      <c r="I872" s="32"/>
      <c r="J872" s="62" t="s">
        <v>3946</v>
      </c>
      <c r="K872" s="33" t="s">
        <v>43</v>
      </c>
      <c r="L872" s="33" t="s">
        <v>1859</v>
      </c>
      <c r="M872" s="63">
        <v>5951052520</v>
      </c>
      <c r="N872" s="45"/>
      <c r="O872" s="63">
        <v>7500000</v>
      </c>
      <c r="P872" s="86"/>
      <c r="Q872" s="44">
        <f t="shared" si="720"/>
        <v>5958552520</v>
      </c>
      <c r="R872" s="65">
        <v>5951052520</v>
      </c>
      <c r="S872" s="32"/>
      <c r="T872" s="44">
        <v>7500000</v>
      </c>
      <c r="U872" s="32"/>
      <c r="V872" s="32"/>
      <c r="W872" s="49"/>
      <c r="X872" s="49">
        <f t="shared" ref="X872:Z872" si="878">N872-S872</f>
        <v>0</v>
      </c>
      <c r="Y872" s="49">
        <f t="shared" si="878"/>
        <v>0</v>
      </c>
      <c r="Z872" s="49">
        <f t="shared" si="878"/>
        <v>0</v>
      </c>
      <c r="AA872" s="54"/>
      <c r="AB872" s="54"/>
      <c r="AC872" s="2">
        <f t="shared" si="722"/>
        <v>2</v>
      </c>
      <c r="AD872" s="6"/>
      <c r="AE872" s="6"/>
      <c r="AF872" s="6"/>
      <c r="AG872" s="6"/>
      <c r="AH872" s="6"/>
      <c r="AI872" s="6"/>
      <c r="AJ872" s="6"/>
      <c r="AK872" s="6"/>
      <c r="AL872" s="6"/>
      <c r="AM872" s="6"/>
      <c r="AN872" s="6"/>
      <c r="AO872" s="6"/>
      <c r="AP872" s="6"/>
      <c r="AQ872" s="6"/>
      <c r="AR872" s="6"/>
      <c r="AS872" s="6"/>
    </row>
    <row r="873" spans="1:45" ht="47.25" hidden="1" x14ac:dyDescent="0.25">
      <c r="A873" s="33" t="s">
        <v>35</v>
      </c>
      <c r="B873" s="42">
        <v>861</v>
      </c>
      <c r="C873" s="33" t="s">
        <v>89</v>
      </c>
      <c r="D873" s="33" t="s">
        <v>3947</v>
      </c>
      <c r="E873" s="32"/>
      <c r="F873" s="54"/>
      <c r="G873" s="33" t="s">
        <v>3949</v>
      </c>
      <c r="H873" s="32"/>
      <c r="I873" s="32"/>
      <c r="J873" s="62" t="s">
        <v>3950</v>
      </c>
      <c r="K873" s="33" t="s">
        <v>43</v>
      </c>
      <c r="L873" s="33" t="s">
        <v>3951</v>
      </c>
      <c r="M873" s="63">
        <v>1656027040</v>
      </c>
      <c r="N873" s="45"/>
      <c r="O873" s="63">
        <v>15000000</v>
      </c>
      <c r="P873" s="86"/>
      <c r="Q873" s="44">
        <f t="shared" si="720"/>
        <v>1671027040</v>
      </c>
      <c r="R873" s="65">
        <v>1656027040</v>
      </c>
      <c r="S873" s="32"/>
      <c r="T873" s="45">
        <v>15000000</v>
      </c>
      <c r="U873" s="32"/>
      <c r="V873" s="32"/>
      <c r="W873" s="49"/>
      <c r="X873" s="49">
        <f t="shared" ref="X873:Z873" si="879">N873-S873</f>
        <v>0</v>
      </c>
      <c r="Y873" s="49">
        <f t="shared" si="879"/>
        <v>0</v>
      </c>
      <c r="Z873" s="49">
        <f t="shared" si="879"/>
        <v>0</v>
      </c>
      <c r="AA873" s="54"/>
      <c r="AB873" s="54"/>
      <c r="AC873" s="2">
        <f t="shared" si="722"/>
        <v>2</v>
      </c>
      <c r="AD873" s="6"/>
      <c r="AE873" s="6"/>
      <c r="AF873" s="6"/>
      <c r="AG873" s="6"/>
      <c r="AH873" s="6"/>
      <c r="AI873" s="6"/>
      <c r="AJ873" s="6"/>
      <c r="AK873" s="6"/>
      <c r="AL873" s="6"/>
      <c r="AM873" s="6"/>
      <c r="AN873" s="6"/>
      <c r="AO873" s="6"/>
      <c r="AP873" s="6"/>
      <c r="AQ873" s="6"/>
      <c r="AR873" s="6"/>
      <c r="AS873" s="6"/>
    </row>
    <row r="874" spans="1:45" ht="47.25" hidden="1" x14ac:dyDescent="0.3">
      <c r="A874" s="33" t="s">
        <v>35</v>
      </c>
      <c r="B874" s="42">
        <v>863</v>
      </c>
      <c r="C874" s="33" t="s">
        <v>89</v>
      </c>
      <c r="D874" s="33" t="s">
        <v>3952</v>
      </c>
      <c r="E874" s="33"/>
      <c r="F874" s="54"/>
      <c r="G874" s="33" t="s">
        <v>3953</v>
      </c>
      <c r="H874" s="33"/>
      <c r="I874" s="33"/>
      <c r="J874" s="33" t="s">
        <v>3222</v>
      </c>
      <c r="K874" s="33" t="s">
        <v>43</v>
      </c>
      <c r="L874" s="33" t="s">
        <v>3954</v>
      </c>
      <c r="M874" s="63">
        <v>3398093390</v>
      </c>
      <c r="N874" s="45"/>
      <c r="O874" s="44">
        <v>7500000</v>
      </c>
      <c r="P874" s="86"/>
      <c r="Q874" s="44">
        <f t="shared" si="720"/>
        <v>3405593390</v>
      </c>
      <c r="R874" s="32"/>
      <c r="S874" s="32"/>
      <c r="T874" s="66"/>
      <c r="U874" s="32"/>
      <c r="V874" s="32"/>
      <c r="W874" s="49">
        <v>3398093390</v>
      </c>
      <c r="X874" s="49">
        <f t="shared" ref="X874:Z874" si="880">N874-S874</f>
        <v>0</v>
      </c>
      <c r="Y874" s="52">
        <f t="shared" si="880"/>
        <v>7500000</v>
      </c>
      <c r="Z874" s="49">
        <f t="shared" si="880"/>
        <v>0</v>
      </c>
      <c r="AA874" s="98">
        <v>3398093390</v>
      </c>
      <c r="AB874" s="43"/>
      <c r="AC874" s="15">
        <f t="shared" si="722"/>
        <v>2</v>
      </c>
      <c r="AD874" s="15"/>
      <c r="AE874" s="6"/>
      <c r="AF874" s="6"/>
      <c r="AG874" s="6"/>
      <c r="AH874" s="6"/>
      <c r="AI874" s="6"/>
      <c r="AJ874" s="6"/>
      <c r="AK874" s="6"/>
      <c r="AL874" s="6"/>
      <c r="AM874" s="6"/>
      <c r="AN874" s="6"/>
      <c r="AO874" s="6"/>
      <c r="AP874" s="6"/>
      <c r="AQ874" s="6"/>
      <c r="AR874" s="6"/>
      <c r="AS874" s="6"/>
    </row>
    <row r="875" spans="1:45" ht="63" hidden="1" x14ac:dyDescent="0.25">
      <c r="A875" s="33" t="s">
        <v>60</v>
      </c>
      <c r="B875" s="42">
        <v>866</v>
      </c>
      <c r="C875" s="33" t="s">
        <v>297</v>
      </c>
      <c r="D875" s="33" t="s">
        <v>3956</v>
      </c>
      <c r="E875" s="33" t="s">
        <v>1028</v>
      </c>
      <c r="F875" s="54"/>
      <c r="G875" s="33" t="s">
        <v>3957</v>
      </c>
      <c r="H875" s="33" t="s">
        <v>3958</v>
      </c>
      <c r="I875" s="32"/>
      <c r="J875" s="62" t="s">
        <v>3959</v>
      </c>
      <c r="K875" s="33" t="s">
        <v>43</v>
      </c>
      <c r="L875" s="33" t="s">
        <v>3960</v>
      </c>
      <c r="M875" s="63">
        <v>9156375016</v>
      </c>
      <c r="N875" s="44">
        <v>362103231</v>
      </c>
      <c r="O875" s="63">
        <v>15000000</v>
      </c>
      <c r="P875" s="86"/>
      <c r="Q875" s="44">
        <f t="shared" si="720"/>
        <v>9533478247</v>
      </c>
      <c r="R875" s="65">
        <v>9156375016</v>
      </c>
      <c r="S875" s="65">
        <v>362103231</v>
      </c>
      <c r="T875" s="44">
        <v>15000000</v>
      </c>
      <c r="U875" s="32"/>
      <c r="V875" s="32"/>
      <c r="W875" s="49"/>
      <c r="X875" s="49">
        <f t="shared" ref="X875:Z875" si="881">N875-S875</f>
        <v>0</v>
      </c>
      <c r="Y875" s="49">
        <f t="shared" si="881"/>
        <v>0</v>
      </c>
      <c r="Z875" s="49">
        <f t="shared" si="881"/>
        <v>0</v>
      </c>
      <c r="AA875" s="54"/>
      <c r="AB875" s="54"/>
      <c r="AC875" s="2">
        <f t="shared" si="722"/>
        <v>2</v>
      </c>
      <c r="AD875" s="6"/>
      <c r="AE875" s="6"/>
      <c r="AF875" s="6"/>
      <c r="AG875" s="6"/>
      <c r="AH875" s="6"/>
      <c r="AI875" s="6"/>
      <c r="AJ875" s="6"/>
      <c r="AK875" s="6"/>
      <c r="AL875" s="6"/>
      <c r="AM875" s="6"/>
      <c r="AN875" s="6"/>
      <c r="AO875" s="6"/>
      <c r="AP875" s="6"/>
      <c r="AQ875" s="6"/>
      <c r="AR875" s="6"/>
      <c r="AS875" s="6"/>
    </row>
    <row r="876" spans="1:45" ht="40.5" hidden="1" x14ac:dyDescent="0.25">
      <c r="A876" s="33" t="s">
        <v>60</v>
      </c>
      <c r="B876" s="42">
        <v>867</v>
      </c>
      <c r="C876" s="33" t="s">
        <v>297</v>
      </c>
      <c r="D876" s="33" t="s">
        <v>3961</v>
      </c>
      <c r="E876" s="32"/>
      <c r="F876" s="54"/>
      <c r="G876" s="33" t="s">
        <v>3962</v>
      </c>
      <c r="H876" s="33" t="s">
        <v>3963</v>
      </c>
      <c r="I876" s="32"/>
      <c r="J876" s="62" t="s">
        <v>3964</v>
      </c>
      <c r="K876" s="33" t="s">
        <v>43</v>
      </c>
      <c r="L876" s="33" t="s">
        <v>1162</v>
      </c>
      <c r="M876" s="63">
        <v>5200666300</v>
      </c>
      <c r="N876" s="45"/>
      <c r="O876" s="63">
        <v>15000000</v>
      </c>
      <c r="P876" s="86"/>
      <c r="Q876" s="44">
        <f t="shared" si="720"/>
        <v>5215666300</v>
      </c>
      <c r="R876" s="52">
        <v>5200666300</v>
      </c>
      <c r="S876" s="32"/>
      <c r="T876" s="44">
        <v>15000000</v>
      </c>
      <c r="U876" s="32"/>
      <c r="V876" s="32"/>
      <c r="W876" s="49"/>
      <c r="X876" s="49">
        <f t="shared" ref="X876:Z876" si="882">N876-S876</f>
        <v>0</v>
      </c>
      <c r="Y876" s="49">
        <f t="shared" si="882"/>
        <v>0</v>
      </c>
      <c r="Z876" s="49">
        <f t="shared" si="882"/>
        <v>0</v>
      </c>
      <c r="AA876" s="54"/>
      <c r="AB876" s="54"/>
      <c r="AC876" s="2">
        <f t="shared" si="722"/>
        <v>2</v>
      </c>
      <c r="AD876" s="6"/>
      <c r="AE876" s="6"/>
      <c r="AF876" s="6"/>
      <c r="AG876" s="6"/>
      <c r="AH876" s="6"/>
      <c r="AI876" s="6"/>
      <c r="AJ876" s="6"/>
      <c r="AK876" s="6"/>
      <c r="AL876" s="6"/>
      <c r="AM876" s="6"/>
      <c r="AN876" s="6"/>
      <c r="AO876" s="6"/>
      <c r="AP876" s="6"/>
      <c r="AQ876" s="6"/>
      <c r="AR876" s="6"/>
      <c r="AS876" s="6"/>
    </row>
    <row r="877" spans="1:45" ht="60.75" hidden="1" x14ac:dyDescent="0.25">
      <c r="A877" s="33" t="s">
        <v>88</v>
      </c>
      <c r="B877" s="42">
        <v>869</v>
      </c>
      <c r="C877" s="33" t="s">
        <v>297</v>
      </c>
      <c r="D877" s="33" t="s">
        <v>3965</v>
      </c>
      <c r="E877" s="32"/>
      <c r="F877" s="54"/>
      <c r="G877" s="33" t="s">
        <v>3966</v>
      </c>
      <c r="H877" s="33" t="s">
        <v>3967</v>
      </c>
      <c r="I877" s="32"/>
      <c r="J877" s="62" t="s">
        <v>3968</v>
      </c>
      <c r="K877" s="33" t="s">
        <v>43</v>
      </c>
      <c r="L877" s="33" t="s">
        <v>3969</v>
      </c>
      <c r="M877" s="63">
        <v>2814083592</v>
      </c>
      <c r="N877" s="45"/>
      <c r="O877" s="63">
        <v>15000000</v>
      </c>
      <c r="P877" s="86"/>
      <c r="Q877" s="44">
        <f t="shared" si="720"/>
        <v>2829083592</v>
      </c>
      <c r="R877" s="65">
        <v>2814083592</v>
      </c>
      <c r="S877" s="32"/>
      <c r="T877" s="44">
        <v>15000000</v>
      </c>
      <c r="U877" s="32"/>
      <c r="V877" s="32"/>
      <c r="W877" s="49"/>
      <c r="X877" s="49">
        <f t="shared" ref="X877:Z877" si="883">N877-S877</f>
        <v>0</v>
      </c>
      <c r="Y877" s="49">
        <f t="shared" si="883"/>
        <v>0</v>
      </c>
      <c r="Z877" s="49">
        <f t="shared" si="883"/>
        <v>0</v>
      </c>
      <c r="AA877" s="54"/>
      <c r="AB877" s="54"/>
      <c r="AC877" s="2">
        <f t="shared" si="722"/>
        <v>2</v>
      </c>
      <c r="AD877" s="6"/>
      <c r="AE877" s="6"/>
      <c r="AF877" s="6"/>
      <c r="AG877" s="6"/>
      <c r="AH877" s="6"/>
      <c r="AI877" s="6"/>
      <c r="AJ877" s="6"/>
      <c r="AK877" s="6"/>
      <c r="AL877" s="6"/>
      <c r="AM877" s="6"/>
      <c r="AN877" s="6"/>
      <c r="AO877" s="6"/>
      <c r="AP877" s="6"/>
      <c r="AQ877" s="6"/>
      <c r="AR877" s="6"/>
      <c r="AS877" s="6"/>
    </row>
    <row r="878" spans="1:45" ht="78.75" hidden="1" x14ac:dyDescent="0.3">
      <c r="A878" s="33" t="s">
        <v>88</v>
      </c>
      <c r="B878" s="42">
        <v>871</v>
      </c>
      <c r="C878" s="33" t="s">
        <v>297</v>
      </c>
      <c r="D878" s="33" t="s">
        <v>3971</v>
      </c>
      <c r="E878" s="33" t="s">
        <v>3972</v>
      </c>
      <c r="F878" s="54"/>
      <c r="G878" s="33"/>
      <c r="H878" s="33" t="s">
        <v>3973</v>
      </c>
      <c r="I878" s="33" t="s">
        <v>3974</v>
      </c>
      <c r="J878" s="33" t="s">
        <v>484</v>
      </c>
      <c r="K878" s="33" t="s">
        <v>43</v>
      </c>
      <c r="L878" s="33" t="s">
        <v>485</v>
      </c>
      <c r="M878" s="63">
        <v>8297551400</v>
      </c>
      <c r="N878" s="45"/>
      <c r="O878" s="44">
        <v>15000000</v>
      </c>
      <c r="P878" s="86"/>
      <c r="Q878" s="44">
        <f t="shared" si="720"/>
        <v>8312551400</v>
      </c>
      <c r="R878" s="65">
        <v>8297551400</v>
      </c>
      <c r="S878" s="32"/>
      <c r="T878" s="66"/>
      <c r="U878" s="32"/>
      <c r="V878" s="98">
        <v>-8297551400</v>
      </c>
      <c r="W878" s="49"/>
      <c r="X878" s="49">
        <f t="shared" ref="X878:Z878" si="884">N878-S878</f>
        <v>0</v>
      </c>
      <c r="Y878" s="52">
        <f t="shared" si="884"/>
        <v>15000000</v>
      </c>
      <c r="Z878" s="49">
        <f t="shared" si="884"/>
        <v>0</v>
      </c>
      <c r="AA878" s="54"/>
      <c r="AB878" s="43"/>
      <c r="AC878" s="15">
        <f t="shared" si="722"/>
        <v>1</v>
      </c>
      <c r="AD878" s="15"/>
      <c r="AE878" s="6"/>
      <c r="AF878" s="6"/>
      <c r="AG878" s="6"/>
      <c r="AH878" s="6"/>
      <c r="AI878" s="6"/>
      <c r="AJ878" s="6"/>
      <c r="AK878" s="6"/>
      <c r="AL878" s="6"/>
      <c r="AM878" s="6"/>
      <c r="AN878" s="6"/>
      <c r="AO878" s="6"/>
      <c r="AP878" s="6"/>
      <c r="AQ878" s="6"/>
      <c r="AR878" s="6"/>
      <c r="AS878" s="6"/>
    </row>
    <row r="879" spans="1:45" ht="40.5" hidden="1" x14ac:dyDescent="0.25">
      <c r="A879" s="33" t="s">
        <v>88</v>
      </c>
      <c r="B879" s="42">
        <v>874</v>
      </c>
      <c r="C879" s="33" t="s">
        <v>480</v>
      </c>
      <c r="D879" s="33" t="s">
        <v>3976</v>
      </c>
      <c r="E879" s="33" t="s">
        <v>481</v>
      </c>
      <c r="F879" s="32"/>
      <c r="G879" s="33" t="s">
        <v>3977</v>
      </c>
      <c r="H879" s="32"/>
      <c r="I879" s="33" t="s">
        <v>113</v>
      </c>
      <c r="J879" s="62" t="s">
        <v>3978</v>
      </c>
      <c r="K879" s="33" t="s">
        <v>43</v>
      </c>
      <c r="L879" s="33" t="s">
        <v>485</v>
      </c>
      <c r="M879" s="63">
        <v>2704930000</v>
      </c>
      <c r="N879" s="45"/>
      <c r="O879" s="63">
        <v>15000000</v>
      </c>
      <c r="P879" s="45"/>
      <c r="Q879" s="44">
        <f t="shared" si="720"/>
        <v>2719930000</v>
      </c>
      <c r="R879" s="65">
        <v>2704930000</v>
      </c>
      <c r="S879" s="32"/>
      <c r="T879" s="45">
        <v>15000000</v>
      </c>
      <c r="U879" s="32"/>
      <c r="V879" s="32"/>
      <c r="W879" s="49"/>
      <c r="X879" s="49">
        <f t="shared" ref="X879:Z879" si="885">N879-S879</f>
        <v>0</v>
      </c>
      <c r="Y879" s="49">
        <f t="shared" si="885"/>
        <v>0</v>
      </c>
      <c r="Z879" s="49">
        <f t="shared" si="885"/>
        <v>0</v>
      </c>
      <c r="AA879" s="54"/>
      <c r="AB879" s="54"/>
      <c r="AC879" s="2">
        <f t="shared" si="722"/>
        <v>2</v>
      </c>
      <c r="AD879" s="6"/>
      <c r="AE879" s="6"/>
      <c r="AF879" s="6"/>
      <c r="AG879" s="6"/>
      <c r="AH879" s="6"/>
      <c r="AI879" s="6"/>
      <c r="AJ879" s="6"/>
      <c r="AK879" s="6"/>
      <c r="AL879" s="6"/>
      <c r="AM879" s="6"/>
      <c r="AN879" s="6"/>
      <c r="AO879" s="6"/>
      <c r="AP879" s="6"/>
      <c r="AQ879" s="6"/>
      <c r="AR879" s="6"/>
      <c r="AS879" s="6"/>
    </row>
    <row r="880" spans="1:45" ht="78.75" hidden="1" x14ac:dyDescent="0.25">
      <c r="A880" s="33" t="s">
        <v>60</v>
      </c>
      <c r="B880" s="42">
        <v>876</v>
      </c>
      <c r="C880" s="33" t="s">
        <v>3979</v>
      </c>
      <c r="D880" s="33" t="s">
        <v>3980</v>
      </c>
      <c r="E880" s="32"/>
      <c r="F880" s="32"/>
      <c r="G880" s="33" t="s">
        <v>3981</v>
      </c>
      <c r="H880" s="32"/>
      <c r="I880" s="32"/>
      <c r="J880" s="62" t="s">
        <v>3982</v>
      </c>
      <c r="K880" s="33" t="s">
        <v>43</v>
      </c>
      <c r="L880" s="33" t="s">
        <v>3499</v>
      </c>
      <c r="M880" s="63">
        <v>668410816</v>
      </c>
      <c r="N880" s="45"/>
      <c r="O880" s="63">
        <v>15000000</v>
      </c>
      <c r="P880" s="45"/>
      <c r="Q880" s="44">
        <f t="shared" si="720"/>
        <v>683410816</v>
      </c>
      <c r="R880" s="65">
        <v>668410816</v>
      </c>
      <c r="S880" s="32"/>
      <c r="T880" s="44">
        <v>15000000</v>
      </c>
      <c r="U880" s="32"/>
      <c r="V880" s="32"/>
      <c r="W880" s="49"/>
      <c r="X880" s="49">
        <f t="shared" ref="X880:Z880" si="886">N880-S880</f>
        <v>0</v>
      </c>
      <c r="Y880" s="49">
        <f t="shared" si="886"/>
        <v>0</v>
      </c>
      <c r="Z880" s="49">
        <f t="shared" si="886"/>
        <v>0</v>
      </c>
      <c r="AA880" s="54"/>
      <c r="AB880" s="54"/>
      <c r="AC880" s="2">
        <f t="shared" si="722"/>
        <v>2</v>
      </c>
      <c r="AD880" s="6"/>
      <c r="AE880" s="6"/>
      <c r="AF880" s="6"/>
      <c r="AG880" s="6"/>
      <c r="AH880" s="6"/>
      <c r="AI880" s="6"/>
      <c r="AJ880" s="6"/>
      <c r="AK880" s="6"/>
      <c r="AL880" s="6"/>
      <c r="AM880" s="6"/>
      <c r="AN880" s="6"/>
      <c r="AO880" s="6"/>
      <c r="AP880" s="6"/>
      <c r="AQ880" s="6"/>
      <c r="AR880" s="6"/>
      <c r="AS880" s="6"/>
    </row>
    <row r="881" spans="1:45" ht="78.75" hidden="1" x14ac:dyDescent="0.3">
      <c r="A881" s="43" t="s">
        <v>60</v>
      </c>
      <c r="B881" s="42">
        <v>877</v>
      </c>
      <c r="C881" s="33" t="s">
        <v>3979</v>
      </c>
      <c r="D881" s="33" t="s">
        <v>3983</v>
      </c>
      <c r="E881" s="54"/>
      <c r="F881" s="54"/>
      <c r="G881" s="33" t="s">
        <v>3984</v>
      </c>
      <c r="H881" s="54"/>
      <c r="I881" s="54"/>
      <c r="J881" s="120" t="s">
        <v>3985</v>
      </c>
      <c r="K881" s="43" t="s">
        <v>43</v>
      </c>
      <c r="L881" s="43" t="s">
        <v>3499</v>
      </c>
      <c r="M881" s="76">
        <v>930126309</v>
      </c>
      <c r="N881" s="86"/>
      <c r="O881" s="76">
        <v>7500000</v>
      </c>
      <c r="P881" s="86"/>
      <c r="Q881" s="44">
        <f t="shared" si="720"/>
        <v>937626309</v>
      </c>
      <c r="R881" s="65">
        <v>930126309</v>
      </c>
      <c r="S881" s="32"/>
      <c r="T881" s="45">
        <v>7500000</v>
      </c>
      <c r="U881" s="54"/>
      <c r="V881" s="54"/>
      <c r="W881" s="49"/>
      <c r="X881" s="49">
        <f t="shared" ref="X881:Z881" si="887">N881-S881</f>
        <v>0</v>
      </c>
      <c r="Y881" s="49">
        <f t="shared" si="887"/>
        <v>0</v>
      </c>
      <c r="Z881" s="49">
        <f t="shared" si="887"/>
        <v>0</v>
      </c>
      <c r="AA881" s="54"/>
      <c r="AB881" s="54"/>
      <c r="AC881" s="2">
        <f t="shared" si="722"/>
        <v>2</v>
      </c>
      <c r="AD881" s="6"/>
      <c r="AE881" s="6"/>
      <c r="AF881" s="6"/>
      <c r="AG881" s="6"/>
      <c r="AH881" s="6"/>
      <c r="AI881" s="6"/>
      <c r="AJ881" s="6"/>
      <c r="AK881" s="6"/>
      <c r="AL881" s="6"/>
      <c r="AM881" s="6"/>
      <c r="AN881" s="6"/>
      <c r="AO881" s="6"/>
      <c r="AP881" s="6"/>
      <c r="AQ881" s="6"/>
      <c r="AR881" s="6"/>
      <c r="AS881" s="6"/>
    </row>
    <row r="882" spans="1:45" ht="78.75" hidden="1" x14ac:dyDescent="0.25">
      <c r="A882" s="33" t="s">
        <v>60</v>
      </c>
      <c r="B882" s="42">
        <v>878</v>
      </c>
      <c r="C882" s="33" t="s">
        <v>3979</v>
      </c>
      <c r="D882" s="33" t="s">
        <v>3986</v>
      </c>
      <c r="E882" s="33"/>
      <c r="F882" s="32"/>
      <c r="G882" s="33" t="s">
        <v>3987</v>
      </c>
      <c r="H882" s="33"/>
      <c r="I882" s="33"/>
      <c r="J882" s="43" t="s">
        <v>3988</v>
      </c>
      <c r="K882" s="33" t="s">
        <v>43</v>
      </c>
      <c r="L882" s="33" t="s">
        <v>735</v>
      </c>
      <c r="M882" s="63">
        <v>250126298</v>
      </c>
      <c r="N882" s="45"/>
      <c r="O882" s="44">
        <v>15000000</v>
      </c>
      <c r="P882" s="45"/>
      <c r="Q882" s="44">
        <f t="shared" si="720"/>
        <v>265126298</v>
      </c>
      <c r="R882" s="65">
        <v>250126298</v>
      </c>
      <c r="S882" s="32"/>
      <c r="T882" s="66"/>
      <c r="U882" s="32"/>
      <c r="V882" s="32"/>
      <c r="W882" s="49"/>
      <c r="X882" s="49">
        <f t="shared" ref="X882:Z882" si="888">N882-S882</f>
        <v>0</v>
      </c>
      <c r="Y882" s="52">
        <f t="shared" si="888"/>
        <v>15000000</v>
      </c>
      <c r="Z882" s="49">
        <f t="shared" si="888"/>
        <v>0</v>
      </c>
      <c r="AA882" s="54"/>
      <c r="AB882" s="43"/>
      <c r="AC882" s="15">
        <f t="shared" si="722"/>
        <v>2</v>
      </c>
      <c r="AD882" s="15"/>
      <c r="AE882" s="6"/>
      <c r="AF882" s="6"/>
      <c r="AG882" s="6"/>
      <c r="AH882" s="6"/>
      <c r="AI882" s="6"/>
      <c r="AJ882" s="6"/>
      <c r="AK882" s="6"/>
      <c r="AL882" s="6"/>
      <c r="AM882" s="6"/>
      <c r="AN882" s="6"/>
      <c r="AO882" s="6"/>
      <c r="AP882" s="6"/>
      <c r="AQ882" s="6"/>
      <c r="AR882" s="6"/>
      <c r="AS882" s="6"/>
    </row>
    <row r="883" spans="1:45" ht="94.5" hidden="1" x14ac:dyDescent="0.25">
      <c r="A883" s="33" t="s">
        <v>275</v>
      </c>
      <c r="B883" s="42">
        <v>879</v>
      </c>
      <c r="C883" s="33" t="s">
        <v>906</v>
      </c>
      <c r="D883" s="33" t="s">
        <v>3914</v>
      </c>
      <c r="E883" s="32"/>
      <c r="F883" s="54"/>
      <c r="G883" s="33" t="s">
        <v>3991</v>
      </c>
      <c r="H883" s="32"/>
      <c r="I883" s="33" t="s">
        <v>113</v>
      </c>
      <c r="J883" s="62" t="s">
        <v>3992</v>
      </c>
      <c r="K883" s="33" t="s">
        <v>43</v>
      </c>
      <c r="L883" s="33" t="s">
        <v>212</v>
      </c>
      <c r="M883" s="63">
        <v>493278040</v>
      </c>
      <c r="N883" s="63"/>
      <c r="O883" s="45"/>
      <c r="P883" s="86"/>
      <c r="Q883" s="44">
        <f t="shared" si="720"/>
        <v>493278040</v>
      </c>
      <c r="R883" s="49">
        <v>493278040</v>
      </c>
      <c r="S883" s="32"/>
      <c r="T883" s="45"/>
      <c r="U883" s="32"/>
      <c r="V883" s="32"/>
      <c r="W883" s="49"/>
      <c r="X883" s="49">
        <f t="shared" ref="X883:Z883" si="889">N883-S883</f>
        <v>0</v>
      </c>
      <c r="Y883" s="49">
        <f t="shared" si="889"/>
        <v>0</v>
      </c>
      <c r="Z883" s="49">
        <f t="shared" si="889"/>
        <v>0</v>
      </c>
      <c r="AA883" s="54"/>
      <c r="AB883" s="54"/>
      <c r="AC883" s="2">
        <f t="shared" si="722"/>
        <v>2</v>
      </c>
      <c r="AD883" s="6"/>
      <c r="AE883" s="6"/>
      <c r="AF883" s="6"/>
      <c r="AG883" s="6"/>
      <c r="AH883" s="6"/>
      <c r="AI883" s="6"/>
      <c r="AJ883" s="6"/>
      <c r="AK883" s="6"/>
      <c r="AL883" s="6"/>
      <c r="AM883" s="6"/>
      <c r="AN883" s="6"/>
      <c r="AO883" s="6"/>
      <c r="AP883" s="6"/>
      <c r="AQ883" s="6"/>
      <c r="AR883" s="6"/>
      <c r="AS883" s="6"/>
    </row>
    <row r="884" spans="1:45" ht="94.5" hidden="1" x14ac:dyDescent="0.25">
      <c r="A884" s="33" t="s">
        <v>60</v>
      </c>
      <c r="B884" s="42">
        <v>880</v>
      </c>
      <c r="C884" s="33" t="s">
        <v>3993</v>
      </c>
      <c r="D884" s="32"/>
      <c r="E884" s="32"/>
      <c r="F884" s="54"/>
      <c r="G884" s="33" t="s">
        <v>3994</v>
      </c>
      <c r="H884" s="32"/>
      <c r="I884" s="32"/>
      <c r="J884" s="62" t="s">
        <v>3995</v>
      </c>
      <c r="K884" s="33" t="s">
        <v>43</v>
      </c>
      <c r="L884" s="33" t="s">
        <v>212</v>
      </c>
      <c r="M884" s="63">
        <v>564348340</v>
      </c>
      <c r="N884" s="45"/>
      <c r="O884" s="63">
        <v>15000000</v>
      </c>
      <c r="P884" s="86"/>
      <c r="Q884" s="44">
        <f t="shared" si="720"/>
        <v>579348340</v>
      </c>
      <c r="R884" s="48">
        <v>564348340</v>
      </c>
      <c r="S884" s="32"/>
      <c r="T884" s="45">
        <v>15000000</v>
      </c>
      <c r="U884" s="32"/>
      <c r="V884" s="32"/>
      <c r="W884" s="49"/>
      <c r="X884" s="49">
        <f t="shared" ref="X884:Z884" si="890">N884-S884</f>
        <v>0</v>
      </c>
      <c r="Y884" s="49">
        <f t="shared" si="890"/>
        <v>0</v>
      </c>
      <c r="Z884" s="49">
        <f t="shared" si="890"/>
        <v>0</v>
      </c>
      <c r="AA884" s="54"/>
      <c r="AB884" s="54"/>
      <c r="AC884" s="2">
        <f t="shared" si="722"/>
        <v>2</v>
      </c>
      <c r="AD884" s="6"/>
      <c r="AE884" s="6"/>
      <c r="AF884" s="6"/>
      <c r="AG884" s="6"/>
      <c r="AH884" s="6"/>
      <c r="AI884" s="6"/>
      <c r="AJ884" s="6"/>
      <c r="AK884" s="6"/>
      <c r="AL884" s="6"/>
      <c r="AM884" s="6"/>
      <c r="AN884" s="6"/>
      <c r="AO884" s="6"/>
      <c r="AP884" s="6"/>
      <c r="AQ884" s="6"/>
      <c r="AR884" s="6"/>
      <c r="AS884" s="6"/>
    </row>
    <row r="885" spans="1:45" ht="94.5" hidden="1" x14ac:dyDescent="0.25">
      <c r="A885" s="33" t="s">
        <v>35</v>
      </c>
      <c r="B885" s="42">
        <v>881</v>
      </c>
      <c r="C885" s="33" t="s">
        <v>3993</v>
      </c>
      <c r="D885" s="32"/>
      <c r="E885" s="32"/>
      <c r="F885" s="54"/>
      <c r="G885" s="33" t="s">
        <v>3996</v>
      </c>
      <c r="H885" s="32"/>
      <c r="I885" s="32"/>
      <c r="J885" s="62" t="s">
        <v>3997</v>
      </c>
      <c r="K885" s="33" t="s">
        <v>43</v>
      </c>
      <c r="L885" s="33" t="s">
        <v>212</v>
      </c>
      <c r="M885" s="63">
        <v>589933648</v>
      </c>
      <c r="N885" s="45"/>
      <c r="O885" s="63">
        <v>15000000</v>
      </c>
      <c r="P885" s="86"/>
      <c r="Q885" s="44">
        <f t="shared" si="720"/>
        <v>604933648</v>
      </c>
      <c r="R885" s="48">
        <v>589933648</v>
      </c>
      <c r="S885" s="32"/>
      <c r="T885" s="45">
        <v>15000000</v>
      </c>
      <c r="U885" s="32"/>
      <c r="V885" s="32"/>
      <c r="W885" s="49"/>
      <c r="X885" s="49">
        <f t="shared" ref="X885:Z885" si="891">N885-S885</f>
        <v>0</v>
      </c>
      <c r="Y885" s="49">
        <f t="shared" si="891"/>
        <v>0</v>
      </c>
      <c r="Z885" s="49">
        <f t="shared" si="891"/>
        <v>0</v>
      </c>
      <c r="AA885" s="54"/>
      <c r="AB885" s="54"/>
      <c r="AC885" s="2">
        <f t="shared" si="722"/>
        <v>2</v>
      </c>
      <c r="AD885" s="6"/>
      <c r="AE885" s="6"/>
      <c r="AF885" s="6"/>
      <c r="AG885" s="6"/>
      <c r="AH885" s="6"/>
      <c r="AI885" s="6"/>
      <c r="AJ885" s="6"/>
      <c r="AK885" s="6"/>
      <c r="AL885" s="6"/>
      <c r="AM885" s="6"/>
      <c r="AN885" s="6"/>
      <c r="AO885" s="6"/>
      <c r="AP885" s="6"/>
      <c r="AQ885" s="6"/>
      <c r="AR885" s="6"/>
      <c r="AS885" s="6"/>
    </row>
    <row r="886" spans="1:45" ht="94.5" hidden="1" x14ac:dyDescent="0.25">
      <c r="A886" s="33" t="s">
        <v>35</v>
      </c>
      <c r="B886" s="42">
        <v>882</v>
      </c>
      <c r="C886" s="33" t="s">
        <v>3993</v>
      </c>
      <c r="D886" s="32"/>
      <c r="E886" s="32"/>
      <c r="F886" s="54"/>
      <c r="G886" s="33" t="s">
        <v>3998</v>
      </c>
      <c r="H886" s="32"/>
      <c r="I886" s="32"/>
      <c r="J886" s="62" t="s">
        <v>3999</v>
      </c>
      <c r="K886" s="33" t="s">
        <v>43</v>
      </c>
      <c r="L886" s="33" t="s">
        <v>212</v>
      </c>
      <c r="M886" s="63">
        <v>396622432</v>
      </c>
      <c r="N886" s="45"/>
      <c r="O886" s="63">
        <v>15000000</v>
      </c>
      <c r="P886" s="86"/>
      <c r="Q886" s="44">
        <f t="shared" si="720"/>
        <v>411622432</v>
      </c>
      <c r="R886" s="48">
        <v>396622432</v>
      </c>
      <c r="S886" s="32"/>
      <c r="T886" s="44">
        <v>15000000</v>
      </c>
      <c r="U886" s="32"/>
      <c r="V886" s="32"/>
      <c r="W886" s="49"/>
      <c r="X886" s="49">
        <f t="shared" ref="X886:Z886" si="892">N886-S886</f>
        <v>0</v>
      </c>
      <c r="Y886" s="49">
        <f t="shared" si="892"/>
        <v>0</v>
      </c>
      <c r="Z886" s="49">
        <f t="shared" si="892"/>
        <v>0</v>
      </c>
      <c r="AA886" s="54"/>
      <c r="AB886" s="54"/>
      <c r="AC886" s="2">
        <f t="shared" si="722"/>
        <v>2</v>
      </c>
      <c r="AD886" s="6"/>
      <c r="AE886" s="6"/>
      <c r="AF886" s="6"/>
      <c r="AG886" s="6"/>
      <c r="AH886" s="6"/>
      <c r="AI886" s="6"/>
      <c r="AJ886" s="6"/>
      <c r="AK886" s="6"/>
      <c r="AL886" s="6"/>
      <c r="AM886" s="6"/>
      <c r="AN886" s="6"/>
      <c r="AO886" s="6"/>
      <c r="AP886" s="6"/>
      <c r="AQ886" s="6"/>
      <c r="AR886" s="6"/>
      <c r="AS886" s="6"/>
    </row>
    <row r="887" spans="1:45" ht="40.5" hidden="1" x14ac:dyDescent="0.25">
      <c r="A887" s="33" t="s">
        <v>35</v>
      </c>
      <c r="B887" s="42">
        <v>883</v>
      </c>
      <c r="C887" s="33" t="s">
        <v>4000</v>
      </c>
      <c r="D887" s="32"/>
      <c r="E887" s="32"/>
      <c r="F887" s="54"/>
      <c r="G887" s="33" t="s">
        <v>4001</v>
      </c>
      <c r="H887" s="32"/>
      <c r="I887" s="32"/>
      <c r="J887" s="62" t="s">
        <v>4002</v>
      </c>
      <c r="K887" s="33" t="s">
        <v>43</v>
      </c>
      <c r="L887" s="33" t="s">
        <v>4003</v>
      </c>
      <c r="M887" s="63">
        <v>149778000</v>
      </c>
      <c r="N887" s="45"/>
      <c r="O887" s="45"/>
      <c r="P887" s="86"/>
      <c r="Q887" s="44">
        <f t="shared" si="720"/>
        <v>149778000</v>
      </c>
      <c r="R887" s="32"/>
      <c r="S887" s="32"/>
      <c r="T887" s="45"/>
      <c r="U887" s="32"/>
      <c r="V887" s="32"/>
      <c r="W887" s="49">
        <v>149778000</v>
      </c>
      <c r="X887" s="49">
        <f t="shared" ref="X887:Z887" si="893">N887-S887</f>
        <v>0</v>
      </c>
      <c r="Y887" s="49">
        <f t="shared" si="893"/>
        <v>0</v>
      </c>
      <c r="Z887" s="49">
        <f t="shared" si="893"/>
        <v>0</v>
      </c>
      <c r="AA887" s="54"/>
      <c r="AB887" s="54"/>
      <c r="AC887" s="2">
        <f t="shared" si="722"/>
        <v>2</v>
      </c>
      <c r="AD887" s="6"/>
      <c r="AE887" s="6"/>
      <c r="AF887" s="6"/>
      <c r="AG887" s="6"/>
      <c r="AH887" s="6"/>
      <c r="AI887" s="6"/>
      <c r="AJ887" s="6"/>
      <c r="AK887" s="6"/>
      <c r="AL887" s="6"/>
      <c r="AM887" s="6"/>
      <c r="AN887" s="6"/>
      <c r="AO887" s="6"/>
      <c r="AP887" s="6"/>
      <c r="AQ887" s="6"/>
      <c r="AR887" s="6"/>
      <c r="AS887" s="6"/>
    </row>
    <row r="888" spans="1:45" ht="40.5" hidden="1" x14ac:dyDescent="0.25">
      <c r="A888" s="33" t="s">
        <v>35</v>
      </c>
      <c r="B888" s="42">
        <v>884</v>
      </c>
      <c r="C888" s="33" t="s">
        <v>4000</v>
      </c>
      <c r="D888" s="32"/>
      <c r="E888" s="32"/>
      <c r="F888" s="54"/>
      <c r="G888" s="33" t="s">
        <v>1363</v>
      </c>
      <c r="H888" s="32"/>
      <c r="I888" s="32"/>
      <c r="J888" s="62" t="s">
        <v>4002</v>
      </c>
      <c r="K888" s="33" t="s">
        <v>43</v>
      </c>
      <c r="L888" s="33" t="s">
        <v>4004</v>
      </c>
      <c r="M888" s="63">
        <v>95035000</v>
      </c>
      <c r="N888" s="45"/>
      <c r="O888" s="45"/>
      <c r="P888" s="86"/>
      <c r="Q888" s="44">
        <f t="shared" si="720"/>
        <v>95035000</v>
      </c>
      <c r="R888" s="32"/>
      <c r="S888" s="32"/>
      <c r="T888" s="45"/>
      <c r="U888" s="32"/>
      <c r="V888" s="32"/>
      <c r="W888" s="49">
        <v>95035000</v>
      </c>
      <c r="X888" s="49">
        <f t="shared" ref="X888:Z888" si="894">N888-S888</f>
        <v>0</v>
      </c>
      <c r="Y888" s="49">
        <f t="shared" si="894"/>
        <v>0</v>
      </c>
      <c r="Z888" s="49">
        <f t="shared" si="894"/>
        <v>0</v>
      </c>
      <c r="AA888" s="54"/>
      <c r="AB888" s="54"/>
      <c r="AC888" s="2">
        <f t="shared" si="722"/>
        <v>2</v>
      </c>
      <c r="AD888" s="6"/>
      <c r="AE888" s="6"/>
      <c r="AF888" s="6"/>
      <c r="AG888" s="6"/>
      <c r="AH888" s="6"/>
      <c r="AI888" s="6"/>
      <c r="AJ888" s="6"/>
      <c r="AK888" s="6"/>
      <c r="AL888" s="6"/>
      <c r="AM888" s="6"/>
      <c r="AN888" s="6"/>
      <c r="AO888" s="6"/>
      <c r="AP888" s="6"/>
      <c r="AQ888" s="6"/>
      <c r="AR888" s="6"/>
      <c r="AS888" s="6"/>
    </row>
  </sheetData>
  <autoFilter ref="A4:AS888" xr:uid="{00000000-0009-0000-0000-000002000000}">
    <filterColumn colId="25">
      <filters>
        <filter val="10,000,000"/>
        <filter val="108,000,000"/>
        <filter val="132,000,000"/>
        <filter val="144,000,000"/>
        <filter val="18,000,000"/>
        <filter val="24,000,000"/>
        <filter val="30,000,000"/>
        <filter val="42,000,000"/>
        <filter val="48,000,000"/>
        <filter val="54,000,000"/>
        <filter val="56,000,000"/>
        <filter val="60,000,000"/>
        <filter val="72,000,000"/>
        <filter val="8,000,000"/>
        <filter val="84,000,000"/>
        <filter val="96,000,000"/>
      </filters>
    </filterColumn>
  </autoFilter>
  <mergeCells count="16">
    <mergeCell ref="G1:G2"/>
    <mergeCell ref="H1:H2"/>
    <mergeCell ref="AA1:AA2"/>
    <mergeCell ref="AB1:AB2"/>
    <mergeCell ref="I1:I2"/>
    <mergeCell ref="J1:J2"/>
    <mergeCell ref="K1:K2"/>
    <mergeCell ref="L1:L2"/>
    <mergeCell ref="M1:Q1"/>
    <mergeCell ref="R1:V1"/>
    <mergeCell ref="W1:Z1"/>
    <mergeCell ref="A1:A2"/>
    <mergeCell ref="B1:B2"/>
    <mergeCell ref="C1:C2"/>
    <mergeCell ref="E1:E2"/>
    <mergeCell ref="F1:F2"/>
  </mergeCells>
  <pageMargins left="0.17" right="0.17" top="0.17" bottom="0.17" header="0" footer="0"/>
  <pageSetup paperSize="9" scale="55"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S926"/>
  <sheetViews>
    <sheetView workbookViewId="0">
      <pane xSplit="8" ySplit="13" topLeftCell="I14" activePane="bottomRight" state="frozen"/>
      <selection pane="topRight" activeCell="I1" sqref="I1"/>
      <selection pane="bottomLeft" activeCell="A14" sqref="A14"/>
      <selection pane="bottomRight" activeCell="I14" sqref="I14"/>
    </sheetView>
  </sheetViews>
  <sheetFormatPr defaultColWidth="14.42578125" defaultRowHeight="15" customHeight="1" x14ac:dyDescent="0.25"/>
  <cols>
    <col min="1" max="1" width="8.85546875" hidden="1" customWidth="1"/>
    <col min="2" max="2" width="8.85546875" customWidth="1"/>
    <col min="3" max="3" width="18.28515625" customWidth="1"/>
    <col min="4" max="4" width="18.28515625" hidden="1" customWidth="1"/>
    <col min="5" max="5" width="17.5703125" hidden="1" customWidth="1"/>
    <col min="6" max="6" width="17" customWidth="1"/>
    <col min="7" max="8" width="18.28515625" hidden="1" customWidth="1"/>
    <col min="9" max="9" width="35" customWidth="1"/>
    <col min="10" max="10" width="11.7109375" customWidth="1"/>
    <col min="11" max="11" width="38.28515625" customWidth="1"/>
    <col min="12" max="14" width="23.42578125" hidden="1" customWidth="1"/>
    <col min="15" max="15" width="20.7109375" customWidth="1"/>
    <col min="16" max="16" width="23.42578125" customWidth="1"/>
    <col min="17" max="20" width="23.42578125" hidden="1" customWidth="1"/>
    <col min="21" max="21" width="23.42578125" customWidth="1"/>
    <col min="22" max="22" width="19.28515625" hidden="1" customWidth="1"/>
    <col min="23" max="25" width="23.42578125" hidden="1" customWidth="1"/>
    <col min="26" max="26" width="23.42578125" customWidth="1"/>
    <col min="27" max="27" width="23.42578125" hidden="1" customWidth="1"/>
    <col min="28" max="28" width="16.85546875" customWidth="1"/>
    <col min="29" max="45" width="8.7109375" customWidth="1"/>
  </cols>
  <sheetData>
    <row r="1" spans="1:45" ht="25.5" x14ac:dyDescent="0.25">
      <c r="B1" s="1" t="s">
        <v>4</v>
      </c>
      <c r="I1" s="4"/>
      <c r="O1" s="6"/>
      <c r="P1" s="6"/>
      <c r="Q1" s="6"/>
      <c r="R1" s="7"/>
      <c r="S1" s="7"/>
      <c r="T1" s="8"/>
      <c r="U1" s="6"/>
      <c r="V1" s="6"/>
      <c r="W1" s="6"/>
      <c r="X1" s="6"/>
      <c r="Y1" s="6"/>
      <c r="Z1" s="6"/>
      <c r="AB1" s="9"/>
    </row>
    <row r="2" spans="1:45" ht="25.5" x14ac:dyDescent="0.25">
      <c r="B2" s="1" t="s">
        <v>13</v>
      </c>
      <c r="I2" s="10">
        <v>46287</v>
      </c>
      <c r="O2" s="6"/>
      <c r="P2" s="6"/>
      <c r="Q2" s="6"/>
      <c r="R2" s="7"/>
      <c r="S2" s="7"/>
      <c r="T2" s="8"/>
      <c r="U2" s="6"/>
      <c r="V2" s="6"/>
      <c r="W2" s="6"/>
      <c r="X2" s="6"/>
      <c r="Y2" s="6"/>
      <c r="Z2" s="6"/>
      <c r="AB2" s="9"/>
    </row>
    <row r="3" spans="1:45" ht="25.5" x14ac:dyDescent="0.25">
      <c r="B3" s="1"/>
      <c r="I3" s="10"/>
      <c r="O3" s="6"/>
      <c r="P3" s="6"/>
      <c r="Q3" s="6"/>
      <c r="R3" s="7"/>
      <c r="S3" s="7"/>
      <c r="T3" s="8"/>
      <c r="U3" s="6"/>
      <c r="V3" s="6"/>
      <c r="W3" s="6"/>
      <c r="X3" s="6"/>
      <c r="Y3" s="6"/>
      <c r="Z3" s="6"/>
      <c r="AB3" s="9"/>
    </row>
    <row r="4" spans="1:45" ht="21.75" customHeight="1" x14ac:dyDescent="0.25">
      <c r="A4" s="3"/>
      <c r="B4" s="301" t="s">
        <v>16</v>
      </c>
      <c r="C4" s="293"/>
      <c r="D4" s="293"/>
      <c r="E4" s="294"/>
      <c r="F4" s="11" t="s">
        <v>17</v>
      </c>
      <c r="G4" s="11" t="s">
        <v>18</v>
      </c>
      <c r="H4" s="11" t="s">
        <v>19</v>
      </c>
      <c r="I4" s="12" t="s">
        <v>15</v>
      </c>
      <c r="J4" s="3"/>
      <c r="K4" s="3"/>
      <c r="L4" s="3"/>
      <c r="M4" s="3"/>
      <c r="N4" s="3"/>
      <c r="O4" s="7"/>
      <c r="P4" s="7"/>
      <c r="Q4" s="7"/>
      <c r="R4" s="7"/>
      <c r="S4" s="7"/>
      <c r="T4" s="8"/>
      <c r="U4" s="7"/>
      <c r="V4" s="7"/>
      <c r="W4" s="7"/>
      <c r="X4" s="7"/>
      <c r="Y4" s="7"/>
      <c r="Z4" s="7"/>
      <c r="AA4" s="3"/>
      <c r="AB4" s="13"/>
      <c r="AC4" s="3"/>
      <c r="AD4" s="3"/>
      <c r="AE4" s="3"/>
      <c r="AF4" s="3"/>
      <c r="AG4" s="3"/>
      <c r="AH4" s="3"/>
      <c r="AI4" s="3"/>
      <c r="AJ4" s="3"/>
      <c r="AK4" s="3"/>
      <c r="AL4" s="3"/>
      <c r="AM4" s="3"/>
      <c r="AN4" s="3"/>
      <c r="AO4" s="3"/>
      <c r="AP4" s="3"/>
      <c r="AQ4" s="3"/>
      <c r="AR4" s="3"/>
      <c r="AS4" s="3"/>
    </row>
    <row r="5" spans="1:45" ht="27" customHeight="1" x14ac:dyDescent="0.25">
      <c r="B5" s="302" t="s">
        <v>20</v>
      </c>
      <c r="C5" s="293"/>
      <c r="D5" s="293"/>
      <c r="E5" s="294"/>
      <c r="F5" s="14">
        <v>791</v>
      </c>
      <c r="G5" s="14">
        <v>51</v>
      </c>
      <c r="H5" s="303" t="s">
        <v>22</v>
      </c>
      <c r="I5" s="12">
        <v>842</v>
      </c>
      <c r="O5" s="6"/>
      <c r="P5" s="6"/>
      <c r="Q5" s="6"/>
      <c r="R5" s="7"/>
      <c r="S5" s="7"/>
      <c r="T5" s="8"/>
      <c r="U5" s="6"/>
      <c r="V5" s="6"/>
      <c r="W5" s="6"/>
      <c r="X5" s="6"/>
      <c r="Y5" s="6"/>
      <c r="Z5" s="6"/>
      <c r="AB5" s="9"/>
    </row>
    <row r="6" spans="1:45" ht="18.75" x14ac:dyDescent="0.25">
      <c r="B6" s="302" t="s">
        <v>23</v>
      </c>
      <c r="C6" s="293"/>
      <c r="D6" s="293"/>
      <c r="E6" s="294"/>
      <c r="F6" s="16">
        <v>201</v>
      </c>
      <c r="G6" s="16">
        <v>37</v>
      </c>
      <c r="H6" s="304"/>
      <c r="I6" s="12">
        <v>234</v>
      </c>
      <c r="O6" s="6"/>
      <c r="P6" s="6"/>
      <c r="Q6" s="6"/>
      <c r="R6" s="7"/>
      <c r="S6" s="7"/>
      <c r="T6" s="8"/>
      <c r="U6" s="6"/>
      <c r="V6" s="6"/>
      <c r="W6" s="6"/>
      <c r="X6" s="6"/>
      <c r="Y6" s="6"/>
      <c r="Z6" s="6"/>
      <c r="AB6" s="9"/>
    </row>
    <row r="7" spans="1:45" ht="18.75" x14ac:dyDescent="0.25">
      <c r="B7" s="302" t="s">
        <v>25</v>
      </c>
      <c r="C7" s="293"/>
      <c r="D7" s="293"/>
      <c r="E7" s="294"/>
      <c r="F7" s="16">
        <v>706</v>
      </c>
      <c r="G7" s="16">
        <v>160</v>
      </c>
      <c r="H7" s="304"/>
      <c r="I7" s="18">
        <v>866</v>
      </c>
      <c r="O7" s="6"/>
      <c r="P7" s="6"/>
      <c r="Q7" s="6"/>
      <c r="R7" s="7"/>
      <c r="S7" s="7"/>
      <c r="T7" s="8"/>
      <c r="U7" s="6"/>
      <c r="V7" s="6"/>
      <c r="W7" s="6"/>
      <c r="X7" s="6"/>
      <c r="Y7" s="6"/>
      <c r="Z7" s="6"/>
      <c r="AB7" s="9"/>
    </row>
    <row r="8" spans="1:45" ht="20.25" customHeight="1" x14ac:dyDescent="0.25">
      <c r="B8" s="302" t="s">
        <v>26</v>
      </c>
      <c r="C8" s="293"/>
      <c r="D8" s="293"/>
      <c r="E8" s="294"/>
      <c r="F8" s="16">
        <v>156</v>
      </c>
      <c r="G8" s="16">
        <v>88</v>
      </c>
      <c r="H8" s="290"/>
      <c r="I8" s="12">
        <v>194</v>
      </c>
      <c r="O8" s="6"/>
      <c r="P8" s="6"/>
      <c r="Q8" s="6"/>
      <c r="R8" s="7"/>
      <c r="S8" s="7"/>
      <c r="T8" s="8"/>
      <c r="U8" s="6"/>
      <c r="V8" s="6"/>
      <c r="W8" s="6"/>
      <c r="X8" s="6"/>
      <c r="Y8" s="6"/>
      <c r="Z8" s="6"/>
      <c r="AB8" s="9"/>
    </row>
    <row r="9" spans="1:45" ht="15.75" x14ac:dyDescent="0.25">
      <c r="I9" s="4"/>
      <c r="O9" s="6"/>
      <c r="P9" s="6"/>
      <c r="Q9" s="6"/>
      <c r="R9" s="7"/>
      <c r="S9" s="7"/>
      <c r="T9" s="8"/>
      <c r="U9" s="6"/>
      <c r="V9" s="6"/>
      <c r="W9" s="6"/>
      <c r="X9" s="6"/>
      <c r="Y9" s="6"/>
      <c r="Z9" s="6"/>
      <c r="AB9" s="9"/>
    </row>
    <row r="10" spans="1:45" ht="30.75" customHeight="1" x14ac:dyDescent="0.25">
      <c r="A10" s="289" t="s">
        <v>1</v>
      </c>
      <c r="B10" s="289" t="s">
        <v>3</v>
      </c>
      <c r="C10" s="305" t="s">
        <v>5</v>
      </c>
      <c r="D10" s="5"/>
      <c r="E10" s="305" t="s">
        <v>6</v>
      </c>
      <c r="F10" s="270" t="s">
        <v>8</v>
      </c>
      <c r="G10" s="305" t="s">
        <v>9</v>
      </c>
      <c r="H10" s="305" t="s">
        <v>10</v>
      </c>
      <c r="I10" s="306" t="s">
        <v>11</v>
      </c>
      <c r="J10" s="307" t="s">
        <v>12</v>
      </c>
      <c r="K10" s="289" t="s">
        <v>14</v>
      </c>
      <c r="L10" s="25" t="s">
        <v>15</v>
      </c>
      <c r="M10" s="25"/>
      <c r="N10" s="25"/>
      <c r="O10" s="270" t="s">
        <v>7</v>
      </c>
      <c r="P10" s="27"/>
      <c r="Q10" s="29"/>
      <c r="R10" s="308" t="s">
        <v>17</v>
      </c>
      <c r="S10" s="293"/>
      <c r="T10" s="293"/>
      <c r="U10" s="293"/>
      <c r="V10" s="294"/>
      <c r="W10" s="281" t="s">
        <v>18</v>
      </c>
      <c r="X10" s="297"/>
      <c r="Y10" s="297"/>
      <c r="Z10" s="298"/>
      <c r="AA10" s="291" t="s">
        <v>21</v>
      </c>
      <c r="AB10" s="268" t="s">
        <v>19</v>
      </c>
    </row>
    <row r="11" spans="1:45" ht="37.5" x14ac:dyDescent="0.25">
      <c r="A11" s="290"/>
      <c r="B11" s="290"/>
      <c r="C11" s="290"/>
      <c r="D11" s="17" t="s">
        <v>24</v>
      </c>
      <c r="E11" s="290"/>
      <c r="F11" s="290"/>
      <c r="G11" s="290"/>
      <c r="H11" s="290"/>
      <c r="I11" s="290"/>
      <c r="J11" s="290"/>
      <c r="K11" s="290"/>
      <c r="L11" s="21" t="s">
        <v>27</v>
      </c>
      <c r="M11" s="19" t="s">
        <v>28</v>
      </c>
      <c r="N11" s="21" t="s">
        <v>25</v>
      </c>
      <c r="O11" s="290"/>
      <c r="P11" s="20" t="s">
        <v>26</v>
      </c>
      <c r="Q11" s="19" t="s">
        <v>29</v>
      </c>
      <c r="R11" s="22" t="s">
        <v>27</v>
      </c>
      <c r="S11" s="22" t="s">
        <v>28</v>
      </c>
      <c r="T11" s="23" t="s">
        <v>25</v>
      </c>
      <c r="U11" s="22" t="s">
        <v>26</v>
      </c>
      <c r="V11" s="22" t="s">
        <v>30</v>
      </c>
      <c r="W11" s="28" t="s">
        <v>27</v>
      </c>
      <c r="X11" s="28" t="s">
        <v>28</v>
      </c>
      <c r="Y11" s="28" t="s">
        <v>25</v>
      </c>
      <c r="Z11" s="28" t="s">
        <v>26</v>
      </c>
      <c r="AA11" s="290"/>
      <c r="AB11" s="290"/>
      <c r="AC11" s="37"/>
      <c r="AD11" s="37"/>
      <c r="AE11" s="37"/>
      <c r="AF11" s="37"/>
      <c r="AG11" s="37"/>
      <c r="AH11" s="37"/>
      <c r="AI11" s="37"/>
      <c r="AJ11" s="37"/>
      <c r="AK11" s="37"/>
      <c r="AL11" s="37"/>
      <c r="AM11" s="37"/>
      <c r="AN11" s="37"/>
      <c r="AO11" s="37"/>
      <c r="AP11" s="37"/>
      <c r="AQ11" s="37"/>
      <c r="AR11" s="37"/>
      <c r="AS11" s="37"/>
    </row>
    <row r="12" spans="1:45" ht="16.5" x14ac:dyDescent="0.25">
      <c r="A12" s="32"/>
      <c r="B12" s="32"/>
      <c r="C12" s="32"/>
      <c r="D12" s="32"/>
      <c r="E12" s="32"/>
      <c r="F12" s="32"/>
      <c r="G12" s="32"/>
      <c r="H12" s="32"/>
      <c r="I12" s="39" t="s">
        <v>31</v>
      </c>
      <c r="J12" s="41" t="s">
        <v>31</v>
      </c>
      <c r="K12" s="41" t="s">
        <v>31</v>
      </c>
      <c r="L12" s="36">
        <f t="shared" ref="L12:N12" si="0">SUM(L14:L926)</f>
        <v>3770627515952</v>
      </c>
      <c r="M12" s="36">
        <f t="shared" si="0"/>
        <v>198719183148</v>
      </c>
      <c r="N12" s="36">
        <f t="shared" si="0"/>
        <v>10387500000</v>
      </c>
      <c r="O12" s="33"/>
      <c r="P12" s="35">
        <f>SUM(P14:P926)</f>
        <v>11953266691</v>
      </c>
      <c r="Q12" s="35">
        <v>3984718003765</v>
      </c>
      <c r="R12" s="35">
        <f t="shared" ref="R12:AA12" si="1">SUM(R14:R926)</f>
        <v>3658857391088</v>
      </c>
      <c r="S12" s="35">
        <f t="shared" si="1"/>
        <v>178113848714</v>
      </c>
      <c r="T12" s="38">
        <f t="shared" si="1"/>
        <v>8602500000</v>
      </c>
      <c r="U12" s="35">
        <f t="shared" si="1"/>
        <v>7266400018</v>
      </c>
      <c r="V12" s="47">
        <f t="shared" si="1"/>
        <v>-8686446994</v>
      </c>
      <c r="W12" s="35">
        <f t="shared" si="1"/>
        <v>112725572876</v>
      </c>
      <c r="X12" s="35">
        <f t="shared" si="1"/>
        <v>19649886422</v>
      </c>
      <c r="Y12" s="35">
        <f t="shared" si="1"/>
        <v>1785000000</v>
      </c>
      <c r="Z12" s="35">
        <f t="shared" si="1"/>
        <v>4686866673</v>
      </c>
      <c r="AA12" s="36">
        <f t="shared" si="1"/>
        <v>112540349220</v>
      </c>
      <c r="AB12" s="51"/>
    </row>
    <row r="13" spans="1:45" ht="37.5" customHeight="1" x14ac:dyDescent="0.25">
      <c r="A13" s="55"/>
      <c r="B13" s="55"/>
      <c r="C13" s="55"/>
      <c r="D13" s="55"/>
      <c r="E13" s="55"/>
      <c r="F13" s="57">
        <f>COUNTA(F14:F926)</f>
        <v>881</v>
      </c>
      <c r="G13" s="55"/>
      <c r="H13" s="57"/>
      <c r="I13" s="58"/>
      <c r="J13" s="55"/>
      <c r="K13" s="55"/>
      <c r="L13" s="57">
        <f t="shared" ref="L13:N13" si="2">COUNTIF(L14:L926,"&gt;0")</f>
        <v>846</v>
      </c>
      <c r="M13" s="57">
        <f t="shared" si="2"/>
        <v>234</v>
      </c>
      <c r="N13" s="57">
        <f t="shared" si="2"/>
        <v>871</v>
      </c>
      <c r="O13" s="60"/>
      <c r="P13" s="61">
        <f t="shared" ref="P13:U13" si="3">COUNTIF(P14:P926,"&gt;0")</f>
        <v>222</v>
      </c>
      <c r="Q13" s="61">
        <f t="shared" si="3"/>
        <v>874</v>
      </c>
      <c r="R13" s="61">
        <f t="shared" si="3"/>
        <v>795</v>
      </c>
      <c r="S13" s="61">
        <f t="shared" si="3"/>
        <v>201</v>
      </c>
      <c r="T13" s="61">
        <f t="shared" si="3"/>
        <v>710</v>
      </c>
      <c r="U13" s="61">
        <f t="shared" si="3"/>
        <v>160</v>
      </c>
      <c r="V13" s="61">
        <f>COUNT(V14:V926)</f>
        <v>3</v>
      </c>
      <c r="W13" s="61">
        <f t="shared" ref="W13:Z13" si="4">COUNTIF(W14:W926,"&gt;0")</f>
        <v>52</v>
      </c>
      <c r="X13" s="61">
        <f t="shared" si="4"/>
        <v>37</v>
      </c>
      <c r="Y13" s="61">
        <f t="shared" si="4"/>
        <v>161</v>
      </c>
      <c r="Z13" s="61">
        <f t="shared" si="4"/>
        <v>88</v>
      </c>
      <c r="AA13" s="57">
        <f>COUNT(AA14:AA926)</f>
        <v>49</v>
      </c>
      <c r="AB13" s="61">
        <f>COUNTA(AB54:AB914)</f>
        <v>72</v>
      </c>
      <c r="AC13" s="64"/>
      <c r="AD13" s="64"/>
      <c r="AE13" s="64"/>
      <c r="AF13" s="64"/>
      <c r="AG13" s="64"/>
      <c r="AH13" s="64"/>
      <c r="AI13" s="64"/>
      <c r="AJ13" s="64"/>
      <c r="AK13" s="64"/>
      <c r="AL13" s="64"/>
      <c r="AM13" s="64"/>
      <c r="AN13" s="64"/>
      <c r="AO13" s="64"/>
      <c r="AP13" s="64"/>
      <c r="AQ13" s="64"/>
      <c r="AR13" s="64"/>
      <c r="AS13" s="64"/>
    </row>
    <row r="14" spans="1:45" ht="47.25" x14ac:dyDescent="0.25">
      <c r="A14" s="33" t="s">
        <v>60</v>
      </c>
      <c r="B14" s="42">
        <v>1</v>
      </c>
      <c r="C14" s="33" t="s">
        <v>61</v>
      </c>
      <c r="D14" s="33" t="s">
        <v>61</v>
      </c>
      <c r="E14" s="33" t="s">
        <v>62</v>
      </c>
      <c r="F14" s="33" t="s">
        <v>63</v>
      </c>
      <c r="G14" s="33" t="s">
        <v>64</v>
      </c>
      <c r="H14" s="32"/>
      <c r="I14" s="33" t="s">
        <v>65</v>
      </c>
      <c r="J14" s="33" t="s">
        <v>43</v>
      </c>
      <c r="K14" s="33" t="s">
        <v>66</v>
      </c>
      <c r="L14" s="48">
        <v>4401325040</v>
      </c>
      <c r="M14" s="48">
        <v>997248000</v>
      </c>
      <c r="N14" s="48">
        <v>7500000</v>
      </c>
      <c r="O14" s="43"/>
      <c r="P14" s="43"/>
      <c r="Q14" s="48">
        <f t="shared" ref="Q14:Q53" si="5">L14+M14+N14+P14</f>
        <v>5406073040</v>
      </c>
      <c r="R14" s="52">
        <v>4401325040</v>
      </c>
      <c r="S14" s="52">
        <v>997248000</v>
      </c>
      <c r="T14" s="44">
        <v>7500000</v>
      </c>
      <c r="U14" s="33"/>
      <c r="V14" s="33"/>
      <c r="W14" s="52"/>
      <c r="X14" s="52">
        <f t="shared" ref="X14:Y14" si="6">M14-S14</f>
        <v>0</v>
      </c>
      <c r="Y14" s="52">
        <f t="shared" si="6"/>
        <v>0</v>
      </c>
      <c r="Z14" s="52">
        <f t="shared" ref="Z14:Z263" si="7">P14-U14</f>
        <v>0</v>
      </c>
      <c r="AA14" s="54"/>
      <c r="AB14" s="68"/>
    </row>
    <row r="15" spans="1:45" ht="31.5" x14ac:dyDescent="0.25">
      <c r="A15" s="33" t="s">
        <v>83</v>
      </c>
      <c r="B15" s="42">
        <v>2</v>
      </c>
      <c r="C15" s="33" t="s">
        <v>61</v>
      </c>
      <c r="D15" s="33" t="s">
        <v>61</v>
      </c>
      <c r="E15" s="32"/>
      <c r="F15" s="33" t="s">
        <v>84</v>
      </c>
      <c r="G15" s="32"/>
      <c r="H15" s="33" t="s">
        <v>85</v>
      </c>
      <c r="I15" s="33" t="s">
        <v>86</v>
      </c>
      <c r="J15" s="33" t="s">
        <v>43</v>
      </c>
      <c r="K15" s="33" t="s">
        <v>87</v>
      </c>
      <c r="L15" s="42">
        <v>0</v>
      </c>
      <c r="M15" s="32"/>
      <c r="N15" s="33"/>
      <c r="O15" s="43"/>
      <c r="P15" s="43"/>
      <c r="Q15" s="48">
        <f t="shared" si="5"/>
        <v>0</v>
      </c>
      <c r="R15" s="42">
        <v>0</v>
      </c>
      <c r="S15" s="33"/>
      <c r="T15" s="66"/>
      <c r="U15" s="33"/>
      <c r="V15" s="33"/>
      <c r="W15" s="52"/>
      <c r="X15" s="52">
        <f t="shared" ref="X15:Y15" si="8">M15-S15</f>
        <v>0</v>
      </c>
      <c r="Y15" s="52">
        <f t="shared" si="8"/>
        <v>0</v>
      </c>
      <c r="Z15" s="52">
        <f t="shared" si="7"/>
        <v>0</v>
      </c>
      <c r="AA15" s="54"/>
      <c r="AB15" s="68"/>
    </row>
    <row r="16" spans="1:45" ht="31.5" x14ac:dyDescent="0.25">
      <c r="A16" s="33" t="s">
        <v>60</v>
      </c>
      <c r="B16" s="42">
        <v>3</v>
      </c>
      <c r="C16" s="33" t="s">
        <v>61</v>
      </c>
      <c r="D16" s="33" t="s">
        <v>61</v>
      </c>
      <c r="E16" s="32"/>
      <c r="F16" s="33" t="s">
        <v>97</v>
      </c>
      <c r="G16" s="32"/>
      <c r="H16" s="32"/>
      <c r="I16" s="33" t="s">
        <v>98</v>
      </c>
      <c r="J16" s="33" t="s">
        <v>43</v>
      </c>
      <c r="K16" s="33" t="s">
        <v>99</v>
      </c>
      <c r="L16" s="48">
        <v>3873005</v>
      </c>
      <c r="M16" s="32"/>
      <c r="N16" s="48">
        <v>7500000</v>
      </c>
      <c r="O16" s="43"/>
      <c r="P16" s="43"/>
      <c r="Q16" s="48">
        <f t="shared" si="5"/>
        <v>11373005</v>
      </c>
      <c r="R16" s="52">
        <v>3873005</v>
      </c>
      <c r="S16" s="33"/>
      <c r="T16" s="44">
        <v>7500000</v>
      </c>
      <c r="U16" s="33"/>
      <c r="V16" s="33"/>
      <c r="W16" s="52"/>
      <c r="X16" s="52">
        <f t="shared" ref="X16:Y16" si="9">M16-S16</f>
        <v>0</v>
      </c>
      <c r="Y16" s="52">
        <f t="shared" si="9"/>
        <v>0</v>
      </c>
      <c r="Z16" s="52">
        <f t="shared" si="7"/>
        <v>0</v>
      </c>
      <c r="AA16" s="54"/>
      <c r="AB16" s="68"/>
    </row>
    <row r="17" spans="1:28" ht="31.5" x14ac:dyDescent="0.25">
      <c r="A17" s="33" t="s">
        <v>60</v>
      </c>
      <c r="B17" s="42">
        <v>4</v>
      </c>
      <c r="C17" s="33" t="s">
        <v>61</v>
      </c>
      <c r="D17" s="33" t="s">
        <v>61</v>
      </c>
      <c r="E17" s="33" t="s">
        <v>100</v>
      </c>
      <c r="F17" s="33" t="s">
        <v>101</v>
      </c>
      <c r="G17" s="33" t="s">
        <v>102</v>
      </c>
      <c r="H17" s="32"/>
      <c r="I17" s="33" t="s">
        <v>103</v>
      </c>
      <c r="J17" s="33" t="s">
        <v>43</v>
      </c>
      <c r="K17" s="33" t="s">
        <v>104</v>
      </c>
      <c r="L17" s="48">
        <v>49303660</v>
      </c>
      <c r="M17" s="48">
        <v>14041440</v>
      </c>
      <c r="N17" s="48">
        <v>7500000</v>
      </c>
      <c r="O17" s="43"/>
      <c r="P17" s="43"/>
      <c r="Q17" s="48">
        <f t="shared" si="5"/>
        <v>70845100</v>
      </c>
      <c r="R17" s="52">
        <v>49303660</v>
      </c>
      <c r="S17" s="48">
        <v>14041440</v>
      </c>
      <c r="T17" s="44">
        <v>7500000</v>
      </c>
      <c r="U17" s="33"/>
      <c r="V17" s="33"/>
      <c r="W17" s="52"/>
      <c r="X17" s="52">
        <f t="shared" ref="X17:Y17" si="10">M17-S17</f>
        <v>0</v>
      </c>
      <c r="Y17" s="52">
        <f t="shared" si="10"/>
        <v>0</v>
      </c>
      <c r="Z17" s="52">
        <f t="shared" si="7"/>
        <v>0</v>
      </c>
      <c r="AA17" s="54"/>
      <c r="AB17" s="68"/>
    </row>
    <row r="18" spans="1:28" ht="31.5" x14ac:dyDescent="0.25">
      <c r="A18" s="33" t="s">
        <v>83</v>
      </c>
      <c r="B18" s="42">
        <v>5</v>
      </c>
      <c r="C18" s="33" t="s">
        <v>61</v>
      </c>
      <c r="D18" s="33" t="s">
        <v>61</v>
      </c>
      <c r="E18" s="32"/>
      <c r="F18" s="33" t="s">
        <v>112</v>
      </c>
      <c r="G18" s="32"/>
      <c r="H18" s="33" t="s">
        <v>113</v>
      </c>
      <c r="I18" s="33" t="s">
        <v>114</v>
      </c>
      <c r="J18" s="33" t="s">
        <v>43</v>
      </c>
      <c r="K18" s="33" t="s">
        <v>115</v>
      </c>
      <c r="L18" s="42">
        <v>0</v>
      </c>
      <c r="M18" s="32"/>
      <c r="N18" s="33"/>
      <c r="O18" s="43"/>
      <c r="P18" s="43"/>
      <c r="Q18" s="48">
        <f t="shared" si="5"/>
        <v>0</v>
      </c>
      <c r="R18" s="42">
        <v>0</v>
      </c>
      <c r="S18" s="33"/>
      <c r="T18" s="66"/>
      <c r="U18" s="33"/>
      <c r="V18" s="33"/>
      <c r="W18" s="52"/>
      <c r="X18" s="52">
        <f t="shared" ref="X18:Y18" si="11">M18-S18</f>
        <v>0</v>
      </c>
      <c r="Y18" s="52">
        <f t="shared" si="11"/>
        <v>0</v>
      </c>
      <c r="Z18" s="52">
        <f t="shared" si="7"/>
        <v>0</v>
      </c>
      <c r="AA18" s="54"/>
      <c r="AB18" s="68"/>
    </row>
    <row r="19" spans="1:28" ht="31.5" x14ac:dyDescent="0.25">
      <c r="A19" s="33" t="s">
        <v>60</v>
      </c>
      <c r="B19" s="42">
        <v>6</v>
      </c>
      <c r="C19" s="33" t="s">
        <v>61</v>
      </c>
      <c r="D19" s="33" t="s">
        <v>61</v>
      </c>
      <c r="E19" s="32"/>
      <c r="F19" s="33" t="s">
        <v>121</v>
      </c>
      <c r="G19" s="32"/>
      <c r="H19" s="32"/>
      <c r="I19" s="33" t="s">
        <v>122</v>
      </c>
      <c r="J19" s="33" t="s">
        <v>43</v>
      </c>
      <c r="K19" s="33" t="s">
        <v>123</v>
      </c>
      <c r="L19" s="42">
        <v>0</v>
      </c>
      <c r="M19" s="32"/>
      <c r="N19" s="48">
        <v>7500000</v>
      </c>
      <c r="O19" s="43"/>
      <c r="P19" s="43"/>
      <c r="Q19" s="48">
        <f t="shared" si="5"/>
        <v>7500000</v>
      </c>
      <c r="R19" s="42">
        <v>0</v>
      </c>
      <c r="S19" s="33"/>
      <c r="T19" s="44">
        <v>7500000</v>
      </c>
      <c r="U19" s="33"/>
      <c r="V19" s="33"/>
      <c r="W19" s="52"/>
      <c r="X19" s="52">
        <f t="shared" ref="X19:Y19" si="12">M19-S19</f>
        <v>0</v>
      </c>
      <c r="Y19" s="52">
        <f t="shared" si="12"/>
        <v>0</v>
      </c>
      <c r="Z19" s="52">
        <f t="shared" si="7"/>
        <v>0</v>
      </c>
      <c r="AA19" s="54"/>
      <c r="AB19" s="68"/>
    </row>
    <row r="20" spans="1:28" ht="31.5" x14ac:dyDescent="0.25">
      <c r="A20" s="33" t="s">
        <v>35</v>
      </c>
      <c r="B20" s="42">
        <v>7</v>
      </c>
      <c r="C20" s="33" t="s">
        <v>61</v>
      </c>
      <c r="D20" s="33" t="s">
        <v>61</v>
      </c>
      <c r="E20" s="32"/>
      <c r="F20" s="33" t="s">
        <v>130</v>
      </c>
      <c r="G20" s="32"/>
      <c r="H20" s="32"/>
      <c r="I20" s="33" t="s">
        <v>131</v>
      </c>
      <c r="J20" s="33" t="s">
        <v>43</v>
      </c>
      <c r="K20" s="33" t="s">
        <v>132</v>
      </c>
      <c r="L20" s="48">
        <v>129028662</v>
      </c>
      <c r="M20" s="32"/>
      <c r="N20" s="48">
        <v>7500000</v>
      </c>
      <c r="O20" s="43"/>
      <c r="P20" s="43"/>
      <c r="Q20" s="48">
        <f t="shared" si="5"/>
        <v>136528662</v>
      </c>
      <c r="R20" s="52">
        <v>129028662</v>
      </c>
      <c r="S20" s="33"/>
      <c r="T20" s="44">
        <v>7500000</v>
      </c>
      <c r="U20" s="33"/>
      <c r="V20" s="33"/>
      <c r="W20" s="52"/>
      <c r="X20" s="52">
        <f t="shared" ref="X20:Y20" si="13">M20-S20</f>
        <v>0</v>
      </c>
      <c r="Y20" s="52">
        <f t="shared" si="13"/>
        <v>0</v>
      </c>
      <c r="Z20" s="52">
        <f t="shared" si="7"/>
        <v>0</v>
      </c>
      <c r="AA20" s="54"/>
      <c r="AB20" s="68"/>
    </row>
    <row r="21" spans="1:28" ht="31.5" x14ac:dyDescent="0.25">
      <c r="A21" s="33" t="s">
        <v>83</v>
      </c>
      <c r="B21" s="42">
        <v>8</v>
      </c>
      <c r="C21" s="33" t="s">
        <v>61</v>
      </c>
      <c r="D21" s="33" t="s">
        <v>61</v>
      </c>
      <c r="E21" s="32"/>
      <c r="F21" s="33" t="s">
        <v>138</v>
      </c>
      <c r="G21" s="32"/>
      <c r="H21" s="33" t="s">
        <v>113</v>
      </c>
      <c r="I21" s="33" t="s">
        <v>139</v>
      </c>
      <c r="J21" s="33" t="s">
        <v>43</v>
      </c>
      <c r="K21" s="33" t="s">
        <v>140</v>
      </c>
      <c r="L21" s="42">
        <v>0</v>
      </c>
      <c r="M21" s="32"/>
      <c r="N21" s="33"/>
      <c r="O21" s="43"/>
      <c r="P21" s="43"/>
      <c r="Q21" s="48">
        <f t="shared" si="5"/>
        <v>0</v>
      </c>
      <c r="R21" s="42">
        <v>0</v>
      </c>
      <c r="S21" s="33"/>
      <c r="T21" s="66"/>
      <c r="U21" s="33"/>
      <c r="V21" s="33"/>
      <c r="W21" s="52"/>
      <c r="X21" s="52">
        <f t="shared" ref="X21:Y21" si="14">M21-S21</f>
        <v>0</v>
      </c>
      <c r="Y21" s="52">
        <f t="shared" si="14"/>
        <v>0</v>
      </c>
      <c r="Z21" s="52">
        <f t="shared" si="7"/>
        <v>0</v>
      </c>
      <c r="AA21" s="54"/>
      <c r="AB21" s="68"/>
    </row>
    <row r="22" spans="1:28" ht="31.5" x14ac:dyDescent="0.25">
      <c r="A22" s="33" t="s">
        <v>46</v>
      </c>
      <c r="B22" s="42">
        <v>9</v>
      </c>
      <c r="C22" s="33" t="s">
        <v>141</v>
      </c>
      <c r="D22" s="33" t="s">
        <v>141</v>
      </c>
      <c r="E22" s="32"/>
      <c r="F22" s="33" t="s">
        <v>143</v>
      </c>
      <c r="G22" s="32"/>
      <c r="H22" s="33" t="s">
        <v>145</v>
      </c>
      <c r="I22" s="33" t="s">
        <v>147</v>
      </c>
      <c r="J22" s="33" t="s">
        <v>43</v>
      </c>
      <c r="K22" s="33" t="s">
        <v>149</v>
      </c>
      <c r="L22" s="48">
        <v>5275298400</v>
      </c>
      <c r="M22" s="32"/>
      <c r="N22" s="48">
        <v>15000000</v>
      </c>
      <c r="O22" s="43"/>
      <c r="P22" s="43"/>
      <c r="Q22" s="48">
        <f t="shared" si="5"/>
        <v>5290298400</v>
      </c>
      <c r="R22" s="52">
        <v>5275298400</v>
      </c>
      <c r="S22" s="33"/>
      <c r="T22" s="44">
        <v>15000000</v>
      </c>
      <c r="U22" s="33"/>
      <c r="V22" s="33"/>
      <c r="W22" s="52"/>
      <c r="X22" s="52">
        <f t="shared" ref="X22:Y22" si="15">M22-S22</f>
        <v>0</v>
      </c>
      <c r="Y22" s="52">
        <f t="shared" si="15"/>
        <v>0</v>
      </c>
      <c r="Z22" s="52">
        <f t="shared" si="7"/>
        <v>0</v>
      </c>
      <c r="AA22" s="54"/>
      <c r="AB22" s="68"/>
    </row>
    <row r="23" spans="1:28" ht="31.5" x14ac:dyDescent="0.25">
      <c r="A23" s="33" t="s">
        <v>83</v>
      </c>
      <c r="B23" s="42">
        <v>10</v>
      </c>
      <c r="C23" s="33" t="s">
        <v>141</v>
      </c>
      <c r="D23" s="33" t="s">
        <v>141</v>
      </c>
      <c r="E23" s="32"/>
      <c r="F23" s="33" t="s">
        <v>151</v>
      </c>
      <c r="G23" s="32"/>
      <c r="H23" s="33" t="s">
        <v>113</v>
      </c>
      <c r="I23" s="33" t="s">
        <v>152</v>
      </c>
      <c r="J23" s="33" t="s">
        <v>43</v>
      </c>
      <c r="K23" s="33" t="s">
        <v>153</v>
      </c>
      <c r="L23" s="42">
        <v>0</v>
      </c>
      <c r="M23" s="32"/>
      <c r="N23" s="33"/>
      <c r="O23" s="43"/>
      <c r="P23" s="43"/>
      <c r="Q23" s="48">
        <f t="shared" si="5"/>
        <v>0</v>
      </c>
      <c r="R23" s="42">
        <v>0</v>
      </c>
      <c r="S23" s="33"/>
      <c r="T23" s="66"/>
      <c r="U23" s="33"/>
      <c r="V23" s="33"/>
      <c r="W23" s="52"/>
      <c r="X23" s="52">
        <f t="shared" ref="X23:Y23" si="16">M23-S23</f>
        <v>0</v>
      </c>
      <c r="Y23" s="52">
        <f t="shared" si="16"/>
        <v>0</v>
      </c>
      <c r="Z23" s="52">
        <f t="shared" si="7"/>
        <v>0</v>
      </c>
      <c r="AA23" s="54"/>
      <c r="AB23" s="68"/>
    </row>
    <row r="24" spans="1:28" ht="31.5" x14ac:dyDescent="0.25">
      <c r="A24" s="33" t="s">
        <v>52</v>
      </c>
      <c r="B24" s="42">
        <v>11</v>
      </c>
      <c r="C24" s="33" t="s">
        <v>141</v>
      </c>
      <c r="D24" s="33" t="s">
        <v>141</v>
      </c>
      <c r="E24" s="32"/>
      <c r="F24" s="33" t="s">
        <v>160</v>
      </c>
      <c r="G24" s="32"/>
      <c r="H24" s="32"/>
      <c r="I24" s="33" t="s">
        <v>161</v>
      </c>
      <c r="J24" s="33" t="s">
        <v>43</v>
      </c>
      <c r="K24" s="33" t="s">
        <v>162</v>
      </c>
      <c r="L24" s="48">
        <v>2559814110</v>
      </c>
      <c r="M24" s="32"/>
      <c r="N24" s="48">
        <v>7500000</v>
      </c>
      <c r="O24" s="43"/>
      <c r="P24" s="43"/>
      <c r="Q24" s="48">
        <f t="shared" si="5"/>
        <v>2567314110</v>
      </c>
      <c r="R24" s="33"/>
      <c r="S24" s="33"/>
      <c r="T24" s="66"/>
      <c r="U24" s="33"/>
      <c r="V24" s="33"/>
      <c r="W24" s="52">
        <v>2559814110</v>
      </c>
      <c r="X24" s="52">
        <f t="shared" ref="X24:Y24" si="17">M24-S24</f>
        <v>0</v>
      </c>
      <c r="Y24" s="52">
        <f t="shared" si="17"/>
        <v>7500000</v>
      </c>
      <c r="Z24" s="52">
        <f t="shared" si="7"/>
        <v>0</v>
      </c>
      <c r="AA24" s="69">
        <v>2559814110</v>
      </c>
      <c r="AB24" s="68"/>
    </row>
    <row r="25" spans="1:28" ht="31.5" x14ac:dyDescent="0.25">
      <c r="A25" s="33" t="s">
        <v>52</v>
      </c>
      <c r="B25" s="42">
        <v>12</v>
      </c>
      <c r="C25" s="33" t="s">
        <v>141</v>
      </c>
      <c r="D25" s="33" t="s">
        <v>141</v>
      </c>
      <c r="E25" s="32"/>
      <c r="F25" s="33" t="s">
        <v>169</v>
      </c>
      <c r="G25" s="32"/>
      <c r="H25" s="32"/>
      <c r="I25" s="33" t="s">
        <v>170</v>
      </c>
      <c r="J25" s="33" t="s">
        <v>43</v>
      </c>
      <c r="K25" s="33" t="s">
        <v>171</v>
      </c>
      <c r="L25" s="48">
        <v>60717258</v>
      </c>
      <c r="M25" s="32"/>
      <c r="N25" s="48">
        <v>7500000</v>
      </c>
      <c r="O25" s="43"/>
      <c r="P25" s="43"/>
      <c r="Q25" s="48">
        <f t="shared" si="5"/>
        <v>68217258</v>
      </c>
      <c r="R25" s="48">
        <v>60717258</v>
      </c>
      <c r="S25" s="33"/>
      <c r="T25" s="44">
        <v>7500000</v>
      </c>
      <c r="U25" s="33"/>
      <c r="V25" s="33"/>
      <c r="W25" s="52"/>
      <c r="X25" s="52">
        <f t="shared" ref="X25:Y25" si="18">M25-S25</f>
        <v>0</v>
      </c>
      <c r="Y25" s="52">
        <f t="shared" si="18"/>
        <v>0</v>
      </c>
      <c r="Z25" s="52">
        <f t="shared" si="7"/>
        <v>0</v>
      </c>
      <c r="AA25" s="54"/>
      <c r="AB25" s="68"/>
    </row>
    <row r="26" spans="1:28" ht="31.5" x14ac:dyDescent="0.25">
      <c r="A26" s="33" t="s">
        <v>52</v>
      </c>
      <c r="B26" s="42">
        <v>13</v>
      </c>
      <c r="C26" s="33" t="s">
        <v>176</v>
      </c>
      <c r="D26" s="33" t="s">
        <v>176</v>
      </c>
      <c r="E26" s="32"/>
      <c r="F26" s="33" t="s">
        <v>177</v>
      </c>
      <c r="G26" s="32"/>
      <c r="H26" s="32"/>
      <c r="I26" s="33" t="s">
        <v>178</v>
      </c>
      <c r="J26" s="33" t="s">
        <v>43</v>
      </c>
      <c r="K26" s="33" t="s">
        <v>179</v>
      </c>
      <c r="L26" s="48">
        <v>1532066300</v>
      </c>
      <c r="M26" s="32"/>
      <c r="N26" s="48">
        <v>7500000</v>
      </c>
      <c r="O26" s="43"/>
      <c r="P26" s="43"/>
      <c r="Q26" s="48">
        <f t="shared" si="5"/>
        <v>1539566300</v>
      </c>
      <c r="R26" s="52">
        <v>1532066300</v>
      </c>
      <c r="S26" s="33"/>
      <c r="T26" s="44">
        <v>7500000</v>
      </c>
      <c r="U26" s="33"/>
      <c r="V26" s="33"/>
      <c r="W26" s="52"/>
      <c r="X26" s="52">
        <f t="shared" ref="X26:Y26" si="19">M26-S26</f>
        <v>0</v>
      </c>
      <c r="Y26" s="52">
        <f t="shared" si="19"/>
        <v>0</v>
      </c>
      <c r="Z26" s="52">
        <f t="shared" si="7"/>
        <v>0</v>
      </c>
      <c r="AA26" s="54"/>
      <c r="AB26" s="68"/>
    </row>
    <row r="27" spans="1:28" ht="31.5" x14ac:dyDescent="0.25">
      <c r="A27" s="33" t="s">
        <v>52</v>
      </c>
      <c r="B27" s="42">
        <v>14</v>
      </c>
      <c r="C27" s="33" t="s">
        <v>176</v>
      </c>
      <c r="D27" s="33" t="s">
        <v>176</v>
      </c>
      <c r="E27" s="32"/>
      <c r="F27" s="33" t="s">
        <v>180</v>
      </c>
      <c r="G27" s="32"/>
      <c r="H27" s="32"/>
      <c r="I27" s="33" t="s">
        <v>183</v>
      </c>
      <c r="J27" s="33" t="s">
        <v>43</v>
      </c>
      <c r="K27" s="33" t="s">
        <v>185</v>
      </c>
      <c r="L27" s="48">
        <v>1836348912</v>
      </c>
      <c r="M27" s="32"/>
      <c r="N27" s="48">
        <v>7500000</v>
      </c>
      <c r="O27" s="43"/>
      <c r="P27" s="43"/>
      <c r="Q27" s="48">
        <f t="shared" si="5"/>
        <v>1843848912</v>
      </c>
      <c r="R27" s="52">
        <v>1836348912</v>
      </c>
      <c r="S27" s="33"/>
      <c r="T27" s="66"/>
      <c r="U27" s="33"/>
      <c r="V27" s="33"/>
      <c r="W27" s="52"/>
      <c r="X27" s="52">
        <f t="shared" ref="X27:Y27" si="20">M27-S27</f>
        <v>0</v>
      </c>
      <c r="Y27" s="52">
        <f t="shared" si="20"/>
        <v>7500000</v>
      </c>
      <c r="Z27" s="52">
        <f t="shared" si="7"/>
        <v>0</v>
      </c>
      <c r="AA27" s="54"/>
      <c r="AB27" s="68"/>
    </row>
    <row r="28" spans="1:28" ht="31.5" x14ac:dyDescent="0.25">
      <c r="A28" s="33" t="s">
        <v>52</v>
      </c>
      <c r="B28" s="42">
        <v>15</v>
      </c>
      <c r="C28" s="33" t="s">
        <v>176</v>
      </c>
      <c r="D28" s="33" t="s">
        <v>176</v>
      </c>
      <c r="E28" s="32"/>
      <c r="F28" s="33" t="s">
        <v>187</v>
      </c>
      <c r="G28" s="32"/>
      <c r="H28" s="32"/>
      <c r="I28" s="33" t="s">
        <v>188</v>
      </c>
      <c r="J28" s="33" t="s">
        <v>43</v>
      </c>
      <c r="K28" s="33" t="s">
        <v>189</v>
      </c>
      <c r="L28" s="48">
        <v>662595692</v>
      </c>
      <c r="M28" s="32"/>
      <c r="N28" s="48">
        <v>7500000</v>
      </c>
      <c r="O28" s="43"/>
      <c r="P28" s="43"/>
      <c r="Q28" s="48">
        <f t="shared" si="5"/>
        <v>670095692</v>
      </c>
      <c r="R28" s="52">
        <v>662595692</v>
      </c>
      <c r="S28" s="33"/>
      <c r="T28" s="44">
        <v>7500000</v>
      </c>
      <c r="U28" s="33"/>
      <c r="V28" s="48">
        <v>-195505082</v>
      </c>
      <c r="W28" s="52"/>
      <c r="X28" s="52">
        <f t="shared" ref="X28:Y28" si="21">M28-S28</f>
        <v>0</v>
      </c>
      <c r="Y28" s="52">
        <f t="shared" si="21"/>
        <v>0</v>
      </c>
      <c r="Z28" s="52">
        <f t="shared" si="7"/>
        <v>0</v>
      </c>
      <c r="AA28" s="54"/>
      <c r="AB28" s="68"/>
    </row>
    <row r="29" spans="1:28" ht="31.5" x14ac:dyDescent="0.25">
      <c r="A29" s="33" t="s">
        <v>35</v>
      </c>
      <c r="B29" s="42">
        <v>16</v>
      </c>
      <c r="C29" s="33" t="s">
        <v>196</v>
      </c>
      <c r="D29" s="33" t="s">
        <v>196</v>
      </c>
      <c r="E29" s="32"/>
      <c r="F29" s="33" t="s">
        <v>197</v>
      </c>
      <c r="G29" s="32"/>
      <c r="H29" s="32"/>
      <c r="I29" s="33" t="s">
        <v>198</v>
      </c>
      <c r="J29" s="33" t="s">
        <v>43</v>
      </c>
      <c r="K29" s="33" t="s">
        <v>199</v>
      </c>
      <c r="L29" s="48">
        <v>13658317884</v>
      </c>
      <c r="M29" s="32"/>
      <c r="N29" s="48">
        <v>7500000</v>
      </c>
      <c r="O29" s="43"/>
      <c r="P29" s="43"/>
      <c r="Q29" s="48">
        <f t="shared" si="5"/>
        <v>13665817884</v>
      </c>
      <c r="R29" s="52">
        <v>13658317884</v>
      </c>
      <c r="S29" s="33"/>
      <c r="T29" s="44">
        <v>7500000</v>
      </c>
      <c r="U29" s="33"/>
      <c r="V29" s="33"/>
      <c r="W29" s="52"/>
      <c r="X29" s="52">
        <f t="shared" ref="X29:Y29" si="22">M29-S29</f>
        <v>0</v>
      </c>
      <c r="Y29" s="52">
        <f t="shared" si="22"/>
        <v>0</v>
      </c>
      <c r="Z29" s="52">
        <f t="shared" si="7"/>
        <v>0</v>
      </c>
      <c r="AA29" s="54"/>
      <c r="AB29" s="68"/>
    </row>
    <row r="30" spans="1:28" ht="31.5" x14ac:dyDescent="0.25">
      <c r="A30" s="33" t="s">
        <v>60</v>
      </c>
      <c r="B30" s="42">
        <v>17</v>
      </c>
      <c r="C30" s="33" t="s">
        <v>196</v>
      </c>
      <c r="D30" s="33" t="s">
        <v>196</v>
      </c>
      <c r="E30" s="32"/>
      <c r="F30" s="33" t="s">
        <v>204</v>
      </c>
      <c r="G30" s="32"/>
      <c r="H30" s="32"/>
      <c r="I30" s="33" t="s">
        <v>206</v>
      </c>
      <c r="J30" s="33" t="s">
        <v>43</v>
      </c>
      <c r="K30" s="33" t="s">
        <v>207</v>
      </c>
      <c r="L30" s="48">
        <v>1592587200</v>
      </c>
      <c r="M30" s="32"/>
      <c r="N30" s="48">
        <v>7500000</v>
      </c>
      <c r="O30" s="43"/>
      <c r="P30" s="43"/>
      <c r="Q30" s="48">
        <f t="shared" si="5"/>
        <v>1600087200</v>
      </c>
      <c r="R30" s="52">
        <v>1592587200</v>
      </c>
      <c r="S30" s="33"/>
      <c r="T30" s="66"/>
      <c r="U30" s="33"/>
      <c r="V30" s="33"/>
      <c r="W30" s="52"/>
      <c r="X30" s="52">
        <f t="shared" ref="X30:Y30" si="23">M30-S30</f>
        <v>0</v>
      </c>
      <c r="Y30" s="52">
        <f t="shared" si="23"/>
        <v>7500000</v>
      </c>
      <c r="Z30" s="52">
        <f t="shared" si="7"/>
        <v>0</v>
      </c>
      <c r="AA30" s="54"/>
      <c r="AB30" s="68"/>
    </row>
    <row r="31" spans="1:28" ht="31.5" x14ac:dyDescent="0.25">
      <c r="A31" s="33" t="s">
        <v>83</v>
      </c>
      <c r="B31" s="42">
        <v>18</v>
      </c>
      <c r="C31" s="33" t="s">
        <v>196</v>
      </c>
      <c r="D31" s="33" t="s">
        <v>196</v>
      </c>
      <c r="E31" s="32"/>
      <c r="F31" s="33" t="s">
        <v>213</v>
      </c>
      <c r="G31" s="32"/>
      <c r="H31" s="33" t="s">
        <v>85</v>
      </c>
      <c r="I31" s="33" t="s">
        <v>214</v>
      </c>
      <c r="J31" s="33" t="s">
        <v>43</v>
      </c>
      <c r="K31" s="33" t="s">
        <v>215</v>
      </c>
      <c r="L31" s="42">
        <v>0</v>
      </c>
      <c r="M31" s="32"/>
      <c r="N31" s="33"/>
      <c r="O31" s="43"/>
      <c r="P31" s="43"/>
      <c r="Q31" s="48">
        <f t="shared" si="5"/>
        <v>0</v>
      </c>
      <c r="R31" s="42">
        <v>0</v>
      </c>
      <c r="S31" s="33"/>
      <c r="T31" s="66"/>
      <c r="U31" s="33"/>
      <c r="V31" s="33"/>
      <c r="W31" s="52"/>
      <c r="X31" s="52">
        <f t="shared" ref="X31:Y31" si="24">M31-S31</f>
        <v>0</v>
      </c>
      <c r="Y31" s="52">
        <f t="shared" si="24"/>
        <v>0</v>
      </c>
      <c r="Z31" s="52">
        <f t="shared" si="7"/>
        <v>0</v>
      </c>
      <c r="AA31" s="54"/>
      <c r="AB31" s="68"/>
    </row>
    <row r="32" spans="1:28" ht="31.5" x14ac:dyDescent="0.25">
      <c r="A32" s="33" t="s">
        <v>35</v>
      </c>
      <c r="B32" s="42">
        <v>19</v>
      </c>
      <c r="C32" s="33" t="s">
        <v>196</v>
      </c>
      <c r="D32" s="33" t="s">
        <v>196</v>
      </c>
      <c r="E32" s="32"/>
      <c r="F32" s="33" t="s">
        <v>217</v>
      </c>
      <c r="G32" s="32"/>
      <c r="H32" s="32"/>
      <c r="I32" s="33" t="s">
        <v>220</v>
      </c>
      <c r="J32" s="33" t="s">
        <v>43</v>
      </c>
      <c r="K32" s="33" t="s">
        <v>222</v>
      </c>
      <c r="L32" s="48">
        <v>4546438698</v>
      </c>
      <c r="M32" s="32"/>
      <c r="N32" s="48">
        <v>15000000</v>
      </c>
      <c r="O32" s="43"/>
      <c r="P32" s="43"/>
      <c r="Q32" s="48">
        <f t="shared" si="5"/>
        <v>4561438698</v>
      </c>
      <c r="R32" s="52">
        <v>4546438698</v>
      </c>
      <c r="S32" s="33"/>
      <c r="T32" s="44">
        <v>15000000</v>
      </c>
      <c r="U32" s="33"/>
      <c r="V32" s="33"/>
      <c r="W32" s="52"/>
      <c r="X32" s="52">
        <f t="shared" ref="X32:Y32" si="25">M32-S32</f>
        <v>0</v>
      </c>
      <c r="Y32" s="52">
        <f t="shared" si="25"/>
        <v>0</v>
      </c>
      <c r="Z32" s="52">
        <f t="shared" si="7"/>
        <v>0</v>
      </c>
      <c r="AA32" s="54"/>
      <c r="AB32" s="68"/>
    </row>
    <row r="33" spans="1:28" ht="47.25" x14ac:dyDescent="0.25">
      <c r="A33" s="33" t="s">
        <v>83</v>
      </c>
      <c r="B33" s="42">
        <v>20</v>
      </c>
      <c r="C33" s="33" t="s">
        <v>196</v>
      </c>
      <c r="D33" s="33" t="s">
        <v>196</v>
      </c>
      <c r="E33" s="32"/>
      <c r="F33" s="33" t="s">
        <v>224</v>
      </c>
      <c r="G33" s="32"/>
      <c r="H33" s="33" t="s">
        <v>113</v>
      </c>
      <c r="I33" s="33" t="s">
        <v>226</v>
      </c>
      <c r="J33" s="33" t="s">
        <v>43</v>
      </c>
      <c r="K33" s="33" t="s">
        <v>229</v>
      </c>
      <c r="L33" s="42">
        <v>0</v>
      </c>
      <c r="M33" s="32"/>
      <c r="N33" s="33"/>
      <c r="O33" s="43"/>
      <c r="P33" s="43"/>
      <c r="Q33" s="48">
        <f t="shared" si="5"/>
        <v>0</v>
      </c>
      <c r="R33" s="42">
        <v>0</v>
      </c>
      <c r="S33" s="33"/>
      <c r="T33" s="66"/>
      <c r="U33" s="33"/>
      <c r="V33" s="33"/>
      <c r="W33" s="52"/>
      <c r="X33" s="52">
        <f t="shared" ref="X33:Y33" si="26">M33-S33</f>
        <v>0</v>
      </c>
      <c r="Y33" s="52">
        <f t="shared" si="26"/>
        <v>0</v>
      </c>
      <c r="Z33" s="52">
        <f t="shared" si="7"/>
        <v>0</v>
      </c>
      <c r="AA33" s="54"/>
      <c r="AB33" s="68"/>
    </row>
    <row r="34" spans="1:28" ht="31.5" x14ac:dyDescent="0.25">
      <c r="A34" s="33" t="s">
        <v>60</v>
      </c>
      <c r="B34" s="42">
        <v>21</v>
      </c>
      <c r="C34" s="33" t="s">
        <v>196</v>
      </c>
      <c r="D34" s="33" t="s">
        <v>196</v>
      </c>
      <c r="E34" s="32"/>
      <c r="F34" s="33" t="s">
        <v>234</v>
      </c>
      <c r="G34" s="32"/>
      <c r="H34" s="32"/>
      <c r="I34" s="33" t="s">
        <v>235</v>
      </c>
      <c r="J34" s="33" t="s">
        <v>43</v>
      </c>
      <c r="K34" s="33" t="s">
        <v>237</v>
      </c>
      <c r="L34" s="48">
        <v>402447024</v>
      </c>
      <c r="M34" s="32"/>
      <c r="N34" s="48">
        <v>7500000</v>
      </c>
      <c r="O34" s="43"/>
      <c r="P34" s="43"/>
      <c r="Q34" s="48">
        <f t="shared" si="5"/>
        <v>409947024</v>
      </c>
      <c r="R34" s="52">
        <v>402447024</v>
      </c>
      <c r="S34" s="33"/>
      <c r="T34" s="44">
        <v>7500000</v>
      </c>
      <c r="U34" s="33"/>
      <c r="V34" s="33"/>
      <c r="W34" s="52"/>
      <c r="X34" s="52">
        <f t="shared" ref="X34:Y34" si="27">M34-S34</f>
        <v>0</v>
      </c>
      <c r="Y34" s="52">
        <f t="shared" si="27"/>
        <v>0</v>
      </c>
      <c r="Z34" s="52">
        <f t="shared" si="7"/>
        <v>0</v>
      </c>
      <c r="AA34" s="54"/>
      <c r="AB34" s="68"/>
    </row>
    <row r="35" spans="1:28" ht="31.5" x14ac:dyDescent="0.25">
      <c r="A35" s="33" t="s">
        <v>83</v>
      </c>
      <c r="B35" s="42">
        <v>22</v>
      </c>
      <c r="C35" s="33" t="s">
        <v>196</v>
      </c>
      <c r="D35" s="33" t="s">
        <v>196</v>
      </c>
      <c r="E35" s="32"/>
      <c r="F35" s="33" t="s">
        <v>247</v>
      </c>
      <c r="G35" s="32"/>
      <c r="H35" s="33" t="s">
        <v>85</v>
      </c>
      <c r="I35" s="33" t="s">
        <v>248</v>
      </c>
      <c r="J35" s="33" t="s">
        <v>43</v>
      </c>
      <c r="K35" s="33" t="s">
        <v>249</v>
      </c>
      <c r="L35" s="42">
        <v>0</v>
      </c>
      <c r="M35" s="32"/>
      <c r="N35" s="33"/>
      <c r="O35" s="43"/>
      <c r="P35" s="43"/>
      <c r="Q35" s="48">
        <f t="shared" si="5"/>
        <v>0</v>
      </c>
      <c r="R35" s="42">
        <v>0</v>
      </c>
      <c r="S35" s="33"/>
      <c r="T35" s="66"/>
      <c r="U35" s="33"/>
      <c r="V35" s="33"/>
      <c r="W35" s="52"/>
      <c r="X35" s="52">
        <f t="shared" ref="X35:Y35" si="28">M35-S35</f>
        <v>0</v>
      </c>
      <c r="Y35" s="52">
        <f t="shared" si="28"/>
        <v>0</v>
      </c>
      <c r="Z35" s="52">
        <f t="shared" si="7"/>
        <v>0</v>
      </c>
      <c r="AA35" s="54"/>
      <c r="AB35" s="68"/>
    </row>
    <row r="36" spans="1:28" ht="31.5" x14ac:dyDescent="0.25">
      <c r="A36" s="33" t="s">
        <v>52</v>
      </c>
      <c r="B36" s="42">
        <v>23</v>
      </c>
      <c r="C36" s="33" t="s">
        <v>196</v>
      </c>
      <c r="D36" s="33" t="s">
        <v>196</v>
      </c>
      <c r="E36" s="32"/>
      <c r="F36" s="33" t="s">
        <v>255</v>
      </c>
      <c r="G36" s="32"/>
      <c r="H36" s="32"/>
      <c r="I36" s="33" t="s">
        <v>256</v>
      </c>
      <c r="J36" s="33" t="s">
        <v>43</v>
      </c>
      <c r="K36" s="33" t="s">
        <v>257</v>
      </c>
      <c r="L36" s="48">
        <v>655613400</v>
      </c>
      <c r="M36" s="32"/>
      <c r="N36" s="48">
        <v>7500000</v>
      </c>
      <c r="O36" s="43"/>
      <c r="P36" s="43"/>
      <c r="Q36" s="48">
        <f t="shared" si="5"/>
        <v>663113400</v>
      </c>
      <c r="R36" s="52">
        <v>655613400</v>
      </c>
      <c r="S36" s="33"/>
      <c r="T36" s="44">
        <v>7500000</v>
      </c>
      <c r="U36" s="33"/>
      <c r="V36" s="33"/>
      <c r="W36" s="52"/>
      <c r="X36" s="52">
        <f t="shared" ref="X36:Y36" si="29">M36-S36</f>
        <v>0</v>
      </c>
      <c r="Y36" s="52">
        <f t="shared" si="29"/>
        <v>0</v>
      </c>
      <c r="Z36" s="52">
        <f t="shared" si="7"/>
        <v>0</v>
      </c>
      <c r="AA36" s="54"/>
      <c r="AB36" s="68"/>
    </row>
    <row r="37" spans="1:28" ht="47.25" x14ac:dyDescent="0.25">
      <c r="A37" s="33" t="s">
        <v>83</v>
      </c>
      <c r="B37" s="42">
        <v>24</v>
      </c>
      <c r="C37" s="33" t="s">
        <v>196</v>
      </c>
      <c r="D37" s="33" t="s">
        <v>196</v>
      </c>
      <c r="E37" s="32"/>
      <c r="F37" s="33" t="s">
        <v>264</v>
      </c>
      <c r="G37" s="32"/>
      <c r="H37" s="33" t="s">
        <v>113</v>
      </c>
      <c r="I37" s="33" t="s">
        <v>265</v>
      </c>
      <c r="J37" s="33" t="s">
        <v>43</v>
      </c>
      <c r="K37" s="33" t="s">
        <v>266</v>
      </c>
      <c r="L37" s="42">
        <v>0</v>
      </c>
      <c r="M37" s="32"/>
      <c r="N37" s="33"/>
      <c r="O37" s="43"/>
      <c r="P37" s="43"/>
      <c r="Q37" s="48">
        <f t="shared" si="5"/>
        <v>0</v>
      </c>
      <c r="R37" s="42">
        <v>0</v>
      </c>
      <c r="S37" s="33"/>
      <c r="T37" s="66"/>
      <c r="U37" s="33"/>
      <c r="V37" s="33"/>
      <c r="W37" s="52"/>
      <c r="X37" s="52">
        <f t="shared" ref="X37:Y37" si="30">M37-S37</f>
        <v>0</v>
      </c>
      <c r="Y37" s="52">
        <f t="shared" si="30"/>
        <v>0</v>
      </c>
      <c r="Z37" s="52">
        <f t="shared" si="7"/>
        <v>0</v>
      </c>
      <c r="AA37" s="54"/>
      <c r="AB37" s="68"/>
    </row>
    <row r="38" spans="1:28" ht="31.5" x14ac:dyDescent="0.25">
      <c r="A38" s="33" t="s">
        <v>60</v>
      </c>
      <c r="B38" s="42">
        <v>25</v>
      </c>
      <c r="C38" s="33" t="s">
        <v>196</v>
      </c>
      <c r="D38" s="33" t="s">
        <v>196</v>
      </c>
      <c r="E38" s="32"/>
      <c r="F38" s="33" t="s">
        <v>272</v>
      </c>
      <c r="G38" s="32"/>
      <c r="H38" s="32"/>
      <c r="I38" s="33" t="s">
        <v>273</v>
      </c>
      <c r="J38" s="33" t="s">
        <v>43</v>
      </c>
      <c r="K38" s="33" t="s">
        <v>274</v>
      </c>
      <c r="L38" s="48">
        <v>1685363872</v>
      </c>
      <c r="M38" s="32"/>
      <c r="N38" s="48">
        <v>15000000</v>
      </c>
      <c r="O38" s="43"/>
      <c r="P38" s="43"/>
      <c r="Q38" s="48">
        <f t="shared" si="5"/>
        <v>1700363872</v>
      </c>
      <c r="R38" s="52">
        <v>1685363872</v>
      </c>
      <c r="S38" s="33"/>
      <c r="T38" s="44">
        <v>15000000</v>
      </c>
      <c r="U38" s="33"/>
      <c r="V38" s="33"/>
      <c r="W38" s="52"/>
      <c r="X38" s="52">
        <f t="shared" ref="X38:Y38" si="31">M38-S38</f>
        <v>0</v>
      </c>
      <c r="Y38" s="52">
        <f t="shared" si="31"/>
        <v>0</v>
      </c>
      <c r="Z38" s="52">
        <f t="shared" si="7"/>
        <v>0</v>
      </c>
      <c r="AA38" s="54"/>
      <c r="AB38" s="68"/>
    </row>
    <row r="39" spans="1:28" ht="31.5" x14ac:dyDescent="0.25">
      <c r="A39" s="33" t="s">
        <v>83</v>
      </c>
      <c r="B39" s="42">
        <v>26</v>
      </c>
      <c r="C39" s="33" t="s">
        <v>196</v>
      </c>
      <c r="D39" s="33" t="s">
        <v>196</v>
      </c>
      <c r="E39" s="32"/>
      <c r="F39" s="33" t="s">
        <v>277</v>
      </c>
      <c r="G39" s="32"/>
      <c r="H39" s="33" t="s">
        <v>85</v>
      </c>
      <c r="I39" s="33" t="s">
        <v>281</v>
      </c>
      <c r="J39" s="33" t="s">
        <v>43</v>
      </c>
      <c r="K39" s="33" t="s">
        <v>283</v>
      </c>
      <c r="L39" s="42">
        <v>0</v>
      </c>
      <c r="M39" s="32"/>
      <c r="N39" s="33"/>
      <c r="O39" s="43"/>
      <c r="P39" s="43"/>
      <c r="Q39" s="48">
        <f t="shared" si="5"/>
        <v>0</v>
      </c>
      <c r="R39" s="42">
        <v>0</v>
      </c>
      <c r="S39" s="33"/>
      <c r="T39" s="66"/>
      <c r="U39" s="33"/>
      <c r="V39" s="33"/>
      <c r="W39" s="52"/>
      <c r="X39" s="52">
        <f t="shared" ref="X39:Y39" si="32">M39-S39</f>
        <v>0</v>
      </c>
      <c r="Y39" s="52">
        <f t="shared" si="32"/>
        <v>0</v>
      </c>
      <c r="Z39" s="52">
        <f t="shared" si="7"/>
        <v>0</v>
      </c>
      <c r="AA39" s="54"/>
      <c r="AB39" s="68"/>
    </row>
    <row r="40" spans="1:28" ht="31.5" x14ac:dyDescent="0.25">
      <c r="A40" s="33" t="s">
        <v>83</v>
      </c>
      <c r="B40" s="42">
        <v>27</v>
      </c>
      <c r="C40" s="33" t="s">
        <v>286</v>
      </c>
      <c r="D40" s="33" t="s">
        <v>286</v>
      </c>
      <c r="E40" s="32"/>
      <c r="F40" s="33" t="s">
        <v>287</v>
      </c>
      <c r="G40" s="32"/>
      <c r="H40" s="33" t="s">
        <v>113</v>
      </c>
      <c r="I40" s="33" t="s">
        <v>281</v>
      </c>
      <c r="J40" s="33" t="s">
        <v>43</v>
      </c>
      <c r="K40" s="33" t="s">
        <v>288</v>
      </c>
      <c r="L40" s="42">
        <v>0</v>
      </c>
      <c r="M40" s="32"/>
      <c r="N40" s="33"/>
      <c r="O40" s="43"/>
      <c r="P40" s="43"/>
      <c r="Q40" s="48">
        <f t="shared" si="5"/>
        <v>0</v>
      </c>
      <c r="R40" s="42">
        <v>0</v>
      </c>
      <c r="S40" s="33"/>
      <c r="T40" s="66"/>
      <c r="U40" s="33"/>
      <c r="V40" s="33"/>
      <c r="W40" s="52"/>
      <c r="X40" s="52">
        <f t="shared" ref="X40:Y40" si="33">M40-S40</f>
        <v>0</v>
      </c>
      <c r="Y40" s="52">
        <f t="shared" si="33"/>
        <v>0</v>
      </c>
      <c r="Z40" s="52">
        <f t="shared" si="7"/>
        <v>0</v>
      </c>
      <c r="AA40" s="54"/>
      <c r="AB40" s="68"/>
    </row>
    <row r="41" spans="1:28" ht="31.5" x14ac:dyDescent="0.25">
      <c r="A41" s="33" t="s">
        <v>35</v>
      </c>
      <c r="B41" s="42">
        <v>28</v>
      </c>
      <c r="C41" s="33" t="s">
        <v>286</v>
      </c>
      <c r="D41" s="33" t="s">
        <v>286</v>
      </c>
      <c r="E41" s="32"/>
      <c r="F41" s="33" t="s">
        <v>294</v>
      </c>
      <c r="G41" s="32"/>
      <c r="H41" s="32"/>
      <c r="I41" s="33" t="s">
        <v>295</v>
      </c>
      <c r="J41" s="33" t="s">
        <v>43</v>
      </c>
      <c r="K41" s="33" t="s">
        <v>296</v>
      </c>
      <c r="L41" s="48">
        <v>5297512200</v>
      </c>
      <c r="M41" s="32"/>
      <c r="N41" s="48">
        <v>7500000</v>
      </c>
      <c r="O41" s="43"/>
      <c r="P41" s="43"/>
      <c r="Q41" s="48">
        <f t="shared" si="5"/>
        <v>5305012200</v>
      </c>
      <c r="R41" s="48">
        <v>5297512200</v>
      </c>
      <c r="S41" s="33"/>
      <c r="T41" s="44">
        <v>7500000</v>
      </c>
      <c r="U41" s="33"/>
      <c r="V41" s="33"/>
      <c r="W41" s="52"/>
      <c r="X41" s="52">
        <f t="shared" ref="X41:Y41" si="34">M41-S41</f>
        <v>0</v>
      </c>
      <c r="Y41" s="52">
        <f t="shared" si="34"/>
        <v>0</v>
      </c>
      <c r="Z41" s="52">
        <f t="shared" si="7"/>
        <v>0</v>
      </c>
      <c r="AA41" s="54"/>
      <c r="AB41" s="68"/>
    </row>
    <row r="42" spans="1:28" ht="31.5" x14ac:dyDescent="0.25">
      <c r="A42" s="33" t="s">
        <v>46</v>
      </c>
      <c r="B42" s="42">
        <v>29</v>
      </c>
      <c r="C42" s="33" t="s">
        <v>286</v>
      </c>
      <c r="D42" s="33" t="s">
        <v>286</v>
      </c>
      <c r="E42" s="32"/>
      <c r="F42" s="33" t="s">
        <v>299</v>
      </c>
      <c r="G42" s="32"/>
      <c r="H42" s="32"/>
      <c r="I42" s="33" t="s">
        <v>302</v>
      </c>
      <c r="J42" s="33" t="s">
        <v>43</v>
      </c>
      <c r="K42" s="33" t="s">
        <v>303</v>
      </c>
      <c r="L42" s="48">
        <v>3215919560</v>
      </c>
      <c r="M42" s="32"/>
      <c r="N42" s="48">
        <v>7500000</v>
      </c>
      <c r="O42" s="43"/>
      <c r="P42" s="43"/>
      <c r="Q42" s="48">
        <f t="shared" si="5"/>
        <v>3223419560</v>
      </c>
      <c r="R42" s="52">
        <v>3215919560</v>
      </c>
      <c r="S42" s="33"/>
      <c r="T42" s="44">
        <v>7500000</v>
      </c>
      <c r="U42" s="33"/>
      <c r="V42" s="33"/>
      <c r="W42" s="52"/>
      <c r="X42" s="52">
        <f t="shared" ref="X42:Y42" si="35">M42-S42</f>
        <v>0</v>
      </c>
      <c r="Y42" s="52">
        <f t="shared" si="35"/>
        <v>0</v>
      </c>
      <c r="Z42" s="52">
        <f t="shared" si="7"/>
        <v>0</v>
      </c>
      <c r="AA42" s="54"/>
      <c r="AB42" s="68"/>
    </row>
    <row r="43" spans="1:28" ht="31.5" x14ac:dyDescent="0.25">
      <c r="A43" s="33" t="s">
        <v>35</v>
      </c>
      <c r="B43" s="42">
        <v>30</v>
      </c>
      <c r="C43" s="33" t="s">
        <v>286</v>
      </c>
      <c r="D43" s="33" t="s">
        <v>286</v>
      </c>
      <c r="E43" s="32"/>
      <c r="F43" s="33" t="s">
        <v>306</v>
      </c>
      <c r="G43" s="32"/>
      <c r="H43" s="32"/>
      <c r="I43" s="33" t="s">
        <v>307</v>
      </c>
      <c r="J43" s="33" t="s">
        <v>43</v>
      </c>
      <c r="K43" s="33" t="s">
        <v>308</v>
      </c>
      <c r="L43" s="48">
        <v>4662504</v>
      </c>
      <c r="M43" s="32"/>
      <c r="N43" s="48">
        <v>7500000</v>
      </c>
      <c r="O43" s="43"/>
      <c r="P43" s="43"/>
      <c r="Q43" s="48">
        <f t="shared" si="5"/>
        <v>12162504</v>
      </c>
      <c r="R43" s="48">
        <v>4662504</v>
      </c>
      <c r="S43" s="33"/>
      <c r="T43" s="44">
        <v>7500000</v>
      </c>
      <c r="U43" s="33"/>
      <c r="V43" s="33"/>
      <c r="W43" s="52"/>
      <c r="X43" s="52">
        <f t="shared" ref="X43:Y43" si="36">M43-S43</f>
        <v>0</v>
      </c>
      <c r="Y43" s="52">
        <f t="shared" si="36"/>
        <v>0</v>
      </c>
      <c r="Z43" s="52">
        <f t="shared" si="7"/>
        <v>0</v>
      </c>
      <c r="AA43" s="54"/>
      <c r="AB43" s="68"/>
    </row>
    <row r="44" spans="1:28" ht="31.5" x14ac:dyDescent="0.25">
      <c r="A44" s="33" t="s">
        <v>46</v>
      </c>
      <c r="B44" s="42">
        <v>31</v>
      </c>
      <c r="C44" s="33" t="s">
        <v>286</v>
      </c>
      <c r="D44" s="33" t="s">
        <v>286</v>
      </c>
      <c r="E44" s="32"/>
      <c r="F44" s="33" t="s">
        <v>314</v>
      </c>
      <c r="G44" s="32"/>
      <c r="H44" s="32"/>
      <c r="I44" s="33" t="s">
        <v>315</v>
      </c>
      <c r="J44" s="33" t="s">
        <v>43</v>
      </c>
      <c r="K44" s="33" t="s">
        <v>316</v>
      </c>
      <c r="L44" s="48">
        <v>1731644540</v>
      </c>
      <c r="M44" s="32"/>
      <c r="N44" s="48">
        <v>15000000</v>
      </c>
      <c r="O44" s="43"/>
      <c r="P44" s="43"/>
      <c r="Q44" s="48">
        <f t="shared" si="5"/>
        <v>1746644540</v>
      </c>
      <c r="R44" s="48">
        <v>1731644540</v>
      </c>
      <c r="S44" s="33"/>
      <c r="T44" s="44">
        <v>15000000</v>
      </c>
      <c r="U44" s="33"/>
      <c r="V44" s="33"/>
      <c r="W44" s="52"/>
      <c r="X44" s="52">
        <f t="shared" ref="X44:Y44" si="37">M44-S44</f>
        <v>0</v>
      </c>
      <c r="Y44" s="52">
        <f t="shared" si="37"/>
        <v>0</v>
      </c>
      <c r="Z44" s="52">
        <f t="shared" si="7"/>
        <v>0</v>
      </c>
      <c r="AA44" s="54"/>
      <c r="AB44" s="68"/>
    </row>
    <row r="45" spans="1:28" ht="31.5" x14ac:dyDescent="0.25">
      <c r="A45" s="33" t="s">
        <v>35</v>
      </c>
      <c r="B45" s="42">
        <v>32</v>
      </c>
      <c r="C45" s="33" t="s">
        <v>286</v>
      </c>
      <c r="D45" s="33" t="s">
        <v>286</v>
      </c>
      <c r="E45" s="32"/>
      <c r="F45" s="33" t="s">
        <v>324</v>
      </c>
      <c r="G45" s="32"/>
      <c r="H45" s="32"/>
      <c r="I45" s="33" t="s">
        <v>325</v>
      </c>
      <c r="J45" s="33" t="s">
        <v>43</v>
      </c>
      <c r="K45" s="33" t="s">
        <v>326</v>
      </c>
      <c r="L45" s="42">
        <v>0</v>
      </c>
      <c r="M45" s="32"/>
      <c r="N45" s="48">
        <v>7500000</v>
      </c>
      <c r="O45" s="43"/>
      <c r="P45" s="43"/>
      <c r="Q45" s="48">
        <f t="shared" si="5"/>
        <v>7500000</v>
      </c>
      <c r="R45" s="42">
        <v>0</v>
      </c>
      <c r="S45" s="33"/>
      <c r="T45" s="66"/>
      <c r="U45" s="33"/>
      <c r="V45" s="33"/>
      <c r="W45" s="52"/>
      <c r="X45" s="52">
        <f t="shared" ref="X45:Y45" si="38">M45-S45</f>
        <v>0</v>
      </c>
      <c r="Y45" s="52">
        <f t="shared" si="38"/>
        <v>7500000</v>
      </c>
      <c r="Z45" s="52">
        <f t="shared" si="7"/>
        <v>0</v>
      </c>
      <c r="AA45" s="54"/>
      <c r="AB45" s="68"/>
    </row>
    <row r="46" spans="1:28" ht="31.5" x14ac:dyDescent="0.25">
      <c r="A46" s="33" t="s">
        <v>83</v>
      </c>
      <c r="B46" s="42">
        <v>33</v>
      </c>
      <c r="C46" s="33" t="s">
        <v>286</v>
      </c>
      <c r="D46" s="33" t="s">
        <v>286</v>
      </c>
      <c r="E46" s="32"/>
      <c r="F46" s="33" t="s">
        <v>333</v>
      </c>
      <c r="G46" s="32"/>
      <c r="H46" s="32"/>
      <c r="I46" s="33" t="s">
        <v>334</v>
      </c>
      <c r="J46" s="33" t="s">
        <v>43</v>
      </c>
      <c r="K46" s="33" t="s">
        <v>335</v>
      </c>
      <c r="L46" s="42">
        <v>0</v>
      </c>
      <c r="M46" s="32"/>
      <c r="N46" s="48">
        <v>7500000</v>
      </c>
      <c r="O46" s="43"/>
      <c r="P46" s="43"/>
      <c r="Q46" s="48">
        <f t="shared" si="5"/>
        <v>7500000</v>
      </c>
      <c r="R46" s="42">
        <v>0</v>
      </c>
      <c r="S46" s="33"/>
      <c r="T46" s="44">
        <v>7500000</v>
      </c>
      <c r="U46" s="33"/>
      <c r="V46" s="33"/>
      <c r="W46" s="52"/>
      <c r="X46" s="52">
        <f t="shared" ref="X46:Y46" si="39">M46-S46</f>
        <v>0</v>
      </c>
      <c r="Y46" s="52">
        <f t="shared" si="39"/>
        <v>0</v>
      </c>
      <c r="Z46" s="52">
        <f t="shared" si="7"/>
        <v>0</v>
      </c>
      <c r="AA46" s="54"/>
      <c r="AB46" s="68"/>
    </row>
    <row r="47" spans="1:28" ht="31.5" x14ac:dyDescent="0.25">
      <c r="A47" s="33" t="s">
        <v>52</v>
      </c>
      <c r="B47" s="42">
        <v>34</v>
      </c>
      <c r="C47" s="33" t="s">
        <v>286</v>
      </c>
      <c r="D47" s="33" t="s">
        <v>286</v>
      </c>
      <c r="E47" s="32"/>
      <c r="F47" s="33" t="s">
        <v>337</v>
      </c>
      <c r="G47" s="32"/>
      <c r="H47" s="32"/>
      <c r="I47" s="33" t="s">
        <v>338</v>
      </c>
      <c r="J47" s="33" t="s">
        <v>43</v>
      </c>
      <c r="K47" s="33" t="s">
        <v>339</v>
      </c>
      <c r="L47" s="48">
        <v>772775010</v>
      </c>
      <c r="M47" s="32"/>
      <c r="N47" s="48">
        <v>7500000</v>
      </c>
      <c r="O47" s="43"/>
      <c r="P47" s="43"/>
      <c r="Q47" s="48">
        <f t="shared" si="5"/>
        <v>780275010</v>
      </c>
      <c r="R47" s="48">
        <v>772775010</v>
      </c>
      <c r="S47" s="33"/>
      <c r="T47" s="44">
        <v>7500000</v>
      </c>
      <c r="U47" s="33"/>
      <c r="V47" s="33"/>
      <c r="W47" s="52"/>
      <c r="X47" s="52">
        <f t="shared" ref="X47:Y47" si="40">M47-S47</f>
        <v>0</v>
      </c>
      <c r="Y47" s="52">
        <f t="shared" si="40"/>
        <v>0</v>
      </c>
      <c r="Z47" s="52">
        <f t="shared" si="7"/>
        <v>0</v>
      </c>
      <c r="AA47" s="54"/>
      <c r="AB47" s="68"/>
    </row>
    <row r="48" spans="1:28" ht="31.5" x14ac:dyDescent="0.25">
      <c r="A48" s="33" t="s">
        <v>52</v>
      </c>
      <c r="B48" s="42">
        <v>35</v>
      </c>
      <c r="C48" s="33" t="s">
        <v>286</v>
      </c>
      <c r="D48" s="33" t="s">
        <v>286</v>
      </c>
      <c r="E48" s="32"/>
      <c r="F48" s="33" t="s">
        <v>345</v>
      </c>
      <c r="G48" s="32"/>
      <c r="H48" s="33" t="s">
        <v>346</v>
      </c>
      <c r="I48" s="33" t="s">
        <v>352</v>
      </c>
      <c r="J48" s="33" t="s">
        <v>43</v>
      </c>
      <c r="K48" s="33" t="s">
        <v>353</v>
      </c>
      <c r="L48" s="48">
        <v>5472774600</v>
      </c>
      <c r="M48" s="32"/>
      <c r="N48" s="48">
        <v>15000000</v>
      </c>
      <c r="O48" s="43"/>
      <c r="P48" s="43"/>
      <c r="Q48" s="48">
        <f t="shared" si="5"/>
        <v>5487774600</v>
      </c>
      <c r="R48" s="48">
        <v>5472774600</v>
      </c>
      <c r="S48" s="33"/>
      <c r="T48" s="44">
        <v>15000000</v>
      </c>
      <c r="U48" s="33"/>
      <c r="V48" s="33"/>
      <c r="W48" s="52"/>
      <c r="X48" s="52">
        <f t="shared" ref="X48:Y48" si="41">M48-S48</f>
        <v>0</v>
      </c>
      <c r="Y48" s="52">
        <f t="shared" si="41"/>
        <v>0</v>
      </c>
      <c r="Z48" s="52">
        <f t="shared" si="7"/>
        <v>0</v>
      </c>
      <c r="AA48" s="54"/>
      <c r="AB48" s="68"/>
    </row>
    <row r="49" spans="1:28" ht="31.5" x14ac:dyDescent="0.25">
      <c r="A49" s="33" t="s">
        <v>52</v>
      </c>
      <c r="B49" s="42">
        <v>36</v>
      </c>
      <c r="C49" s="33" t="s">
        <v>286</v>
      </c>
      <c r="D49" s="33" t="s">
        <v>286</v>
      </c>
      <c r="E49" s="32"/>
      <c r="F49" s="33" t="s">
        <v>354</v>
      </c>
      <c r="G49" s="32"/>
      <c r="H49" s="32"/>
      <c r="I49" s="33" t="s">
        <v>355</v>
      </c>
      <c r="J49" s="33" t="s">
        <v>43</v>
      </c>
      <c r="K49" s="33" t="s">
        <v>357</v>
      </c>
      <c r="L49" s="48">
        <v>792875600</v>
      </c>
      <c r="M49" s="32"/>
      <c r="N49" s="48">
        <v>7500000</v>
      </c>
      <c r="O49" s="43"/>
      <c r="P49" s="43"/>
      <c r="Q49" s="48">
        <f t="shared" si="5"/>
        <v>800375600</v>
      </c>
      <c r="R49" s="48">
        <v>792875600</v>
      </c>
      <c r="S49" s="33"/>
      <c r="T49" s="44">
        <v>7500000</v>
      </c>
      <c r="U49" s="33"/>
      <c r="V49" s="33"/>
      <c r="W49" s="52"/>
      <c r="X49" s="52">
        <f t="shared" ref="X49:Y49" si="42">M49-S49</f>
        <v>0</v>
      </c>
      <c r="Y49" s="52">
        <f t="shared" si="42"/>
        <v>0</v>
      </c>
      <c r="Z49" s="52">
        <f t="shared" si="7"/>
        <v>0</v>
      </c>
      <c r="AA49" s="54"/>
      <c r="AB49" s="68"/>
    </row>
    <row r="50" spans="1:28" ht="31.5" x14ac:dyDescent="0.25">
      <c r="A50" s="33" t="s">
        <v>35</v>
      </c>
      <c r="B50" s="42">
        <v>37</v>
      </c>
      <c r="C50" s="33" t="s">
        <v>363</v>
      </c>
      <c r="D50" s="33" t="s">
        <v>363</v>
      </c>
      <c r="E50" s="32"/>
      <c r="F50" s="33" t="s">
        <v>364</v>
      </c>
      <c r="G50" s="32"/>
      <c r="H50" s="32"/>
      <c r="I50" s="33" t="s">
        <v>365</v>
      </c>
      <c r="J50" s="33" t="s">
        <v>43</v>
      </c>
      <c r="K50" s="33" t="s">
        <v>366</v>
      </c>
      <c r="L50" s="48">
        <v>423059200</v>
      </c>
      <c r="M50" s="32"/>
      <c r="N50" s="48">
        <v>7500000</v>
      </c>
      <c r="O50" s="43"/>
      <c r="P50" s="43"/>
      <c r="Q50" s="48">
        <f t="shared" si="5"/>
        <v>430559200</v>
      </c>
      <c r="R50" s="52">
        <v>423059200</v>
      </c>
      <c r="S50" s="33"/>
      <c r="T50" s="44">
        <v>7500000</v>
      </c>
      <c r="U50" s="33"/>
      <c r="V50" s="33"/>
      <c r="W50" s="52"/>
      <c r="X50" s="52">
        <f t="shared" ref="X50:Y50" si="43">M50-S50</f>
        <v>0</v>
      </c>
      <c r="Y50" s="52">
        <f t="shared" si="43"/>
        <v>0</v>
      </c>
      <c r="Z50" s="52">
        <f t="shared" si="7"/>
        <v>0</v>
      </c>
      <c r="AA50" s="54"/>
      <c r="AB50" s="68"/>
    </row>
    <row r="51" spans="1:28" ht="31.5" x14ac:dyDescent="0.25">
      <c r="A51" s="33" t="s">
        <v>60</v>
      </c>
      <c r="B51" s="42">
        <v>38</v>
      </c>
      <c r="C51" s="33" t="s">
        <v>363</v>
      </c>
      <c r="D51" s="33" t="s">
        <v>363</v>
      </c>
      <c r="E51" s="32"/>
      <c r="F51" s="33" t="s">
        <v>373</v>
      </c>
      <c r="G51" s="32"/>
      <c r="H51" s="32"/>
      <c r="I51" s="33" t="s">
        <v>374</v>
      </c>
      <c r="J51" s="33" t="s">
        <v>43</v>
      </c>
      <c r="K51" s="33" t="s">
        <v>375</v>
      </c>
      <c r="L51" s="48">
        <v>2853192406</v>
      </c>
      <c r="M51" s="32"/>
      <c r="N51" s="48">
        <v>7500000</v>
      </c>
      <c r="O51" s="43"/>
      <c r="P51" s="43"/>
      <c r="Q51" s="48">
        <f t="shared" si="5"/>
        <v>2860692406</v>
      </c>
      <c r="R51" s="52">
        <v>2853192406</v>
      </c>
      <c r="S51" s="33"/>
      <c r="T51" s="44">
        <v>7500000</v>
      </c>
      <c r="U51" s="33"/>
      <c r="V51" s="33"/>
      <c r="W51" s="52"/>
      <c r="X51" s="52">
        <f t="shared" ref="X51:Y51" si="44">M51-S51</f>
        <v>0</v>
      </c>
      <c r="Y51" s="52">
        <f t="shared" si="44"/>
        <v>0</v>
      </c>
      <c r="Z51" s="52">
        <f t="shared" si="7"/>
        <v>0</v>
      </c>
      <c r="AA51" s="54"/>
      <c r="AB51" s="68"/>
    </row>
    <row r="52" spans="1:28" ht="31.5" x14ac:dyDescent="0.25">
      <c r="A52" s="33" t="s">
        <v>35</v>
      </c>
      <c r="B52" s="42">
        <v>39</v>
      </c>
      <c r="C52" s="33" t="s">
        <v>363</v>
      </c>
      <c r="D52" s="33" t="s">
        <v>363</v>
      </c>
      <c r="E52" s="32"/>
      <c r="F52" s="33" t="s">
        <v>382</v>
      </c>
      <c r="G52" s="32"/>
      <c r="H52" s="32"/>
      <c r="I52" s="33" t="s">
        <v>384</v>
      </c>
      <c r="J52" s="33" t="s">
        <v>43</v>
      </c>
      <c r="K52" s="33" t="s">
        <v>385</v>
      </c>
      <c r="L52" s="48">
        <v>4069311354</v>
      </c>
      <c r="M52" s="32"/>
      <c r="N52" s="48">
        <v>15000000</v>
      </c>
      <c r="O52" s="43"/>
      <c r="P52" s="43"/>
      <c r="Q52" s="48">
        <f t="shared" si="5"/>
        <v>4084311354</v>
      </c>
      <c r="R52" s="52">
        <v>4069311354</v>
      </c>
      <c r="S52" s="33"/>
      <c r="T52" s="44">
        <v>15000000</v>
      </c>
      <c r="U52" s="33"/>
      <c r="V52" s="33"/>
      <c r="W52" s="52"/>
      <c r="X52" s="52">
        <f t="shared" ref="X52:Y52" si="45">M52-S52</f>
        <v>0</v>
      </c>
      <c r="Y52" s="52">
        <f t="shared" si="45"/>
        <v>0</v>
      </c>
      <c r="Z52" s="52">
        <f t="shared" si="7"/>
        <v>0</v>
      </c>
      <c r="AA52" s="54"/>
      <c r="AB52" s="68"/>
    </row>
    <row r="53" spans="1:28" ht="31.5" x14ac:dyDescent="0.25">
      <c r="A53" s="33" t="s">
        <v>60</v>
      </c>
      <c r="B53" s="299">
        <v>40</v>
      </c>
      <c r="C53" s="299" t="s">
        <v>363</v>
      </c>
      <c r="D53" s="33" t="s">
        <v>363</v>
      </c>
      <c r="E53" s="32"/>
      <c r="F53" s="299" t="s">
        <v>393</v>
      </c>
      <c r="G53" s="32"/>
      <c r="H53" s="32"/>
      <c r="I53" s="300" t="s">
        <v>395</v>
      </c>
      <c r="J53" s="299" t="s">
        <v>43</v>
      </c>
      <c r="K53" s="299" t="s">
        <v>396</v>
      </c>
      <c r="L53" s="48">
        <v>10000000</v>
      </c>
      <c r="M53" s="32"/>
      <c r="N53" s="48">
        <v>15000000</v>
      </c>
      <c r="O53" s="43" t="s">
        <v>397</v>
      </c>
      <c r="P53" s="69">
        <v>48000000</v>
      </c>
      <c r="Q53" s="48">
        <f t="shared" si="5"/>
        <v>73000000</v>
      </c>
      <c r="R53" s="52">
        <v>10000000</v>
      </c>
      <c r="S53" s="33"/>
      <c r="T53" s="44">
        <v>15000000</v>
      </c>
      <c r="U53" s="48">
        <v>48000000</v>
      </c>
      <c r="V53" s="33"/>
      <c r="W53" s="52"/>
      <c r="X53" s="52">
        <f t="shared" ref="X53:Y53" si="46">M53-S53</f>
        <v>0</v>
      </c>
      <c r="Y53" s="52">
        <f t="shared" si="46"/>
        <v>0</v>
      </c>
      <c r="Z53" s="52">
        <f t="shared" si="7"/>
        <v>0</v>
      </c>
      <c r="AA53" s="54"/>
      <c r="AB53" s="68"/>
    </row>
    <row r="54" spans="1:28" ht="42" customHeight="1" x14ac:dyDescent="0.25">
      <c r="A54" s="33"/>
      <c r="B54" s="290"/>
      <c r="C54" s="290"/>
      <c r="D54" s="33"/>
      <c r="E54" s="32"/>
      <c r="F54" s="290"/>
      <c r="G54" s="32"/>
      <c r="H54" s="32"/>
      <c r="I54" s="290"/>
      <c r="J54" s="290"/>
      <c r="K54" s="290"/>
      <c r="L54" s="48"/>
      <c r="M54" s="32"/>
      <c r="N54" s="48"/>
      <c r="O54" s="43" t="s">
        <v>402</v>
      </c>
      <c r="P54" s="69">
        <v>48000000</v>
      </c>
      <c r="Q54" s="48"/>
      <c r="R54" s="52"/>
      <c r="S54" s="33"/>
      <c r="T54" s="44"/>
      <c r="U54" s="48"/>
      <c r="V54" s="33"/>
      <c r="W54" s="52"/>
      <c r="X54" s="52"/>
      <c r="Y54" s="52"/>
      <c r="Z54" s="48">
        <f t="shared" si="7"/>
        <v>48000000</v>
      </c>
      <c r="AA54" s="54"/>
      <c r="AB54" s="74" t="s">
        <v>408</v>
      </c>
    </row>
    <row r="55" spans="1:28" ht="31.5" x14ac:dyDescent="0.25">
      <c r="A55" s="33" t="s">
        <v>60</v>
      </c>
      <c r="B55" s="42">
        <v>41</v>
      </c>
      <c r="C55" s="33" t="s">
        <v>363</v>
      </c>
      <c r="D55" s="33" t="s">
        <v>363</v>
      </c>
      <c r="E55" s="33" t="s">
        <v>409</v>
      </c>
      <c r="F55" s="33" t="s">
        <v>410</v>
      </c>
      <c r="G55" s="33" t="s">
        <v>411</v>
      </c>
      <c r="H55" s="32"/>
      <c r="I55" s="33" t="s">
        <v>412</v>
      </c>
      <c r="J55" s="33" t="s">
        <v>43</v>
      </c>
      <c r="K55" s="33" t="s">
        <v>413</v>
      </c>
      <c r="L55" s="48">
        <v>273809190</v>
      </c>
      <c r="M55" s="48">
        <v>25360128</v>
      </c>
      <c r="N55" s="48">
        <v>7500000</v>
      </c>
      <c r="O55" s="43"/>
      <c r="P55" s="43"/>
      <c r="Q55" s="48">
        <f t="shared" ref="Q55:Q253" si="47">L55+M55+N55+P55</f>
        <v>306669318</v>
      </c>
      <c r="R55" s="52">
        <v>273809190</v>
      </c>
      <c r="S55" s="33"/>
      <c r="T55" s="66"/>
      <c r="U55" s="33"/>
      <c r="V55" s="33"/>
      <c r="W55" s="52"/>
      <c r="X55" s="52">
        <f t="shared" ref="X55:Y55" si="48">M55-S55</f>
        <v>25360128</v>
      </c>
      <c r="Y55" s="52">
        <f t="shared" si="48"/>
        <v>7500000</v>
      </c>
      <c r="Z55" s="52">
        <f t="shared" si="7"/>
        <v>0</v>
      </c>
      <c r="AA55" s="54"/>
      <c r="AB55" s="68"/>
    </row>
    <row r="56" spans="1:28" ht="31.5" x14ac:dyDescent="0.25">
      <c r="A56" s="33" t="s">
        <v>52</v>
      </c>
      <c r="B56" s="42">
        <v>42</v>
      </c>
      <c r="C56" s="33" t="s">
        <v>363</v>
      </c>
      <c r="D56" s="33" t="s">
        <v>363</v>
      </c>
      <c r="E56" s="32"/>
      <c r="F56" s="33" t="s">
        <v>420</v>
      </c>
      <c r="G56" s="32"/>
      <c r="H56" s="32"/>
      <c r="I56" s="33" t="s">
        <v>421</v>
      </c>
      <c r="J56" s="33" t="s">
        <v>43</v>
      </c>
      <c r="K56" s="33" t="s">
        <v>422</v>
      </c>
      <c r="L56" s="42">
        <v>0</v>
      </c>
      <c r="M56" s="32"/>
      <c r="N56" s="48">
        <v>7500000</v>
      </c>
      <c r="O56" s="43"/>
      <c r="P56" s="43"/>
      <c r="Q56" s="48">
        <f t="shared" si="47"/>
        <v>7500000</v>
      </c>
      <c r="R56" s="42">
        <v>0</v>
      </c>
      <c r="S56" s="33"/>
      <c r="T56" s="44">
        <v>7500000</v>
      </c>
      <c r="U56" s="33"/>
      <c r="V56" s="33"/>
      <c r="W56" s="52"/>
      <c r="X56" s="52">
        <f t="shared" ref="X56:Y56" si="49">M56-S56</f>
        <v>0</v>
      </c>
      <c r="Y56" s="52">
        <f t="shared" si="49"/>
        <v>0</v>
      </c>
      <c r="Z56" s="52">
        <f t="shared" si="7"/>
        <v>0</v>
      </c>
      <c r="AA56" s="54"/>
      <c r="AB56" s="68"/>
    </row>
    <row r="57" spans="1:28" ht="31.5" x14ac:dyDescent="0.25">
      <c r="A57" s="33" t="s">
        <v>46</v>
      </c>
      <c r="B57" s="42">
        <v>43</v>
      </c>
      <c r="C57" s="33" t="s">
        <v>363</v>
      </c>
      <c r="D57" s="33" t="s">
        <v>363</v>
      </c>
      <c r="E57" s="33" t="s">
        <v>409</v>
      </c>
      <c r="F57" s="33" t="s">
        <v>430</v>
      </c>
      <c r="G57" s="33" t="s">
        <v>431</v>
      </c>
      <c r="H57" s="32"/>
      <c r="I57" s="33" t="s">
        <v>432</v>
      </c>
      <c r="J57" s="33" t="s">
        <v>43</v>
      </c>
      <c r="K57" s="33" t="s">
        <v>433</v>
      </c>
      <c r="L57" s="48">
        <v>1937908151</v>
      </c>
      <c r="M57" s="48">
        <v>423068659</v>
      </c>
      <c r="N57" s="48">
        <v>7500000</v>
      </c>
      <c r="O57" s="43"/>
      <c r="P57" s="43"/>
      <c r="Q57" s="48">
        <f t="shared" si="47"/>
        <v>2368476810</v>
      </c>
      <c r="R57" s="52">
        <v>1937908151</v>
      </c>
      <c r="S57" s="48">
        <v>423068659</v>
      </c>
      <c r="T57" s="44">
        <v>7500000</v>
      </c>
      <c r="U57" s="33"/>
      <c r="V57" s="33"/>
      <c r="W57" s="52"/>
      <c r="X57" s="52">
        <f t="shared" ref="X57:Y57" si="50">M57-S57</f>
        <v>0</v>
      </c>
      <c r="Y57" s="52">
        <f t="shared" si="50"/>
        <v>0</v>
      </c>
      <c r="Z57" s="52">
        <f t="shared" si="7"/>
        <v>0</v>
      </c>
      <c r="AA57" s="54"/>
      <c r="AB57" s="68"/>
    </row>
    <row r="58" spans="1:28" ht="78.75" x14ac:dyDescent="0.25">
      <c r="A58" s="33" t="s">
        <v>35</v>
      </c>
      <c r="B58" s="42">
        <v>44</v>
      </c>
      <c r="C58" s="33" t="s">
        <v>363</v>
      </c>
      <c r="D58" s="33" t="s">
        <v>438</v>
      </c>
      <c r="E58" s="32"/>
      <c r="F58" s="33" t="s">
        <v>439</v>
      </c>
      <c r="G58" s="32"/>
      <c r="H58" s="33" t="s">
        <v>85</v>
      </c>
      <c r="I58" s="33" t="s">
        <v>440</v>
      </c>
      <c r="J58" s="33" t="s">
        <v>43</v>
      </c>
      <c r="K58" s="33" t="s">
        <v>441</v>
      </c>
      <c r="L58" s="48">
        <v>2962663956</v>
      </c>
      <c r="M58" s="32"/>
      <c r="N58" s="48">
        <v>7500000</v>
      </c>
      <c r="O58" s="43"/>
      <c r="P58" s="43"/>
      <c r="Q58" s="48">
        <f t="shared" si="47"/>
        <v>2970163956</v>
      </c>
      <c r="R58" s="52">
        <v>2962663956</v>
      </c>
      <c r="S58" s="33"/>
      <c r="T58" s="44">
        <v>7500000</v>
      </c>
      <c r="U58" s="33"/>
      <c r="V58" s="33"/>
      <c r="W58" s="52"/>
      <c r="X58" s="52">
        <f t="shared" ref="X58:Y58" si="51">M58-S58</f>
        <v>0</v>
      </c>
      <c r="Y58" s="52">
        <f t="shared" si="51"/>
        <v>0</v>
      </c>
      <c r="Z58" s="52">
        <f t="shared" si="7"/>
        <v>0</v>
      </c>
      <c r="AA58" s="54"/>
      <c r="AB58" s="68"/>
    </row>
    <row r="59" spans="1:28" ht="31.5" x14ac:dyDescent="0.25">
      <c r="A59" s="33" t="s">
        <v>52</v>
      </c>
      <c r="B59" s="42">
        <v>45</v>
      </c>
      <c r="C59" s="33" t="s">
        <v>363</v>
      </c>
      <c r="D59" s="33" t="s">
        <v>363</v>
      </c>
      <c r="E59" s="32"/>
      <c r="F59" s="33" t="s">
        <v>442</v>
      </c>
      <c r="G59" s="32"/>
      <c r="H59" s="32"/>
      <c r="I59" s="33" t="s">
        <v>443</v>
      </c>
      <c r="J59" s="33" t="s">
        <v>43</v>
      </c>
      <c r="K59" s="33" t="s">
        <v>445</v>
      </c>
      <c r="L59" s="48">
        <v>2457405327</v>
      </c>
      <c r="M59" s="32"/>
      <c r="N59" s="48">
        <v>15000000</v>
      </c>
      <c r="O59" s="43"/>
      <c r="P59" s="43"/>
      <c r="Q59" s="48">
        <f t="shared" si="47"/>
        <v>2472405327</v>
      </c>
      <c r="R59" s="52">
        <v>2457405327</v>
      </c>
      <c r="S59" s="33"/>
      <c r="T59" s="44">
        <v>15000000</v>
      </c>
      <c r="U59" s="33"/>
      <c r="V59" s="33"/>
      <c r="W59" s="52"/>
      <c r="X59" s="52">
        <f t="shared" ref="X59:Y59" si="52">M59-S59</f>
        <v>0</v>
      </c>
      <c r="Y59" s="52">
        <f t="shared" si="52"/>
        <v>0</v>
      </c>
      <c r="Z59" s="52">
        <f t="shared" si="7"/>
        <v>0</v>
      </c>
      <c r="AA59" s="54"/>
      <c r="AB59" s="68"/>
    </row>
    <row r="60" spans="1:28" ht="31.5" x14ac:dyDescent="0.25">
      <c r="A60" s="33" t="s">
        <v>35</v>
      </c>
      <c r="B60" s="42">
        <v>46</v>
      </c>
      <c r="C60" s="33" t="s">
        <v>363</v>
      </c>
      <c r="D60" s="33" t="s">
        <v>363</v>
      </c>
      <c r="E60" s="33" t="s">
        <v>450</v>
      </c>
      <c r="F60" s="33" t="s">
        <v>451</v>
      </c>
      <c r="G60" s="33" t="s">
        <v>452</v>
      </c>
      <c r="H60" s="32"/>
      <c r="I60" s="33" t="s">
        <v>453</v>
      </c>
      <c r="J60" s="33" t="s">
        <v>43</v>
      </c>
      <c r="K60" s="33" t="s">
        <v>454</v>
      </c>
      <c r="L60" s="48">
        <v>2149999856</v>
      </c>
      <c r="M60" s="48">
        <v>166472064</v>
      </c>
      <c r="N60" s="48">
        <v>7500000</v>
      </c>
      <c r="O60" s="43"/>
      <c r="P60" s="43"/>
      <c r="Q60" s="48">
        <f t="shared" si="47"/>
        <v>2323971920</v>
      </c>
      <c r="R60" s="52">
        <v>2149999856</v>
      </c>
      <c r="S60" s="48">
        <v>166472064</v>
      </c>
      <c r="T60" s="44">
        <v>7500000</v>
      </c>
      <c r="U60" s="33"/>
      <c r="V60" s="33"/>
      <c r="W60" s="52"/>
      <c r="X60" s="52">
        <f t="shared" ref="X60:Y60" si="53">M60-S60</f>
        <v>0</v>
      </c>
      <c r="Y60" s="52">
        <f t="shared" si="53"/>
        <v>0</v>
      </c>
      <c r="Z60" s="52">
        <f t="shared" si="7"/>
        <v>0</v>
      </c>
      <c r="AA60" s="54"/>
      <c r="AB60" s="68"/>
    </row>
    <row r="61" spans="1:28" ht="31.5" x14ac:dyDescent="0.25">
      <c r="A61" s="33" t="s">
        <v>35</v>
      </c>
      <c r="B61" s="42">
        <v>47</v>
      </c>
      <c r="C61" s="33" t="s">
        <v>363</v>
      </c>
      <c r="D61" s="33" t="s">
        <v>363</v>
      </c>
      <c r="E61" s="32"/>
      <c r="F61" s="33" t="s">
        <v>460</v>
      </c>
      <c r="G61" s="32"/>
      <c r="H61" s="33" t="s">
        <v>461</v>
      </c>
      <c r="I61" s="33" t="s">
        <v>462</v>
      </c>
      <c r="J61" s="33" t="s">
        <v>43</v>
      </c>
      <c r="K61" s="33" t="s">
        <v>463</v>
      </c>
      <c r="L61" s="48">
        <v>11046885900</v>
      </c>
      <c r="M61" s="32"/>
      <c r="N61" s="48">
        <v>15000000</v>
      </c>
      <c r="O61" s="33" t="s">
        <v>464</v>
      </c>
      <c r="P61" s="48">
        <v>84000000</v>
      </c>
      <c r="Q61" s="48">
        <f t="shared" si="47"/>
        <v>11145885900</v>
      </c>
      <c r="R61" s="52">
        <v>11046885900</v>
      </c>
      <c r="S61" s="33"/>
      <c r="T61" s="44">
        <v>15000000</v>
      </c>
      <c r="U61" s="33"/>
      <c r="V61" s="33"/>
      <c r="W61" s="52"/>
      <c r="X61" s="52">
        <f t="shared" ref="X61:Y61" si="54">M61-S61</f>
        <v>0</v>
      </c>
      <c r="Y61" s="52">
        <f t="shared" si="54"/>
        <v>0</v>
      </c>
      <c r="Z61" s="52">
        <f t="shared" si="7"/>
        <v>84000000</v>
      </c>
      <c r="AA61" s="54"/>
      <c r="AB61" s="75"/>
    </row>
    <row r="62" spans="1:28" ht="31.5" x14ac:dyDescent="0.25">
      <c r="A62" s="33" t="s">
        <v>35</v>
      </c>
      <c r="B62" s="42">
        <v>48</v>
      </c>
      <c r="C62" s="33" t="s">
        <v>363</v>
      </c>
      <c r="D62" s="33" t="s">
        <v>363</v>
      </c>
      <c r="E62" s="33" t="s">
        <v>469</v>
      </c>
      <c r="F62" s="33" t="s">
        <v>470</v>
      </c>
      <c r="G62" s="33" t="s">
        <v>471</v>
      </c>
      <c r="H62" s="33" t="s">
        <v>472</v>
      </c>
      <c r="I62" s="33" t="s">
        <v>473</v>
      </c>
      <c r="J62" s="33" t="s">
        <v>43</v>
      </c>
      <c r="K62" s="33" t="s">
        <v>474</v>
      </c>
      <c r="L62" s="48">
        <v>1487841100</v>
      </c>
      <c r="M62" s="48">
        <v>327633600</v>
      </c>
      <c r="N62" s="48">
        <v>15000000</v>
      </c>
      <c r="O62" s="43"/>
      <c r="P62" s="43"/>
      <c r="Q62" s="48">
        <f t="shared" si="47"/>
        <v>1830474700</v>
      </c>
      <c r="R62" s="52">
        <v>1487841100</v>
      </c>
      <c r="S62" s="33"/>
      <c r="T62" s="44">
        <v>15000000</v>
      </c>
      <c r="U62" s="33"/>
      <c r="V62" s="33"/>
      <c r="W62" s="52"/>
      <c r="X62" s="52">
        <f t="shared" ref="X62:Y62" si="55">M62-S62</f>
        <v>327633600</v>
      </c>
      <c r="Y62" s="52">
        <f t="shared" si="55"/>
        <v>0</v>
      </c>
      <c r="Z62" s="52">
        <f t="shared" si="7"/>
        <v>0</v>
      </c>
      <c r="AA62" s="54"/>
      <c r="AB62" s="68"/>
    </row>
    <row r="63" spans="1:28" ht="31.5" x14ac:dyDescent="0.25">
      <c r="A63" s="33" t="s">
        <v>60</v>
      </c>
      <c r="B63" s="42">
        <v>49</v>
      </c>
      <c r="C63" s="33" t="s">
        <v>363</v>
      </c>
      <c r="D63" s="33" t="s">
        <v>363</v>
      </c>
      <c r="E63" s="32"/>
      <c r="F63" s="33" t="s">
        <v>475</v>
      </c>
      <c r="G63" s="32"/>
      <c r="H63" s="32"/>
      <c r="I63" s="33" t="s">
        <v>476</v>
      </c>
      <c r="J63" s="33" t="s">
        <v>43</v>
      </c>
      <c r="K63" s="33" t="s">
        <v>477</v>
      </c>
      <c r="L63" s="48">
        <v>555745056</v>
      </c>
      <c r="M63" s="32"/>
      <c r="N63" s="48">
        <v>7500000</v>
      </c>
      <c r="O63" s="43"/>
      <c r="P63" s="43"/>
      <c r="Q63" s="48">
        <f t="shared" si="47"/>
        <v>563245056</v>
      </c>
      <c r="R63" s="52">
        <v>555745056</v>
      </c>
      <c r="S63" s="33"/>
      <c r="T63" s="44">
        <v>7500000</v>
      </c>
      <c r="U63" s="33"/>
      <c r="V63" s="33"/>
      <c r="W63" s="52"/>
      <c r="X63" s="52">
        <f t="shared" ref="X63:Y63" si="56">M63-S63</f>
        <v>0</v>
      </c>
      <c r="Y63" s="52">
        <f t="shared" si="56"/>
        <v>0</v>
      </c>
      <c r="Z63" s="52">
        <f t="shared" si="7"/>
        <v>0</v>
      </c>
      <c r="AA63" s="54"/>
      <c r="AB63" s="68"/>
    </row>
    <row r="64" spans="1:28" ht="31.5" x14ac:dyDescent="0.25">
      <c r="A64" s="33" t="s">
        <v>46</v>
      </c>
      <c r="B64" s="42">
        <v>50</v>
      </c>
      <c r="C64" s="33" t="s">
        <v>363</v>
      </c>
      <c r="D64" s="33" t="s">
        <v>363</v>
      </c>
      <c r="E64" s="32"/>
      <c r="F64" s="33" t="s">
        <v>478</v>
      </c>
      <c r="G64" s="32"/>
      <c r="H64" s="32"/>
      <c r="I64" s="33" t="s">
        <v>479</v>
      </c>
      <c r="J64" s="33" t="s">
        <v>43</v>
      </c>
      <c r="K64" s="33" t="s">
        <v>274</v>
      </c>
      <c r="L64" s="48">
        <v>10000000</v>
      </c>
      <c r="M64" s="32"/>
      <c r="N64" s="48">
        <v>15000000</v>
      </c>
      <c r="O64" s="43"/>
      <c r="P64" s="43"/>
      <c r="Q64" s="48">
        <f t="shared" si="47"/>
        <v>25000000</v>
      </c>
      <c r="R64" s="52">
        <v>10000000</v>
      </c>
      <c r="S64" s="33"/>
      <c r="T64" s="44">
        <v>15000000</v>
      </c>
      <c r="U64" s="33"/>
      <c r="V64" s="33"/>
      <c r="W64" s="52"/>
      <c r="X64" s="52">
        <f t="shared" ref="X64:Y64" si="57">M64-S64</f>
        <v>0</v>
      </c>
      <c r="Y64" s="52">
        <f t="shared" si="57"/>
        <v>0</v>
      </c>
      <c r="Z64" s="52">
        <f t="shared" si="7"/>
        <v>0</v>
      </c>
      <c r="AA64" s="54"/>
      <c r="AB64" s="68"/>
    </row>
    <row r="65" spans="1:28" ht="31.5" x14ac:dyDescent="0.25">
      <c r="A65" s="33" t="s">
        <v>46</v>
      </c>
      <c r="B65" s="42">
        <v>51</v>
      </c>
      <c r="C65" s="33" t="s">
        <v>363</v>
      </c>
      <c r="D65" s="33" t="s">
        <v>363</v>
      </c>
      <c r="E65" s="32"/>
      <c r="F65" s="33" t="s">
        <v>486</v>
      </c>
      <c r="G65" s="32"/>
      <c r="H65" s="33" t="s">
        <v>487</v>
      </c>
      <c r="I65" s="33" t="s">
        <v>488</v>
      </c>
      <c r="J65" s="33" t="s">
        <v>43</v>
      </c>
      <c r="K65" s="33" t="s">
        <v>489</v>
      </c>
      <c r="L65" s="48">
        <v>3606786776</v>
      </c>
      <c r="M65" s="32"/>
      <c r="N65" s="48">
        <v>15000000</v>
      </c>
      <c r="O65" s="43"/>
      <c r="P65" s="43"/>
      <c r="Q65" s="48">
        <f t="shared" si="47"/>
        <v>3621786776</v>
      </c>
      <c r="R65" s="52">
        <v>3606786776</v>
      </c>
      <c r="S65" s="33"/>
      <c r="T65" s="44">
        <v>15000000</v>
      </c>
      <c r="U65" s="33"/>
      <c r="V65" s="33"/>
      <c r="W65" s="52"/>
      <c r="X65" s="52">
        <f t="shared" ref="X65:Y65" si="58">M65-S65</f>
        <v>0</v>
      </c>
      <c r="Y65" s="52">
        <f t="shared" si="58"/>
        <v>0</v>
      </c>
      <c r="Z65" s="52">
        <f t="shared" si="7"/>
        <v>0</v>
      </c>
      <c r="AA65" s="54"/>
      <c r="AB65" s="68"/>
    </row>
    <row r="66" spans="1:28" ht="31.5" x14ac:dyDescent="0.25">
      <c r="A66" s="33" t="s">
        <v>46</v>
      </c>
      <c r="B66" s="42">
        <v>52</v>
      </c>
      <c r="C66" s="33" t="s">
        <v>363</v>
      </c>
      <c r="D66" s="33" t="s">
        <v>363</v>
      </c>
      <c r="E66" s="32"/>
      <c r="F66" s="33" t="s">
        <v>490</v>
      </c>
      <c r="G66" s="32"/>
      <c r="H66" s="32"/>
      <c r="I66" s="33" t="s">
        <v>492</v>
      </c>
      <c r="J66" s="33" t="s">
        <v>43</v>
      </c>
      <c r="K66" s="33" t="s">
        <v>493</v>
      </c>
      <c r="L66" s="48">
        <v>355657340</v>
      </c>
      <c r="M66" s="32"/>
      <c r="N66" s="48">
        <v>7500000</v>
      </c>
      <c r="O66" s="43"/>
      <c r="P66" s="43"/>
      <c r="Q66" s="48">
        <f t="shared" si="47"/>
        <v>363157340</v>
      </c>
      <c r="R66" s="52">
        <v>355657340</v>
      </c>
      <c r="S66" s="33"/>
      <c r="T66" s="44">
        <v>7500000</v>
      </c>
      <c r="U66" s="33"/>
      <c r="V66" s="33"/>
      <c r="W66" s="52"/>
      <c r="X66" s="52">
        <f t="shared" ref="X66:Y66" si="59">M66-S66</f>
        <v>0</v>
      </c>
      <c r="Y66" s="52">
        <f t="shared" si="59"/>
        <v>0</v>
      </c>
      <c r="Z66" s="52">
        <f t="shared" si="7"/>
        <v>0</v>
      </c>
      <c r="AA66" s="54"/>
      <c r="AB66" s="68"/>
    </row>
    <row r="67" spans="1:28" ht="31.5" x14ac:dyDescent="0.25">
      <c r="A67" s="33" t="s">
        <v>52</v>
      </c>
      <c r="B67" s="42">
        <v>53</v>
      </c>
      <c r="C67" s="33" t="s">
        <v>142</v>
      </c>
      <c r="D67" s="33" t="s">
        <v>142</v>
      </c>
      <c r="E67" s="32"/>
      <c r="F67" s="33" t="s">
        <v>495</v>
      </c>
      <c r="G67" s="32"/>
      <c r="H67" s="32"/>
      <c r="I67" s="33" t="s">
        <v>496</v>
      </c>
      <c r="J67" s="33" t="s">
        <v>43</v>
      </c>
      <c r="K67" s="33" t="s">
        <v>497</v>
      </c>
      <c r="L67" s="48">
        <v>7557570900</v>
      </c>
      <c r="M67" s="32"/>
      <c r="N67" s="48">
        <v>7500000</v>
      </c>
      <c r="O67" s="43"/>
      <c r="P67" s="43"/>
      <c r="Q67" s="48">
        <f t="shared" si="47"/>
        <v>7565070900</v>
      </c>
      <c r="R67" s="52">
        <v>7557570900</v>
      </c>
      <c r="S67" s="33"/>
      <c r="T67" s="44">
        <v>7500000</v>
      </c>
      <c r="U67" s="33"/>
      <c r="V67" s="33"/>
      <c r="W67" s="52"/>
      <c r="X67" s="52">
        <f t="shared" ref="X67:Y67" si="60">M67-S67</f>
        <v>0</v>
      </c>
      <c r="Y67" s="52">
        <f t="shared" si="60"/>
        <v>0</v>
      </c>
      <c r="Z67" s="52">
        <f t="shared" si="7"/>
        <v>0</v>
      </c>
      <c r="AA67" s="54"/>
      <c r="AB67" s="68"/>
    </row>
    <row r="68" spans="1:28" ht="31.5" x14ac:dyDescent="0.25">
      <c r="A68" s="33" t="s">
        <v>35</v>
      </c>
      <c r="B68" s="42">
        <v>54</v>
      </c>
      <c r="C68" s="33" t="s">
        <v>142</v>
      </c>
      <c r="D68" s="33" t="s">
        <v>142</v>
      </c>
      <c r="E68" s="32"/>
      <c r="F68" s="33" t="s">
        <v>503</v>
      </c>
      <c r="G68" s="32"/>
      <c r="H68" s="32"/>
      <c r="I68" s="33" t="s">
        <v>505</v>
      </c>
      <c r="J68" s="33" t="s">
        <v>43</v>
      </c>
      <c r="K68" s="33" t="s">
        <v>506</v>
      </c>
      <c r="L68" s="42">
        <v>0</v>
      </c>
      <c r="M68" s="32"/>
      <c r="N68" s="48">
        <v>7500000</v>
      </c>
      <c r="O68" s="43"/>
      <c r="P68" s="43"/>
      <c r="Q68" s="48">
        <f t="shared" si="47"/>
        <v>7500000</v>
      </c>
      <c r="R68" s="42">
        <v>0</v>
      </c>
      <c r="S68" s="33"/>
      <c r="T68" s="44">
        <v>7500000</v>
      </c>
      <c r="U68" s="33"/>
      <c r="V68" s="33"/>
      <c r="W68" s="52"/>
      <c r="X68" s="52">
        <f t="shared" ref="X68:Y68" si="61">M68-S68</f>
        <v>0</v>
      </c>
      <c r="Y68" s="52">
        <f t="shared" si="61"/>
        <v>0</v>
      </c>
      <c r="Z68" s="52">
        <f t="shared" si="7"/>
        <v>0</v>
      </c>
      <c r="AA68" s="54"/>
      <c r="AB68" s="68"/>
    </row>
    <row r="69" spans="1:28" ht="31.5" x14ac:dyDescent="0.25">
      <c r="A69" s="33" t="s">
        <v>35</v>
      </c>
      <c r="B69" s="42">
        <v>55</v>
      </c>
      <c r="C69" s="33" t="s">
        <v>142</v>
      </c>
      <c r="D69" s="33" t="s">
        <v>142</v>
      </c>
      <c r="E69" s="33" t="s">
        <v>508</v>
      </c>
      <c r="F69" s="33" t="s">
        <v>509</v>
      </c>
      <c r="G69" s="33" t="s">
        <v>510</v>
      </c>
      <c r="H69" s="32"/>
      <c r="I69" s="33" t="s">
        <v>511</v>
      </c>
      <c r="J69" s="33" t="s">
        <v>43</v>
      </c>
      <c r="K69" s="33" t="s">
        <v>512</v>
      </c>
      <c r="L69" s="48">
        <v>9203203092</v>
      </c>
      <c r="M69" s="48">
        <v>177091834</v>
      </c>
      <c r="N69" s="48">
        <v>15000000</v>
      </c>
      <c r="O69" s="43"/>
      <c r="P69" s="43"/>
      <c r="Q69" s="48">
        <f t="shared" si="47"/>
        <v>9395294926</v>
      </c>
      <c r="R69" s="52">
        <v>9203203092</v>
      </c>
      <c r="S69" s="48">
        <v>177091834</v>
      </c>
      <c r="T69" s="44">
        <v>15000000</v>
      </c>
      <c r="U69" s="33"/>
      <c r="V69" s="33"/>
      <c r="W69" s="52"/>
      <c r="X69" s="52">
        <f t="shared" ref="X69:Y69" si="62">M69-S69</f>
        <v>0</v>
      </c>
      <c r="Y69" s="52">
        <f t="shared" si="62"/>
        <v>0</v>
      </c>
      <c r="Z69" s="52">
        <f t="shared" si="7"/>
        <v>0</v>
      </c>
      <c r="AA69" s="54"/>
      <c r="AB69" s="68"/>
    </row>
    <row r="70" spans="1:28" ht="31.5" x14ac:dyDescent="0.25">
      <c r="A70" s="33" t="s">
        <v>52</v>
      </c>
      <c r="B70" s="42">
        <v>56</v>
      </c>
      <c r="C70" s="33" t="s">
        <v>142</v>
      </c>
      <c r="D70" s="33" t="s">
        <v>142</v>
      </c>
      <c r="E70" s="32"/>
      <c r="F70" s="33" t="s">
        <v>520</v>
      </c>
      <c r="G70" s="32"/>
      <c r="H70" s="32"/>
      <c r="I70" s="33" t="s">
        <v>521</v>
      </c>
      <c r="J70" s="33" t="s">
        <v>43</v>
      </c>
      <c r="K70" s="33" t="s">
        <v>522</v>
      </c>
      <c r="L70" s="48">
        <v>436279800</v>
      </c>
      <c r="M70" s="32"/>
      <c r="N70" s="48">
        <v>7500000</v>
      </c>
      <c r="O70" s="43"/>
      <c r="P70" s="43"/>
      <c r="Q70" s="48">
        <f t="shared" si="47"/>
        <v>443779800</v>
      </c>
      <c r="R70" s="52">
        <v>436279800</v>
      </c>
      <c r="S70" s="33"/>
      <c r="T70" s="66"/>
      <c r="U70" s="33"/>
      <c r="V70" s="33"/>
      <c r="W70" s="52"/>
      <c r="X70" s="52">
        <f t="shared" ref="X70:Y70" si="63">M70-S70</f>
        <v>0</v>
      </c>
      <c r="Y70" s="52">
        <f t="shared" si="63"/>
        <v>7500000</v>
      </c>
      <c r="Z70" s="52">
        <f t="shared" si="7"/>
        <v>0</v>
      </c>
      <c r="AA70" s="54"/>
      <c r="AB70" s="68"/>
    </row>
    <row r="71" spans="1:28" ht="31.5" x14ac:dyDescent="0.25">
      <c r="A71" s="33" t="s">
        <v>60</v>
      </c>
      <c r="B71" s="42">
        <v>57</v>
      </c>
      <c r="C71" s="33" t="s">
        <v>142</v>
      </c>
      <c r="D71" s="33" t="s">
        <v>142</v>
      </c>
      <c r="E71" s="32"/>
      <c r="F71" s="33" t="s">
        <v>523</v>
      </c>
      <c r="G71" s="32"/>
      <c r="H71" s="32"/>
      <c r="I71" s="33" t="s">
        <v>524</v>
      </c>
      <c r="J71" s="33" t="s">
        <v>43</v>
      </c>
      <c r="K71" s="33" t="s">
        <v>525</v>
      </c>
      <c r="L71" s="48">
        <v>343735600</v>
      </c>
      <c r="M71" s="32"/>
      <c r="N71" s="48">
        <v>7500000</v>
      </c>
      <c r="O71" s="43"/>
      <c r="P71" s="43"/>
      <c r="Q71" s="48">
        <f t="shared" si="47"/>
        <v>351235600</v>
      </c>
      <c r="R71" s="52">
        <v>343735600</v>
      </c>
      <c r="S71" s="33"/>
      <c r="T71" s="44">
        <v>7500000</v>
      </c>
      <c r="U71" s="33"/>
      <c r="V71" s="33"/>
      <c r="W71" s="52"/>
      <c r="X71" s="52">
        <f t="shared" ref="X71:Y71" si="64">M71-S71</f>
        <v>0</v>
      </c>
      <c r="Y71" s="52">
        <f t="shared" si="64"/>
        <v>0</v>
      </c>
      <c r="Z71" s="52">
        <f t="shared" si="7"/>
        <v>0</v>
      </c>
      <c r="AA71" s="54"/>
      <c r="AB71" s="68"/>
    </row>
    <row r="72" spans="1:28" ht="31.5" x14ac:dyDescent="0.25">
      <c r="A72" s="33" t="s">
        <v>46</v>
      </c>
      <c r="B72" s="42">
        <v>58</v>
      </c>
      <c r="C72" s="33" t="s">
        <v>142</v>
      </c>
      <c r="D72" s="33" t="s">
        <v>142</v>
      </c>
      <c r="E72" s="32"/>
      <c r="F72" s="33" t="s">
        <v>533</v>
      </c>
      <c r="G72" s="32"/>
      <c r="H72" s="32"/>
      <c r="I72" s="33" t="s">
        <v>534</v>
      </c>
      <c r="J72" s="33" t="s">
        <v>43</v>
      </c>
      <c r="K72" s="33" t="s">
        <v>535</v>
      </c>
      <c r="L72" s="48">
        <v>102008431</v>
      </c>
      <c r="M72" s="32"/>
      <c r="N72" s="48">
        <v>7500000</v>
      </c>
      <c r="O72" s="43"/>
      <c r="P72" s="43"/>
      <c r="Q72" s="48">
        <f t="shared" si="47"/>
        <v>109508431</v>
      </c>
      <c r="R72" s="52">
        <v>102008431</v>
      </c>
      <c r="S72" s="33"/>
      <c r="T72" s="44">
        <v>7500000</v>
      </c>
      <c r="U72" s="33"/>
      <c r="V72" s="33"/>
      <c r="W72" s="52"/>
      <c r="X72" s="52">
        <f t="shared" ref="X72:Y72" si="65">M72-S72</f>
        <v>0</v>
      </c>
      <c r="Y72" s="52">
        <f t="shared" si="65"/>
        <v>0</v>
      </c>
      <c r="Z72" s="52">
        <f t="shared" si="7"/>
        <v>0</v>
      </c>
      <c r="AA72" s="54"/>
      <c r="AB72" s="68"/>
    </row>
    <row r="73" spans="1:28" ht="31.5" x14ac:dyDescent="0.25">
      <c r="A73" s="33" t="s">
        <v>46</v>
      </c>
      <c r="B73" s="42">
        <v>59</v>
      </c>
      <c r="C73" s="33" t="s">
        <v>142</v>
      </c>
      <c r="D73" s="33" t="s">
        <v>142</v>
      </c>
      <c r="E73" s="32"/>
      <c r="F73" s="33" t="s">
        <v>536</v>
      </c>
      <c r="G73" s="32"/>
      <c r="H73" s="32"/>
      <c r="I73" s="33" t="s">
        <v>537</v>
      </c>
      <c r="J73" s="33" t="s">
        <v>43</v>
      </c>
      <c r="K73" s="33" t="s">
        <v>538</v>
      </c>
      <c r="L73" s="48">
        <v>357575520</v>
      </c>
      <c r="M73" s="32"/>
      <c r="N73" s="48">
        <v>7500000</v>
      </c>
      <c r="O73" s="43"/>
      <c r="P73" s="43"/>
      <c r="Q73" s="48">
        <f t="shared" si="47"/>
        <v>365075520</v>
      </c>
      <c r="R73" s="52">
        <v>357575520</v>
      </c>
      <c r="S73" s="33"/>
      <c r="T73" s="44">
        <v>7500000</v>
      </c>
      <c r="U73" s="33"/>
      <c r="V73" s="33"/>
      <c r="W73" s="52"/>
      <c r="X73" s="52">
        <f t="shared" ref="X73:Y73" si="66">M73-S73</f>
        <v>0</v>
      </c>
      <c r="Y73" s="52">
        <f t="shared" si="66"/>
        <v>0</v>
      </c>
      <c r="Z73" s="52">
        <f t="shared" si="7"/>
        <v>0</v>
      </c>
      <c r="AA73" s="54"/>
      <c r="AB73" s="68"/>
    </row>
    <row r="74" spans="1:28" ht="31.5" x14ac:dyDescent="0.25">
      <c r="A74" s="33" t="s">
        <v>46</v>
      </c>
      <c r="B74" s="42">
        <v>60</v>
      </c>
      <c r="C74" s="33" t="s">
        <v>142</v>
      </c>
      <c r="D74" s="33" t="s">
        <v>142</v>
      </c>
      <c r="E74" s="33" t="s">
        <v>450</v>
      </c>
      <c r="F74" s="33" t="s">
        <v>545</v>
      </c>
      <c r="G74" s="33" t="s">
        <v>546</v>
      </c>
      <c r="H74" s="32"/>
      <c r="I74" s="33" t="s">
        <v>547</v>
      </c>
      <c r="J74" s="33" t="s">
        <v>43</v>
      </c>
      <c r="K74" s="33" t="s">
        <v>548</v>
      </c>
      <c r="L74" s="48">
        <v>2000913996</v>
      </c>
      <c r="M74" s="48">
        <v>13394304</v>
      </c>
      <c r="N74" s="48">
        <v>7500000</v>
      </c>
      <c r="O74" s="43"/>
      <c r="P74" s="43"/>
      <c r="Q74" s="48">
        <f t="shared" si="47"/>
        <v>2021808300</v>
      </c>
      <c r="R74" s="52">
        <v>2000913996</v>
      </c>
      <c r="S74" s="48">
        <v>13394304</v>
      </c>
      <c r="T74" s="44">
        <v>7500000</v>
      </c>
      <c r="U74" s="33"/>
      <c r="V74" s="33"/>
      <c r="W74" s="52"/>
      <c r="X74" s="52">
        <f t="shared" ref="X74:Y74" si="67">M74-S74</f>
        <v>0</v>
      </c>
      <c r="Y74" s="52">
        <f t="shared" si="67"/>
        <v>0</v>
      </c>
      <c r="Z74" s="52">
        <f t="shared" si="7"/>
        <v>0</v>
      </c>
      <c r="AA74" s="54"/>
      <c r="AB74" s="68"/>
    </row>
    <row r="75" spans="1:28" ht="31.5" x14ac:dyDescent="0.25">
      <c r="A75" s="33" t="s">
        <v>52</v>
      </c>
      <c r="B75" s="42">
        <v>61</v>
      </c>
      <c r="C75" s="33" t="s">
        <v>142</v>
      </c>
      <c r="D75" s="33" t="s">
        <v>142</v>
      </c>
      <c r="E75" s="32"/>
      <c r="F75" s="33" t="s">
        <v>554</v>
      </c>
      <c r="G75" s="32"/>
      <c r="H75" s="32"/>
      <c r="I75" s="33" t="s">
        <v>555</v>
      </c>
      <c r="J75" s="33" t="s">
        <v>43</v>
      </c>
      <c r="K75" s="33" t="s">
        <v>556</v>
      </c>
      <c r="L75" s="48">
        <v>11400194400</v>
      </c>
      <c r="M75" s="32"/>
      <c r="N75" s="48">
        <v>7500000</v>
      </c>
      <c r="O75" s="43"/>
      <c r="P75" s="43"/>
      <c r="Q75" s="48">
        <f t="shared" si="47"/>
        <v>11407694400</v>
      </c>
      <c r="R75" s="52">
        <v>11400194400</v>
      </c>
      <c r="S75" s="33"/>
      <c r="T75" s="44">
        <v>7500000</v>
      </c>
      <c r="U75" s="33"/>
      <c r="V75" s="33"/>
      <c r="W75" s="52"/>
      <c r="X75" s="52">
        <f t="shared" ref="X75:Y75" si="68">M75-S75</f>
        <v>0</v>
      </c>
      <c r="Y75" s="52">
        <f t="shared" si="68"/>
        <v>0</v>
      </c>
      <c r="Z75" s="52">
        <f t="shared" si="7"/>
        <v>0</v>
      </c>
      <c r="AA75" s="54"/>
      <c r="AB75" s="68"/>
    </row>
    <row r="76" spans="1:28" ht="31.5" x14ac:dyDescent="0.25">
      <c r="A76" s="33" t="s">
        <v>60</v>
      </c>
      <c r="B76" s="42">
        <v>62</v>
      </c>
      <c r="C76" s="33" t="s">
        <v>142</v>
      </c>
      <c r="D76" s="33" t="s">
        <v>142</v>
      </c>
      <c r="E76" s="32"/>
      <c r="F76" s="33" t="s">
        <v>563</v>
      </c>
      <c r="G76" s="32"/>
      <c r="H76" s="32"/>
      <c r="I76" s="33" t="s">
        <v>564</v>
      </c>
      <c r="J76" s="33" t="s">
        <v>43</v>
      </c>
      <c r="K76" s="33" t="s">
        <v>565</v>
      </c>
      <c r="L76" s="48">
        <v>859537200</v>
      </c>
      <c r="M76" s="32"/>
      <c r="N76" s="48">
        <v>7500000</v>
      </c>
      <c r="O76" s="43"/>
      <c r="P76" s="43"/>
      <c r="Q76" s="48">
        <f t="shared" si="47"/>
        <v>867037200</v>
      </c>
      <c r="R76" s="52">
        <v>859537200</v>
      </c>
      <c r="S76" s="33"/>
      <c r="T76" s="44">
        <v>7500000</v>
      </c>
      <c r="U76" s="33"/>
      <c r="V76" s="33"/>
      <c r="W76" s="52"/>
      <c r="X76" s="52">
        <f t="shared" ref="X76:Y76" si="69">M76-S76</f>
        <v>0</v>
      </c>
      <c r="Y76" s="52">
        <f t="shared" si="69"/>
        <v>0</v>
      </c>
      <c r="Z76" s="52">
        <f t="shared" si="7"/>
        <v>0</v>
      </c>
      <c r="AA76" s="54"/>
      <c r="AB76" s="68"/>
    </row>
    <row r="77" spans="1:28" ht="31.5" x14ac:dyDescent="0.25">
      <c r="A77" s="33" t="s">
        <v>35</v>
      </c>
      <c r="B77" s="42">
        <v>63</v>
      </c>
      <c r="C77" s="33" t="s">
        <v>142</v>
      </c>
      <c r="D77" s="33" t="s">
        <v>142</v>
      </c>
      <c r="E77" s="32"/>
      <c r="F77" s="33" t="s">
        <v>572</v>
      </c>
      <c r="G77" s="32"/>
      <c r="H77" s="32"/>
      <c r="I77" s="33" t="s">
        <v>573</v>
      </c>
      <c r="J77" s="33" t="s">
        <v>43</v>
      </c>
      <c r="K77" s="33" t="s">
        <v>574</v>
      </c>
      <c r="L77" s="42">
        <v>0</v>
      </c>
      <c r="M77" s="32"/>
      <c r="N77" s="48">
        <v>7500000</v>
      </c>
      <c r="O77" s="43"/>
      <c r="P77" s="43"/>
      <c r="Q77" s="48">
        <f t="shared" si="47"/>
        <v>7500000</v>
      </c>
      <c r="R77" s="42">
        <v>0</v>
      </c>
      <c r="S77" s="33"/>
      <c r="T77" s="66"/>
      <c r="U77" s="33"/>
      <c r="V77" s="33"/>
      <c r="W77" s="52"/>
      <c r="X77" s="52">
        <f t="shared" ref="X77:Y77" si="70">M77-S77</f>
        <v>0</v>
      </c>
      <c r="Y77" s="52">
        <f t="shared" si="70"/>
        <v>7500000</v>
      </c>
      <c r="Z77" s="52">
        <f t="shared" si="7"/>
        <v>0</v>
      </c>
      <c r="AA77" s="54"/>
      <c r="AB77" s="68"/>
    </row>
    <row r="78" spans="1:28" ht="31.5" x14ac:dyDescent="0.25">
      <c r="A78" s="33" t="s">
        <v>35</v>
      </c>
      <c r="B78" s="42">
        <v>64</v>
      </c>
      <c r="C78" s="33" t="s">
        <v>142</v>
      </c>
      <c r="D78" s="33" t="s">
        <v>142</v>
      </c>
      <c r="E78" s="32"/>
      <c r="F78" s="33" t="s">
        <v>575</v>
      </c>
      <c r="G78" s="32"/>
      <c r="H78" s="32"/>
      <c r="I78" s="33" t="s">
        <v>576</v>
      </c>
      <c r="J78" s="33" t="s">
        <v>43</v>
      </c>
      <c r="K78" s="33" t="s">
        <v>577</v>
      </c>
      <c r="L78" s="48">
        <v>47859600</v>
      </c>
      <c r="M78" s="32"/>
      <c r="N78" s="48">
        <v>7500000</v>
      </c>
      <c r="O78" s="43"/>
      <c r="P78" s="43"/>
      <c r="Q78" s="48">
        <f t="shared" si="47"/>
        <v>55359600</v>
      </c>
      <c r="R78" s="52">
        <v>47859600</v>
      </c>
      <c r="S78" s="33"/>
      <c r="T78" s="44">
        <v>7500000</v>
      </c>
      <c r="U78" s="33"/>
      <c r="V78" s="33"/>
      <c r="W78" s="52"/>
      <c r="X78" s="52">
        <f t="shared" ref="X78:Y78" si="71">M78-S78</f>
        <v>0</v>
      </c>
      <c r="Y78" s="52">
        <f t="shared" si="71"/>
        <v>0</v>
      </c>
      <c r="Z78" s="52">
        <f t="shared" si="7"/>
        <v>0</v>
      </c>
      <c r="AA78" s="54"/>
      <c r="AB78" s="68"/>
    </row>
    <row r="79" spans="1:28" ht="31.5" x14ac:dyDescent="0.25">
      <c r="A79" s="33" t="s">
        <v>83</v>
      </c>
      <c r="B79" s="42">
        <v>65</v>
      </c>
      <c r="C79" s="33" t="s">
        <v>142</v>
      </c>
      <c r="D79" s="33" t="s">
        <v>142</v>
      </c>
      <c r="E79" s="32"/>
      <c r="F79" s="33" t="s">
        <v>578</v>
      </c>
      <c r="G79" s="32"/>
      <c r="H79" s="33" t="s">
        <v>85</v>
      </c>
      <c r="I79" s="33" t="s">
        <v>579</v>
      </c>
      <c r="J79" s="33" t="s">
        <v>43</v>
      </c>
      <c r="K79" s="33" t="s">
        <v>580</v>
      </c>
      <c r="L79" s="42">
        <v>0</v>
      </c>
      <c r="M79" s="32"/>
      <c r="N79" s="33"/>
      <c r="O79" s="43"/>
      <c r="P79" s="43"/>
      <c r="Q79" s="48">
        <f t="shared" si="47"/>
        <v>0</v>
      </c>
      <c r="R79" s="42">
        <v>0</v>
      </c>
      <c r="S79" s="33"/>
      <c r="T79" s="66"/>
      <c r="U79" s="33"/>
      <c r="V79" s="33"/>
      <c r="W79" s="52"/>
      <c r="X79" s="52">
        <f t="shared" ref="X79:Y79" si="72">M79-S79</f>
        <v>0</v>
      </c>
      <c r="Y79" s="52">
        <f t="shared" si="72"/>
        <v>0</v>
      </c>
      <c r="Z79" s="52">
        <f t="shared" si="7"/>
        <v>0</v>
      </c>
      <c r="AA79" s="54"/>
      <c r="AB79" s="68"/>
    </row>
    <row r="80" spans="1:28" ht="31.5" x14ac:dyDescent="0.25">
      <c r="A80" s="33" t="s">
        <v>60</v>
      </c>
      <c r="B80" s="42">
        <v>66</v>
      </c>
      <c r="C80" s="33" t="s">
        <v>142</v>
      </c>
      <c r="D80" s="33" t="s">
        <v>142</v>
      </c>
      <c r="E80" s="32"/>
      <c r="F80" s="33" t="s">
        <v>589</v>
      </c>
      <c r="G80" s="32"/>
      <c r="H80" s="32"/>
      <c r="I80" s="33" t="s">
        <v>590</v>
      </c>
      <c r="J80" s="33" t="s">
        <v>43</v>
      </c>
      <c r="K80" s="33" t="s">
        <v>591</v>
      </c>
      <c r="L80" s="48">
        <v>440907010</v>
      </c>
      <c r="M80" s="32"/>
      <c r="N80" s="48">
        <v>7500000</v>
      </c>
      <c r="O80" s="43"/>
      <c r="P80" s="43"/>
      <c r="Q80" s="48">
        <f t="shared" si="47"/>
        <v>448407010</v>
      </c>
      <c r="R80" s="52">
        <v>440907010</v>
      </c>
      <c r="S80" s="33"/>
      <c r="T80" s="44">
        <v>7500000</v>
      </c>
      <c r="U80" s="33"/>
      <c r="V80" s="33"/>
      <c r="W80" s="52"/>
      <c r="X80" s="52">
        <f t="shared" ref="X80:Y80" si="73">M80-S80</f>
        <v>0</v>
      </c>
      <c r="Y80" s="52">
        <f t="shared" si="73"/>
        <v>0</v>
      </c>
      <c r="Z80" s="52">
        <f t="shared" si="7"/>
        <v>0</v>
      </c>
      <c r="AA80" s="54"/>
      <c r="AB80" s="68"/>
    </row>
    <row r="81" spans="1:28" ht="31.5" x14ac:dyDescent="0.25">
      <c r="A81" s="33" t="s">
        <v>52</v>
      </c>
      <c r="B81" s="42">
        <v>67</v>
      </c>
      <c r="C81" s="33" t="s">
        <v>142</v>
      </c>
      <c r="D81" s="33" t="s">
        <v>142</v>
      </c>
      <c r="E81" s="33" t="s">
        <v>409</v>
      </c>
      <c r="F81" s="33" t="s">
        <v>592</v>
      </c>
      <c r="G81" s="33" t="s">
        <v>593</v>
      </c>
      <c r="H81" s="32"/>
      <c r="I81" s="33" t="s">
        <v>594</v>
      </c>
      <c r="J81" s="33" t="s">
        <v>43</v>
      </c>
      <c r="K81" s="33" t="s">
        <v>595</v>
      </c>
      <c r="L81" s="48">
        <v>880761416</v>
      </c>
      <c r="M81" s="48">
        <v>111348888</v>
      </c>
      <c r="N81" s="48">
        <v>15000000</v>
      </c>
      <c r="O81" s="43"/>
      <c r="P81" s="43"/>
      <c r="Q81" s="48">
        <f t="shared" si="47"/>
        <v>1007110304</v>
      </c>
      <c r="R81" s="52">
        <v>880761416</v>
      </c>
      <c r="S81" s="48">
        <v>111348888</v>
      </c>
      <c r="T81" s="44">
        <v>15000000</v>
      </c>
      <c r="U81" s="33"/>
      <c r="V81" s="33"/>
      <c r="W81" s="52"/>
      <c r="X81" s="52">
        <f t="shared" ref="X81:Y81" si="74">M81-S81</f>
        <v>0</v>
      </c>
      <c r="Y81" s="52">
        <f t="shared" si="74"/>
        <v>0</v>
      </c>
      <c r="Z81" s="52">
        <f t="shared" si="7"/>
        <v>0</v>
      </c>
      <c r="AA81" s="54"/>
      <c r="AB81" s="68"/>
    </row>
    <row r="82" spans="1:28" ht="31.5" x14ac:dyDescent="0.25">
      <c r="A82" s="33" t="s">
        <v>46</v>
      </c>
      <c r="B82" s="42">
        <v>68</v>
      </c>
      <c r="C82" s="33" t="s">
        <v>142</v>
      </c>
      <c r="D82" s="33" t="s">
        <v>142</v>
      </c>
      <c r="E82" s="32"/>
      <c r="F82" s="33" t="s">
        <v>599</v>
      </c>
      <c r="G82" s="32"/>
      <c r="H82" s="33" t="s">
        <v>601</v>
      </c>
      <c r="I82" s="33" t="s">
        <v>602</v>
      </c>
      <c r="J82" s="33" t="s">
        <v>43</v>
      </c>
      <c r="K82" s="33" t="s">
        <v>603</v>
      </c>
      <c r="L82" s="48">
        <v>3692631136</v>
      </c>
      <c r="M82" s="32"/>
      <c r="N82" s="48">
        <v>15000000</v>
      </c>
      <c r="O82" s="43"/>
      <c r="P82" s="43"/>
      <c r="Q82" s="48">
        <f t="shared" si="47"/>
        <v>3707631136</v>
      </c>
      <c r="R82" s="52">
        <v>3692631136</v>
      </c>
      <c r="S82" s="33"/>
      <c r="T82" s="44">
        <v>15000000</v>
      </c>
      <c r="U82" s="33"/>
      <c r="V82" s="33"/>
      <c r="W82" s="52"/>
      <c r="X82" s="52">
        <f t="shared" ref="X82:Y82" si="75">M82-S82</f>
        <v>0</v>
      </c>
      <c r="Y82" s="52">
        <f t="shared" si="75"/>
        <v>0</v>
      </c>
      <c r="Z82" s="52">
        <f t="shared" si="7"/>
        <v>0</v>
      </c>
      <c r="AA82" s="54"/>
      <c r="AB82" s="68"/>
    </row>
    <row r="83" spans="1:28" ht="110.25" x14ac:dyDescent="0.25">
      <c r="A83" s="33" t="s">
        <v>46</v>
      </c>
      <c r="B83" s="42">
        <v>69</v>
      </c>
      <c r="C83" s="33" t="s">
        <v>142</v>
      </c>
      <c r="D83" s="33" t="s">
        <v>142</v>
      </c>
      <c r="E83" s="33" t="s">
        <v>604</v>
      </c>
      <c r="F83" s="33" t="s">
        <v>606</v>
      </c>
      <c r="G83" s="33" t="s">
        <v>608</v>
      </c>
      <c r="H83" s="32"/>
      <c r="I83" s="33" t="s">
        <v>612</v>
      </c>
      <c r="J83" s="33" t="s">
        <v>43</v>
      </c>
      <c r="K83" s="33" t="s">
        <v>614</v>
      </c>
      <c r="L83" s="48">
        <v>10741645000</v>
      </c>
      <c r="M83" s="48">
        <v>2472792800</v>
      </c>
      <c r="N83" s="79">
        <v>15000000</v>
      </c>
      <c r="O83" s="43"/>
      <c r="P83" s="43"/>
      <c r="Q83" s="48">
        <f t="shared" si="47"/>
        <v>13229437800</v>
      </c>
      <c r="R83" s="52">
        <v>10741645000</v>
      </c>
      <c r="S83" s="48">
        <v>2472792800</v>
      </c>
      <c r="T83" s="80">
        <v>15000000</v>
      </c>
      <c r="U83" s="33"/>
      <c r="V83" s="33"/>
      <c r="W83" s="52"/>
      <c r="X83" s="52">
        <f t="shared" ref="X83:Y83" si="76">M83-S83</f>
        <v>0</v>
      </c>
      <c r="Y83" s="52">
        <f t="shared" si="76"/>
        <v>0</v>
      </c>
      <c r="Z83" s="52">
        <f t="shared" si="7"/>
        <v>0</v>
      </c>
      <c r="AA83" s="54"/>
      <c r="AB83" s="68"/>
    </row>
    <row r="84" spans="1:28" ht="31.5" x14ac:dyDescent="0.25">
      <c r="A84" s="33" t="s">
        <v>52</v>
      </c>
      <c r="B84" s="42">
        <v>70</v>
      </c>
      <c r="C84" s="33" t="s">
        <v>142</v>
      </c>
      <c r="D84" s="33" t="s">
        <v>142</v>
      </c>
      <c r="E84" s="32"/>
      <c r="F84" s="33" t="s">
        <v>146</v>
      </c>
      <c r="G84" s="32"/>
      <c r="H84" s="32"/>
      <c r="I84" s="33" t="s">
        <v>148</v>
      </c>
      <c r="J84" s="33" t="s">
        <v>43</v>
      </c>
      <c r="K84" s="33" t="s">
        <v>150</v>
      </c>
      <c r="L84" s="48">
        <v>3419539969</v>
      </c>
      <c r="M84" s="32"/>
      <c r="N84" s="48">
        <v>15000000</v>
      </c>
      <c r="O84" s="43" t="s">
        <v>144</v>
      </c>
      <c r="P84" s="69">
        <v>96000000</v>
      </c>
      <c r="Q84" s="48">
        <f t="shared" si="47"/>
        <v>3530539969</v>
      </c>
      <c r="R84" s="52">
        <v>3419539969</v>
      </c>
      <c r="S84" s="33"/>
      <c r="T84" s="44">
        <v>15000000</v>
      </c>
      <c r="U84" s="48">
        <v>96000000</v>
      </c>
      <c r="V84" s="33"/>
      <c r="W84" s="52"/>
      <c r="X84" s="52">
        <f t="shared" ref="X84:Y84" si="77">M84-S84</f>
        <v>0</v>
      </c>
      <c r="Y84" s="52">
        <f t="shared" si="77"/>
        <v>0</v>
      </c>
      <c r="Z84" s="52">
        <f t="shared" si="7"/>
        <v>0</v>
      </c>
      <c r="AA84" s="54"/>
      <c r="AB84" s="68"/>
    </row>
    <row r="85" spans="1:28" ht="31.5" x14ac:dyDescent="0.25">
      <c r="A85" s="33" t="s">
        <v>46</v>
      </c>
      <c r="B85" s="42">
        <v>71</v>
      </c>
      <c r="C85" s="33" t="s">
        <v>630</v>
      </c>
      <c r="D85" s="33" t="s">
        <v>630</v>
      </c>
      <c r="E85" s="32"/>
      <c r="F85" s="33" t="s">
        <v>631</v>
      </c>
      <c r="G85" s="32"/>
      <c r="H85" s="32"/>
      <c r="I85" s="33" t="s">
        <v>632</v>
      </c>
      <c r="J85" s="33" t="s">
        <v>43</v>
      </c>
      <c r="K85" s="33" t="s">
        <v>633</v>
      </c>
      <c r="L85" s="48">
        <v>4963312906</v>
      </c>
      <c r="M85" s="32"/>
      <c r="N85" s="48">
        <v>7500000</v>
      </c>
      <c r="O85" s="43"/>
      <c r="P85" s="43"/>
      <c r="Q85" s="48">
        <f t="shared" si="47"/>
        <v>4970812906</v>
      </c>
      <c r="R85" s="48">
        <v>4963312906</v>
      </c>
      <c r="S85" s="33"/>
      <c r="T85" s="44">
        <v>7500000</v>
      </c>
      <c r="U85" s="33"/>
      <c r="V85" s="33"/>
      <c r="W85" s="52"/>
      <c r="X85" s="52">
        <f t="shared" ref="X85:Y85" si="78">M85-S85</f>
        <v>0</v>
      </c>
      <c r="Y85" s="52">
        <f t="shared" si="78"/>
        <v>0</v>
      </c>
      <c r="Z85" s="52">
        <f t="shared" si="7"/>
        <v>0</v>
      </c>
      <c r="AA85" s="54"/>
      <c r="AB85" s="68"/>
    </row>
    <row r="86" spans="1:28" ht="31.5" x14ac:dyDescent="0.25">
      <c r="A86" s="33" t="s">
        <v>46</v>
      </c>
      <c r="B86" s="42">
        <v>72</v>
      </c>
      <c r="C86" s="33" t="s">
        <v>630</v>
      </c>
      <c r="D86" s="33" t="s">
        <v>630</v>
      </c>
      <c r="E86" s="32"/>
      <c r="F86" s="33" t="s">
        <v>639</v>
      </c>
      <c r="G86" s="32"/>
      <c r="H86" s="32"/>
      <c r="I86" s="33" t="s">
        <v>640</v>
      </c>
      <c r="J86" s="33" t="s">
        <v>43</v>
      </c>
      <c r="K86" s="33" t="s">
        <v>641</v>
      </c>
      <c r="L86" s="48">
        <v>456501640</v>
      </c>
      <c r="M86" s="32"/>
      <c r="N86" s="48">
        <v>7500000</v>
      </c>
      <c r="O86" s="43"/>
      <c r="P86" s="43"/>
      <c r="Q86" s="48">
        <f t="shared" si="47"/>
        <v>464001640</v>
      </c>
      <c r="R86" s="48">
        <v>456501640</v>
      </c>
      <c r="S86" s="33"/>
      <c r="T86" s="44">
        <v>7500000</v>
      </c>
      <c r="U86" s="33"/>
      <c r="V86" s="33"/>
      <c r="W86" s="52"/>
      <c r="X86" s="52">
        <f t="shared" ref="X86:Y86" si="79">M86-S86</f>
        <v>0</v>
      </c>
      <c r="Y86" s="52">
        <f t="shared" si="79"/>
        <v>0</v>
      </c>
      <c r="Z86" s="52">
        <f t="shared" si="7"/>
        <v>0</v>
      </c>
      <c r="AA86" s="54"/>
      <c r="AB86" s="68"/>
    </row>
    <row r="87" spans="1:28" ht="31.5" x14ac:dyDescent="0.25">
      <c r="A87" s="33" t="s">
        <v>60</v>
      </c>
      <c r="B87" s="42">
        <v>73</v>
      </c>
      <c r="C87" s="33" t="s">
        <v>630</v>
      </c>
      <c r="D87" s="33" t="s">
        <v>630</v>
      </c>
      <c r="E87" s="32"/>
      <c r="F87" s="33" t="s">
        <v>648</v>
      </c>
      <c r="G87" s="32"/>
      <c r="H87" s="32"/>
      <c r="I87" s="33" t="s">
        <v>650</v>
      </c>
      <c r="J87" s="33" t="s">
        <v>43</v>
      </c>
      <c r="K87" s="33" t="s">
        <v>651</v>
      </c>
      <c r="L87" s="48">
        <v>1758077820</v>
      </c>
      <c r="M87" s="32"/>
      <c r="N87" s="48">
        <v>7500000</v>
      </c>
      <c r="O87" s="43"/>
      <c r="P87" s="43"/>
      <c r="Q87" s="48">
        <f t="shared" si="47"/>
        <v>1765577820</v>
      </c>
      <c r="R87" s="52">
        <v>1758077820</v>
      </c>
      <c r="S87" s="33"/>
      <c r="T87" s="44">
        <v>7500000</v>
      </c>
      <c r="U87" s="33"/>
      <c r="V87" s="33"/>
      <c r="W87" s="52"/>
      <c r="X87" s="52">
        <f t="shared" ref="X87:Y87" si="80">M87-S87</f>
        <v>0</v>
      </c>
      <c r="Y87" s="52">
        <f t="shared" si="80"/>
        <v>0</v>
      </c>
      <c r="Z87" s="52">
        <f t="shared" si="7"/>
        <v>0</v>
      </c>
      <c r="AA87" s="54"/>
      <c r="AB87" s="68"/>
    </row>
    <row r="88" spans="1:28" ht="31.5" x14ac:dyDescent="0.25">
      <c r="A88" s="33" t="s">
        <v>60</v>
      </c>
      <c r="B88" s="42">
        <v>74</v>
      </c>
      <c r="C88" s="33" t="s">
        <v>630</v>
      </c>
      <c r="D88" s="33" t="s">
        <v>630</v>
      </c>
      <c r="E88" s="32"/>
      <c r="F88" s="33" t="s">
        <v>652</v>
      </c>
      <c r="G88" s="32"/>
      <c r="H88" s="32"/>
      <c r="I88" s="33" t="s">
        <v>653</v>
      </c>
      <c r="J88" s="33" t="s">
        <v>43</v>
      </c>
      <c r="K88" s="33" t="s">
        <v>654</v>
      </c>
      <c r="L88" s="48">
        <v>383790570</v>
      </c>
      <c r="M88" s="32"/>
      <c r="N88" s="48">
        <v>7500000</v>
      </c>
      <c r="O88" s="43"/>
      <c r="P88" s="43"/>
      <c r="Q88" s="48">
        <f t="shared" si="47"/>
        <v>391290570</v>
      </c>
      <c r="R88" s="52">
        <v>383790570</v>
      </c>
      <c r="S88" s="33"/>
      <c r="T88" s="44">
        <v>7500000</v>
      </c>
      <c r="U88" s="33"/>
      <c r="V88" s="33"/>
      <c r="W88" s="52"/>
      <c r="X88" s="52">
        <f t="shared" ref="X88:Y88" si="81">M88-S88</f>
        <v>0</v>
      </c>
      <c r="Y88" s="52">
        <f t="shared" si="81"/>
        <v>0</v>
      </c>
      <c r="Z88" s="52">
        <f t="shared" si="7"/>
        <v>0</v>
      </c>
      <c r="AA88" s="54"/>
      <c r="AB88" s="68"/>
    </row>
    <row r="89" spans="1:28" ht="31.5" x14ac:dyDescent="0.25">
      <c r="A89" s="33" t="s">
        <v>46</v>
      </c>
      <c r="B89" s="42">
        <v>75</v>
      </c>
      <c r="C89" s="33" t="s">
        <v>630</v>
      </c>
      <c r="D89" s="33" t="s">
        <v>630</v>
      </c>
      <c r="E89" s="32"/>
      <c r="F89" s="33" t="s">
        <v>660</v>
      </c>
      <c r="G89" s="32"/>
      <c r="H89" s="32"/>
      <c r="I89" s="33" t="s">
        <v>662</v>
      </c>
      <c r="J89" s="33" t="s">
        <v>43</v>
      </c>
      <c r="K89" s="33" t="s">
        <v>664</v>
      </c>
      <c r="L89" s="48">
        <v>284423790</v>
      </c>
      <c r="M89" s="32"/>
      <c r="N89" s="48">
        <v>7500000</v>
      </c>
      <c r="O89" s="43"/>
      <c r="P89" s="43"/>
      <c r="Q89" s="48">
        <f t="shared" si="47"/>
        <v>291923790</v>
      </c>
      <c r="R89" s="48">
        <v>284423790</v>
      </c>
      <c r="S89" s="33"/>
      <c r="T89" s="44">
        <v>7500000</v>
      </c>
      <c r="U89" s="33"/>
      <c r="V89" s="33"/>
      <c r="W89" s="52"/>
      <c r="X89" s="52">
        <f t="shared" ref="X89:Y89" si="82">M89-S89</f>
        <v>0</v>
      </c>
      <c r="Y89" s="52">
        <f t="shared" si="82"/>
        <v>0</v>
      </c>
      <c r="Z89" s="52">
        <f t="shared" si="7"/>
        <v>0</v>
      </c>
      <c r="AA89" s="54"/>
      <c r="AB89" s="68"/>
    </row>
    <row r="90" spans="1:28" ht="31.5" x14ac:dyDescent="0.25">
      <c r="A90" s="33" t="s">
        <v>46</v>
      </c>
      <c r="B90" s="42">
        <v>76</v>
      </c>
      <c r="C90" s="33" t="s">
        <v>630</v>
      </c>
      <c r="D90" s="33" t="s">
        <v>630</v>
      </c>
      <c r="E90" s="32"/>
      <c r="F90" s="33" t="s">
        <v>665</v>
      </c>
      <c r="G90" s="32"/>
      <c r="H90" s="32"/>
      <c r="I90" s="33" t="s">
        <v>666</v>
      </c>
      <c r="J90" s="33" t="s">
        <v>43</v>
      </c>
      <c r="K90" s="33" t="s">
        <v>667</v>
      </c>
      <c r="L90" s="48">
        <v>169129920</v>
      </c>
      <c r="M90" s="32"/>
      <c r="N90" s="48">
        <v>7500000</v>
      </c>
      <c r="O90" s="43"/>
      <c r="P90" s="43"/>
      <c r="Q90" s="48">
        <f t="shared" si="47"/>
        <v>176629920</v>
      </c>
      <c r="R90" s="79">
        <v>169129920</v>
      </c>
      <c r="S90" s="33"/>
      <c r="T90" s="44">
        <v>7500000</v>
      </c>
      <c r="U90" s="33"/>
      <c r="V90" s="33"/>
      <c r="W90" s="52"/>
      <c r="X90" s="52">
        <f t="shared" ref="X90:Y90" si="83">M90-S90</f>
        <v>0</v>
      </c>
      <c r="Y90" s="52">
        <f t="shared" si="83"/>
        <v>0</v>
      </c>
      <c r="Z90" s="52">
        <f t="shared" si="7"/>
        <v>0</v>
      </c>
      <c r="AA90" s="54"/>
      <c r="AB90" s="68"/>
    </row>
    <row r="91" spans="1:28" ht="31.5" x14ac:dyDescent="0.25">
      <c r="A91" s="33" t="s">
        <v>52</v>
      </c>
      <c r="B91" s="42">
        <v>77</v>
      </c>
      <c r="C91" s="33" t="s">
        <v>630</v>
      </c>
      <c r="D91" s="33" t="s">
        <v>630</v>
      </c>
      <c r="E91" s="32"/>
      <c r="F91" s="33" t="s">
        <v>668</v>
      </c>
      <c r="G91" s="32"/>
      <c r="H91" s="32"/>
      <c r="I91" s="33" t="s">
        <v>669</v>
      </c>
      <c r="J91" s="33" t="s">
        <v>43</v>
      </c>
      <c r="K91" s="33" t="s">
        <v>670</v>
      </c>
      <c r="L91" s="48">
        <v>256763700</v>
      </c>
      <c r="M91" s="32"/>
      <c r="N91" s="48">
        <v>7500000</v>
      </c>
      <c r="O91" s="43"/>
      <c r="P91" s="43"/>
      <c r="Q91" s="48">
        <f t="shared" si="47"/>
        <v>264263700</v>
      </c>
      <c r="R91" s="48">
        <v>256763700</v>
      </c>
      <c r="S91" s="33"/>
      <c r="T91" s="44">
        <v>7500000</v>
      </c>
      <c r="U91" s="33"/>
      <c r="V91" s="33"/>
      <c r="W91" s="52"/>
      <c r="X91" s="52">
        <f t="shared" ref="X91:Y91" si="84">M91-S91</f>
        <v>0</v>
      </c>
      <c r="Y91" s="52">
        <f t="shared" si="84"/>
        <v>0</v>
      </c>
      <c r="Z91" s="52">
        <f t="shared" si="7"/>
        <v>0</v>
      </c>
      <c r="AA91" s="54"/>
      <c r="AB91" s="68"/>
    </row>
    <row r="92" spans="1:28" ht="31.5" x14ac:dyDescent="0.25">
      <c r="A92" s="33" t="s">
        <v>52</v>
      </c>
      <c r="B92" s="42">
        <v>78</v>
      </c>
      <c r="C92" s="33" t="s">
        <v>630</v>
      </c>
      <c r="D92" s="33" t="s">
        <v>630</v>
      </c>
      <c r="E92" s="32"/>
      <c r="F92" s="33" t="s">
        <v>676</v>
      </c>
      <c r="G92" s="32"/>
      <c r="H92" s="32"/>
      <c r="I92" s="33" t="s">
        <v>677</v>
      </c>
      <c r="J92" s="33" t="s">
        <v>43</v>
      </c>
      <c r="K92" s="33" t="s">
        <v>678</v>
      </c>
      <c r="L92" s="48">
        <v>422510140</v>
      </c>
      <c r="M92" s="32"/>
      <c r="N92" s="48">
        <v>7500000</v>
      </c>
      <c r="O92" s="43"/>
      <c r="P92" s="43"/>
      <c r="Q92" s="48">
        <f t="shared" si="47"/>
        <v>430010140</v>
      </c>
      <c r="R92" s="48">
        <v>422510140</v>
      </c>
      <c r="S92" s="33"/>
      <c r="T92" s="44">
        <v>7500000</v>
      </c>
      <c r="U92" s="33"/>
      <c r="V92" s="33"/>
      <c r="W92" s="52"/>
      <c r="X92" s="52">
        <f t="shared" ref="X92:Y92" si="85">M92-S92</f>
        <v>0</v>
      </c>
      <c r="Y92" s="52">
        <f t="shared" si="85"/>
        <v>0</v>
      </c>
      <c r="Z92" s="52">
        <f t="shared" si="7"/>
        <v>0</v>
      </c>
      <c r="AA92" s="54"/>
      <c r="AB92" s="68"/>
    </row>
    <row r="93" spans="1:28" ht="31.5" x14ac:dyDescent="0.25">
      <c r="A93" s="33" t="s">
        <v>46</v>
      </c>
      <c r="B93" s="42">
        <v>79</v>
      </c>
      <c r="C93" s="33" t="s">
        <v>630</v>
      </c>
      <c r="D93" s="33" t="s">
        <v>630</v>
      </c>
      <c r="E93" s="32"/>
      <c r="F93" s="33" t="s">
        <v>683</v>
      </c>
      <c r="G93" s="33" t="s">
        <v>684</v>
      </c>
      <c r="H93" s="32"/>
      <c r="I93" s="33" t="s">
        <v>685</v>
      </c>
      <c r="J93" s="33" t="s">
        <v>43</v>
      </c>
      <c r="K93" s="33" t="s">
        <v>686</v>
      </c>
      <c r="L93" s="48">
        <v>3622960192</v>
      </c>
      <c r="M93" s="32"/>
      <c r="N93" s="48">
        <v>15000000</v>
      </c>
      <c r="O93" s="43"/>
      <c r="P93" s="43"/>
      <c r="Q93" s="48">
        <f t="shared" si="47"/>
        <v>3637960192</v>
      </c>
      <c r="R93" s="48">
        <v>3622960192</v>
      </c>
      <c r="S93" s="33"/>
      <c r="T93" s="44">
        <v>15000000</v>
      </c>
      <c r="U93" s="33"/>
      <c r="V93" s="33"/>
      <c r="W93" s="52"/>
      <c r="X93" s="52">
        <f t="shared" ref="X93:Y93" si="86">M93-S93</f>
        <v>0</v>
      </c>
      <c r="Y93" s="52">
        <f t="shared" si="86"/>
        <v>0</v>
      </c>
      <c r="Z93" s="52">
        <f t="shared" si="7"/>
        <v>0</v>
      </c>
      <c r="AA93" s="54"/>
      <c r="AB93" s="68"/>
    </row>
    <row r="94" spans="1:28" ht="31.5" x14ac:dyDescent="0.25">
      <c r="A94" s="33" t="s">
        <v>60</v>
      </c>
      <c r="B94" s="42">
        <v>80</v>
      </c>
      <c r="C94" s="33" t="s">
        <v>655</v>
      </c>
      <c r="D94" s="33" t="s">
        <v>655</v>
      </c>
      <c r="E94" s="32"/>
      <c r="F94" s="33" t="s">
        <v>692</v>
      </c>
      <c r="G94" s="32"/>
      <c r="H94" s="32"/>
      <c r="I94" s="33" t="s">
        <v>693</v>
      </c>
      <c r="J94" s="33" t="s">
        <v>43</v>
      </c>
      <c r="K94" s="33" t="s">
        <v>694</v>
      </c>
      <c r="L94" s="48">
        <v>416448900</v>
      </c>
      <c r="M94" s="32"/>
      <c r="N94" s="48">
        <v>7500000</v>
      </c>
      <c r="O94" s="43"/>
      <c r="P94" s="43"/>
      <c r="Q94" s="48">
        <f t="shared" si="47"/>
        <v>423948900</v>
      </c>
      <c r="R94" s="48">
        <v>416448900</v>
      </c>
      <c r="S94" s="33"/>
      <c r="T94" s="44">
        <v>7500000</v>
      </c>
      <c r="U94" s="33"/>
      <c r="V94" s="33"/>
      <c r="W94" s="52"/>
      <c r="X94" s="52">
        <f t="shared" ref="X94:Y94" si="87">M94-S94</f>
        <v>0</v>
      </c>
      <c r="Y94" s="52">
        <f t="shared" si="87"/>
        <v>0</v>
      </c>
      <c r="Z94" s="52">
        <f t="shared" si="7"/>
        <v>0</v>
      </c>
      <c r="AA94" s="54"/>
      <c r="AB94" s="68"/>
    </row>
    <row r="95" spans="1:28" ht="31.5" x14ac:dyDescent="0.25">
      <c r="A95" s="33" t="s">
        <v>60</v>
      </c>
      <c r="B95" s="42">
        <v>81</v>
      </c>
      <c r="C95" s="33" t="s">
        <v>655</v>
      </c>
      <c r="D95" s="33" t="s">
        <v>655</v>
      </c>
      <c r="E95" s="32"/>
      <c r="F95" s="33" t="s">
        <v>699</v>
      </c>
      <c r="G95" s="32"/>
      <c r="H95" s="32"/>
      <c r="I95" s="33" t="s">
        <v>700</v>
      </c>
      <c r="J95" s="33" t="s">
        <v>43</v>
      </c>
      <c r="K95" s="33" t="s">
        <v>701</v>
      </c>
      <c r="L95" s="48">
        <v>31993200</v>
      </c>
      <c r="M95" s="32"/>
      <c r="N95" s="48">
        <v>7500000</v>
      </c>
      <c r="O95" s="43"/>
      <c r="P95" s="43"/>
      <c r="Q95" s="48">
        <f t="shared" si="47"/>
        <v>39493200</v>
      </c>
      <c r="R95" s="48">
        <v>31993200</v>
      </c>
      <c r="S95" s="33"/>
      <c r="T95" s="44">
        <v>7500000</v>
      </c>
      <c r="U95" s="33"/>
      <c r="V95" s="33"/>
      <c r="W95" s="52"/>
      <c r="X95" s="52">
        <f t="shared" ref="X95:Y95" si="88">M95-S95</f>
        <v>0</v>
      </c>
      <c r="Y95" s="52">
        <f t="shared" si="88"/>
        <v>0</v>
      </c>
      <c r="Z95" s="52">
        <f t="shared" si="7"/>
        <v>0</v>
      </c>
      <c r="AA95" s="54"/>
      <c r="AB95" s="68"/>
    </row>
    <row r="96" spans="1:28" ht="31.5" x14ac:dyDescent="0.25">
      <c r="A96" s="33" t="s">
        <v>46</v>
      </c>
      <c r="B96" s="42">
        <v>82</v>
      </c>
      <c r="C96" s="33" t="s">
        <v>655</v>
      </c>
      <c r="D96" s="33" t="s">
        <v>655</v>
      </c>
      <c r="E96" s="33" t="s">
        <v>450</v>
      </c>
      <c r="F96" s="33" t="s">
        <v>702</v>
      </c>
      <c r="G96" s="33" t="s">
        <v>703</v>
      </c>
      <c r="H96" s="32"/>
      <c r="I96" s="33" t="s">
        <v>704</v>
      </c>
      <c r="J96" s="33" t="s">
        <v>43</v>
      </c>
      <c r="K96" s="33" t="s">
        <v>705</v>
      </c>
      <c r="L96" s="48">
        <v>202213000</v>
      </c>
      <c r="M96" s="48">
        <v>38269440</v>
      </c>
      <c r="N96" s="48">
        <v>7500000</v>
      </c>
      <c r="O96" s="43"/>
      <c r="P96" s="43"/>
      <c r="Q96" s="48">
        <f t="shared" si="47"/>
        <v>247982440</v>
      </c>
      <c r="R96" s="48">
        <v>202213000</v>
      </c>
      <c r="S96" s="48">
        <v>38269440</v>
      </c>
      <c r="T96" s="44">
        <v>7500000</v>
      </c>
      <c r="U96" s="33"/>
      <c r="V96" s="33"/>
      <c r="W96" s="52"/>
      <c r="X96" s="52">
        <f t="shared" ref="X96:Y96" si="89">M96-S96</f>
        <v>0</v>
      </c>
      <c r="Y96" s="52">
        <f t="shared" si="89"/>
        <v>0</v>
      </c>
      <c r="Z96" s="52">
        <f t="shared" si="7"/>
        <v>0</v>
      </c>
      <c r="AA96" s="54"/>
      <c r="AB96" s="68"/>
    </row>
    <row r="97" spans="1:28" ht="63" x14ac:dyDescent="0.25">
      <c r="A97" s="33" t="s">
        <v>35</v>
      </c>
      <c r="B97" s="42">
        <v>83</v>
      </c>
      <c r="C97" s="33" t="s">
        <v>655</v>
      </c>
      <c r="D97" s="33" t="s">
        <v>655</v>
      </c>
      <c r="E97" s="33" t="s">
        <v>656</v>
      </c>
      <c r="F97" s="33" t="s">
        <v>658</v>
      </c>
      <c r="G97" s="33" t="s">
        <v>659</v>
      </c>
      <c r="H97" s="32"/>
      <c r="I97" s="33" t="s">
        <v>661</v>
      </c>
      <c r="J97" s="33" t="s">
        <v>43</v>
      </c>
      <c r="K97" s="33" t="s">
        <v>663</v>
      </c>
      <c r="L97" s="48">
        <v>2870247816</v>
      </c>
      <c r="M97" s="48">
        <v>123263617</v>
      </c>
      <c r="N97" s="48">
        <v>15000000</v>
      </c>
      <c r="O97" s="43" t="s">
        <v>657</v>
      </c>
      <c r="P97" s="69">
        <v>94200000</v>
      </c>
      <c r="Q97" s="48">
        <f t="shared" si="47"/>
        <v>3102711433</v>
      </c>
      <c r="R97" s="48">
        <v>2870247816</v>
      </c>
      <c r="S97" s="48">
        <v>123263617</v>
      </c>
      <c r="T97" s="44">
        <v>15000000</v>
      </c>
      <c r="U97" s="33"/>
      <c r="V97" s="33"/>
      <c r="W97" s="52"/>
      <c r="X97" s="52">
        <f t="shared" ref="X97:Y97" si="90">M97-S97</f>
        <v>0</v>
      </c>
      <c r="Y97" s="52">
        <f t="shared" si="90"/>
        <v>0</v>
      </c>
      <c r="Z97" s="52">
        <f t="shared" si="7"/>
        <v>94200000</v>
      </c>
      <c r="AA97" s="54"/>
      <c r="AB97" s="74" t="s">
        <v>721</v>
      </c>
    </row>
    <row r="98" spans="1:28" ht="31.5" x14ac:dyDescent="0.25">
      <c r="A98" s="33" t="s">
        <v>46</v>
      </c>
      <c r="B98" s="42">
        <v>84</v>
      </c>
      <c r="C98" s="33" t="s">
        <v>655</v>
      </c>
      <c r="D98" s="33" t="s">
        <v>655</v>
      </c>
      <c r="E98" s="32"/>
      <c r="F98" s="33" t="s">
        <v>727</v>
      </c>
      <c r="G98" s="32"/>
      <c r="H98" s="32"/>
      <c r="I98" s="33" t="s">
        <v>728</v>
      </c>
      <c r="J98" s="33" t="s">
        <v>43</v>
      </c>
      <c r="K98" s="33" t="s">
        <v>729</v>
      </c>
      <c r="L98" s="48">
        <v>5438544033</v>
      </c>
      <c r="M98" s="32"/>
      <c r="N98" s="48">
        <v>15000000</v>
      </c>
      <c r="O98" s="43"/>
      <c r="P98" s="43"/>
      <c r="Q98" s="48">
        <f t="shared" si="47"/>
        <v>5453544033</v>
      </c>
      <c r="R98" s="48">
        <v>5438544033</v>
      </c>
      <c r="S98" s="33"/>
      <c r="T98" s="66"/>
      <c r="U98" s="33"/>
      <c r="V98" s="33"/>
      <c r="W98" s="52"/>
      <c r="X98" s="52">
        <f t="shared" ref="X98:Y98" si="91">M98-S98</f>
        <v>0</v>
      </c>
      <c r="Y98" s="52">
        <f t="shared" si="91"/>
        <v>15000000</v>
      </c>
      <c r="Z98" s="52">
        <f t="shared" si="7"/>
        <v>0</v>
      </c>
      <c r="AA98" s="54"/>
      <c r="AB98" s="68"/>
    </row>
    <row r="99" spans="1:28" ht="31.5" x14ac:dyDescent="0.25">
      <c r="A99" s="33" t="s">
        <v>52</v>
      </c>
      <c r="B99" s="42">
        <v>85</v>
      </c>
      <c r="C99" s="33" t="s">
        <v>655</v>
      </c>
      <c r="D99" s="33" t="s">
        <v>655</v>
      </c>
      <c r="E99" s="32"/>
      <c r="F99" s="33" t="s">
        <v>736</v>
      </c>
      <c r="G99" s="32"/>
      <c r="H99" s="32"/>
      <c r="I99" s="33" t="s">
        <v>737</v>
      </c>
      <c r="J99" s="33" t="s">
        <v>43</v>
      </c>
      <c r="K99" s="33" t="s">
        <v>738</v>
      </c>
      <c r="L99" s="48">
        <v>3102018212</v>
      </c>
      <c r="M99" s="32"/>
      <c r="N99" s="48">
        <v>7500000</v>
      </c>
      <c r="O99" s="43"/>
      <c r="P99" s="43"/>
      <c r="Q99" s="48">
        <f t="shared" si="47"/>
        <v>3109518212</v>
      </c>
      <c r="R99" s="48">
        <v>3102018212</v>
      </c>
      <c r="S99" s="33"/>
      <c r="T99" s="44">
        <v>7500000</v>
      </c>
      <c r="U99" s="33"/>
      <c r="V99" s="33"/>
      <c r="W99" s="52"/>
      <c r="X99" s="52">
        <f t="shared" ref="X99:Y99" si="92">M99-S99</f>
        <v>0</v>
      </c>
      <c r="Y99" s="52">
        <f t="shared" si="92"/>
        <v>0</v>
      </c>
      <c r="Z99" s="52">
        <f t="shared" si="7"/>
        <v>0</v>
      </c>
      <c r="AA99" s="54"/>
      <c r="AB99" s="68"/>
    </row>
    <row r="100" spans="1:28" ht="31.5" x14ac:dyDescent="0.25">
      <c r="A100" s="33" t="s">
        <v>46</v>
      </c>
      <c r="B100" s="42">
        <v>86</v>
      </c>
      <c r="C100" s="33" t="s">
        <v>655</v>
      </c>
      <c r="D100" s="33" t="s">
        <v>655</v>
      </c>
      <c r="E100" s="32"/>
      <c r="F100" s="33" t="s">
        <v>746</v>
      </c>
      <c r="G100" s="32"/>
      <c r="H100" s="32"/>
      <c r="I100" s="33" t="s">
        <v>747</v>
      </c>
      <c r="J100" s="33" t="s">
        <v>43</v>
      </c>
      <c r="K100" s="33" t="s">
        <v>748</v>
      </c>
      <c r="L100" s="48">
        <v>3208417628</v>
      </c>
      <c r="M100" s="32"/>
      <c r="N100" s="48">
        <v>15000000</v>
      </c>
      <c r="O100" s="43"/>
      <c r="P100" s="43"/>
      <c r="Q100" s="48">
        <f t="shared" si="47"/>
        <v>3223417628</v>
      </c>
      <c r="R100" s="52">
        <v>3208417628</v>
      </c>
      <c r="S100" s="33"/>
      <c r="T100" s="44">
        <v>15000000</v>
      </c>
      <c r="U100" s="33"/>
      <c r="V100" s="33"/>
      <c r="W100" s="52"/>
      <c r="X100" s="52">
        <f t="shared" ref="X100:Y100" si="93">M100-S100</f>
        <v>0</v>
      </c>
      <c r="Y100" s="52">
        <f t="shared" si="93"/>
        <v>0</v>
      </c>
      <c r="Z100" s="52">
        <f t="shared" si="7"/>
        <v>0</v>
      </c>
      <c r="AA100" s="54"/>
      <c r="AB100" s="68"/>
    </row>
    <row r="101" spans="1:28" ht="31.5" x14ac:dyDescent="0.25">
      <c r="A101" s="33" t="s">
        <v>52</v>
      </c>
      <c r="B101" s="42">
        <v>87</v>
      </c>
      <c r="C101" s="33" t="s">
        <v>655</v>
      </c>
      <c r="D101" s="33" t="s">
        <v>655</v>
      </c>
      <c r="E101" s="32"/>
      <c r="F101" s="33" t="s">
        <v>753</v>
      </c>
      <c r="G101" s="32"/>
      <c r="H101" s="32"/>
      <c r="I101" s="33" t="s">
        <v>755</v>
      </c>
      <c r="J101" s="33" t="s">
        <v>43</v>
      </c>
      <c r="K101" s="33" t="s">
        <v>758</v>
      </c>
      <c r="L101" s="48">
        <v>127625600</v>
      </c>
      <c r="M101" s="32"/>
      <c r="N101" s="48">
        <v>7500000</v>
      </c>
      <c r="O101" s="43"/>
      <c r="P101" s="43"/>
      <c r="Q101" s="48">
        <f t="shared" si="47"/>
        <v>135125600</v>
      </c>
      <c r="R101" s="48">
        <v>127625600</v>
      </c>
      <c r="S101" s="33"/>
      <c r="T101" s="44">
        <v>7500000</v>
      </c>
      <c r="U101" s="33"/>
      <c r="V101" s="33"/>
      <c r="W101" s="52"/>
      <c r="X101" s="52">
        <f t="shared" ref="X101:Y101" si="94">M101-S101</f>
        <v>0</v>
      </c>
      <c r="Y101" s="52">
        <f t="shared" si="94"/>
        <v>0</v>
      </c>
      <c r="Z101" s="52">
        <f t="shared" si="7"/>
        <v>0</v>
      </c>
      <c r="AA101" s="54"/>
      <c r="AB101" s="68"/>
    </row>
    <row r="102" spans="1:28" ht="31.5" x14ac:dyDescent="0.25">
      <c r="A102" s="33" t="s">
        <v>52</v>
      </c>
      <c r="B102" s="42">
        <v>88</v>
      </c>
      <c r="C102" s="33" t="s">
        <v>655</v>
      </c>
      <c r="D102" s="33" t="s">
        <v>655</v>
      </c>
      <c r="E102" s="32"/>
      <c r="F102" s="33" t="s">
        <v>765</v>
      </c>
      <c r="G102" s="32"/>
      <c r="H102" s="32"/>
      <c r="I102" s="33" t="s">
        <v>766</v>
      </c>
      <c r="J102" s="33" t="s">
        <v>43</v>
      </c>
      <c r="K102" s="33" t="s">
        <v>767</v>
      </c>
      <c r="L102" s="48">
        <v>6198579980</v>
      </c>
      <c r="M102" s="32"/>
      <c r="N102" s="48">
        <v>7500000</v>
      </c>
      <c r="O102" s="43"/>
      <c r="P102" s="43"/>
      <c r="Q102" s="48">
        <f t="shared" si="47"/>
        <v>6206079980</v>
      </c>
      <c r="R102" s="48">
        <v>6198579980</v>
      </c>
      <c r="S102" s="33"/>
      <c r="T102" s="44">
        <v>7500000</v>
      </c>
      <c r="U102" s="33"/>
      <c r="V102" s="33"/>
      <c r="W102" s="52"/>
      <c r="X102" s="52">
        <f t="shared" ref="X102:Y102" si="95">M102-S102</f>
        <v>0</v>
      </c>
      <c r="Y102" s="52">
        <f t="shared" si="95"/>
        <v>0</v>
      </c>
      <c r="Z102" s="52">
        <f t="shared" si="7"/>
        <v>0</v>
      </c>
      <c r="AA102" s="54"/>
      <c r="AB102" s="68"/>
    </row>
    <row r="103" spans="1:28" ht="31.5" x14ac:dyDescent="0.25">
      <c r="A103" s="33" t="s">
        <v>46</v>
      </c>
      <c r="B103" s="42">
        <v>89</v>
      </c>
      <c r="C103" s="33" t="s">
        <v>655</v>
      </c>
      <c r="D103" s="33" t="s">
        <v>655</v>
      </c>
      <c r="E103" s="32"/>
      <c r="F103" s="33" t="s">
        <v>768</v>
      </c>
      <c r="G103" s="32"/>
      <c r="H103" s="32"/>
      <c r="I103" s="33" t="s">
        <v>769</v>
      </c>
      <c r="J103" s="33" t="s">
        <v>43</v>
      </c>
      <c r="K103" s="33" t="s">
        <v>770</v>
      </c>
      <c r="L103" s="48">
        <v>775743160</v>
      </c>
      <c r="M103" s="32"/>
      <c r="N103" s="48">
        <v>7500000</v>
      </c>
      <c r="O103" s="43"/>
      <c r="P103" s="43"/>
      <c r="Q103" s="48">
        <f t="shared" si="47"/>
        <v>783243160</v>
      </c>
      <c r="R103" s="52">
        <v>775743160</v>
      </c>
      <c r="S103" s="33"/>
      <c r="T103" s="44">
        <v>7500000</v>
      </c>
      <c r="U103" s="33"/>
      <c r="V103" s="33"/>
      <c r="W103" s="52"/>
      <c r="X103" s="52">
        <f t="shared" ref="X103:Y103" si="96">M103-S103</f>
        <v>0</v>
      </c>
      <c r="Y103" s="52">
        <f t="shared" si="96"/>
        <v>0</v>
      </c>
      <c r="Z103" s="52">
        <f t="shared" si="7"/>
        <v>0</v>
      </c>
      <c r="AA103" s="54"/>
      <c r="AB103" s="68"/>
    </row>
    <row r="104" spans="1:28" ht="31.5" x14ac:dyDescent="0.25">
      <c r="A104" s="33" t="s">
        <v>35</v>
      </c>
      <c r="B104" s="42">
        <v>90</v>
      </c>
      <c r="C104" s="33" t="s">
        <v>777</v>
      </c>
      <c r="D104" s="33" t="s">
        <v>777</v>
      </c>
      <c r="E104" s="32"/>
      <c r="F104" s="33" t="s">
        <v>778</v>
      </c>
      <c r="G104" s="32"/>
      <c r="H104" s="32"/>
      <c r="I104" s="33" t="s">
        <v>779</v>
      </c>
      <c r="J104" s="33" t="s">
        <v>43</v>
      </c>
      <c r="K104" s="33" t="s">
        <v>780</v>
      </c>
      <c r="L104" s="48">
        <v>260376114</v>
      </c>
      <c r="M104" s="32"/>
      <c r="N104" s="48">
        <v>7500000</v>
      </c>
      <c r="O104" s="43"/>
      <c r="P104" s="43"/>
      <c r="Q104" s="48">
        <f t="shared" si="47"/>
        <v>267876114</v>
      </c>
      <c r="R104" s="52">
        <v>260376114</v>
      </c>
      <c r="S104" s="33"/>
      <c r="T104" s="44">
        <v>7500000</v>
      </c>
      <c r="U104" s="33"/>
      <c r="V104" s="33"/>
      <c r="W104" s="52"/>
      <c r="X104" s="52">
        <f t="shared" ref="X104:Y104" si="97">M104-S104</f>
        <v>0</v>
      </c>
      <c r="Y104" s="52">
        <f t="shared" si="97"/>
        <v>0</v>
      </c>
      <c r="Z104" s="52">
        <f t="shared" si="7"/>
        <v>0</v>
      </c>
      <c r="AA104" s="54"/>
      <c r="AB104" s="68"/>
    </row>
    <row r="105" spans="1:28" ht="78.75" x14ac:dyDescent="0.25">
      <c r="A105" s="33" t="s">
        <v>46</v>
      </c>
      <c r="B105" s="42">
        <v>91</v>
      </c>
      <c r="C105" s="33" t="s">
        <v>777</v>
      </c>
      <c r="D105" s="33" t="s">
        <v>777</v>
      </c>
      <c r="E105" s="32"/>
      <c r="F105" s="33" t="s">
        <v>781</v>
      </c>
      <c r="G105" s="32"/>
      <c r="H105" s="32"/>
      <c r="I105" s="33" t="s">
        <v>782</v>
      </c>
      <c r="J105" s="33" t="s">
        <v>43</v>
      </c>
      <c r="K105" s="33" t="s">
        <v>787</v>
      </c>
      <c r="L105" s="48">
        <v>6896806936</v>
      </c>
      <c r="M105" s="32"/>
      <c r="N105" s="48">
        <v>15000000</v>
      </c>
      <c r="O105" s="43"/>
      <c r="P105" s="43"/>
      <c r="Q105" s="48">
        <f t="shared" si="47"/>
        <v>6911806936</v>
      </c>
      <c r="R105" s="48">
        <v>6896806936</v>
      </c>
      <c r="S105" s="33"/>
      <c r="T105" s="44">
        <v>15000000</v>
      </c>
      <c r="U105" s="33"/>
      <c r="V105" s="33"/>
      <c r="W105" s="52"/>
      <c r="X105" s="52">
        <f t="shared" ref="X105:Y105" si="98">M105-S105</f>
        <v>0</v>
      </c>
      <c r="Y105" s="52">
        <f t="shared" si="98"/>
        <v>0</v>
      </c>
      <c r="Z105" s="52">
        <f t="shared" si="7"/>
        <v>0</v>
      </c>
      <c r="AA105" s="54"/>
      <c r="AB105" s="68"/>
    </row>
    <row r="106" spans="1:28" ht="47.25" x14ac:dyDescent="0.25">
      <c r="A106" s="33" t="s">
        <v>60</v>
      </c>
      <c r="B106" s="42">
        <v>92</v>
      </c>
      <c r="C106" s="33" t="s">
        <v>777</v>
      </c>
      <c r="D106" s="33" t="s">
        <v>777</v>
      </c>
      <c r="E106" s="32"/>
      <c r="F106" s="33" t="s">
        <v>790</v>
      </c>
      <c r="G106" s="32"/>
      <c r="H106" s="32"/>
      <c r="I106" s="33" t="s">
        <v>791</v>
      </c>
      <c r="J106" s="33" t="s">
        <v>43</v>
      </c>
      <c r="K106" s="33" t="s">
        <v>792</v>
      </c>
      <c r="L106" s="48">
        <v>12013126452</v>
      </c>
      <c r="M106" s="32"/>
      <c r="N106" s="48">
        <v>15000000</v>
      </c>
      <c r="O106" s="43"/>
      <c r="P106" s="43"/>
      <c r="Q106" s="48">
        <f t="shared" si="47"/>
        <v>12028126452</v>
      </c>
      <c r="R106" s="48">
        <v>12013126452</v>
      </c>
      <c r="S106" s="33"/>
      <c r="T106" s="44">
        <v>15000000</v>
      </c>
      <c r="U106" s="33"/>
      <c r="V106" s="33"/>
      <c r="W106" s="52"/>
      <c r="X106" s="52">
        <f t="shared" ref="X106:Y106" si="99">M106-S106</f>
        <v>0</v>
      </c>
      <c r="Y106" s="52">
        <f t="shared" si="99"/>
        <v>0</v>
      </c>
      <c r="Z106" s="52">
        <f t="shared" si="7"/>
        <v>0</v>
      </c>
      <c r="AA106" s="54"/>
      <c r="AB106" s="68"/>
    </row>
    <row r="107" spans="1:28" ht="31.5" x14ac:dyDescent="0.25">
      <c r="A107" s="33" t="s">
        <v>46</v>
      </c>
      <c r="B107" s="42">
        <v>93</v>
      </c>
      <c r="C107" s="33" t="s">
        <v>777</v>
      </c>
      <c r="D107" s="33" t="s">
        <v>777</v>
      </c>
      <c r="E107" s="32"/>
      <c r="F107" s="33" t="s">
        <v>799</v>
      </c>
      <c r="G107" s="32"/>
      <c r="H107" s="32"/>
      <c r="I107" s="33" t="s">
        <v>800</v>
      </c>
      <c r="J107" s="33" t="s">
        <v>43</v>
      </c>
      <c r="K107" s="33" t="s">
        <v>801</v>
      </c>
      <c r="L107" s="48">
        <v>36040032</v>
      </c>
      <c r="M107" s="32"/>
      <c r="N107" s="48">
        <v>7500000</v>
      </c>
      <c r="O107" s="43"/>
      <c r="P107" s="43"/>
      <c r="Q107" s="48">
        <f t="shared" si="47"/>
        <v>43540032</v>
      </c>
      <c r="R107" s="33"/>
      <c r="S107" s="33"/>
      <c r="T107" s="66"/>
      <c r="U107" s="33"/>
      <c r="V107" s="33"/>
      <c r="W107" s="52">
        <v>36040032</v>
      </c>
      <c r="X107" s="52">
        <f t="shared" ref="X107:Y107" si="100">M107-S107</f>
        <v>0</v>
      </c>
      <c r="Y107" s="52">
        <f t="shared" si="100"/>
        <v>7500000</v>
      </c>
      <c r="Z107" s="52">
        <f t="shared" si="7"/>
        <v>0</v>
      </c>
      <c r="AA107" s="73">
        <v>36040032</v>
      </c>
      <c r="AB107" s="68"/>
    </row>
    <row r="108" spans="1:28" ht="31.5" x14ac:dyDescent="0.25">
      <c r="A108" s="33" t="s">
        <v>46</v>
      </c>
      <c r="B108" s="42">
        <v>94</v>
      </c>
      <c r="C108" s="33" t="s">
        <v>777</v>
      </c>
      <c r="D108" s="33" t="s">
        <v>777</v>
      </c>
      <c r="E108" s="32"/>
      <c r="F108" s="33" t="s">
        <v>802</v>
      </c>
      <c r="G108" s="32"/>
      <c r="H108" s="32"/>
      <c r="I108" s="33" t="s">
        <v>803</v>
      </c>
      <c r="J108" s="33" t="s">
        <v>43</v>
      </c>
      <c r="K108" s="33" t="s">
        <v>804</v>
      </c>
      <c r="L108" s="48">
        <v>204521740</v>
      </c>
      <c r="M108" s="32"/>
      <c r="N108" s="48">
        <v>7500000</v>
      </c>
      <c r="O108" s="43"/>
      <c r="P108" s="43"/>
      <c r="Q108" s="48">
        <f t="shared" si="47"/>
        <v>212021740</v>
      </c>
      <c r="R108" s="52">
        <v>204521740</v>
      </c>
      <c r="S108" s="33"/>
      <c r="T108" s="44">
        <v>7500000</v>
      </c>
      <c r="U108" s="33"/>
      <c r="V108" s="33"/>
      <c r="W108" s="52"/>
      <c r="X108" s="52">
        <f t="shared" ref="X108:Y108" si="101">M108-S108</f>
        <v>0</v>
      </c>
      <c r="Y108" s="52">
        <f t="shared" si="101"/>
        <v>0</v>
      </c>
      <c r="Z108" s="52">
        <f t="shared" si="7"/>
        <v>0</v>
      </c>
      <c r="AA108" s="54"/>
      <c r="AB108" s="68"/>
    </row>
    <row r="109" spans="1:28" ht="31.5" x14ac:dyDescent="0.25">
      <c r="A109" s="33" t="s">
        <v>46</v>
      </c>
      <c r="B109" s="42">
        <v>95</v>
      </c>
      <c r="C109" s="33" t="s">
        <v>777</v>
      </c>
      <c r="D109" s="33" t="s">
        <v>777</v>
      </c>
      <c r="E109" s="32"/>
      <c r="F109" s="33" t="s">
        <v>812</v>
      </c>
      <c r="G109" s="32"/>
      <c r="H109" s="32"/>
      <c r="I109" s="33" t="s">
        <v>813</v>
      </c>
      <c r="J109" s="33" t="s">
        <v>43</v>
      </c>
      <c r="K109" s="33" t="s">
        <v>814</v>
      </c>
      <c r="L109" s="48">
        <v>174193488</v>
      </c>
      <c r="M109" s="32"/>
      <c r="N109" s="48">
        <v>7500000</v>
      </c>
      <c r="O109" s="43"/>
      <c r="P109" s="43"/>
      <c r="Q109" s="48">
        <f t="shared" si="47"/>
        <v>181693488</v>
      </c>
      <c r="R109" s="52">
        <v>174193488</v>
      </c>
      <c r="S109" s="33"/>
      <c r="T109" s="44">
        <v>7500000</v>
      </c>
      <c r="U109" s="33"/>
      <c r="V109" s="33"/>
      <c r="W109" s="52"/>
      <c r="X109" s="52">
        <f t="shared" ref="X109:Y109" si="102">M109-S109</f>
        <v>0</v>
      </c>
      <c r="Y109" s="52">
        <f t="shared" si="102"/>
        <v>0</v>
      </c>
      <c r="Z109" s="52">
        <f t="shared" si="7"/>
        <v>0</v>
      </c>
      <c r="AA109" s="54"/>
      <c r="AB109" s="68"/>
    </row>
    <row r="110" spans="1:28" ht="31.5" x14ac:dyDescent="0.25">
      <c r="A110" s="33" t="s">
        <v>60</v>
      </c>
      <c r="B110" s="42">
        <v>96</v>
      </c>
      <c r="C110" s="33" t="s">
        <v>777</v>
      </c>
      <c r="D110" s="33" t="s">
        <v>777</v>
      </c>
      <c r="E110" s="32"/>
      <c r="F110" s="33" t="s">
        <v>815</v>
      </c>
      <c r="G110" s="32"/>
      <c r="H110" s="32"/>
      <c r="I110" s="33" t="s">
        <v>816</v>
      </c>
      <c r="J110" s="33" t="s">
        <v>43</v>
      </c>
      <c r="K110" s="33" t="s">
        <v>817</v>
      </c>
      <c r="L110" s="48">
        <v>561134642</v>
      </c>
      <c r="M110" s="32"/>
      <c r="N110" s="48">
        <v>7500000</v>
      </c>
      <c r="O110" s="43"/>
      <c r="P110" s="43"/>
      <c r="Q110" s="48">
        <f t="shared" si="47"/>
        <v>568634642</v>
      </c>
      <c r="R110" s="48">
        <v>561134642</v>
      </c>
      <c r="S110" s="33"/>
      <c r="T110" s="44">
        <v>7500000</v>
      </c>
      <c r="U110" s="33"/>
      <c r="V110" s="33"/>
      <c r="W110" s="52"/>
      <c r="X110" s="52">
        <f t="shared" ref="X110:Y110" si="103">M110-S110</f>
        <v>0</v>
      </c>
      <c r="Y110" s="52">
        <f t="shared" si="103"/>
        <v>0</v>
      </c>
      <c r="Z110" s="52">
        <f t="shared" si="7"/>
        <v>0</v>
      </c>
      <c r="AA110" s="54"/>
      <c r="AB110" s="68"/>
    </row>
    <row r="111" spans="1:28" ht="31.5" x14ac:dyDescent="0.25">
      <c r="A111" s="33" t="s">
        <v>52</v>
      </c>
      <c r="B111" s="42">
        <v>97</v>
      </c>
      <c r="C111" s="33" t="s">
        <v>777</v>
      </c>
      <c r="D111" s="33" t="s">
        <v>777</v>
      </c>
      <c r="E111" s="32"/>
      <c r="F111" s="33" t="s">
        <v>819</v>
      </c>
      <c r="G111" s="32"/>
      <c r="H111" s="32"/>
      <c r="I111" s="33" t="s">
        <v>820</v>
      </c>
      <c r="J111" s="33" t="s">
        <v>43</v>
      </c>
      <c r="K111" s="33" t="s">
        <v>822</v>
      </c>
      <c r="L111" s="48">
        <v>5030906224</v>
      </c>
      <c r="M111" s="32"/>
      <c r="N111" s="48">
        <v>15000000</v>
      </c>
      <c r="O111" s="43"/>
      <c r="P111" s="43"/>
      <c r="Q111" s="48">
        <f t="shared" si="47"/>
        <v>5045906224</v>
      </c>
      <c r="R111" s="48">
        <v>5030906224</v>
      </c>
      <c r="S111" s="33"/>
      <c r="T111" s="44">
        <v>15000000</v>
      </c>
      <c r="U111" s="33"/>
      <c r="V111" s="33"/>
      <c r="W111" s="52"/>
      <c r="X111" s="52">
        <f t="shared" ref="X111:Y111" si="104">M111-S111</f>
        <v>0</v>
      </c>
      <c r="Y111" s="52">
        <f t="shared" si="104"/>
        <v>0</v>
      </c>
      <c r="Z111" s="52">
        <f t="shared" si="7"/>
        <v>0</v>
      </c>
      <c r="AA111" s="54"/>
      <c r="AB111" s="68"/>
    </row>
    <row r="112" spans="1:28" ht="31.5" x14ac:dyDescent="0.25">
      <c r="A112" s="33" t="s">
        <v>35</v>
      </c>
      <c r="B112" s="42">
        <v>98</v>
      </c>
      <c r="C112" s="33" t="s">
        <v>828</v>
      </c>
      <c r="D112" s="33" t="s">
        <v>828</v>
      </c>
      <c r="E112" s="32"/>
      <c r="F112" s="33" t="s">
        <v>829</v>
      </c>
      <c r="G112" s="32"/>
      <c r="H112" s="32"/>
      <c r="I112" s="33" t="s">
        <v>830</v>
      </c>
      <c r="J112" s="33" t="s">
        <v>43</v>
      </c>
      <c r="K112" s="33" t="s">
        <v>831</v>
      </c>
      <c r="L112" s="48">
        <v>5668407622</v>
      </c>
      <c r="M112" s="32"/>
      <c r="N112" s="48">
        <v>15000000</v>
      </c>
      <c r="O112" s="43"/>
      <c r="P112" s="43"/>
      <c r="Q112" s="48">
        <f t="shared" si="47"/>
        <v>5683407622</v>
      </c>
      <c r="R112" s="52">
        <v>5668407622</v>
      </c>
      <c r="S112" s="33"/>
      <c r="T112" s="44">
        <v>15000000</v>
      </c>
      <c r="U112" s="33"/>
      <c r="V112" s="33"/>
      <c r="W112" s="52"/>
      <c r="X112" s="52">
        <f t="shared" ref="X112:Y112" si="105">M112-S112</f>
        <v>0</v>
      </c>
      <c r="Y112" s="52">
        <f t="shared" si="105"/>
        <v>0</v>
      </c>
      <c r="Z112" s="52">
        <f t="shared" si="7"/>
        <v>0</v>
      </c>
      <c r="AA112" s="54"/>
      <c r="AB112" s="68"/>
    </row>
    <row r="113" spans="1:28" ht="31.5" x14ac:dyDescent="0.25">
      <c r="A113" s="33" t="s">
        <v>60</v>
      </c>
      <c r="B113" s="42">
        <v>99</v>
      </c>
      <c r="C113" s="33" t="s">
        <v>828</v>
      </c>
      <c r="D113" s="33" t="s">
        <v>828</v>
      </c>
      <c r="E113" s="32"/>
      <c r="F113" s="33" t="s">
        <v>833</v>
      </c>
      <c r="G113" s="32"/>
      <c r="H113" s="32"/>
      <c r="I113" s="33" t="s">
        <v>835</v>
      </c>
      <c r="J113" s="33" t="s">
        <v>43</v>
      </c>
      <c r="K113" s="33" t="s">
        <v>837</v>
      </c>
      <c r="L113" s="48">
        <v>3310083600</v>
      </c>
      <c r="M113" s="32"/>
      <c r="N113" s="48">
        <v>7500000</v>
      </c>
      <c r="O113" s="43"/>
      <c r="P113" s="43"/>
      <c r="Q113" s="48">
        <f t="shared" si="47"/>
        <v>3317583600</v>
      </c>
      <c r="R113" s="52">
        <v>3310083600</v>
      </c>
      <c r="S113" s="33"/>
      <c r="T113" s="66"/>
      <c r="U113" s="33"/>
      <c r="V113" s="33"/>
      <c r="W113" s="52"/>
      <c r="X113" s="52">
        <f t="shared" ref="X113:Y113" si="106">M113-S113</f>
        <v>0</v>
      </c>
      <c r="Y113" s="52">
        <f t="shared" si="106"/>
        <v>7500000</v>
      </c>
      <c r="Z113" s="52">
        <f t="shared" si="7"/>
        <v>0</v>
      </c>
      <c r="AA113" s="54"/>
      <c r="AB113" s="68"/>
    </row>
    <row r="114" spans="1:28" ht="31.5" x14ac:dyDescent="0.25">
      <c r="A114" s="33" t="s">
        <v>46</v>
      </c>
      <c r="B114" s="42">
        <v>100</v>
      </c>
      <c r="C114" s="33" t="s">
        <v>828</v>
      </c>
      <c r="D114" s="33" t="s">
        <v>828</v>
      </c>
      <c r="E114" s="32"/>
      <c r="F114" s="33" t="s">
        <v>839</v>
      </c>
      <c r="G114" s="32"/>
      <c r="H114" s="32"/>
      <c r="I114" s="33" t="s">
        <v>840</v>
      </c>
      <c r="J114" s="33" t="s">
        <v>43</v>
      </c>
      <c r="K114" s="33" t="s">
        <v>841</v>
      </c>
      <c r="L114" s="48">
        <v>1175040216</v>
      </c>
      <c r="M114" s="32"/>
      <c r="N114" s="48">
        <v>7500000</v>
      </c>
      <c r="O114" s="43"/>
      <c r="P114" s="43"/>
      <c r="Q114" s="48">
        <f t="shared" si="47"/>
        <v>1182540216</v>
      </c>
      <c r="R114" s="48">
        <v>1175040216</v>
      </c>
      <c r="S114" s="33"/>
      <c r="T114" s="44">
        <v>7500000</v>
      </c>
      <c r="U114" s="33"/>
      <c r="V114" s="33"/>
      <c r="W114" s="52"/>
      <c r="X114" s="52">
        <f t="shared" ref="X114:Y114" si="107">M114-S114</f>
        <v>0</v>
      </c>
      <c r="Y114" s="52">
        <f t="shared" si="107"/>
        <v>0</v>
      </c>
      <c r="Z114" s="52">
        <f t="shared" si="7"/>
        <v>0</v>
      </c>
      <c r="AA114" s="54"/>
      <c r="AB114" s="68"/>
    </row>
    <row r="115" spans="1:28" ht="31.5" x14ac:dyDescent="0.25">
      <c r="A115" s="33" t="s">
        <v>52</v>
      </c>
      <c r="B115" s="42">
        <v>101</v>
      </c>
      <c r="C115" s="33" t="s">
        <v>828</v>
      </c>
      <c r="D115" s="33" t="s">
        <v>828</v>
      </c>
      <c r="E115" s="32"/>
      <c r="F115" s="33" t="s">
        <v>846</v>
      </c>
      <c r="G115" s="32"/>
      <c r="H115" s="32"/>
      <c r="I115" s="33" t="s">
        <v>847</v>
      </c>
      <c r="J115" s="33" t="s">
        <v>43</v>
      </c>
      <c r="K115" s="33" t="s">
        <v>675</v>
      </c>
      <c r="L115" s="48">
        <v>284424800</v>
      </c>
      <c r="M115" s="32"/>
      <c r="N115" s="48">
        <v>7500000</v>
      </c>
      <c r="O115" s="43"/>
      <c r="P115" s="43"/>
      <c r="Q115" s="48">
        <f t="shared" si="47"/>
        <v>291924800</v>
      </c>
      <c r="R115" s="48">
        <v>284424800</v>
      </c>
      <c r="S115" s="33"/>
      <c r="T115" s="44">
        <v>7500000</v>
      </c>
      <c r="U115" s="33"/>
      <c r="V115" s="33"/>
      <c r="W115" s="52"/>
      <c r="X115" s="52">
        <f t="shared" ref="X115:Y115" si="108">M115-S115</f>
        <v>0</v>
      </c>
      <c r="Y115" s="52">
        <f t="shared" si="108"/>
        <v>0</v>
      </c>
      <c r="Z115" s="52">
        <f t="shared" si="7"/>
        <v>0</v>
      </c>
      <c r="AA115" s="54"/>
      <c r="AB115" s="68"/>
    </row>
    <row r="116" spans="1:28" ht="31.5" x14ac:dyDescent="0.25">
      <c r="A116" s="33" t="s">
        <v>46</v>
      </c>
      <c r="B116" s="42">
        <v>102</v>
      </c>
      <c r="C116" s="33" t="s">
        <v>828</v>
      </c>
      <c r="D116" s="33" t="s">
        <v>828</v>
      </c>
      <c r="E116" s="32"/>
      <c r="F116" s="33" t="s">
        <v>849</v>
      </c>
      <c r="G116" s="32"/>
      <c r="H116" s="32"/>
      <c r="I116" s="33" t="s">
        <v>850</v>
      </c>
      <c r="J116" s="33" t="s">
        <v>43</v>
      </c>
      <c r="K116" s="33" t="s">
        <v>851</v>
      </c>
      <c r="L116" s="48">
        <v>3150363430</v>
      </c>
      <c r="M116" s="32"/>
      <c r="N116" s="48">
        <v>15000000</v>
      </c>
      <c r="O116" s="43"/>
      <c r="P116" s="43"/>
      <c r="Q116" s="48">
        <f t="shared" si="47"/>
        <v>3165363430</v>
      </c>
      <c r="R116" s="48">
        <v>3150363430</v>
      </c>
      <c r="S116" s="33"/>
      <c r="T116" s="44">
        <v>15000000</v>
      </c>
      <c r="U116" s="33"/>
      <c r="V116" s="33"/>
      <c r="W116" s="52"/>
      <c r="X116" s="52">
        <f t="shared" ref="X116:Y116" si="109">M116-S116</f>
        <v>0</v>
      </c>
      <c r="Y116" s="52">
        <f t="shared" si="109"/>
        <v>0</v>
      </c>
      <c r="Z116" s="52">
        <f t="shared" si="7"/>
        <v>0</v>
      </c>
      <c r="AA116" s="54"/>
      <c r="AB116" s="68"/>
    </row>
    <row r="117" spans="1:28" ht="47.25" x14ac:dyDescent="0.25">
      <c r="A117" s="33" t="s">
        <v>46</v>
      </c>
      <c r="B117" s="42">
        <v>103</v>
      </c>
      <c r="C117" s="33" t="s">
        <v>828</v>
      </c>
      <c r="D117" s="33" t="s">
        <v>828</v>
      </c>
      <c r="E117" s="33" t="s">
        <v>857</v>
      </c>
      <c r="F117" s="33" t="s">
        <v>858</v>
      </c>
      <c r="G117" s="33" t="s">
        <v>859</v>
      </c>
      <c r="H117" s="32"/>
      <c r="I117" s="33" t="s">
        <v>860</v>
      </c>
      <c r="J117" s="33" t="s">
        <v>43</v>
      </c>
      <c r="K117" s="33" t="s">
        <v>861</v>
      </c>
      <c r="L117" s="48">
        <v>1346007746</v>
      </c>
      <c r="M117" s="48">
        <v>80365824</v>
      </c>
      <c r="N117" s="48">
        <v>15000000</v>
      </c>
      <c r="O117" s="43"/>
      <c r="P117" s="43"/>
      <c r="Q117" s="48">
        <f t="shared" si="47"/>
        <v>1441373570</v>
      </c>
      <c r="R117" s="48">
        <v>1346007746</v>
      </c>
      <c r="S117" s="48">
        <v>80365824</v>
      </c>
      <c r="T117" s="44">
        <v>15000000</v>
      </c>
      <c r="U117" s="33"/>
      <c r="V117" s="33"/>
      <c r="W117" s="52"/>
      <c r="X117" s="52">
        <f t="shared" ref="X117:Y117" si="110">M117-S117</f>
        <v>0</v>
      </c>
      <c r="Y117" s="52">
        <f t="shared" si="110"/>
        <v>0</v>
      </c>
      <c r="Z117" s="52">
        <f t="shared" si="7"/>
        <v>0</v>
      </c>
      <c r="AA117" s="54"/>
      <c r="AB117" s="68"/>
    </row>
    <row r="118" spans="1:28" ht="31.5" x14ac:dyDescent="0.25">
      <c r="A118" s="33" t="s">
        <v>35</v>
      </c>
      <c r="B118" s="42">
        <v>104</v>
      </c>
      <c r="C118" s="33" t="s">
        <v>828</v>
      </c>
      <c r="D118" s="33" t="s">
        <v>828</v>
      </c>
      <c r="E118" s="32"/>
      <c r="F118" s="33" t="s">
        <v>868</v>
      </c>
      <c r="G118" s="32"/>
      <c r="H118" s="32"/>
      <c r="I118" s="33" t="s">
        <v>870</v>
      </c>
      <c r="J118" s="33" t="s">
        <v>43</v>
      </c>
      <c r="K118" s="33" t="s">
        <v>871</v>
      </c>
      <c r="L118" s="48">
        <v>2113955500</v>
      </c>
      <c r="M118" s="32"/>
      <c r="N118" s="48">
        <v>15000000</v>
      </c>
      <c r="O118" s="43" t="s">
        <v>872</v>
      </c>
      <c r="P118" s="69">
        <v>40000000</v>
      </c>
      <c r="Q118" s="48">
        <f t="shared" si="47"/>
        <v>2168955500</v>
      </c>
      <c r="R118" s="52">
        <v>2113955500</v>
      </c>
      <c r="S118" s="33"/>
      <c r="T118" s="44">
        <v>15000000</v>
      </c>
      <c r="U118" s="48">
        <v>40000000</v>
      </c>
      <c r="V118" s="33"/>
      <c r="W118" s="52"/>
      <c r="X118" s="52">
        <f t="shared" ref="X118:Y118" si="111">M118-S118</f>
        <v>0</v>
      </c>
      <c r="Y118" s="52">
        <f t="shared" si="111"/>
        <v>0</v>
      </c>
      <c r="Z118" s="52">
        <f t="shared" si="7"/>
        <v>0</v>
      </c>
      <c r="AA118" s="54"/>
      <c r="AB118" s="68"/>
    </row>
    <row r="119" spans="1:28" ht="31.5" x14ac:dyDescent="0.25">
      <c r="A119" s="33" t="s">
        <v>46</v>
      </c>
      <c r="B119" s="42">
        <v>105</v>
      </c>
      <c r="C119" s="33" t="s">
        <v>828</v>
      </c>
      <c r="D119" s="33" t="s">
        <v>828</v>
      </c>
      <c r="E119" s="33" t="s">
        <v>450</v>
      </c>
      <c r="F119" s="33" t="s">
        <v>873</v>
      </c>
      <c r="G119" s="33" t="s">
        <v>874</v>
      </c>
      <c r="H119" s="32"/>
      <c r="I119" s="33" t="s">
        <v>876</v>
      </c>
      <c r="J119" s="33" t="s">
        <v>43</v>
      </c>
      <c r="K119" s="33" t="s">
        <v>878</v>
      </c>
      <c r="L119" s="48">
        <v>897636048</v>
      </c>
      <c r="M119" s="48">
        <v>250664832</v>
      </c>
      <c r="N119" s="48">
        <v>7500000</v>
      </c>
      <c r="O119" s="43"/>
      <c r="P119" s="43"/>
      <c r="Q119" s="48">
        <f t="shared" si="47"/>
        <v>1155800880</v>
      </c>
      <c r="R119" s="48">
        <v>897636048</v>
      </c>
      <c r="S119" s="48">
        <v>250664832</v>
      </c>
      <c r="T119" s="44">
        <v>7500000</v>
      </c>
      <c r="U119" s="33"/>
      <c r="V119" s="33"/>
      <c r="W119" s="52"/>
      <c r="X119" s="52">
        <f t="shared" ref="X119:Y119" si="112">M119-S119</f>
        <v>0</v>
      </c>
      <c r="Y119" s="52">
        <f t="shared" si="112"/>
        <v>0</v>
      </c>
      <c r="Z119" s="52">
        <f t="shared" si="7"/>
        <v>0</v>
      </c>
      <c r="AA119" s="54"/>
      <c r="AB119" s="68"/>
    </row>
    <row r="120" spans="1:28" ht="31.5" x14ac:dyDescent="0.25">
      <c r="A120" s="33" t="s">
        <v>52</v>
      </c>
      <c r="B120" s="42">
        <v>106</v>
      </c>
      <c r="C120" s="33" t="s">
        <v>828</v>
      </c>
      <c r="D120" s="33" t="s">
        <v>828</v>
      </c>
      <c r="E120" s="32"/>
      <c r="F120" s="33" t="s">
        <v>891</v>
      </c>
      <c r="G120" s="32"/>
      <c r="H120" s="32"/>
      <c r="I120" s="33" t="s">
        <v>892</v>
      </c>
      <c r="J120" s="33" t="s">
        <v>43</v>
      </c>
      <c r="K120" s="33" t="s">
        <v>893</v>
      </c>
      <c r="L120" s="48">
        <v>4231623100</v>
      </c>
      <c r="M120" s="32"/>
      <c r="N120" s="48">
        <v>7500000</v>
      </c>
      <c r="O120" s="43"/>
      <c r="P120" s="43"/>
      <c r="Q120" s="48">
        <f t="shared" si="47"/>
        <v>4239123100</v>
      </c>
      <c r="R120" s="48">
        <v>4231623100</v>
      </c>
      <c r="S120" s="33"/>
      <c r="T120" s="44">
        <v>7500000</v>
      </c>
      <c r="U120" s="33"/>
      <c r="V120" s="33"/>
      <c r="W120" s="52"/>
      <c r="X120" s="52">
        <f t="shared" ref="X120:Y120" si="113">M120-S120</f>
        <v>0</v>
      </c>
      <c r="Y120" s="52">
        <f t="shared" si="113"/>
        <v>0</v>
      </c>
      <c r="Z120" s="52">
        <f t="shared" si="7"/>
        <v>0</v>
      </c>
      <c r="AA120" s="54"/>
      <c r="AB120" s="68"/>
    </row>
    <row r="121" spans="1:28" ht="31.5" x14ac:dyDescent="0.25">
      <c r="A121" s="33" t="s">
        <v>60</v>
      </c>
      <c r="B121" s="42">
        <v>107</v>
      </c>
      <c r="C121" s="33" t="s">
        <v>828</v>
      </c>
      <c r="D121" s="33" t="s">
        <v>828</v>
      </c>
      <c r="E121" s="33" t="s">
        <v>156</v>
      </c>
      <c r="F121" s="33" t="s">
        <v>901</v>
      </c>
      <c r="G121" s="33" t="s">
        <v>902</v>
      </c>
      <c r="H121" s="32"/>
      <c r="I121" s="33" t="s">
        <v>903</v>
      </c>
      <c r="J121" s="33" t="s">
        <v>43</v>
      </c>
      <c r="K121" s="33" t="s">
        <v>904</v>
      </c>
      <c r="L121" s="48">
        <v>10867091933</v>
      </c>
      <c r="M121" s="48">
        <v>156002688</v>
      </c>
      <c r="N121" s="48">
        <v>15000000</v>
      </c>
      <c r="O121" s="43"/>
      <c r="P121" s="43"/>
      <c r="Q121" s="48">
        <f t="shared" si="47"/>
        <v>11038094621</v>
      </c>
      <c r="R121" s="48">
        <v>10867091933</v>
      </c>
      <c r="S121" s="48">
        <v>156002688</v>
      </c>
      <c r="T121" s="44">
        <v>15000000</v>
      </c>
      <c r="U121" s="33"/>
      <c r="V121" s="33"/>
      <c r="W121" s="52"/>
      <c r="X121" s="52">
        <f t="shared" ref="X121:Y121" si="114">M121-S121</f>
        <v>0</v>
      </c>
      <c r="Y121" s="52">
        <f t="shared" si="114"/>
        <v>0</v>
      </c>
      <c r="Z121" s="52">
        <f t="shared" si="7"/>
        <v>0</v>
      </c>
      <c r="AA121" s="54"/>
      <c r="AB121" s="68"/>
    </row>
    <row r="122" spans="1:28" ht="63" x14ac:dyDescent="0.25">
      <c r="A122" s="33" t="s">
        <v>46</v>
      </c>
      <c r="B122" s="42">
        <v>108</v>
      </c>
      <c r="C122" s="33" t="s">
        <v>828</v>
      </c>
      <c r="D122" s="33" t="s">
        <v>828</v>
      </c>
      <c r="E122" s="32"/>
      <c r="F122" s="33" t="s">
        <v>912</v>
      </c>
      <c r="G122" s="33" t="s">
        <v>913</v>
      </c>
      <c r="H122" s="32"/>
      <c r="I122" s="33" t="s">
        <v>914</v>
      </c>
      <c r="J122" s="33" t="s">
        <v>43</v>
      </c>
      <c r="K122" s="33" t="s">
        <v>915</v>
      </c>
      <c r="L122" s="48">
        <v>724953680</v>
      </c>
      <c r="M122" s="32"/>
      <c r="N122" s="48">
        <v>7500000</v>
      </c>
      <c r="O122" s="43"/>
      <c r="P122" s="43"/>
      <c r="Q122" s="48">
        <f t="shared" si="47"/>
        <v>732453680</v>
      </c>
      <c r="R122" s="48">
        <v>724953680</v>
      </c>
      <c r="S122" s="33"/>
      <c r="T122" s="44">
        <v>7500000</v>
      </c>
      <c r="U122" s="33"/>
      <c r="V122" s="33"/>
      <c r="W122" s="52"/>
      <c r="X122" s="52">
        <f t="shared" ref="X122:Y122" si="115">M122-S122</f>
        <v>0</v>
      </c>
      <c r="Y122" s="52">
        <f t="shared" si="115"/>
        <v>0</v>
      </c>
      <c r="Z122" s="52">
        <f t="shared" si="7"/>
        <v>0</v>
      </c>
      <c r="AA122" s="54"/>
      <c r="AB122" s="68"/>
    </row>
    <row r="123" spans="1:28" ht="31.5" x14ac:dyDescent="0.25">
      <c r="A123" s="33" t="s">
        <v>60</v>
      </c>
      <c r="B123" s="42">
        <v>109</v>
      </c>
      <c r="C123" s="33" t="s">
        <v>916</v>
      </c>
      <c r="D123" s="33" t="s">
        <v>916</v>
      </c>
      <c r="E123" s="32"/>
      <c r="F123" s="33" t="s">
        <v>920</v>
      </c>
      <c r="G123" s="33" t="s">
        <v>724</v>
      </c>
      <c r="H123" s="32"/>
      <c r="I123" s="33" t="s">
        <v>923</v>
      </c>
      <c r="J123" s="33" t="s">
        <v>43</v>
      </c>
      <c r="K123" s="33" t="s">
        <v>924</v>
      </c>
      <c r="L123" s="48">
        <v>181108800</v>
      </c>
      <c r="M123" s="32"/>
      <c r="N123" s="48">
        <v>7500000</v>
      </c>
      <c r="O123" s="43"/>
      <c r="P123" s="43"/>
      <c r="Q123" s="48">
        <f t="shared" si="47"/>
        <v>188608800</v>
      </c>
      <c r="R123" s="48">
        <v>181108800</v>
      </c>
      <c r="S123" s="33"/>
      <c r="T123" s="44">
        <v>7500000</v>
      </c>
      <c r="U123" s="33"/>
      <c r="V123" s="33"/>
      <c r="W123" s="52"/>
      <c r="X123" s="52">
        <f t="shared" ref="X123:Y123" si="116">M123-S123</f>
        <v>0</v>
      </c>
      <c r="Y123" s="52">
        <f t="shared" si="116"/>
        <v>0</v>
      </c>
      <c r="Z123" s="52">
        <f t="shared" si="7"/>
        <v>0</v>
      </c>
      <c r="AA123" s="54"/>
      <c r="AB123" s="68"/>
    </row>
    <row r="124" spans="1:28" ht="31.5" x14ac:dyDescent="0.25">
      <c r="A124" s="33" t="s">
        <v>52</v>
      </c>
      <c r="B124" s="42">
        <v>110</v>
      </c>
      <c r="C124" s="33" t="s">
        <v>916</v>
      </c>
      <c r="D124" s="33" t="s">
        <v>916</v>
      </c>
      <c r="E124" s="33" t="s">
        <v>409</v>
      </c>
      <c r="F124" s="33" t="s">
        <v>930</v>
      </c>
      <c r="G124" s="33" t="s">
        <v>931</v>
      </c>
      <c r="H124" s="32"/>
      <c r="I124" s="33" t="s">
        <v>932</v>
      </c>
      <c r="J124" s="33" t="s">
        <v>43</v>
      </c>
      <c r="K124" s="33" t="s">
        <v>933</v>
      </c>
      <c r="L124" s="48">
        <v>175354039</v>
      </c>
      <c r="M124" s="48">
        <v>21563136</v>
      </c>
      <c r="N124" s="48">
        <v>7500000</v>
      </c>
      <c r="O124" s="43"/>
      <c r="P124" s="43"/>
      <c r="Q124" s="48">
        <f t="shared" si="47"/>
        <v>204417175</v>
      </c>
      <c r="R124" s="48">
        <v>175354039</v>
      </c>
      <c r="S124" s="48">
        <v>21563136</v>
      </c>
      <c r="T124" s="44">
        <v>7500000</v>
      </c>
      <c r="U124" s="33"/>
      <c r="V124" s="33"/>
      <c r="W124" s="52"/>
      <c r="X124" s="52">
        <f t="shared" ref="X124:Y124" si="117">M124-S124</f>
        <v>0</v>
      </c>
      <c r="Y124" s="52">
        <f t="shared" si="117"/>
        <v>0</v>
      </c>
      <c r="Z124" s="52">
        <f t="shared" si="7"/>
        <v>0</v>
      </c>
      <c r="AA124" s="54"/>
      <c r="AB124" s="68"/>
    </row>
    <row r="125" spans="1:28" ht="31.5" x14ac:dyDescent="0.25">
      <c r="A125" s="33" t="s">
        <v>46</v>
      </c>
      <c r="B125" s="42">
        <v>111</v>
      </c>
      <c r="C125" s="33" t="s">
        <v>916</v>
      </c>
      <c r="D125" s="33" t="s">
        <v>916</v>
      </c>
      <c r="E125" s="32"/>
      <c r="F125" s="33" t="s">
        <v>940</v>
      </c>
      <c r="G125" s="32"/>
      <c r="H125" s="32"/>
      <c r="I125" s="33" t="s">
        <v>941</v>
      </c>
      <c r="J125" s="33" t="s">
        <v>43</v>
      </c>
      <c r="K125" s="33" t="s">
        <v>942</v>
      </c>
      <c r="L125" s="48">
        <v>4822077237</v>
      </c>
      <c r="M125" s="32"/>
      <c r="N125" s="48">
        <v>7500000</v>
      </c>
      <c r="O125" s="43"/>
      <c r="P125" s="43"/>
      <c r="Q125" s="48">
        <f t="shared" si="47"/>
        <v>4829577237</v>
      </c>
      <c r="R125" s="48">
        <v>4822077237</v>
      </c>
      <c r="S125" s="33"/>
      <c r="T125" s="66"/>
      <c r="U125" s="33"/>
      <c r="V125" s="33"/>
      <c r="W125" s="52"/>
      <c r="X125" s="52">
        <f t="shared" ref="X125:Y125" si="118">M125-S125</f>
        <v>0</v>
      </c>
      <c r="Y125" s="52">
        <f t="shared" si="118"/>
        <v>7500000</v>
      </c>
      <c r="Z125" s="52">
        <f t="shared" si="7"/>
        <v>0</v>
      </c>
      <c r="AA125" s="54"/>
      <c r="AB125" s="68"/>
    </row>
    <row r="126" spans="1:28" ht="78.75" x14ac:dyDescent="0.25">
      <c r="A126" s="33" t="s">
        <v>46</v>
      </c>
      <c r="B126" s="42">
        <v>112</v>
      </c>
      <c r="C126" s="33" t="s">
        <v>916</v>
      </c>
      <c r="D126" s="33" t="s">
        <v>916</v>
      </c>
      <c r="E126" s="32"/>
      <c r="F126" s="33" t="s">
        <v>948</v>
      </c>
      <c r="G126" s="32"/>
      <c r="H126" s="32"/>
      <c r="I126" s="33" t="s">
        <v>949</v>
      </c>
      <c r="J126" s="33" t="s">
        <v>43</v>
      </c>
      <c r="K126" s="33" t="s">
        <v>950</v>
      </c>
      <c r="L126" s="48">
        <v>216787032</v>
      </c>
      <c r="M126" s="32"/>
      <c r="N126" s="48">
        <v>7500000</v>
      </c>
      <c r="O126" s="43"/>
      <c r="P126" s="43"/>
      <c r="Q126" s="48">
        <f t="shared" si="47"/>
        <v>224287032</v>
      </c>
      <c r="R126" s="48">
        <v>216787032</v>
      </c>
      <c r="S126" s="33"/>
      <c r="T126" s="44">
        <v>7500000</v>
      </c>
      <c r="U126" s="33"/>
      <c r="V126" s="33"/>
      <c r="W126" s="52"/>
      <c r="X126" s="52">
        <f t="shared" ref="X126:Y126" si="119">M126-S126</f>
        <v>0</v>
      </c>
      <c r="Y126" s="52">
        <f t="shared" si="119"/>
        <v>0</v>
      </c>
      <c r="Z126" s="52">
        <f t="shared" si="7"/>
        <v>0</v>
      </c>
      <c r="AA126" s="54"/>
      <c r="AB126" s="68"/>
    </row>
    <row r="127" spans="1:28" ht="31.5" x14ac:dyDescent="0.25">
      <c r="A127" s="33" t="s">
        <v>60</v>
      </c>
      <c r="B127" s="42">
        <v>113</v>
      </c>
      <c r="C127" s="33" t="s">
        <v>916</v>
      </c>
      <c r="D127" s="33" t="s">
        <v>916</v>
      </c>
      <c r="E127" s="32"/>
      <c r="F127" s="33" t="s">
        <v>951</v>
      </c>
      <c r="G127" s="32"/>
      <c r="H127" s="32"/>
      <c r="I127" s="33" t="s">
        <v>952</v>
      </c>
      <c r="J127" s="33" t="s">
        <v>43</v>
      </c>
      <c r="K127" s="33" t="s">
        <v>953</v>
      </c>
      <c r="L127" s="48">
        <v>5253286196</v>
      </c>
      <c r="M127" s="32"/>
      <c r="N127" s="48">
        <v>15000000</v>
      </c>
      <c r="O127" s="43"/>
      <c r="P127" s="43"/>
      <c r="Q127" s="48">
        <f t="shared" si="47"/>
        <v>5268286196</v>
      </c>
      <c r="R127" s="52">
        <v>5253286196</v>
      </c>
      <c r="S127" s="33"/>
      <c r="T127" s="44">
        <v>15000000</v>
      </c>
      <c r="U127" s="33"/>
      <c r="V127" s="33"/>
      <c r="W127" s="52"/>
      <c r="X127" s="52">
        <f t="shared" ref="X127:Y127" si="120">M127-S127</f>
        <v>0</v>
      </c>
      <c r="Y127" s="52">
        <f t="shared" si="120"/>
        <v>0</v>
      </c>
      <c r="Z127" s="52">
        <f t="shared" si="7"/>
        <v>0</v>
      </c>
      <c r="AA127" s="54"/>
      <c r="AB127" s="68"/>
    </row>
    <row r="128" spans="1:28" ht="31.5" x14ac:dyDescent="0.25">
      <c r="A128" s="33" t="s">
        <v>35</v>
      </c>
      <c r="B128" s="42">
        <v>114</v>
      </c>
      <c r="C128" s="33" t="s">
        <v>916</v>
      </c>
      <c r="D128" s="33" t="s">
        <v>916</v>
      </c>
      <c r="E128" s="33" t="s">
        <v>156</v>
      </c>
      <c r="F128" s="33" t="s">
        <v>958</v>
      </c>
      <c r="G128" s="33" t="s">
        <v>960</v>
      </c>
      <c r="H128" s="32"/>
      <c r="I128" s="33" t="s">
        <v>962</v>
      </c>
      <c r="J128" s="33" t="s">
        <v>43</v>
      </c>
      <c r="K128" s="33" t="s">
        <v>965</v>
      </c>
      <c r="L128" s="48">
        <v>2790170557</v>
      </c>
      <c r="M128" s="48">
        <v>608177941</v>
      </c>
      <c r="N128" s="48">
        <v>15000000</v>
      </c>
      <c r="O128" s="43"/>
      <c r="P128" s="43"/>
      <c r="Q128" s="48">
        <f t="shared" si="47"/>
        <v>3413348498</v>
      </c>
      <c r="R128" s="52">
        <v>2790170557</v>
      </c>
      <c r="S128" s="48">
        <v>608177941</v>
      </c>
      <c r="T128" s="44">
        <v>15000000</v>
      </c>
      <c r="U128" s="33"/>
      <c r="V128" s="33"/>
      <c r="W128" s="52"/>
      <c r="X128" s="52">
        <f t="shared" ref="X128:Y128" si="121">M128-S128</f>
        <v>0</v>
      </c>
      <c r="Y128" s="52">
        <f t="shared" si="121"/>
        <v>0</v>
      </c>
      <c r="Z128" s="52">
        <f t="shared" si="7"/>
        <v>0</v>
      </c>
      <c r="AA128" s="54"/>
      <c r="AB128" s="68"/>
    </row>
    <row r="129" spans="1:28" ht="31.5" x14ac:dyDescent="0.25">
      <c r="A129" s="33" t="s">
        <v>46</v>
      </c>
      <c r="B129" s="42">
        <v>115</v>
      </c>
      <c r="C129" s="33" t="s">
        <v>916</v>
      </c>
      <c r="D129" s="33" t="s">
        <v>916</v>
      </c>
      <c r="E129" s="32"/>
      <c r="F129" s="33" t="s">
        <v>972</v>
      </c>
      <c r="G129" s="33" t="s">
        <v>973</v>
      </c>
      <c r="H129" s="32"/>
      <c r="I129" s="33" t="s">
        <v>974</v>
      </c>
      <c r="J129" s="33" t="s">
        <v>43</v>
      </c>
      <c r="K129" s="33" t="s">
        <v>975</v>
      </c>
      <c r="L129" s="48">
        <v>2695621120</v>
      </c>
      <c r="M129" s="32"/>
      <c r="N129" s="48">
        <v>15000000</v>
      </c>
      <c r="O129" s="43"/>
      <c r="P129" s="43"/>
      <c r="Q129" s="48">
        <f t="shared" si="47"/>
        <v>2710621120</v>
      </c>
      <c r="R129" s="48">
        <v>2695621120</v>
      </c>
      <c r="S129" s="33"/>
      <c r="T129" s="44">
        <v>15000000</v>
      </c>
      <c r="U129" s="33"/>
      <c r="V129" s="33"/>
      <c r="W129" s="52"/>
      <c r="X129" s="52">
        <f t="shared" ref="X129:Y129" si="122">M129-S129</f>
        <v>0</v>
      </c>
      <c r="Y129" s="52">
        <f t="shared" si="122"/>
        <v>0</v>
      </c>
      <c r="Z129" s="52">
        <f t="shared" si="7"/>
        <v>0</v>
      </c>
      <c r="AA129" s="54"/>
      <c r="AB129" s="68"/>
    </row>
    <row r="130" spans="1:28" ht="31.5" x14ac:dyDescent="0.25">
      <c r="A130" s="33" t="s">
        <v>35</v>
      </c>
      <c r="B130" s="42">
        <v>116</v>
      </c>
      <c r="C130" s="33" t="s">
        <v>916</v>
      </c>
      <c r="D130" s="33" t="s">
        <v>916</v>
      </c>
      <c r="E130" s="32"/>
      <c r="F130" s="33" t="s">
        <v>977</v>
      </c>
      <c r="G130" s="32"/>
      <c r="H130" s="32"/>
      <c r="I130" s="33" t="s">
        <v>980</v>
      </c>
      <c r="J130" s="33" t="s">
        <v>43</v>
      </c>
      <c r="K130" s="33" t="s">
        <v>982</v>
      </c>
      <c r="L130" s="48">
        <v>1190765838</v>
      </c>
      <c r="M130" s="32"/>
      <c r="N130" s="48">
        <v>15000000</v>
      </c>
      <c r="O130" s="43"/>
      <c r="P130" s="43"/>
      <c r="Q130" s="48">
        <f t="shared" si="47"/>
        <v>1205765838</v>
      </c>
      <c r="R130" s="52">
        <v>1190765838</v>
      </c>
      <c r="S130" s="33"/>
      <c r="T130" s="44">
        <v>15000000</v>
      </c>
      <c r="U130" s="33"/>
      <c r="V130" s="33"/>
      <c r="W130" s="52"/>
      <c r="X130" s="52">
        <f t="shared" ref="X130:Y130" si="123">M130-S130</f>
        <v>0</v>
      </c>
      <c r="Y130" s="52">
        <f t="shared" si="123"/>
        <v>0</v>
      </c>
      <c r="Z130" s="52">
        <f t="shared" si="7"/>
        <v>0</v>
      </c>
      <c r="AA130" s="54"/>
      <c r="AB130" s="68"/>
    </row>
    <row r="131" spans="1:28" ht="63" x14ac:dyDescent="0.25">
      <c r="A131" s="33" t="s">
        <v>60</v>
      </c>
      <c r="B131" s="42">
        <v>117</v>
      </c>
      <c r="C131" s="33" t="s">
        <v>916</v>
      </c>
      <c r="D131" s="33" t="s">
        <v>916</v>
      </c>
      <c r="E131" s="33" t="s">
        <v>989</v>
      </c>
      <c r="F131" s="33" t="s">
        <v>990</v>
      </c>
      <c r="G131" s="32"/>
      <c r="H131" s="33" t="s">
        <v>85</v>
      </c>
      <c r="I131" s="33" t="s">
        <v>991</v>
      </c>
      <c r="J131" s="33" t="s">
        <v>43</v>
      </c>
      <c r="K131" s="33" t="s">
        <v>992</v>
      </c>
      <c r="L131" s="48">
        <v>725498800</v>
      </c>
      <c r="M131" s="32"/>
      <c r="N131" s="48">
        <v>7500000</v>
      </c>
      <c r="O131" s="43"/>
      <c r="P131" s="43"/>
      <c r="Q131" s="48">
        <f t="shared" si="47"/>
        <v>732998800</v>
      </c>
      <c r="R131" s="52">
        <v>725498800</v>
      </c>
      <c r="S131" s="33"/>
      <c r="T131" s="44">
        <v>7500000</v>
      </c>
      <c r="U131" s="33"/>
      <c r="V131" s="35">
        <v>-193390512</v>
      </c>
      <c r="W131" s="52"/>
      <c r="X131" s="52">
        <f t="shared" ref="X131:Y131" si="124">M131-S131</f>
        <v>0</v>
      </c>
      <c r="Y131" s="52">
        <f t="shared" si="124"/>
        <v>0</v>
      </c>
      <c r="Z131" s="52">
        <f t="shared" si="7"/>
        <v>0</v>
      </c>
      <c r="AA131" s="54"/>
      <c r="AB131" s="68"/>
    </row>
    <row r="132" spans="1:28" ht="78.75" x14ac:dyDescent="0.25">
      <c r="A132" s="33" t="s">
        <v>35</v>
      </c>
      <c r="B132" s="42">
        <v>118</v>
      </c>
      <c r="C132" s="33" t="s">
        <v>916</v>
      </c>
      <c r="D132" s="33" t="s">
        <v>916</v>
      </c>
      <c r="E132" s="32"/>
      <c r="F132" s="33" t="s">
        <v>998</v>
      </c>
      <c r="G132" s="32"/>
      <c r="H132" s="32"/>
      <c r="I132" s="33" t="s">
        <v>999</v>
      </c>
      <c r="J132" s="33" t="s">
        <v>43</v>
      </c>
      <c r="K132" s="33" t="s">
        <v>1001</v>
      </c>
      <c r="L132" s="42">
        <v>0</v>
      </c>
      <c r="M132" s="32"/>
      <c r="N132" s="48">
        <v>7500000</v>
      </c>
      <c r="O132" s="43"/>
      <c r="P132" s="43"/>
      <c r="Q132" s="48">
        <f t="shared" si="47"/>
        <v>7500000</v>
      </c>
      <c r="R132" s="42">
        <v>0</v>
      </c>
      <c r="S132" s="33"/>
      <c r="T132" s="44">
        <v>7500000</v>
      </c>
      <c r="U132" s="33"/>
      <c r="V132" s="33"/>
      <c r="W132" s="52"/>
      <c r="X132" s="52">
        <f t="shared" ref="X132:Y132" si="125">M132-S132</f>
        <v>0</v>
      </c>
      <c r="Y132" s="52">
        <f t="shared" si="125"/>
        <v>0</v>
      </c>
      <c r="Z132" s="52">
        <f t="shared" si="7"/>
        <v>0</v>
      </c>
      <c r="AA132" s="54"/>
      <c r="AB132" s="68"/>
    </row>
    <row r="133" spans="1:28" ht="31.5" x14ac:dyDescent="0.25">
      <c r="A133" s="33" t="s">
        <v>52</v>
      </c>
      <c r="B133" s="42">
        <v>119</v>
      </c>
      <c r="C133" s="33" t="s">
        <v>916</v>
      </c>
      <c r="D133" s="33" t="s">
        <v>916</v>
      </c>
      <c r="E133" s="32"/>
      <c r="F133" s="33" t="s">
        <v>1008</v>
      </c>
      <c r="G133" s="32"/>
      <c r="H133" s="32"/>
      <c r="I133" s="33" t="s">
        <v>1010</v>
      </c>
      <c r="J133" s="33" t="s">
        <v>43</v>
      </c>
      <c r="K133" s="33" t="s">
        <v>1013</v>
      </c>
      <c r="L133" s="48">
        <v>28234674360</v>
      </c>
      <c r="M133" s="32"/>
      <c r="N133" s="48">
        <v>7500000</v>
      </c>
      <c r="O133" s="43"/>
      <c r="P133" s="43"/>
      <c r="Q133" s="48">
        <f t="shared" si="47"/>
        <v>28242174360</v>
      </c>
      <c r="R133" s="48">
        <v>28234674360</v>
      </c>
      <c r="S133" s="33"/>
      <c r="T133" s="44">
        <v>7500000</v>
      </c>
      <c r="U133" s="33"/>
      <c r="V133" s="33"/>
      <c r="W133" s="52"/>
      <c r="X133" s="52">
        <f t="shared" ref="X133:Y133" si="126">M133-S133</f>
        <v>0</v>
      </c>
      <c r="Y133" s="52">
        <f t="shared" si="126"/>
        <v>0</v>
      </c>
      <c r="Z133" s="52">
        <f t="shared" si="7"/>
        <v>0</v>
      </c>
      <c r="AA133" s="54"/>
      <c r="AB133" s="68"/>
    </row>
    <row r="134" spans="1:28" ht="31.5" x14ac:dyDescent="0.25">
      <c r="A134" s="33" t="s">
        <v>52</v>
      </c>
      <c r="B134" s="42">
        <v>120</v>
      </c>
      <c r="C134" s="33" t="s">
        <v>916</v>
      </c>
      <c r="D134" s="33" t="s">
        <v>916</v>
      </c>
      <c r="E134" s="32"/>
      <c r="F134" s="33" t="s">
        <v>1023</v>
      </c>
      <c r="G134" s="32"/>
      <c r="H134" s="32"/>
      <c r="I134" s="33" t="s">
        <v>1024</v>
      </c>
      <c r="J134" s="33" t="s">
        <v>43</v>
      </c>
      <c r="K134" s="33" t="s">
        <v>1025</v>
      </c>
      <c r="L134" s="48">
        <v>1810252300</v>
      </c>
      <c r="M134" s="32"/>
      <c r="N134" s="48">
        <v>15000000</v>
      </c>
      <c r="O134" s="43"/>
      <c r="P134" s="43"/>
      <c r="Q134" s="48">
        <f t="shared" si="47"/>
        <v>1825252300</v>
      </c>
      <c r="R134" s="48">
        <v>1810252300</v>
      </c>
      <c r="S134" s="33"/>
      <c r="T134" s="44">
        <v>15000000</v>
      </c>
      <c r="U134" s="33"/>
      <c r="V134" s="33"/>
      <c r="W134" s="52"/>
      <c r="X134" s="52">
        <f t="shared" ref="X134:Y134" si="127">M134-S134</f>
        <v>0</v>
      </c>
      <c r="Y134" s="52">
        <f t="shared" si="127"/>
        <v>0</v>
      </c>
      <c r="Z134" s="52">
        <f t="shared" si="7"/>
        <v>0</v>
      </c>
      <c r="AA134" s="54"/>
      <c r="AB134" s="68"/>
    </row>
    <row r="135" spans="1:28" ht="31.5" x14ac:dyDescent="0.25">
      <c r="A135" s="33" t="s">
        <v>52</v>
      </c>
      <c r="B135" s="42">
        <v>121</v>
      </c>
      <c r="C135" s="33" t="s">
        <v>916</v>
      </c>
      <c r="D135" s="33" t="s">
        <v>916</v>
      </c>
      <c r="E135" s="32"/>
      <c r="F135" s="33" t="s">
        <v>1033</v>
      </c>
      <c r="G135" s="32"/>
      <c r="H135" s="32"/>
      <c r="I135" s="33" t="s">
        <v>1034</v>
      </c>
      <c r="J135" s="33" t="s">
        <v>43</v>
      </c>
      <c r="K135" s="33" t="s">
        <v>1035</v>
      </c>
      <c r="L135" s="48">
        <v>547702548</v>
      </c>
      <c r="M135" s="32"/>
      <c r="N135" s="48">
        <v>7500000</v>
      </c>
      <c r="O135" s="43"/>
      <c r="P135" s="43"/>
      <c r="Q135" s="48">
        <f t="shared" si="47"/>
        <v>555202548</v>
      </c>
      <c r="R135" s="48">
        <v>547702548</v>
      </c>
      <c r="S135" s="33"/>
      <c r="T135" s="44">
        <v>7500000</v>
      </c>
      <c r="U135" s="33"/>
      <c r="V135" s="33"/>
      <c r="W135" s="52"/>
      <c r="X135" s="52">
        <f t="shared" ref="X135:Y135" si="128">M135-S135</f>
        <v>0</v>
      </c>
      <c r="Y135" s="52">
        <f t="shared" si="128"/>
        <v>0</v>
      </c>
      <c r="Z135" s="52">
        <f t="shared" si="7"/>
        <v>0</v>
      </c>
      <c r="AA135" s="54"/>
      <c r="AB135" s="68"/>
    </row>
    <row r="136" spans="1:28" ht="31.5" x14ac:dyDescent="0.25">
      <c r="A136" s="33" t="s">
        <v>52</v>
      </c>
      <c r="B136" s="42">
        <v>122</v>
      </c>
      <c r="C136" s="33" t="s">
        <v>916</v>
      </c>
      <c r="D136" s="33" t="s">
        <v>916</v>
      </c>
      <c r="E136" s="32"/>
      <c r="F136" s="33" t="s">
        <v>1040</v>
      </c>
      <c r="G136" s="32"/>
      <c r="H136" s="32"/>
      <c r="I136" s="33" t="s">
        <v>1034</v>
      </c>
      <c r="J136" s="33" t="s">
        <v>43</v>
      </c>
      <c r="K136" s="33" t="s">
        <v>1041</v>
      </c>
      <c r="L136" s="48">
        <v>2570795140</v>
      </c>
      <c r="M136" s="32"/>
      <c r="N136" s="48">
        <v>7500000</v>
      </c>
      <c r="O136" s="43"/>
      <c r="P136" s="43"/>
      <c r="Q136" s="48">
        <f t="shared" si="47"/>
        <v>2578295140</v>
      </c>
      <c r="R136" s="48">
        <v>2570795140</v>
      </c>
      <c r="S136" s="33"/>
      <c r="T136" s="44">
        <v>7500000</v>
      </c>
      <c r="U136" s="33"/>
      <c r="V136" s="33"/>
      <c r="W136" s="52"/>
      <c r="X136" s="52">
        <f t="shared" ref="X136:Y136" si="129">M136-S136</f>
        <v>0</v>
      </c>
      <c r="Y136" s="52">
        <f t="shared" si="129"/>
        <v>0</v>
      </c>
      <c r="Z136" s="52">
        <f t="shared" si="7"/>
        <v>0</v>
      </c>
      <c r="AA136" s="54"/>
      <c r="AB136" s="68"/>
    </row>
    <row r="137" spans="1:28" ht="31.5" x14ac:dyDescent="0.25">
      <c r="A137" s="33" t="s">
        <v>35</v>
      </c>
      <c r="B137" s="42">
        <v>123</v>
      </c>
      <c r="C137" s="33" t="s">
        <v>916</v>
      </c>
      <c r="D137" s="33" t="s">
        <v>916</v>
      </c>
      <c r="E137" s="32"/>
      <c r="F137" s="33" t="s">
        <v>1048</v>
      </c>
      <c r="G137" s="32"/>
      <c r="H137" s="32"/>
      <c r="I137" s="33" t="s">
        <v>1049</v>
      </c>
      <c r="J137" s="33" t="s">
        <v>43</v>
      </c>
      <c r="K137" s="33" t="s">
        <v>1050</v>
      </c>
      <c r="L137" s="48">
        <v>3746087590</v>
      </c>
      <c r="M137" s="32"/>
      <c r="N137" s="48">
        <v>7500000</v>
      </c>
      <c r="O137" s="43"/>
      <c r="P137" s="43"/>
      <c r="Q137" s="48">
        <f t="shared" si="47"/>
        <v>3753587590</v>
      </c>
      <c r="R137" s="52">
        <v>3746087590</v>
      </c>
      <c r="S137" s="33"/>
      <c r="T137" s="44">
        <v>7500000</v>
      </c>
      <c r="U137" s="33"/>
      <c r="V137" s="33"/>
      <c r="W137" s="52"/>
      <c r="X137" s="52">
        <f t="shared" ref="X137:Y137" si="130">M137-S137</f>
        <v>0</v>
      </c>
      <c r="Y137" s="52">
        <f t="shared" si="130"/>
        <v>0</v>
      </c>
      <c r="Z137" s="52">
        <f t="shared" si="7"/>
        <v>0</v>
      </c>
      <c r="AA137" s="54"/>
      <c r="AB137" s="68"/>
    </row>
    <row r="138" spans="1:28" ht="31.5" x14ac:dyDescent="0.25">
      <c r="A138" s="33" t="s">
        <v>35</v>
      </c>
      <c r="B138" s="42">
        <v>124</v>
      </c>
      <c r="C138" s="33" t="s">
        <v>916</v>
      </c>
      <c r="D138" s="33" t="s">
        <v>916</v>
      </c>
      <c r="E138" s="32"/>
      <c r="F138" s="33" t="s">
        <v>1055</v>
      </c>
      <c r="G138" s="32"/>
      <c r="H138" s="32"/>
      <c r="I138" s="33" t="s">
        <v>1056</v>
      </c>
      <c r="J138" s="33" t="s">
        <v>43</v>
      </c>
      <c r="K138" s="33" t="s">
        <v>1057</v>
      </c>
      <c r="L138" s="48">
        <v>6045384105</v>
      </c>
      <c r="M138" s="32"/>
      <c r="N138" s="48">
        <v>15000000</v>
      </c>
      <c r="O138" s="43"/>
      <c r="P138" s="43"/>
      <c r="Q138" s="48">
        <f t="shared" si="47"/>
        <v>6060384105</v>
      </c>
      <c r="R138" s="52">
        <v>6045384105</v>
      </c>
      <c r="S138" s="33"/>
      <c r="T138" s="44">
        <v>15000000</v>
      </c>
      <c r="U138" s="33"/>
      <c r="V138" s="33"/>
      <c r="W138" s="52"/>
      <c r="X138" s="52">
        <f t="shared" ref="X138:Y138" si="131">M138-S138</f>
        <v>0</v>
      </c>
      <c r="Y138" s="52">
        <f t="shared" si="131"/>
        <v>0</v>
      </c>
      <c r="Z138" s="52">
        <f t="shared" si="7"/>
        <v>0</v>
      </c>
      <c r="AA138" s="54"/>
      <c r="AB138" s="68"/>
    </row>
    <row r="139" spans="1:28" ht="31.5" x14ac:dyDescent="0.25">
      <c r="A139" s="33" t="s">
        <v>60</v>
      </c>
      <c r="B139" s="42">
        <v>125</v>
      </c>
      <c r="C139" s="33" t="s">
        <v>916</v>
      </c>
      <c r="D139" s="33" t="s">
        <v>916</v>
      </c>
      <c r="E139" s="32"/>
      <c r="F139" s="33" t="s">
        <v>1066</v>
      </c>
      <c r="G139" s="32"/>
      <c r="H139" s="33" t="s">
        <v>113</v>
      </c>
      <c r="I139" s="33" t="s">
        <v>281</v>
      </c>
      <c r="J139" s="33" t="s">
        <v>43</v>
      </c>
      <c r="K139" s="33" t="s">
        <v>1067</v>
      </c>
      <c r="L139" s="42">
        <v>0</v>
      </c>
      <c r="M139" s="32"/>
      <c r="N139" s="33"/>
      <c r="O139" s="43"/>
      <c r="P139" s="43"/>
      <c r="Q139" s="48">
        <f t="shared" si="47"/>
        <v>0</v>
      </c>
      <c r="R139" s="42">
        <v>0</v>
      </c>
      <c r="S139" s="33"/>
      <c r="T139" s="66"/>
      <c r="U139" s="33"/>
      <c r="V139" s="33"/>
      <c r="W139" s="52"/>
      <c r="X139" s="52">
        <f t="shared" ref="X139:Y139" si="132">M139-S139</f>
        <v>0</v>
      </c>
      <c r="Y139" s="52">
        <f t="shared" si="132"/>
        <v>0</v>
      </c>
      <c r="Z139" s="52">
        <f t="shared" si="7"/>
        <v>0</v>
      </c>
      <c r="AA139" s="54"/>
      <c r="AB139" s="68"/>
    </row>
    <row r="140" spans="1:28" ht="31.5" x14ac:dyDescent="0.25">
      <c r="A140" s="33" t="s">
        <v>52</v>
      </c>
      <c r="B140" s="42">
        <v>126</v>
      </c>
      <c r="C140" s="33" t="s">
        <v>916</v>
      </c>
      <c r="D140" s="33" t="s">
        <v>916</v>
      </c>
      <c r="E140" s="32"/>
      <c r="F140" s="33" t="s">
        <v>1072</v>
      </c>
      <c r="G140" s="32"/>
      <c r="H140" s="32"/>
      <c r="I140" s="33" t="s">
        <v>1073</v>
      </c>
      <c r="J140" s="33" t="s">
        <v>43</v>
      </c>
      <c r="K140" s="33" t="s">
        <v>1074</v>
      </c>
      <c r="L140" s="48">
        <v>659212100</v>
      </c>
      <c r="M140" s="32"/>
      <c r="N140" s="48">
        <v>7500000</v>
      </c>
      <c r="O140" s="43"/>
      <c r="P140" s="43"/>
      <c r="Q140" s="48">
        <f t="shared" si="47"/>
        <v>666712100</v>
      </c>
      <c r="R140" s="48">
        <v>659212100</v>
      </c>
      <c r="S140" s="33"/>
      <c r="T140" s="66"/>
      <c r="U140" s="33"/>
      <c r="V140" s="33"/>
      <c r="W140" s="52"/>
      <c r="X140" s="52">
        <f t="shared" ref="X140:Y140" si="133">M140-S140</f>
        <v>0</v>
      </c>
      <c r="Y140" s="52">
        <f t="shared" si="133"/>
        <v>7500000</v>
      </c>
      <c r="Z140" s="52">
        <f t="shared" si="7"/>
        <v>0</v>
      </c>
      <c r="AA140" s="54"/>
      <c r="AB140" s="68"/>
    </row>
    <row r="141" spans="1:28" ht="31.5" x14ac:dyDescent="0.25">
      <c r="A141" s="33" t="s">
        <v>60</v>
      </c>
      <c r="B141" s="42">
        <v>127</v>
      </c>
      <c r="C141" s="33" t="s">
        <v>916</v>
      </c>
      <c r="D141" s="33" t="s">
        <v>916</v>
      </c>
      <c r="E141" s="32"/>
      <c r="F141" s="33" t="s">
        <v>1079</v>
      </c>
      <c r="G141" s="32"/>
      <c r="H141" s="32"/>
      <c r="I141" s="33" t="s">
        <v>1080</v>
      </c>
      <c r="J141" s="33" t="s">
        <v>43</v>
      </c>
      <c r="K141" s="33" t="s">
        <v>1081</v>
      </c>
      <c r="L141" s="48">
        <v>99800000</v>
      </c>
      <c r="M141" s="32"/>
      <c r="N141" s="48">
        <v>7500000</v>
      </c>
      <c r="O141" s="43"/>
      <c r="P141" s="43"/>
      <c r="Q141" s="48">
        <f t="shared" si="47"/>
        <v>107300000</v>
      </c>
      <c r="R141" s="48">
        <v>99800000</v>
      </c>
      <c r="S141" s="33"/>
      <c r="T141" s="44">
        <v>7500000</v>
      </c>
      <c r="U141" s="33"/>
      <c r="V141" s="33"/>
      <c r="W141" s="52"/>
      <c r="X141" s="52">
        <f t="shared" ref="X141:Y141" si="134">M141-S141</f>
        <v>0</v>
      </c>
      <c r="Y141" s="52">
        <f t="shared" si="134"/>
        <v>0</v>
      </c>
      <c r="Z141" s="52">
        <f t="shared" si="7"/>
        <v>0</v>
      </c>
      <c r="AA141" s="54"/>
      <c r="AB141" s="68"/>
    </row>
    <row r="142" spans="1:28" ht="31.5" x14ac:dyDescent="0.25">
      <c r="A142" s="33" t="s">
        <v>46</v>
      </c>
      <c r="B142" s="42">
        <v>128</v>
      </c>
      <c r="C142" s="33" t="s">
        <v>916</v>
      </c>
      <c r="D142" s="33" t="s">
        <v>916</v>
      </c>
      <c r="E142" s="33" t="s">
        <v>508</v>
      </c>
      <c r="F142" s="33" t="s">
        <v>1086</v>
      </c>
      <c r="G142" s="33" t="s">
        <v>1087</v>
      </c>
      <c r="H142" s="32"/>
      <c r="I142" s="33" t="s">
        <v>1088</v>
      </c>
      <c r="J142" s="33" t="s">
        <v>43</v>
      </c>
      <c r="K142" s="33" t="s">
        <v>1089</v>
      </c>
      <c r="L142" s="48">
        <v>3116216204</v>
      </c>
      <c r="M142" s="48">
        <v>1408896</v>
      </c>
      <c r="N142" s="48">
        <v>15000000</v>
      </c>
      <c r="O142" s="43"/>
      <c r="P142" s="43"/>
      <c r="Q142" s="48">
        <f t="shared" si="47"/>
        <v>3132625100</v>
      </c>
      <c r="R142" s="48">
        <v>3116216204</v>
      </c>
      <c r="S142" s="48">
        <v>1408896</v>
      </c>
      <c r="T142" s="44">
        <v>15000000</v>
      </c>
      <c r="U142" s="33"/>
      <c r="V142" s="33"/>
      <c r="W142" s="52"/>
      <c r="X142" s="52">
        <f t="shared" ref="X142:Y142" si="135">M142-S142</f>
        <v>0</v>
      </c>
      <c r="Y142" s="52">
        <f t="shared" si="135"/>
        <v>0</v>
      </c>
      <c r="Z142" s="52">
        <f t="shared" si="7"/>
        <v>0</v>
      </c>
      <c r="AA142" s="54"/>
      <c r="AB142" s="68"/>
    </row>
    <row r="143" spans="1:28" ht="31.5" x14ac:dyDescent="0.25">
      <c r="A143" s="33" t="s">
        <v>60</v>
      </c>
      <c r="B143" s="42">
        <v>129</v>
      </c>
      <c r="C143" s="33" t="s">
        <v>916</v>
      </c>
      <c r="D143" s="33" t="s">
        <v>916</v>
      </c>
      <c r="E143" s="32"/>
      <c r="F143" s="33" t="s">
        <v>1094</v>
      </c>
      <c r="G143" s="32"/>
      <c r="H143" s="32"/>
      <c r="I143" s="33" t="s">
        <v>1095</v>
      </c>
      <c r="J143" s="33" t="s">
        <v>43</v>
      </c>
      <c r="K143" s="33" t="s">
        <v>1096</v>
      </c>
      <c r="L143" s="48">
        <v>2855511110</v>
      </c>
      <c r="M143" s="32"/>
      <c r="N143" s="48">
        <v>7500000</v>
      </c>
      <c r="O143" s="43"/>
      <c r="P143" s="43"/>
      <c r="Q143" s="48">
        <f t="shared" si="47"/>
        <v>2863011110</v>
      </c>
      <c r="R143" s="48">
        <v>2855511110</v>
      </c>
      <c r="S143" s="33"/>
      <c r="T143" s="66"/>
      <c r="U143" s="33"/>
      <c r="V143" s="33"/>
      <c r="W143" s="52"/>
      <c r="X143" s="52">
        <f t="shared" ref="X143:Y143" si="136">M143-S143</f>
        <v>0</v>
      </c>
      <c r="Y143" s="52">
        <f t="shared" si="136"/>
        <v>7500000</v>
      </c>
      <c r="Z143" s="52">
        <f t="shared" si="7"/>
        <v>0</v>
      </c>
      <c r="AA143" s="54"/>
      <c r="AB143" s="68"/>
    </row>
    <row r="144" spans="1:28" ht="31.5" x14ac:dyDescent="0.25">
      <c r="A144" s="33" t="s">
        <v>60</v>
      </c>
      <c r="B144" s="42">
        <v>130</v>
      </c>
      <c r="C144" s="33" t="s">
        <v>1097</v>
      </c>
      <c r="D144" s="33" t="s">
        <v>1097</v>
      </c>
      <c r="E144" s="32"/>
      <c r="F144" s="33" t="s">
        <v>1098</v>
      </c>
      <c r="G144" s="32"/>
      <c r="H144" s="32"/>
      <c r="I144" s="33" t="s">
        <v>1099</v>
      </c>
      <c r="J144" s="33" t="s">
        <v>43</v>
      </c>
      <c r="K144" s="33" t="s">
        <v>1100</v>
      </c>
      <c r="L144" s="48">
        <v>442633200</v>
      </c>
      <c r="M144" s="32"/>
      <c r="N144" s="48">
        <v>7500000</v>
      </c>
      <c r="O144" s="43"/>
      <c r="P144" s="43"/>
      <c r="Q144" s="48">
        <f t="shared" si="47"/>
        <v>450133200</v>
      </c>
      <c r="R144" s="48">
        <v>442633200</v>
      </c>
      <c r="S144" s="33"/>
      <c r="T144" s="44">
        <v>7500000</v>
      </c>
      <c r="U144" s="33"/>
      <c r="V144" s="33"/>
      <c r="W144" s="52"/>
      <c r="X144" s="52">
        <f t="shared" ref="X144:Y144" si="137">M144-S144</f>
        <v>0</v>
      </c>
      <c r="Y144" s="52">
        <f t="shared" si="137"/>
        <v>0</v>
      </c>
      <c r="Z144" s="52">
        <f t="shared" si="7"/>
        <v>0</v>
      </c>
      <c r="AA144" s="54"/>
      <c r="AB144" s="68"/>
    </row>
    <row r="145" spans="1:28" ht="31.5" x14ac:dyDescent="0.25">
      <c r="A145" s="33" t="s">
        <v>60</v>
      </c>
      <c r="B145" s="42">
        <v>131</v>
      </c>
      <c r="C145" s="33" t="s">
        <v>1097</v>
      </c>
      <c r="D145" s="33" t="s">
        <v>1097</v>
      </c>
      <c r="E145" s="32"/>
      <c r="F145" s="33" t="s">
        <v>1101</v>
      </c>
      <c r="G145" s="32"/>
      <c r="H145" s="32"/>
      <c r="I145" s="33" t="s">
        <v>1102</v>
      </c>
      <c r="J145" s="33" t="s">
        <v>43</v>
      </c>
      <c r="K145" s="33" t="s">
        <v>1103</v>
      </c>
      <c r="L145" s="48">
        <v>4416075000</v>
      </c>
      <c r="M145" s="32"/>
      <c r="N145" s="48">
        <v>7500000</v>
      </c>
      <c r="O145" s="43"/>
      <c r="P145" s="43"/>
      <c r="Q145" s="48">
        <f t="shared" si="47"/>
        <v>4423575000</v>
      </c>
      <c r="R145" s="48">
        <v>4416075000</v>
      </c>
      <c r="S145" s="33"/>
      <c r="T145" s="66"/>
      <c r="U145" s="33"/>
      <c r="V145" s="33"/>
      <c r="W145" s="52"/>
      <c r="X145" s="52">
        <f t="shared" ref="X145:Y145" si="138">M145-S145</f>
        <v>0</v>
      </c>
      <c r="Y145" s="52">
        <f t="shared" si="138"/>
        <v>7500000</v>
      </c>
      <c r="Z145" s="52">
        <f t="shared" si="7"/>
        <v>0</v>
      </c>
      <c r="AA145" s="54"/>
      <c r="AB145" s="68"/>
    </row>
    <row r="146" spans="1:28" ht="31.5" x14ac:dyDescent="0.25">
      <c r="A146" s="33" t="s">
        <v>52</v>
      </c>
      <c r="B146" s="42">
        <v>132</v>
      </c>
      <c r="C146" s="33" t="s">
        <v>1097</v>
      </c>
      <c r="D146" s="33" t="s">
        <v>1097</v>
      </c>
      <c r="E146" s="32"/>
      <c r="F146" s="33" t="s">
        <v>1104</v>
      </c>
      <c r="G146" s="32"/>
      <c r="H146" s="32"/>
      <c r="I146" s="33" t="s">
        <v>1105</v>
      </c>
      <c r="J146" s="33" t="s">
        <v>43</v>
      </c>
      <c r="K146" s="33" t="s">
        <v>1106</v>
      </c>
      <c r="L146" s="48">
        <v>371583574</v>
      </c>
      <c r="M146" s="32"/>
      <c r="N146" s="48">
        <v>7500000</v>
      </c>
      <c r="O146" s="43"/>
      <c r="P146" s="43"/>
      <c r="Q146" s="48">
        <f t="shared" si="47"/>
        <v>379083574</v>
      </c>
      <c r="R146" s="48">
        <v>371583574</v>
      </c>
      <c r="S146" s="33"/>
      <c r="T146" s="44">
        <v>7500000</v>
      </c>
      <c r="U146" s="33"/>
      <c r="V146" s="33"/>
      <c r="W146" s="52"/>
      <c r="X146" s="52">
        <f t="shared" ref="X146:Y146" si="139">M146-S146</f>
        <v>0</v>
      </c>
      <c r="Y146" s="52">
        <f t="shared" si="139"/>
        <v>0</v>
      </c>
      <c r="Z146" s="52">
        <f t="shared" si="7"/>
        <v>0</v>
      </c>
      <c r="AA146" s="54"/>
      <c r="AB146" s="68"/>
    </row>
    <row r="147" spans="1:28" ht="31.5" x14ac:dyDescent="0.25">
      <c r="A147" s="33" t="s">
        <v>52</v>
      </c>
      <c r="B147" s="42">
        <v>133</v>
      </c>
      <c r="C147" s="33" t="s">
        <v>1097</v>
      </c>
      <c r="D147" s="33" t="s">
        <v>1097</v>
      </c>
      <c r="E147" s="32"/>
      <c r="F147" s="33" t="s">
        <v>1112</v>
      </c>
      <c r="G147" s="32"/>
      <c r="H147" s="32"/>
      <c r="I147" s="33" t="s">
        <v>1113</v>
      </c>
      <c r="J147" s="33" t="s">
        <v>43</v>
      </c>
      <c r="K147" s="33" t="s">
        <v>1114</v>
      </c>
      <c r="L147" s="48">
        <v>374522488</v>
      </c>
      <c r="M147" s="32"/>
      <c r="N147" s="48">
        <v>7500000</v>
      </c>
      <c r="O147" s="43"/>
      <c r="P147" s="43"/>
      <c r="Q147" s="48">
        <f t="shared" si="47"/>
        <v>382022488</v>
      </c>
      <c r="R147" s="48">
        <v>374522488</v>
      </c>
      <c r="S147" s="33"/>
      <c r="T147" s="44">
        <v>7500000</v>
      </c>
      <c r="U147" s="33"/>
      <c r="V147" s="33"/>
      <c r="W147" s="52"/>
      <c r="X147" s="52">
        <f t="shared" ref="X147:Y147" si="140">M147-S147</f>
        <v>0</v>
      </c>
      <c r="Y147" s="52">
        <f t="shared" si="140"/>
        <v>0</v>
      </c>
      <c r="Z147" s="52">
        <f t="shared" si="7"/>
        <v>0</v>
      </c>
      <c r="AA147" s="54"/>
      <c r="AB147" s="68"/>
    </row>
    <row r="148" spans="1:28" ht="31.5" x14ac:dyDescent="0.25">
      <c r="A148" s="33" t="s">
        <v>46</v>
      </c>
      <c r="B148" s="42">
        <v>134</v>
      </c>
      <c r="C148" s="33" t="s">
        <v>1097</v>
      </c>
      <c r="D148" s="33" t="s">
        <v>1097</v>
      </c>
      <c r="E148" s="32"/>
      <c r="F148" s="33" t="s">
        <v>1120</v>
      </c>
      <c r="G148" s="32"/>
      <c r="H148" s="32"/>
      <c r="I148" s="33" t="s">
        <v>1121</v>
      </c>
      <c r="J148" s="33" t="s">
        <v>43</v>
      </c>
      <c r="K148" s="33" t="s">
        <v>1122</v>
      </c>
      <c r="L148" s="48">
        <v>1958914892</v>
      </c>
      <c r="M148" s="32"/>
      <c r="N148" s="48">
        <v>7500000</v>
      </c>
      <c r="O148" s="43"/>
      <c r="P148" s="43"/>
      <c r="Q148" s="48">
        <f t="shared" si="47"/>
        <v>1966414892</v>
      </c>
      <c r="R148" s="48">
        <v>1958914892</v>
      </c>
      <c r="S148" s="33"/>
      <c r="T148" s="44">
        <v>7500000</v>
      </c>
      <c r="U148" s="33"/>
      <c r="V148" s="33"/>
      <c r="W148" s="52"/>
      <c r="X148" s="52">
        <f t="shared" ref="X148:Y148" si="141">M148-S148</f>
        <v>0</v>
      </c>
      <c r="Y148" s="52">
        <f t="shared" si="141"/>
        <v>0</v>
      </c>
      <c r="Z148" s="52">
        <f t="shared" si="7"/>
        <v>0</v>
      </c>
      <c r="AA148" s="54"/>
      <c r="AB148" s="68"/>
    </row>
    <row r="149" spans="1:28" ht="31.5" x14ac:dyDescent="0.25">
      <c r="A149" s="33" t="s">
        <v>46</v>
      </c>
      <c r="B149" s="42">
        <v>135</v>
      </c>
      <c r="C149" s="33" t="s">
        <v>1097</v>
      </c>
      <c r="D149" s="33" t="s">
        <v>1097</v>
      </c>
      <c r="E149" s="32"/>
      <c r="F149" s="33" t="s">
        <v>1128</v>
      </c>
      <c r="G149" s="32"/>
      <c r="H149" s="32"/>
      <c r="I149" s="33" t="s">
        <v>1129</v>
      </c>
      <c r="J149" s="33" t="s">
        <v>43</v>
      </c>
      <c r="K149" s="33" t="s">
        <v>1130</v>
      </c>
      <c r="L149" s="48">
        <v>2065538000</v>
      </c>
      <c r="M149" s="32"/>
      <c r="N149" s="48">
        <v>7500000</v>
      </c>
      <c r="O149" s="43"/>
      <c r="P149" s="43"/>
      <c r="Q149" s="48">
        <f t="shared" si="47"/>
        <v>2073038000</v>
      </c>
      <c r="R149" s="48">
        <v>2065538000</v>
      </c>
      <c r="S149" s="33"/>
      <c r="T149" s="44">
        <v>7500000</v>
      </c>
      <c r="U149" s="33"/>
      <c r="V149" s="33"/>
      <c r="W149" s="52"/>
      <c r="X149" s="52">
        <f t="shared" ref="X149:Y149" si="142">M149-S149</f>
        <v>0</v>
      </c>
      <c r="Y149" s="52">
        <f t="shared" si="142"/>
        <v>0</v>
      </c>
      <c r="Z149" s="52">
        <f t="shared" si="7"/>
        <v>0</v>
      </c>
      <c r="AA149" s="54"/>
      <c r="AB149" s="68"/>
    </row>
    <row r="150" spans="1:28" ht="31.5" x14ac:dyDescent="0.25">
      <c r="A150" s="33" t="s">
        <v>35</v>
      </c>
      <c r="B150" s="42">
        <v>136</v>
      </c>
      <c r="C150" s="33" t="s">
        <v>1139</v>
      </c>
      <c r="D150" s="33" t="s">
        <v>1139</v>
      </c>
      <c r="E150" s="32"/>
      <c r="F150" s="33" t="s">
        <v>1142</v>
      </c>
      <c r="G150" s="32"/>
      <c r="H150" s="32"/>
      <c r="I150" s="33" t="s">
        <v>1144</v>
      </c>
      <c r="J150" s="33" t="s">
        <v>43</v>
      </c>
      <c r="K150" s="33" t="s">
        <v>1145</v>
      </c>
      <c r="L150" s="48">
        <v>1293714744</v>
      </c>
      <c r="M150" s="32"/>
      <c r="N150" s="48">
        <v>7500000</v>
      </c>
      <c r="O150" s="43"/>
      <c r="P150" s="43"/>
      <c r="Q150" s="48">
        <f t="shared" si="47"/>
        <v>1301214744</v>
      </c>
      <c r="R150" s="52">
        <v>1293714744</v>
      </c>
      <c r="S150" s="33"/>
      <c r="T150" s="44">
        <v>7500000</v>
      </c>
      <c r="U150" s="33"/>
      <c r="V150" s="33"/>
      <c r="W150" s="52"/>
      <c r="X150" s="52">
        <f t="shared" ref="X150:Y150" si="143">M150-S150</f>
        <v>0</v>
      </c>
      <c r="Y150" s="52">
        <f t="shared" si="143"/>
        <v>0</v>
      </c>
      <c r="Z150" s="52">
        <f t="shared" si="7"/>
        <v>0</v>
      </c>
      <c r="AA150" s="54"/>
      <c r="AB150" s="68"/>
    </row>
    <row r="151" spans="1:28" ht="31.5" x14ac:dyDescent="0.25">
      <c r="A151" s="33" t="s">
        <v>35</v>
      </c>
      <c r="B151" s="42">
        <v>137</v>
      </c>
      <c r="C151" s="33" t="s">
        <v>581</v>
      </c>
      <c r="D151" s="33" t="s">
        <v>1153</v>
      </c>
      <c r="E151" s="32"/>
      <c r="F151" s="33" t="s">
        <v>1154</v>
      </c>
      <c r="G151" s="32"/>
      <c r="H151" s="33" t="s">
        <v>1155</v>
      </c>
      <c r="I151" s="33" t="s">
        <v>1156</v>
      </c>
      <c r="J151" s="33" t="s">
        <v>43</v>
      </c>
      <c r="K151" s="33" t="s">
        <v>1157</v>
      </c>
      <c r="L151" s="48">
        <v>4217619670</v>
      </c>
      <c r="M151" s="32"/>
      <c r="N151" s="48">
        <v>15000000</v>
      </c>
      <c r="O151" s="43"/>
      <c r="P151" s="43"/>
      <c r="Q151" s="48">
        <f t="shared" si="47"/>
        <v>4232619670</v>
      </c>
      <c r="R151" s="48">
        <v>4217619670</v>
      </c>
      <c r="S151" s="33"/>
      <c r="T151" s="44">
        <v>15000000</v>
      </c>
      <c r="U151" s="33"/>
      <c r="V151" s="33"/>
      <c r="W151" s="52"/>
      <c r="X151" s="52">
        <f t="shared" ref="X151:Y151" si="144">M151-S151</f>
        <v>0</v>
      </c>
      <c r="Y151" s="52">
        <f t="shared" si="144"/>
        <v>0</v>
      </c>
      <c r="Z151" s="52">
        <f t="shared" si="7"/>
        <v>0</v>
      </c>
      <c r="AA151" s="54"/>
      <c r="AB151" s="68"/>
    </row>
    <row r="152" spans="1:28" ht="31.5" x14ac:dyDescent="0.25">
      <c r="A152" s="33" t="s">
        <v>35</v>
      </c>
      <c r="B152" s="42">
        <v>138</v>
      </c>
      <c r="C152" s="33" t="s">
        <v>581</v>
      </c>
      <c r="D152" s="33" t="s">
        <v>1163</v>
      </c>
      <c r="E152" s="33" t="s">
        <v>156</v>
      </c>
      <c r="F152" s="33" t="s">
        <v>1164</v>
      </c>
      <c r="G152" s="33" t="s">
        <v>1165</v>
      </c>
      <c r="H152" s="32"/>
      <c r="I152" s="33" t="s">
        <v>1166</v>
      </c>
      <c r="J152" s="33" t="s">
        <v>43</v>
      </c>
      <c r="K152" s="33" t="s">
        <v>1168</v>
      </c>
      <c r="L152" s="48">
        <v>3194338952</v>
      </c>
      <c r="M152" s="48">
        <v>41139648</v>
      </c>
      <c r="N152" s="48">
        <v>15000000</v>
      </c>
      <c r="O152" s="43"/>
      <c r="P152" s="43"/>
      <c r="Q152" s="48">
        <f t="shared" si="47"/>
        <v>3250478600</v>
      </c>
      <c r="R152" s="48">
        <v>3194338952</v>
      </c>
      <c r="S152" s="48">
        <v>41139648</v>
      </c>
      <c r="T152" s="66"/>
      <c r="U152" s="33"/>
      <c r="V152" s="33"/>
      <c r="W152" s="52"/>
      <c r="X152" s="52">
        <f t="shared" ref="X152:Y152" si="145">M152-S152</f>
        <v>0</v>
      </c>
      <c r="Y152" s="52">
        <f t="shared" si="145"/>
        <v>15000000</v>
      </c>
      <c r="Z152" s="52">
        <f t="shared" si="7"/>
        <v>0</v>
      </c>
      <c r="AA152" s="54"/>
      <c r="AB152" s="68"/>
    </row>
    <row r="153" spans="1:28" ht="31.5" x14ac:dyDescent="0.25">
      <c r="A153" s="33" t="s">
        <v>46</v>
      </c>
      <c r="B153" s="42">
        <v>139</v>
      </c>
      <c r="C153" s="33" t="s">
        <v>581</v>
      </c>
      <c r="D153" s="33" t="s">
        <v>1173</v>
      </c>
      <c r="E153" s="32"/>
      <c r="F153" s="33" t="s">
        <v>1174</v>
      </c>
      <c r="G153" s="32"/>
      <c r="H153" s="32"/>
      <c r="I153" s="33" t="s">
        <v>1175</v>
      </c>
      <c r="J153" s="33" t="s">
        <v>43</v>
      </c>
      <c r="K153" s="33" t="s">
        <v>1176</v>
      </c>
      <c r="L153" s="48">
        <v>1616275160</v>
      </c>
      <c r="M153" s="32"/>
      <c r="N153" s="48">
        <v>7500000</v>
      </c>
      <c r="O153" s="43"/>
      <c r="P153" s="43"/>
      <c r="Q153" s="48">
        <f t="shared" si="47"/>
        <v>1623775160</v>
      </c>
      <c r="R153" s="48">
        <v>1616275160</v>
      </c>
      <c r="S153" s="33"/>
      <c r="T153" s="44">
        <v>7500000</v>
      </c>
      <c r="U153" s="33"/>
      <c r="V153" s="33"/>
      <c r="W153" s="52"/>
      <c r="X153" s="52">
        <f t="shared" ref="X153:Y153" si="146">M153-S153</f>
        <v>0</v>
      </c>
      <c r="Y153" s="52">
        <f t="shared" si="146"/>
        <v>0</v>
      </c>
      <c r="Z153" s="52">
        <f t="shared" si="7"/>
        <v>0</v>
      </c>
      <c r="AA153" s="54"/>
      <c r="AB153" s="68"/>
    </row>
    <row r="154" spans="1:28" ht="47.25" x14ac:dyDescent="0.25">
      <c r="A154" s="33" t="s">
        <v>60</v>
      </c>
      <c r="B154" s="42">
        <v>140</v>
      </c>
      <c r="C154" s="33" t="s">
        <v>581</v>
      </c>
      <c r="D154" s="33" t="s">
        <v>1182</v>
      </c>
      <c r="E154" s="32"/>
      <c r="F154" s="33" t="s">
        <v>1183</v>
      </c>
      <c r="G154" s="33" t="s">
        <v>913</v>
      </c>
      <c r="H154" s="32"/>
      <c r="I154" s="33" t="s">
        <v>1184</v>
      </c>
      <c r="J154" s="33" t="s">
        <v>43</v>
      </c>
      <c r="K154" s="33" t="s">
        <v>1185</v>
      </c>
      <c r="L154" s="48">
        <v>3156816400</v>
      </c>
      <c r="M154" s="32"/>
      <c r="N154" s="48">
        <v>15000000</v>
      </c>
      <c r="O154" s="33" t="s">
        <v>1186</v>
      </c>
      <c r="P154" s="48">
        <v>18000000</v>
      </c>
      <c r="Q154" s="48">
        <f t="shared" si="47"/>
        <v>3189816400</v>
      </c>
      <c r="R154" s="48">
        <v>3156816400</v>
      </c>
      <c r="S154" s="33"/>
      <c r="T154" s="44">
        <v>15000000</v>
      </c>
      <c r="U154" s="33"/>
      <c r="V154" s="33"/>
      <c r="W154" s="52"/>
      <c r="X154" s="52">
        <f t="shared" ref="X154:Y154" si="147">M154-S154</f>
        <v>0</v>
      </c>
      <c r="Y154" s="52">
        <f t="shared" si="147"/>
        <v>0</v>
      </c>
      <c r="Z154" s="52">
        <f t="shared" si="7"/>
        <v>18000000</v>
      </c>
      <c r="AA154" s="54"/>
      <c r="AB154" s="75"/>
    </row>
    <row r="155" spans="1:28" ht="31.5" x14ac:dyDescent="0.25">
      <c r="A155" s="33" t="s">
        <v>60</v>
      </c>
      <c r="B155" s="42">
        <v>141</v>
      </c>
      <c r="C155" s="33" t="s">
        <v>581</v>
      </c>
      <c r="D155" s="33" t="s">
        <v>1194</v>
      </c>
      <c r="E155" s="32"/>
      <c r="F155" s="33" t="s">
        <v>1195</v>
      </c>
      <c r="G155" s="32"/>
      <c r="H155" s="32"/>
      <c r="I155" s="33" t="s">
        <v>1196</v>
      </c>
      <c r="J155" s="33" t="s">
        <v>43</v>
      </c>
      <c r="K155" s="33" t="s">
        <v>1197</v>
      </c>
      <c r="L155" s="48">
        <v>1739119796</v>
      </c>
      <c r="M155" s="32"/>
      <c r="N155" s="48">
        <v>7500000</v>
      </c>
      <c r="O155" s="43"/>
      <c r="P155" s="43"/>
      <c r="Q155" s="48">
        <f t="shared" si="47"/>
        <v>1746619796</v>
      </c>
      <c r="R155" s="48">
        <v>1739119796</v>
      </c>
      <c r="S155" s="33"/>
      <c r="T155" s="44">
        <v>7500000</v>
      </c>
      <c r="U155" s="33"/>
      <c r="V155" s="33"/>
      <c r="W155" s="52"/>
      <c r="X155" s="52">
        <f t="shared" ref="X155:Y155" si="148">M155-S155</f>
        <v>0</v>
      </c>
      <c r="Y155" s="52">
        <f t="shared" si="148"/>
        <v>0</v>
      </c>
      <c r="Z155" s="52">
        <f t="shared" si="7"/>
        <v>0</v>
      </c>
      <c r="AA155" s="54"/>
      <c r="AB155" s="68"/>
    </row>
    <row r="156" spans="1:28" ht="31.5" x14ac:dyDescent="0.25">
      <c r="A156" s="33" t="s">
        <v>60</v>
      </c>
      <c r="B156" s="42">
        <v>142</v>
      </c>
      <c r="C156" s="33" t="s">
        <v>581</v>
      </c>
      <c r="D156" s="33" t="s">
        <v>1203</v>
      </c>
      <c r="E156" s="32"/>
      <c r="F156" s="33" t="s">
        <v>1204</v>
      </c>
      <c r="G156" s="32"/>
      <c r="H156" s="32"/>
      <c r="I156" s="33" t="s">
        <v>1205</v>
      </c>
      <c r="J156" s="33" t="s">
        <v>43</v>
      </c>
      <c r="K156" s="33" t="s">
        <v>591</v>
      </c>
      <c r="L156" s="48">
        <v>1019168200</v>
      </c>
      <c r="M156" s="32"/>
      <c r="N156" s="48">
        <v>7500000</v>
      </c>
      <c r="O156" s="43"/>
      <c r="P156" s="43"/>
      <c r="Q156" s="48">
        <f t="shared" si="47"/>
        <v>1026668200</v>
      </c>
      <c r="R156" s="48">
        <v>1019168200</v>
      </c>
      <c r="S156" s="33"/>
      <c r="T156" s="44">
        <v>7500000</v>
      </c>
      <c r="U156" s="33"/>
      <c r="V156" s="33"/>
      <c r="W156" s="52"/>
      <c r="X156" s="52">
        <f t="shared" ref="X156:Y156" si="149">M156-S156</f>
        <v>0</v>
      </c>
      <c r="Y156" s="52">
        <f t="shared" si="149"/>
        <v>0</v>
      </c>
      <c r="Z156" s="52">
        <f t="shared" si="7"/>
        <v>0</v>
      </c>
      <c r="AA156" s="54"/>
      <c r="AB156" s="68"/>
    </row>
    <row r="157" spans="1:28" ht="31.5" x14ac:dyDescent="0.25">
      <c r="A157" s="33" t="s">
        <v>60</v>
      </c>
      <c r="B157" s="42">
        <v>143</v>
      </c>
      <c r="C157" s="33" t="s">
        <v>581</v>
      </c>
      <c r="D157" s="33" t="s">
        <v>1210</v>
      </c>
      <c r="E157" s="33" t="s">
        <v>409</v>
      </c>
      <c r="F157" s="33" t="s">
        <v>1211</v>
      </c>
      <c r="G157" s="33" t="s">
        <v>1212</v>
      </c>
      <c r="H157" s="32"/>
      <c r="I157" s="33" t="s">
        <v>1213</v>
      </c>
      <c r="J157" s="33" t="s">
        <v>43</v>
      </c>
      <c r="K157" s="33" t="s">
        <v>1214</v>
      </c>
      <c r="L157" s="48">
        <v>7965890968</v>
      </c>
      <c r="M157" s="48">
        <v>161187840</v>
      </c>
      <c r="N157" s="48">
        <v>15000000</v>
      </c>
      <c r="O157" s="43"/>
      <c r="P157" s="43"/>
      <c r="Q157" s="48">
        <f t="shared" si="47"/>
        <v>8142078808</v>
      </c>
      <c r="R157" s="48">
        <v>7965890968</v>
      </c>
      <c r="S157" s="33"/>
      <c r="T157" s="44">
        <v>15000000</v>
      </c>
      <c r="U157" s="33"/>
      <c r="V157" s="33"/>
      <c r="W157" s="52"/>
      <c r="X157" s="52">
        <f t="shared" ref="X157:Y157" si="150">M157-S157</f>
        <v>161187840</v>
      </c>
      <c r="Y157" s="52">
        <f t="shared" si="150"/>
        <v>0</v>
      </c>
      <c r="Z157" s="52">
        <f t="shared" si="7"/>
        <v>0</v>
      </c>
      <c r="AA157" s="54"/>
      <c r="AB157" s="68"/>
    </row>
    <row r="158" spans="1:28" ht="31.5" x14ac:dyDescent="0.25">
      <c r="A158" s="33" t="s">
        <v>60</v>
      </c>
      <c r="B158" s="42">
        <v>144</v>
      </c>
      <c r="C158" s="33" t="s">
        <v>581</v>
      </c>
      <c r="D158" s="33" t="s">
        <v>672</v>
      </c>
      <c r="E158" s="32"/>
      <c r="F158" s="33" t="s">
        <v>673</v>
      </c>
      <c r="G158" s="33" t="s">
        <v>84</v>
      </c>
      <c r="H158" s="32"/>
      <c r="I158" s="33" t="s">
        <v>674</v>
      </c>
      <c r="J158" s="33" t="s">
        <v>43</v>
      </c>
      <c r="K158" s="33" t="s">
        <v>675</v>
      </c>
      <c r="L158" s="48">
        <v>9907256382</v>
      </c>
      <c r="M158" s="32"/>
      <c r="N158" s="48">
        <v>15000000</v>
      </c>
      <c r="O158" s="43" t="s">
        <v>657</v>
      </c>
      <c r="P158" s="69">
        <v>5600000</v>
      </c>
      <c r="Q158" s="48">
        <f t="shared" si="47"/>
        <v>9927856382</v>
      </c>
      <c r="R158" s="48">
        <v>9907256382</v>
      </c>
      <c r="S158" s="33"/>
      <c r="T158" s="44">
        <v>15000000</v>
      </c>
      <c r="U158" s="33"/>
      <c r="V158" s="33"/>
      <c r="W158" s="52"/>
      <c r="X158" s="52">
        <f t="shared" ref="X158:Y158" si="151">M158-S158</f>
        <v>0</v>
      </c>
      <c r="Y158" s="52">
        <f t="shared" si="151"/>
        <v>0</v>
      </c>
      <c r="Z158" s="52">
        <f t="shared" si="7"/>
        <v>5600000</v>
      </c>
      <c r="AA158" s="54"/>
      <c r="AB158" s="74" t="s">
        <v>1222</v>
      </c>
    </row>
    <row r="159" spans="1:28" ht="31.5" x14ac:dyDescent="0.25">
      <c r="A159" s="33" t="s">
        <v>60</v>
      </c>
      <c r="B159" s="42">
        <v>145</v>
      </c>
      <c r="C159" s="33" t="s">
        <v>581</v>
      </c>
      <c r="D159" s="33" t="s">
        <v>1223</v>
      </c>
      <c r="E159" s="32"/>
      <c r="F159" s="33" t="s">
        <v>1225</v>
      </c>
      <c r="G159" s="32"/>
      <c r="H159" s="32"/>
      <c r="I159" s="33" t="s">
        <v>1228</v>
      </c>
      <c r="J159" s="33" t="s">
        <v>43</v>
      </c>
      <c r="K159" s="33" t="s">
        <v>1230</v>
      </c>
      <c r="L159" s="48">
        <v>1620845726</v>
      </c>
      <c r="M159" s="32"/>
      <c r="N159" s="48">
        <v>7500000</v>
      </c>
      <c r="O159" s="43"/>
      <c r="P159" s="43"/>
      <c r="Q159" s="48">
        <f t="shared" si="47"/>
        <v>1628345726</v>
      </c>
      <c r="R159" s="48">
        <v>1620845726</v>
      </c>
      <c r="S159" s="33"/>
      <c r="T159" s="44">
        <v>7500000</v>
      </c>
      <c r="U159" s="33"/>
      <c r="V159" s="33"/>
      <c r="W159" s="52"/>
      <c r="X159" s="52">
        <f t="shared" ref="X159:Y159" si="152">M159-S159</f>
        <v>0</v>
      </c>
      <c r="Y159" s="52">
        <f t="shared" si="152"/>
        <v>0</v>
      </c>
      <c r="Z159" s="52">
        <f t="shared" si="7"/>
        <v>0</v>
      </c>
      <c r="AA159" s="54"/>
      <c r="AB159" s="68"/>
    </row>
    <row r="160" spans="1:28" ht="31.5" x14ac:dyDescent="0.25">
      <c r="A160" s="33" t="s">
        <v>52</v>
      </c>
      <c r="B160" s="42">
        <v>146</v>
      </c>
      <c r="C160" s="33" t="s">
        <v>581</v>
      </c>
      <c r="D160" s="33" t="s">
        <v>582</v>
      </c>
      <c r="E160" s="32"/>
      <c r="F160" s="33" t="s">
        <v>585</v>
      </c>
      <c r="G160" s="32"/>
      <c r="H160" s="32"/>
      <c r="I160" s="33" t="s">
        <v>587</v>
      </c>
      <c r="J160" s="33" t="s">
        <v>43</v>
      </c>
      <c r="K160" s="33" t="s">
        <v>588</v>
      </c>
      <c r="L160" s="48">
        <v>3395712926</v>
      </c>
      <c r="M160" s="32"/>
      <c r="N160" s="48">
        <v>15000000</v>
      </c>
      <c r="O160" s="33" t="s">
        <v>584</v>
      </c>
      <c r="P160" s="48">
        <v>30000000</v>
      </c>
      <c r="Q160" s="48">
        <f t="shared" si="47"/>
        <v>3440712926</v>
      </c>
      <c r="R160" s="33"/>
      <c r="S160" s="33"/>
      <c r="T160" s="44">
        <v>15000000</v>
      </c>
      <c r="U160" s="33"/>
      <c r="V160" s="33"/>
      <c r="W160" s="52">
        <v>3395712926</v>
      </c>
      <c r="X160" s="52">
        <f t="shared" ref="X160:Y160" si="153">M160-S160</f>
        <v>0</v>
      </c>
      <c r="Y160" s="52">
        <f t="shared" si="153"/>
        <v>0</v>
      </c>
      <c r="Z160" s="52">
        <f t="shared" si="7"/>
        <v>30000000</v>
      </c>
      <c r="AA160" s="69">
        <v>3395712926</v>
      </c>
      <c r="AB160" s="75"/>
    </row>
    <row r="161" spans="1:45" ht="31.5" x14ac:dyDescent="0.25">
      <c r="A161" s="33" t="s">
        <v>52</v>
      </c>
      <c r="B161" s="42">
        <v>147</v>
      </c>
      <c r="C161" s="33" t="s">
        <v>581</v>
      </c>
      <c r="D161" s="33" t="s">
        <v>1238</v>
      </c>
      <c r="E161" s="32"/>
      <c r="F161" s="33" t="s">
        <v>1239</v>
      </c>
      <c r="G161" s="32"/>
      <c r="H161" s="32"/>
      <c r="I161" s="33" t="s">
        <v>1240</v>
      </c>
      <c r="J161" s="33" t="s">
        <v>43</v>
      </c>
      <c r="K161" s="33" t="s">
        <v>1241</v>
      </c>
      <c r="L161" s="48">
        <v>1686837440</v>
      </c>
      <c r="M161" s="32"/>
      <c r="N161" s="48">
        <v>7500000</v>
      </c>
      <c r="O161" s="43"/>
      <c r="P161" s="43"/>
      <c r="Q161" s="48">
        <f t="shared" si="47"/>
        <v>1694337440</v>
      </c>
      <c r="R161" s="48">
        <v>1686837440</v>
      </c>
      <c r="S161" s="33"/>
      <c r="T161" s="44">
        <v>7500000</v>
      </c>
      <c r="U161" s="33"/>
      <c r="V161" s="33"/>
      <c r="W161" s="52"/>
      <c r="X161" s="52">
        <f t="shared" ref="X161:Y161" si="154">M161-S161</f>
        <v>0</v>
      </c>
      <c r="Y161" s="52">
        <f t="shared" si="154"/>
        <v>0</v>
      </c>
      <c r="Z161" s="52">
        <f t="shared" si="7"/>
        <v>0</v>
      </c>
      <c r="AA161" s="54"/>
      <c r="AB161" s="68"/>
    </row>
    <row r="162" spans="1:45" ht="31.5" x14ac:dyDescent="0.25">
      <c r="A162" s="33" t="s">
        <v>46</v>
      </c>
      <c r="B162" s="42">
        <v>148</v>
      </c>
      <c r="C162" s="33" t="s">
        <v>1247</v>
      </c>
      <c r="D162" s="33" t="s">
        <v>1248</v>
      </c>
      <c r="E162" s="32"/>
      <c r="F162" s="33" t="s">
        <v>1249</v>
      </c>
      <c r="G162" s="32"/>
      <c r="H162" s="32"/>
      <c r="I162" s="33" t="s">
        <v>1250</v>
      </c>
      <c r="J162" s="33" t="s">
        <v>43</v>
      </c>
      <c r="K162" s="33" t="s">
        <v>1251</v>
      </c>
      <c r="L162" s="48">
        <v>437187740</v>
      </c>
      <c r="M162" s="32"/>
      <c r="N162" s="48">
        <v>7500000</v>
      </c>
      <c r="O162" s="43"/>
      <c r="P162" s="43"/>
      <c r="Q162" s="48">
        <f t="shared" si="47"/>
        <v>444687740</v>
      </c>
      <c r="R162" s="48">
        <v>437187740</v>
      </c>
      <c r="S162" s="33"/>
      <c r="T162" s="66"/>
      <c r="U162" s="33"/>
      <c r="V162" s="33"/>
      <c r="W162" s="52"/>
      <c r="X162" s="52">
        <f t="shared" ref="X162:Y162" si="155">M162-S162</f>
        <v>0</v>
      </c>
      <c r="Y162" s="52">
        <f t="shared" si="155"/>
        <v>7500000</v>
      </c>
      <c r="Z162" s="52">
        <f t="shared" si="7"/>
        <v>0</v>
      </c>
      <c r="AA162" s="54"/>
      <c r="AB162" s="68"/>
    </row>
    <row r="163" spans="1:45" ht="31.5" x14ac:dyDescent="0.25">
      <c r="A163" s="33" t="s">
        <v>35</v>
      </c>
      <c r="B163" s="42">
        <v>149</v>
      </c>
      <c r="C163" s="33" t="s">
        <v>1247</v>
      </c>
      <c r="D163" s="33" t="s">
        <v>1255</v>
      </c>
      <c r="E163" s="32"/>
      <c r="F163" s="33" t="s">
        <v>1257</v>
      </c>
      <c r="G163" s="32"/>
      <c r="H163" s="32"/>
      <c r="I163" s="33" t="s">
        <v>1258</v>
      </c>
      <c r="J163" s="33" t="s">
        <v>43</v>
      </c>
      <c r="K163" s="33" t="s">
        <v>1259</v>
      </c>
      <c r="L163" s="48">
        <v>1573408200</v>
      </c>
      <c r="M163" s="32"/>
      <c r="N163" s="48">
        <v>7500000</v>
      </c>
      <c r="O163" s="43"/>
      <c r="P163" s="43"/>
      <c r="Q163" s="48">
        <f t="shared" si="47"/>
        <v>1580908200</v>
      </c>
      <c r="R163" s="52">
        <v>1573408200</v>
      </c>
      <c r="S163" s="33"/>
      <c r="T163" s="44">
        <v>7500000</v>
      </c>
      <c r="U163" s="33"/>
      <c r="V163" s="33"/>
      <c r="W163" s="52"/>
      <c r="X163" s="52">
        <f t="shared" ref="X163:Y163" si="156">M163-S163</f>
        <v>0</v>
      </c>
      <c r="Y163" s="52">
        <f t="shared" si="156"/>
        <v>0</v>
      </c>
      <c r="Z163" s="52">
        <f t="shared" si="7"/>
        <v>0</v>
      </c>
      <c r="AA163" s="54"/>
      <c r="AB163" s="68"/>
    </row>
    <row r="164" spans="1:45" ht="31.5" x14ac:dyDescent="0.25">
      <c r="A164" s="33" t="s">
        <v>52</v>
      </c>
      <c r="B164" s="42">
        <v>150</v>
      </c>
      <c r="C164" s="33" t="s">
        <v>1260</v>
      </c>
      <c r="D164" s="33" t="s">
        <v>1261</v>
      </c>
      <c r="E164" s="32"/>
      <c r="F164" s="33" t="s">
        <v>1262</v>
      </c>
      <c r="G164" s="32"/>
      <c r="H164" s="32"/>
      <c r="I164" s="33" t="s">
        <v>1263</v>
      </c>
      <c r="J164" s="33" t="s">
        <v>43</v>
      </c>
      <c r="K164" s="33" t="s">
        <v>1264</v>
      </c>
      <c r="L164" s="48">
        <v>861004700</v>
      </c>
      <c r="M164" s="32"/>
      <c r="N164" s="48">
        <v>7500000</v>
      </c>
      <c r="O164" s="43"/>
      <c r="P164" s="43"/>
      <c r="Q164" s="48">
        <f t="shared" si="47"/>
        <v>868504700</v>
      </c>
      <c r="R164" s="48">
        <v>861004700</v>
      </c>
      <c r="S164" s="33"/>
      <c r="T164" s="44">
        <v>7500000</v>
      </c>
      <c r="U164" s="33"/>
      <c r="V164" s="33"/>
      <c r="W164" s="52"/>
      <c r="X164" s="52">
        <f t="shared" ref="X164:Y164" si="157">M164-S164</f>
        <v>0</v>
      </c>
      <c r="Y164" s="52">
        <f t="shared" si="157"/>
        <v>0</v>
      </c>
      <c r="Z164" s="52">
        <f t="shared" si="7"/>
        <v>0</v>
      </c>
      <c r="AA164" s="54"/>
      <c r="AB164" s="68"/>
    </row>
    <row r="165" spans="1:45" ht="31.5" x14ac:dyDescent="0.25">
      <c r="A165" s="33" t="s">
        <v>60</v>
      </c>
      <c r="B165" s="42">
        <v>151</v>
      </c>
      <c r="C165" s="33" t="s">
        <v>1260</v>
      </c>
      <c r="D165" s="33" t="s">
        <v>1271</v>
      </c>
      <c r="E165" s="32"/>
      <c r="F165" s="33" t="s">
        <v>908</v>
      </c>
      <c r="G165" s="32"/>
      <c r="H165" s="32"/>
      <c r="I165" s="33" t="s">
        <v>1272</v>
      </c>
      <c r="J165" s="33" t="s">
        <v>43</v>
      </c>
      <c r="K165" s="33" t="s">
        <v>1273</v>
      </c>
      <c r="L165" s="48">
        <v>151014160</v>
      </c>
      <c r="M165" s="32"/>
      <c r="N165" s="48">
        <v>7500000</v>
      </c>
      <c r="O165" s="43"/>
      <c r="P165" s="43"/>
      <c r="Q165" s="48">
        <f t="shared" si="47"/>
        <v>158514160</v>
      </c>
      <c r="R165" s="48">
        <v>151014160</v>
      </c>
      <c r="S165" s="33"/>
      <c r="T165" s="44">
        <v>7500000</v>
      </c>
      <c r="U165" s="33"/>
      <c r="V165" s="33"/>
      <c r="W165" s="52"/>
      <c r="X165" s="52">
        <f t="shared" ref="X165:Y165" si="158">M165-S165</f>
        <v>0</v>
      </c>
      <c r="Y165" s="52">
        <f t="shared" si="158"/>
        <v>0</v>
      </c>
      <c r="Z165" s="52">
        <f t="shared" si="7"/>
        <v>0</v>
      </c>
      <c r="AA165" s="54"/>
      <c r="AB165" s="68"/>
    </row>
    <row r="166" spans="1:45" ht="31.5" x14ac:dyDescent="0.25">
      <c r="A166" s="88" t="s">
        <v>60</v>
      </c>
      <c r="B166" s="89">
        <v>152</v>
      </c>
      <c r="C166" s="88" t="s">
        <v>719</v>
      </c>
      <c r="D166" s="88" t="s">
        <v>720</v>
      </c>
      <c r="E166" s="88" t="s">
        <v>156</v>
      </c>
      <c r="F166" s="88" t="s">
        <v>723</v>
      </c>
      <c r="G166" s="88" t="s">
        <v>724</v>
      </c>
      <c r="H166" s="90"/>
      <c r="I166" s="88" t="s">
        <v>725</v>
      </c>
      <c r="J166" s="88" t="s">
        <v>43</v>
      </c>
      <c r="K166" s="88" t="s">
        <v>726</v>
      </c>
      <c r="L166" s="91">
        <v>2958066419</v>
      </c>
      <c r="M166" s="91">
        <v>403742592</v>
      </c>
      <c r="N166" s="91">
        <v>15000000</v>
      </c>
      <c r="O166" s="92" t="s">
        <v>722</v>
      </c>
      <c r="P166" s="84">
        <v>45066673</v>
      </c>
      <c r="Q166" s="91">
        <f t="shared" si="47"/>
        <v>3421875684</v>
      </c>
      <c r="R166" s="91">
        <v>2958066419</v>
      </c>
      <c r="S166" s="91">
        <v>403742592</v>
      </c>
      <c r="T166" s="93">
        <v>15000000</v>
      </c>
      <c r="U166" s="88"/>
      <c r="V166" s="88"/>
      <c r="W166" s="94"/>
      <c r="X166" s="94">
        <f t="shared" ref="X166:Y166" si="159">M166-S166</f>
        <v>0</v>
      </c>
      <c r="Y166" s="94">
        <f t="shared" si="159"/>
        <v>0</v>
      </c>
      <c r="Z166" s="94">
        <f t="shared" si="7"/>
        <v>45066673</v>
      </c>
      <c r="AA166" s="95"/>
      <c r="AB166" s="96" t="s">
        <v>1290</v>
      </c>
      <c r="AC166" s="97"/>
      <c r="AD166" s="97"/>
      <c r="AE166" s="97"/>
      <c r="AF166" s="97"/>
      <c r="AG166" s="97"/>
      <c r="AH166" s="97"/>
      <c r="AI166" s="97"/>
      <c r="AJ166" s="97"/>
      <c r="AK166" s="97"/>
      <c r="AL166" s="97"/>
      <c r="AM166" s="97"/>
      <c r="AN166" s="97"/>
      <c r="AO166" s="97"/>
      <c r="AP166" s="97"/>
      <c r="AQ166" s="97"/>
      <c r="AR166" s="97"/>
      <c r="AS166" s="97"/>
    </row>
    <row r="167" spans="1:45" ht="31.5" x14ac:dyDescent="0.25">
      <c r="A167" s="33" t="s">
        <v>35</v>
      </c>
      <c r="B167" s="42">
        <v>153</v>
      </c>
      <c r="C167" s="33" t="s">
        <v>719</v>
      </c>
      <c r="D167" s="33" t="s">
        <v>1291</v>
      </c>
      <c r="E167" s="33" t="s">
        <v>409</v>
      </c>
      <c r="F167" s="33" t="s">
        <v>1292</v>
      </c>
      <c r="G167" s="33" t="s">
        <v>1293</v>
      </c>
      <c r="H167" s="32"/>
      <c r="I167" s="33" t="s">
        <v>1294</v>
      </c>
      <c r="J167" s="33" t="s">
        <v>43</v>
      </c>
      <c r="K167" s="33" t="s">
        <v>1295</v>
      </c>
      <c r="L167" s="48">
        <v>3584065926</v>
      </c>
      <c r="M167" s="48">
        <v>76538880</v>
      </c>
      <c r="N167" s="48">
        <v>7500000</v>
      </c>
      <c r="O167" s="43"/>
      <c r="P167" s="43"/>
      <c r="Q167" s="48">
        <f t="shared" si="47"/>
        <v>3668104806</v>
      </c>
      <c r="R167" s="52">
        <v>3584065926</v>
      </c>
      <c r="S167" s="48">
        <v>76538880</v>
      </c>
      <c r="T167" s="44">
        <v>7500000</v>
      </c>
      <c r="U167" s="33"/>
      <c r="V167" s="33"/>
      <c r="W167" s="52"/>
      <c r="X167" s="52">
        <f t="shared" ref="X167:Y167" si="160">M167-S167</f>
        <v>0</v>
      </c>
      <c r="Y167" s="52">
        <f t="shared" si="160"/>
        <v>0</v>
      </c>
      <c r="Z167" s="52">
        <f t="shared" si="7"/>
        <v>0</v>
      </c>
      <c r="AA167" s="54"/>
      <c r="AB167" s="68"/>
    </row>
    <row r="168" spans="1:45" ht="31.5" x14ac:dyDescent="0.25">
      <c r="A168" s="33" t="s">
        <v>60</v>
      </c>
      <c r="B168" s="42">
        <v>154</v>
      </c>
      <c r="C168" s="33" t="s">
        <v>719</v>
      </c>
      <c r="D168" s="33" t="s">
        <v>1307</v>
      </c>
      <c r="E168" s="32"/>
      <c r="F168" s="33" t="s">
        <v>1308</v>
      </c>
      <c r="G168" s="32"/>
      <c r="H168" s="32"/>
      <c r="I168" s="33" t="s">
        <v>1309</v>
      </c>
      <c r="J168" s="33" t="s">
        <v>43</v>
      </c>
      <c r="K168" s="33" t="s">
        <v>1310</v>
      </c>
      <c r="L168" s="48">
        <v>628833560</v>
      </c>
      <c r="M168" s="32"/>
      <c r="N168" s="48">
        <v>7500000</v>
      </c>
      <c r="O168" s="43"/>
      <c r="P168" s="43"/>
      <c r="Q168" s="48">
        <f t="shared" si="47"/>
        <v>636333560</v>
      </c>
      <c r="R168" s="48">
        <v>628833560</v>
      </c>
      <c r="S168" s="33"/>
      <c r="T168" s="44">
        <v>7500000</v>
      </c>
      <c r="U168" s="33"/>
      <c r="V168" s="33"/>
      <c r="W168" s="52"/>
      <c r="X168" s="52">
        <f t="shared" ref="X168:Y168" si="161">M168-S168</f>
        <v>0</v>
      </c>
      <c r="Y168" s="52">
        <f t="shared" si="161"/>
        <v>0</v>
      </c>
      <c r="Z168" s="52">
        <f t="shared" si="7"/>
        <v>0</v>
      </c>
      <c r="AA168" s="54"/>
      <c r="AB168" s="68"/>
    </row>
    <row r="169" spans="1:45" ht="31.5" x14ac:dyDescent="0.25">
      <c r="A169" s="33" t="s">
        <v>52</v>
      </c>
      <c r="B169" s="42">
        <v>155</v>
      </c>
      <c r="C169" s="33" t="s">
        <v>719</v>
      </c>
      <c r="D169" s="33" t="s">
        <v>1315</v>
      </c>
      <c r="E169" s="32"/>
      <c r="F169" s="33" t="s">
        <v>1316</v>
      </c>
      <c r="G169" s="32"/>
      <c r="H169" s="32"/>
      <c r="I169" s="33" t="s">
        <v>1317</v>
      </c>
      <c r="J169" s="33" t="s">
        <v>43</v>
      </c>
      <c r="K169" s="33" t="s">
        <v>1318</v>
      </c>
      <c r="L169" s="48">
        <v>1176606588</v>
      </c>
      <c r="M169" s="32"/>
      <c r="N169" s="48">
        <v>15000000</v>
      </c>
      <c r="O169" s="43"/>
      <c r="P169" s="43"/>
      <c r="Q169" s="48">
        <f t="shared" si="47"/>
        <v>1191606588</v>
      </c>
      <c r="R169" s="48">
        <v>1176606588</v>
      </c>
      <c r="S169" s="33"/>
      <c r="T169" s="44">
        <v>15000000</v>
      </c>
      <c r="U169" s="33"/>
      <c r="V169" s="33"/>
      <c r="W169" s="52"/>
      <c r="X169" s="52">
        <f t="shared" ref="X169:Y169" si="162">M169-S169</f>
        <v>0</v>
      </c>
      <c r="Y169" s="52">
        <f t="shared" si="162"/>
        <v>0</v>
      </c>
      <c r="Z169" s="52">
        <f t="shared" si="7"/>
        <v>0</v>
      </c>
      <c r="AA169" s="54"/>
      <c r="AB169" s="68"/>
    </row>
    <row r="170" spans="1:45" ht="31.5" x14ac:dyDescent="0.25">
      <c r="A170" s="33" t="s">
        <v>46</v>
      </c>
      <c r="B170" s="42">
        <v>156</v>
      </c>
      <c r="C170" s="33" t="s">
        <v>154</v>
      </c>
      <c r="D170" s="33" t="s">
        <v>1323</v>
      </c>
      <c r="E170" s="32"/>
      <c r="F170" s="33" t="s">
        <v>1324</v>
      </c>
      <c r="G170" s="32"/>
      <c r="H170" s="32"/>
      <c r="I170" s="33" t="s">
        <v>1325</v>
      </c>
      <c r="J170" s="33" t="s">
        <v>43</v>
      </c>
      <c r="K170" s="33" t="s">
        <v>1326</v>
      </c>
      <c r="L170" s="48">
        <v>4803560172</v>
      </c>
      <c r="M170" s="32"/>
      <c r="N170" s="48">
        <v>7500000</v>
      </c>
      <c r="O170" s="43"/>
      <c r="P170" s="43"/>
      <c r="Q170" s="48">
        <f t="shared" si="47"/>
        <v>4811060172</v>
      </c>
      <c r="R170" s="48">
        <v>4803560172</v>
      </c>
      <c r="S170" s="33"/>
      <c r="T170" s="44">
        <v>7500000</v>
      </c>
      <c r="U170" s="33"/>
      <c r="V170" s="33"/>
      <c r="W170" s="52"/>
      <c r="X170" s="52">
        <f t="shared" ref="X170:Y170" si="163">M170-S170</f>
        <v>0</v>
      </c>
      <c r="Y170" s="52">
        <f t="shared" si="163"/>
        <v>0</v>
      </c>
      <c r="Z170" s="52">
        <f t="shared" si="7"/>
        <v>0</v>
      </c>
      <c r="AA170" s="54"/>
      <c r="AB170" s="68"/>
    </row>
    <row r="171" spans="1:45" ht="31.5" x14ac:dyDescent="0.25">
      <c r="A171" s="33" t="s">
        <v>46</v>
      </c>
      <c r="B171" s="42">
        <v>157</v>
      </c>
      <c r="C171" s="33" t="s">
        <v>154</v>
      </c>
      <c r="D171" s="33" t="s">
        <v>155</v>
      </c>
      <c r="E171" s="33" t="s">
        <v>156</v>
      </c>
      <c r="F171" s="33" t="s">
        <v>157</v>
      </c>
      <c r="G171" s="33" t="s">
        <v>63</v>
      </c>
      <c r="H171" s="32"/>
      <c r="I171" s="33" t="s">
        <v>158</v>
      </c>
      <c r="J171" s="33" t="s">
        <v>43</v>
      </c>
      <c r="K171" s="33" t="s">
        <v>159</v>
      </c>
      <c r="L171" s="48">
        <v>1901994350</v>
      </c>
      <c r="M171" s="48">
        <v>63527270</v>
      </c>
      <c r="N171" s="48">
        <v>15000000</v>
      </c>
      <c r="O171" s="43" t="s">
        <v>144</v>
      </c>
      <c r="P171" s="69">
        <v>90000000</v>
      </c>
      <c r="Q171" s="48">
        <f t="shared" si="47"/>
        <v>2070521620</v>
      </c>
      <c r="R171" s="48">
        <v>1901994350</v>
      </c>
      <c r="S171" s="48">
        <v>63527270</v>
      </c>
      <c r="T171" s="44">
        <v>15000000</v>
      </c>
      <c r="U171" s="48">
        <v>90000000</v>
      </c>
      <c r="V171" s="33"/>
      <c r="W171" s="52"/>
      <c r="X171" s="52">
        <f t="shared" ref="X171:Y171" si="164">M171-S171</f>
        <v>0</v>
      </c>
      <c r="Y171" s="52">
        <f t="shared" si="164"/>
        <v>0</v>
      </c>
      <c r="Z171" s="52">
        <f t="shared" si="7"/>
        <v>0</v>
      </c>
      <c r="AA171" s="54"/>
      <c r="AB171" s="68"/>
    </row>
    <row r="172" spans="1:45" ht="31.5" x14ac:dyDescent="0.25">
      <c r="A172" s="33" t="s">
        <v>52</v>
      </c>
      <c r="B172" s="42">
        <v>158</v>
      </c>
      <c r="C172" s="33" t="s">
        <v>154</v>
      </c>
      <c r="D172" s="33" t="s">
        <v>1336</v>
      </c>
      <c r="E172" s="32"/>
      <c r="F172" s="33" t="s">
        <v>1337</v>
      </c>
      <c r="G172" s="32"/>
      <c r="H172" s="32"/>
      <c r="I172" s="33" t="s">
        <v>1338</v>
      </c>
      <c r="J172" s="33" t="s">
        <v>43</v>
      </c>
      <c r="K172" s="33" t="s">
        <v>1339</v>
      </c>
      <c r="L172" s="48">
        <v>3339426044</v>
      </c>
      <c r="M172" s="32"/>
      <c r="N172" s="48">
        <v>7500000</v>
      </c>
      <c r="O172" s="43"/>
      <c r="P172" s="43"/>
      <c r="Q172" s="48">
        <f t="shared" si="47"/>
        <v>3346926044</v>
      </c>
      <c r="R172" s="48">
        <v>3339426044</v>
      </c>
      <c r="S172" s="33"/>
      <c r="T172" s="44">
        <v>7500000</v>
      </c>
      <c r="U172" s="33"/>
      <c r="V172" s="33"/>
      <c r="W172" s="52"/>
      <c r="X172" s="52">
        <f t="shared" ref="X172:Y172" si="165">M172-S172</f>
        <v>0</v>
      </c>
      <c r="Y172" s="52">
        <f t="shared" si="165"/>
        <v>0</v>
      </c>
      <c r="Z172" s="52">
        <f t="shared" si="7"/>
        <v>0</v>
      </c>
      <c r="AA172" s="54"/>
      <c r="AB172" s="68"/>
    </row>
    <row r="173" spans="1:45" ht="31.5" x14ac:dyDescent="0.25">
      <c r="A173" s="33" t="s">
        <v>35</v>
      </c>
      <c r="B173" s="42">
        <v>159</v>
      </c>
      <c r="C173" s="33" t="s">
        <v>154</v>
      </c>
      <c r="D173" s="33" t="s">
        <v>1345</v>
      </c>
      <c r="E173" s="32"/>
      <c r="F173" s="33" t="s">
        <v>1346</v>
      </c>
      <c r="G173" s="32"/>
      <c r="H173" s="32"/>
      <c r="I173" s="33" t="s">
        <v>1347</v>
      </c>
      <c r="J173" s="33" t="s">
        <v>43</v>
      </c>
      <c r="K173" s="33" t="s">
        <v>1348</v>
      </c>
      <c r="L173" s="48">
        <v>1480854756</v>
      </c>
      <c r="M173" s="32"/>
      <c r="N173" s="48">
        <v>15000000</v>
      </c>
      <c r="O173" s="43"/>
      <c r="P173" s="43"/>
      <c r="Q173" s="48">
        <f t="shared" si="47"/>
        <v>1495854756</v>
      </c>
      <c r="R173" s="52">
        <v>1480854756</v>
      </c>
      <c r="S173" s="33"/>
      <c r="T173" s="44">
        <v>15000000</v>
      </c>
      <c r="U173" s="33"/>
      <c r="V173" s="33"/>
      <c r="W173" s="52"/>
      <c r="X173" s="52">
        <f t="shared" ref="X173:Y173" si="166">M173-S173</f>
        <v>0</v>
      </c>
      <c r="Y173" s="52">
        <f t="shared" si="166"/>
        <v>0</v>
      </c>
      <c r="Z173" s="52">
        <f t="shared" si="7"/>
        <v>0</v>
      </c>
      <c r="AA173" s="54"/>
      <c r="AB173" s="68"/>
    </row>
    <row r="174" spans="1:45" ht="31.5" x14ac:dyDescent="0.25">
      <c r="A174" s="33" t="s">
        <v>46</v>
      </c>
      <c r="B174" s="42">
        <v>160</v>
      </c>
      <c r="C174" s="33" t="s">
        <v>1359</v>
      </c>
      <c r="D174" s="33" t="s">
        <v>1360</v>
      </c>
      <c r="E174" s="33" t="s">
        <v>1362</v>
      </c>
      <c r="F174" s="33" t="s">
        <v>1363</v>
      </c>
      <c r="G174" s="33" t="s">
        <v>1364</v>
      </c>
      <c r="H174" s="32"/>
      <c r="I174" s="33" t="s">
        <v>1365</v>
      </c>
      <c r="J174" s="33" t="s">
        <v>43</v>
      </c>
      <c r="K174" s="33" t="s">
        <v>1366</v>
      </c>
      <c r="L174" s="48">
        <v>4073141200</v>
      </c>
      <c r="M174" s="48">
        <v>43408140</v>
      </c>
      <c r="N174" s="48">
        <v>7500000</v>
      </c>
      <c r="O174" s="43"/>
      <c r="P174" s="43"/>
      <c r="Q174" s="48">
        <f t="shared" si="47"/>
        <v>4124049340</v>
      </c>
      <c r="R174" s="48">
        <v>4073141200</v>
      </c>
      <c r="S174" s="33"/>
      <c r="T174" s="44">
        <v>7500000</v>
      </c>
      <c r="U174" s="33"/>
      <c r="V174" s="33"/>
      <c r="W174" s="52"/>
      <c r="X174" s="52">
        <f t="shared" ref="X174:Y174" si="167">M174-S174</f>
        <v>43408140</v>
      </c>
      <c r="Y174" s="52">
        <f t="shared" si="167"/>
        <v>0</v>
      </c>
      <c r="Z174" s="52">
        <f t="shared" si="7"/>
        <v>0</v>
      </c>
      <c r="AA174" s="54"/>
      <c r="AB174" s="68"/>
    </row>
    <row r="175" spans="1:45" ht="31.5" x14ac:dyDescent="0.25">
      <c r="A175" s="33" t="s">
        <v>52</v>
      </c>
      <c r="B175" s="42">
        <v>161</v>
      </c>
      <c r="C175" s="33" t="s">
        <v>1359</v>
      </c>
      <c r="D175" s="33" t="s">
        <v>1369</v>
      </c>
      <c r="E175" s="32"/>
      <c r="F175" s="33" t="s">
        <v>1370</v>
      </c>
      <c r="G175" s="32"/>
      <c r="H175" s="32"/>
      <c r="I175" s="33" t="s">
        <v>1372</v>
      </c>
      <c r="J175" s="33" t="s">
        <v>43</v>
      </c>
      <c r="K175" s="33" t="s">
        <v>1375</v>
      </c>
      <c r="L175" s="42">
        <v>0</v>
      </c>
      <c r="M175" s="32"/>
      <c r="N175" s="48">
        <v>7500000</v>
      </c>
      <c r="O175" s="43"/>
      <c r="P175" s="43"/>
      <c r="Q175" s="48">
        <f t="shared" si="47"/>
        <v>7500000</v>
      </c>
      <c r="R175" s="42">
        <v>0</v>
      </c>
      <c r="S175" s="33"/>
      <c r="T175" s="44">
        <v>7500000</v>
      </c>
      <c r="U175" s="33"/>
      <c r="V175" s="33"/>
      <c r="W175" s="52"/>
      <c r="X175" s="52">
        <f t="shared" ref="X175:Y175" si="168">M175-S175</f>
        <v>0</v>
      </c>
      <c r="Y175" s="52">
        <f t="shared" si="168"/>
        <v>0</v>
      </c>
      <c r="Z175" s="52">
        <f t="shared" si="7"/>
        <v>0</v>
      </c>
      <c r="AA175" s="54"/>
      <c r="AB175" s="68"/>
    </row>
    <row r="176" spans="1:45" ht="31.5" x14ac:dyDescent="0.25">
      <c r="A176" s="33" t="s">
        <v>60</v>
      </c>
      <c r="B176" s="42">
        <v>162</v>
      </c>
      <c r="C176" s="33" t="s">
        <v>1359</v>
      </c>
      <c r="D176" s="33" t="s">
        <v>1381</v>
      </c>
      <c r="E176" s="33" t="s">
        <v>409</v>
      </c>
      <c r="F176" s="33" t="s">
        <v>1382</v>
      </c>
      <c r="G176" s="33" t="s">
        <v>1383</v>
      </c>
      <c r="H176" s="32"/>
      <c r="I176" s="33" t="s">
        <v>697</v>
      </c>
      <c r="J176" s="33" t="s">
        <v>43</v>
      </c>
      <c r="K176" s="33" t="s">
        <v>1384</v>
      </c>
      <c r="L176" s="48">
        <v>1042237976</v>
      </c>
      <c r="M176" s="48">
        <v>271713024</v>
      </c>
      <c r="N176" s="48">
        <v>15000000</v>
      </c>
      <c r="O176" s="43"/>
      <c r="P176" s="43"/>
      <c r="Q176" s="48">
        <f t="shared" si="47"/>
        <v>1328951000</v>
      </c>
      <c r="R176" s="52">
        <v>1042237976</v>
      </c>
      <c r="S176" s="48">
        <v>271713024</v>
      </c>
      <c r="T176" s="44">
        <v>15000000</v>
      </c>
      <c r="U176" s="33"/>
      <c r="V176" s="33"/>
      <c r="W176" s="52"/>
      <c r="X176" s="52">
        <f t="shared" ref="X176:Y176" si="169">M176-S176</f>
        <v>0</v>
      </c>
      <c r="Y176" s="52">
        <f t="shared" si="169"/>
        <v>0</v>
      </c>
      <c r="Z176" s="52">
        <f t="shared" si="7"/>
        <v>0</v>
      </c>
      <c r="AA176" s="54"/>
      <c r="AB176" s="68"/>
    </row>
    <row r="177" spans="1:28" ht="31.5" x14ac:dyDescent="0.25">
      <c r="A177" s="33" t="s">
        <v>60</v>
      </c>
      <c r="B177" s="42">
        <v>163</v>
      </c>
      <c r="C177" s="33" t="s">
        <v>1359</v>
      </c>
      <c r="D177" s="33" t="s">
        <v>1385</v>
      </c>
      <c r="E177" s="32"/>
      <c r="F177" s="33" t="s">
        <v>1386</v>
      </c>
      <c r="G177" s="32"/>
      <c r="H177" s="32"/>
      <c r="I177" s="33" t="s">
        <v>1387</v>
      </c>
      <c r="J177" s="33" t="s">
        <v>43</v>
      </c>
      <c r="K177" s="33" t="s">
        <v>1388</v>
      </c>
      <c r="L177" s="48">
        <v>725476290</v>
      </c>
      <c r="M177" s="32"/>
      <c r="N177" s="48">
        <v>7500000</v>
      </c>
      <c r="O177" s="43"/>
      <c r="P177" s="43"/>
      <c r="Q177" s="48">
        <f t="shared" si="47"/>
        <v>732976290</v>
      </c>
      <c r="R177" s="52">
        <v>725476290</v>
      </c>
      <c r="S177" s="33"/>
      <c r="T177" s="66"/>
      <c r="U177" s="33"/>
      <c r="V177" s="33"/>
      <c r="W177" s="52"/>
      <c r="X177" s="52">
        <f t="shared" ref="X177:Y177" si="170">M177-S177</f>
        <v>0</v>
      </c>
      <c r="Y177" s="52">
        <f t="shared" si="170"/>
        <v>7500000</v>
      </c>
      <c r="Z177" s="52">
        <f t="shared" si="7"/>
        <v>0</v>
      </c>
      <c r="AA177" s="54"/>
      <c r="AB177" s="68"/>
    </row>
    <row r="178" spans="1:28" ht="31.5" x14ac:dyDescent="0.25">
      <c r="A178" s="33" t="s">
        <v>35</v>
      </c>
      <c r="B178" s="42">
        <v>164</v>
      </c>
      <c r="C178" s="33" t="s">
        <v>1359</v>
      </c>
      <c r="D178" s="33" t="s">
        <v>1389</v>
      </c>
      <c r="E178" s="33" t="s">
        <v>409</v>
      </c>
      <c r="F178" s="33" t="s">
        <v>1390</v>
      </c>
      <c r="G178" s="33" t="s">
        <v>1391</v>
      </c>
      <c r="H178" s="32"/>
      <c r="I178" s="33" t="s">
        <v>1392</v>
      </c>
      <c r="J178" s="33" t="s">
        <v>43</v>
      </c>
      <c r="K178" s="33" t="s">
        <v>1394</v>
      </c>
      <c r="L178" s="48">
        <v>3565502327</v>
      </c>
      <c r="M178" s="48">
        <v>450846720</v>
      </c>
      <c r="N178" s="48">
        <v>15000000</v>
      </c>
      <c r="O178" s="43"/>
      <c r="P178" s="43"/>
      <c r="Q178" s="48">
        <f t="shared" si="47"/>
        <v>4031349047</v>
      </c>
      <c r="R178" s="48">
        <v>3565502327</v>
      </c>
      <c r="S178" s="48">
        <v>450846720</v>
      </c>
      <c r="T178" s="44">
        <v>15000000</v>
      </c>
      <c r="U178" s="33"/>
      <c r="V178" s="33"/>
      <c r="W178" s="52"/>
      <c r="X178" s="52">
        <f t="shared" ref="X178:Y178" si="171">M178-S178</f>
        <v>0</v>
      </c>
      <c r="Y178" s="52">
        <f t="shared" si="171"/>
        <v>0</v>
      </c>
      <c r="Z178" s="52">
        <f t="shared" si="7"/>
        <v>0</v>
      </c>
      <c r="AA178" s="54"/>
      <c r="AB178" s="68"/>
    </row>
    <row r="179" spans="1:28" ht="31.5" x14ac:dyDescent="0.25">
      <c r="A179" s="33" t="s">
        <v>46</v>
      </c>
      <c r="B179" s="42">
        <v>165</v>
      </c>
      <c r="C179" s="33" t="s">
        <v>1359</v>
      </c>
      <c r="D179" s="33" t="s">
        <v>1400</v>
      </c>
      <c r="E179" s="33" t="s">
        <v>156</v>
      </c>
      <c r="F179" s="33" t="s">
        <v>1401</v>
      </c>
      <c r="G179" s="33" t="s">
        <v>1402</v>
      </c>
      <c r="H179" s="32"/>
      <c r="I179" s="33" t="s">
        <v>1403</v>
      </c>
      <c r="J179" s="33" t="s">
        <v>43</v>
      </c>
      <c r="K179" s="33" t="s">
        <v>1404</v>
      </c>
      <c r="L179" s="48">
        <v>1192465080</v>
      </c>
      <c r="M179" s="48">
        <v>287020800</v>
      </c>
      <c r="N179" s="48">
        <v>15000000</v>
      </c>
      <c r="O179" s="43"/>
      <c r="P179" s="43"/>
      <c r="Q179" s="48">
        <f t="shared" si="47"/>
        <v>1494485880</v>
      </c>
      <c r="R179" s="48">
        <v>1192465080</v>
      </c>
      <c r="S179" s="48">
        <v>287020800</v>
      </c>
      <c r="T179" s="44">
        <v>15000000</v>
      </c>
      <c r="U179" s="33"/>
      <c r="V179" s="33"/>
      <c r="W179" s="52"/>
      <c r="X179" s="52">
        <f t="shared" ref="X179:Y179" si="172">M179-S179</f>
        <v>0</v>
      </c>
      <c r="Y179" s="52">
        <f t="shared" si="172"/>
        <v>0</v>
      </c>
      <c r="Z179" s="52">
        <f t="shared" si="7"/>
        <v>0</v>
      </c>
      <c r="AA179" s="54"/>
      <c r="AB179" s="68"/>
    </row>
    <row r="180" spans="1:28" ht="31.5" x14ac:dyDescent="0.25">
      <c r="A180" s="33" t="s">
        <v>52</v>
      </c>
      <c r="B180" s="42">
        <v>166</v>
      </c>
      <c r="C180" s="33" t="s">
        <v>1359</v>
      </c>
      <c r="D180" s="33" t="s">
        <v>1405</v>
      </c>
      <c r="E180" s="32"/>
      <c r="F180" s="33" t="s">
        <v>1406</v>
      </c>
      <c r="G180" s="32"/>
      <c r="H180" s="32"/>
      <c r="I180" s="33" t="s">
        <v>1407</v>
      </c>
      <c r="J180" s="33" t="s">
        <v>43</v>
      </c>
      <c r="K180" s="33" t="s">
        <v>1409</v>
      </c>
      <c r="L180" s="48">
        <v>1818691780</v>
      </c>
      <c r="M180" s="32"/>
      <c r="N180" s="48">
        <v>7500000</v>
      </c>
      <c r="O180" s="43"/>
      <c r="P180" s="43"/>
      <c r="Q180" s="48">
        <f t="shared" si="47"/>
        <v>1826191780</v>
      </c>
      <c r="R180" s="48">
        <v>1818691780</v>
      </c>
      <c r="S180" s="33"/>
      <c r="T180" s="44">
        <v>7500000</v>
      </c>
      <c r="U180" s="33"/>
      <c r="V180" s="33"/>
      <c r="W180" s="52"/>
      <c r="X180" s="52">
        <f t="shared" ref="X180:Y180" si="173">M180-S180</f>
        <v>0</v>
      </c>
      <c r="Y180" s="52">
        <f t="shared" si="173"/>
        <v>0</v>
      </c>
      <c r="Z180" s="52">
        <f t="shared" si="7"/>
        <v>0</v>
      </c>
      <c r="AA180" s="54"/>
      <c r="AB180" s="68"/>
    </row>
    <row r="181" spans="1:28" ht="31.5" x14ac:dyDescent="0.25">
      <c r="A181" s="33" t="s">
        <v>52</v>
      </c>
      <c r="B181" s="42">
        <v>167</v>
      </c>
      <c r="C181" s="33" t="s">
        <v>386</v>
      </c>
      <c r="D181" s="33" t="s">
        <v>1413</v>
      </c>
      <c r="E181" s="33" t="s">
        <v>1414</v>
      </c>
      <c r="F181" s="33" t="s">
        <v>1415</v>
      </c>
      <c r="G181" s="33" t="s">
        <v>1416</v>
      </c>
      <c r="H181" s="32"/>
      <c r="I181" s="33" t="s">
        <v>1417</v>
      </c>
      <c r="J181" s="33" t="s">
        <v>43</v>
      </c>
      <c r="K181" s="33" t="s">
        <v>1418</v>
      </c>
      <c r="L181" s="48">
        <v>3670953400</v>
      </c>
      <c r="M181" s="48">
        <v>858857640</v>
      </c>
      <c r="N181" s="48">
        <v>7500000</v>
      </c>
      <c r="O181" s="43"/>
      <c r="P181" s="43"/>
      <c r="Q181" s="48">
        <f t="shared" si="47"/>
        <v>4537311040</v>
      </c>
      <c r="R181" s="48">
        <v>3670953400</v>
      </c>
      <c r="S181" s="33"/>
      <c r="T181" s="44">
        <v>7500000</v>
      </c>
      <c r="U181" s="33"/>
      <c r="V181" s="33"/>
      <c r="W181" s="52"/>
      <c r="X181" s="52">
        <f t="shared" ref="X181:Y181" si="174">M181-S181</f>
        <v>858857640</v>
      </c>
      <c r="Y181" s="52">
        <f t="shared" si="174"/>
        <v>0</v>
      </c>
      <c r="Z181" s="52">
        <f t="shared" si="7"/>
        <v>0</v>
      </c>
      <c r="AA181" s="54"/>
      <c r="AB181" s="68"/>
    </row>
    <row r="182" spans="1:28" ht="31.5" x14ac:dyDescent="0.25">
      <c r="A182" s="33" t="s">
        <v>46</v>
      </c>
      <c r="B182" s="42">
        <v>168</v>
      </c>
      <c r="C182" s="33" t="s">
        <v>386</v>
      </c>
      <c r="D182" s="33" t="s">
        <v>1423</v>
      </c>
      <c r="E182" s="32"/>
      <c r="F182" s="33" t="s">
        <v>1424</v>
      </c>
      <c r="G182" s="32"/>
      <c r="H182" s="32"/>
      <c r="I182" s="33" t="s">
        <v>1425</v>
      </c>
      <c r="J182" s="33" t="s">
        <v>43</v>
      </c>
      <c r="K182" s="33" t="s">
        <v>1426</v>
      </c>
      <c r="L182" s="48">
        <v>8433071600</v>
      </c>
      <c r="M182" s="32"/>
      <c r="N182" s="48">
        <v>7500000</v>
      </c>
      <c r="O182" s="43"/>
      <c r="P182" s="43"/>
      <c r="Q182" s="48">
        <f t="shared" si="47"/>
        <v>8440571600</v>
      </c>
      <c r="R182" s="48">
        <v>8433071600</v>
      </c>
      <c r="S182" s="33"/>
      <c r="T182" s="66"/>
      <c r="U182" s="33"/>
      <c r="V182" s="33"/>
      <c r="W182" s="52"/>
      <c r="X182" s="52">
        <f t="shared" ref="X182:Y182" si="175">M182-S182</f>
        <v>0</v>
      </c>
      <c r="Y182" s="52">
        <f t="shared" si="175"/>
        <v>7500000</v>
      </c>
      <c r="Z182" s="52">
        <f t="shared" si="7"/>
        <v>0</v>
      </c>
      <c r="AA182" s="54"/>
      <c r="AB182" s="68"/>
    </row>
    <row r="183" spans="1:28" ht="47.25" x14ac:dyDescent="0.25">
      <c r="A183" s="33" t="s">
        <v>60</v>
      </c>
      <c r="B183" s="42">
        <v>169</v>
      </c>
      <c r="C183" s="33" t="s">
        <v>386</v>
      </c>
      <c r="D183" s="33" t="s">
        <v>1009</v>
      </c>
      <c r="E183" s="33" t="s">
        <v>1011</v>
      </c>
      <c r="F183" s="33" t="s">
        <v>1014</v>
      </c>
      <c r="G183" s="33" t="s">
        <v>1015</v>
      </c>
      <c r="H183" s="32"/>
      <c r="I183" s="33" t="s">
        <v>1016</v>
      </c>
      <c r="J183" s="33" t="s">
        <v>43</v>
      </c>
      <c r="K183" s="33" t="s">
        <v>1017</v>
      </c>
      <c r="L183" s="48">
        <v>5988544304</v>
      </c>
      <c r="M183" s="48">
        <v>118968048</v>
      </c>
      <c r="N183" s="48">
        <v>15000000</v>
      </c>
      <c r="O183" s="43" t="s">
        <v>1012</v>
      </c>
      <c r="P183" s="69">
        <v>36000000</v>
      </c>
      <c r="Q183" s="48">
        <f t="shared" si="47"/>
        <v>6158512352</v>
      </c>
      <c r="R183" s="48">
        <v>5988544304</v>
      </c>
      <c r="S183" s="48">
        <v>118968048</v>
      </c>
      <c r="T183" s="44">
        <v>15000000</v>
      </c>
      <c r="U183" s="48">
        <v>36000000</v>
      </c>
      <c r="V183" s="33"/>
      <c r="W183" s="52"/>
      <c r="X183" s="52">
        <f t="shared" ref="X183:Y183" si="176">M183-S183</f>
        <v>0</v>
      </c>
      <c r="Y183" s="52">
        <f t="shared" si="176"/>
        <v>0</v>
      </c>
      <c r="Z183" s="52">
        <f t="shared" si="7"/>
        <v>0</v>
      </c>
      <c r="AA183" s="54"/>
      <c r="AB183" s="68"/>
    </row>
    <row r="184" spans="1:28" ht="31.5" x14ac:dyDescent="0.25">
      <c r="A184" s="33" t="s">
        <v>46</v>
      </c>
      <c r="B184" s="42">
        <v>170</v>
      </c>
      <c r="C184" s="33" t="s">
        <v>386</v>
      </c>
      <c r="D184" s="33" t="s">
        <v>1436</v>
      </c>
      <c r="E184" s="33" t="s">
        <v>1437</v>
      </c>
      <c r="F184" s="33" t="s">
        <v>1438</v>
      </c>
      <c r="G184" s="33" t="s">
        <v>1439</v>
      </c>
      <c r="H184" s="32"/>
      <c r="I184" s="33" t="s">
        <v>1440</v>
      </c>
      <c r="J184" s="33" t="s">
        <v>43</v>
      </c>
      <c r="K184" s="33" t="s">
        <v>1441</v>
      </c>
      <c r="L184" s="48">
        <v>2032992492</v>
      </c>
      <c r="M184" s="48">
        <v>46891008</v>
      </c>
      <c r="N184" s="48">
        <v>15000000</v>
      </c>
      <c r="O184" s="43"/>
      <c r="P184" s="43"/>
      <c r="Q184" s="48">
        <f t="shared" si="47"/>
        <v>2094883500</v>
      </c>
      <c r="R184" s="48">
        <v>2032992492</v>
      </c>
      <c r="S184" s="33"/>
      <c r="T184" s="44">
        <v>15000000</v>
      </c>
      <c r="U184" s="33"/>
      <c r="V184" s="33"/>
      <c r="W184" s="52"/>
      <c r="X184" s="52">
        <f t="shared" ref="X184:Y184" si="177">M184-S184</f>
        <v>46891008</v>
      </c>
      <c r="Y184" s="52">
        <f t="shared" si="177"/>
        <v>0</v>
      </c>
      <c r="Z184" s="52">
        <f t="shared" si="7"/>
        <v>0</v>
      </c>
      <c r="AA184" s="54"/>
      <c r="AB184" s="68"/>
    </row>
    <row r="185" spans="1:28" ht="31.5" x14ac:dyDescent="0.25">
      <c r="A185" s="33" t="s">
        <v>52</v>
      </c>
      <c r="B185" s="42">
        <v>171</v>
      </c>
      <c r="C185" s="33" t="s">
        <v>386</v>
      </c>
      <c r="D185" s="33" t="s">
        <v>1448</v>
      </c>
      <c r="E185" s="32"/>
      <c r="F185" s="33" t="s">
        <v>1449</v>
      </c>
      <c r="G185" s="32"/>
      <c r="H185" s="32"/>
      <c r="I185" s="33" t="s">
        <v>1450</v>
      </c>
      <c r="J185" s="33" t="s">
        <v>43</v>
      </c>
      <c r="K185" s="33" t="s">
        <v>1451</v>
      </c>
      <c r="L185" s="48">
        <v>3992486323</v>
      </c>
      <c r="M185" s="32"/>
      <c r="N185" s="48">
        <v>7500000</v>
      </c>
      <c r="O185" s="43"/>
      <c r="P185" s="43"/>
      <c r="Q185" s="48">
        <f t="shared" si="47"/>
        <v>3999986323</v>
      </c>
      <c r="R185" s="48">
        <v>3992486323</v>
      </c>
      <c r="S185" s="33"/>
      <c r="T185" s="44">
        <v>7500000</v>
      </c>
      <c r="U185" s="33"/>
      <c r="V185" s="33"/>
      <c r="W185" s="52"/>
      <c r="X185" s="52">
        <f t="shared" ref="X185:Y185" si="178">M185-S185</f>
        <v>0</v>
      </c>
      <c r="Y185" s="52">
        <f t="shared" si="178"/>
        <v>0</v>
      </c>
      <c r="Z185" s="52">
        <f t="shared" si="7"/>
        <v>0</v>
      </c>
      <c r="AA185" s="54"/>
      <c r="AB185" s="68"/>
    </row>
    <row r="186" spans="1:28" ht="31.5" x14ac:dyDescent="0.25">
      <c r="A186" s="33" t="s">
        <v>60</v>
      </c>
      <c r="B186" s="42">
        <v>172</v>
      </c>
      <c r="C186" s="33" t="s">
        <v>386</v>
      </c>
      <c r="D186" s="33" t="s">
        <v>1457</v>
      </c>
      <c r="E186" s="32"/>
      <c r="F186" s="33" t="s">
        <v>1458</v>
      </c>
      <c r="G186" s="32"/>
      <c r="H186" s="32"/>
      <c r="I186" s="33" t="s">
        <v>1459</v>
      </c>
      <c r="J186" s="33" t="s">
        <v>43</v>
      </c>
      <c r="K186" s="33" t="s">
        <v>1460</v>
      </c>
      <c r="L186" s="48">
        <v>729829000</v>
      </c>
      <c r="M186" s="32"/>
      <c r="N186" s="48">
        <v>7500000</v>
      </c>
      <c r="O186" s="43"/>
      <c r="P186" s="43"/>
      <c r="Q186" s="48">
        <f t="shared" si="47"/>
        <v>737329000</v>
      </c>
      <c r="R186" s="48">
        <v>729829000</v>
      </c>
      <c r="S186" s="33"/>
      <c r="T186" s="44">
        <v>7500000</v>
      </c>
      <c r="U186" s="33"/>
      <c r="V186" s="33"/>
      <c r="W186" s="52"/>
      <c r="X186" s="52">
        <f t="shared" ref="X186:Y186" si="179">M186-S186</f>
        <v>0</v>
      </c>
      <c r="Y186" s="52">
        <f t="shared" si="179"/>
        <v>0</v>
      </c>
      <c r="Z186" s="52">
        <f t="shared" si="7"/>
        <v>0</v>
      </c>
      <c r="AA186" s="54"/>
      <c r="AB186" s="68"/>
    </row>
    <row r="187" spans="1:28" ht="31.5" x14ac:dyDescent="0.25">
      <c r="A187" s="33" t="s">
        <v>46</v>
      </c>
      <c r="B187" s="42">
        <v>173</v>
      </c>
      <c r="C187" s="33" t="s">
        <v>386</v>
      </c>
      <c r="D187" s="33" t="s">
        <v>1466</v>
      </c>
      <c r="E187" s="32"/>
      <c r="F187" s="33" t="s">
        <v>1467</v>
      </c>
      <c r="G187" s="32"/>
      <c r="H187" s="32"/>
      <c r="I187" s="33" t="s">
        <v>1468</v>
      </c>
      <c r="J187" s="33" t="s">
        <v>43</v>
      </c>
      <c r="K187" s="33" t="s">
        <v>1469</v>
      </c>
      <c r="L187" s="48">
        <v>124266760</v>
      </c>
      <c r="M187" s="32"/>
      <c r="N187" s="48">
        <v>7500000</v>
      </c>
      <c r="O187" s="43"/>
      <c r="P187" s="43"/>
      <c r="Q187" s="48">
        <f t="shared" si="47"/>
        <v>131766760</v>
      </c>
      <c r="R187" s="48">
        <v>124266760</v>
      </c>
      <c r="S187" s="33"/>
      <c r="T187" s="44">
        <v>7500000</v>
      </c>
      <c r="U187" s="33"/>
      <c r="V187" s="33"/>
      <c r="W187" s="52"/>
      <c r="X187" s="52">
        <f t="shared" ref="X187:Y187" si="180">M187-S187</f>
        <v>0</v>
      </c>
      <c r="Y187" s="52">
        <f t="shared" si="180"/>
        <v>0</v>
      </c>
      <c r="Z187" s="52">
        <f t="shared" si="7"/>
        <v>0</v>
      </c>
      <c r="AA187" s="54"/>
      <c r="AB187" s="68"/>
    </row>
    <row r="188" spans="1:28" ht="31.5" x14ac:dyDescent="0.25">
      <c r="A188" s="33" t="s">
        <v>60</v>
      </c>
      <c r="B188" s="42">
        <v>174</v>
      </c>
      <c r="C188" s="33" t="s">
        <v>386</v>
      </c>
      <c r="D188" s="33" t="s">
        <v>1470</v>
      </c>
      <c r="E188" s="32"/>
      <c r="F188" s="33" t="s">
        <v>1472</v>
      </c>
      <c r="G188" s="32"/>
      <c r="H188" s="32"/>
      <c r="I188" s="33" t="s">
        <v>1474</v>
      </c>
      <c r="J188" s="33" t="s">
        <v>43</v>
      </c>
      <c r="K188" s="33" t="s">
        <v>1476</v>
      </c>
      <c r="L188" s="42">
        <v>0</v>
      </c>
      <c r="M188" s="32"/>
      <c r="N188" s="48">
        <v>7500000</v>
      </c>
      <c r="O188" s="43"/>
      <c r="P188" s="43"/>
      <c r="Q188" s="48">
        <f t="shared" si="47"/>
        <v>7500000</v>
      </c>
      <c r="R188" s="42">
        <v>0</v>
      </c>
      <c r="S188" s="33"/>
      <c r="T188" s="66"/>
      <c r="U188" s="33"/>
      <c r="V188" s="33"/>
      <c r="W188" s="52"/>
      <c r="X188" s="52">
        <f t="shared" ref="X188:Y188" si="181">M188-S188</f>
        <v>0</v>
      </c>
      <c r="Y188" s="52">
        <f t="shared" si="181"/>
        <v>7500000</v>
      </c>
      <c r="Z188" s="52">
        <f t="shared" si="7"/>
        <v>0</v>
      </c>
      <c r="AA188" s="54"/>
      <c r="AB188" s="68"/>
    </row>
    <row r="189" spans="1:28" ht="63" x14ac:dyDescent="0.25">
      <c r="A189" s="33" t="s">
        <v>52</v>
      </c>
      <c r="B189" s="42">
        <v>175</v>
      </c>
      <c r="C189" s="33" t="s">
        <v>386</v>
      </c>
      <c r="D189" s="33" t="s">
        <v>1478</v>
      </c>
      <c r="E189" s="33" t="s">
        <v>1479</v>
      </c>
      <c r="F189" s="33" t="s">
        <v>1480</v>
      </c>
      <c r="G189" s="33" t="s">
        <v>1481</v>
      </c>
      <c r="H189" s="32"/>
      <c r="I189" s="33" t="s">
        <v>1482</v>
      </c>
      <c r="J189" s="33" t="s">
        <v>43</v>
      </c>
      <c r="K189" s="33" t="s">
        <v>1483</v>
      </c>
      <c r="L189" s="48">
        <v>2265222670</v>
      </c>
      <c r="M189" s="48">
        <v>552867384</v>
      </c>
      <c r="N189" s="48">
        <v>7500000</v>
      </c>
      <c r="O189" s="43"/>
      <c r="P189" s="43"/>
      <c r="Q189" s="48">
        <f t="shared" si="47"/>
        <v>2825590054</v>
      </c>
      <c r="R189" s="33"/>
      <c r="S189" s="33"/>
      <c r="T189" s="66"/>
      <c r="U189" s="33"/>
      <c r="V189" s="33"/>
      <c r="W189" s="52">
        <v>2265222670</v>
      </c>
      <c r="X189" s="52">
        <f t="shared" ref="X189:Y189" si="182">M189-S189</f>
        <v>552867384</v>
      </c>
      <c r="Y189" s="52">
        <f t="shared" si="182"/>
        <v>7500000</v>
      </c>
      <c r="Z189" s="52">
        <f t="shared" si="7"/>
        <v>0</v>
      </c>
      <c r="AA189" s="69">
        <v>2818090054</v>
      </c>
      <c r="AB189" s="68"/>
    </row>
    <row r="190" spans="1:28" ht="31.5" x14ac:dyDescent="0.25">
      <c r="A190" s="33" t="s">
        <v>46</v>
      </c>
      <c r="B190" s="42">
        <v>176</v>
      </c>
      <c r="C190" s="33" t="s">
        <v>386</v>
      </c>
      <c r="D190" s="33" t="s">
        <v>1488</v>
      </c>
      <c r="E190" s="32"/>
      <c r="F190" s="33" t="s">
        <v>1489</v>
      </c>
      <c r="G190" s="32"/>
      <c r="H190" s="32"/>
      <c r="I190" s="33" t="s">
        <v>1490</v>
      </c>
      <c r="J190" s="33" t="s">
        <v>43</v>
      </c>
      <c r="K190" s="33" t="s">
        <v>1491</v>
      </c>
      <c r="L190" s="48">
        <v>10643430</v>
      </c>
      <c r="M190" s="32"/>
      <c r="N190" s="48">
        <v>7500000</v>
      </c>
      <c r="O190" s="43"/>
      <c r="P190" s="43"/>
      <c r="Q190" s="48">
        <f t="shared" si="47"/>
        <v>18143430</v>
      </c>
      <c r="R190" s="48">
        <v>10643430</v>
      </c>
      <c r="S190" s="33"/>
      <c r="T190" s="44">
        <v>7500000</v>
      </c>
      <c r="U190" s="33"/>
      <c r="V190" s="33"/>
      <c r="W190" s="52"/>
      <c r="X190" s="52">
        <f t="shared" ref="X190:Y190" si="183">M190-S190</f>
        <v>0</v>
      </c>
      <c r="Y190" s="52">
        <f t="shared" si="183"/>
        <v>0</v>
      </c>
      <c r="Z190" s="52">
        <f t="shared" si="7"/>
        <v>0</v>
      </c>
      <c r="AA190" s="54"/>
      <c r="AB190" s="68"/>
    </row>
    <row r="191" spans="1:28" ht="31.5" x14ac:dyDescent="0.25">
      <c r="A191" s="33" t="s">
        <v>52</v>
      </c>
      <c r="B191" s="42">
        <v>177</v>
      </c>
      <c r="C191" s="33" t="s">
        <v>386</v>
      </c>
      <c r="D191" s="33" t="s">
        <v>1498</v>
      </c>
      <c r="E191" s="32"/>
      <c r="F191" s="33" t="s">
        <v>1499</v>
      </c>
      <c r="G191" s="32"/>
      <c r="H191" s="32"/>
      <c r="I191" s="33" t="s">
        <v>1500</v>
      </c>
      <c r="J191" s="33" t="s">
        <v>43</v>
      </c>
      <c r="K191" s="33" t="s">
        <v>1501</v>
      </c>
      <c r="L191" s="48">
        <v>8918600276</v>
      </c>
      <c r="M191" s="32"/>
      <c r="N191" s="48">
        <v>15000000</v>
      </c>
      <c r="O191" s="43"/>
      <c r="P191" s="43"/>
      <c r="Q191" s="48">
        <f t="shared" si="47"/>
        <v>8933600276</v>
      </c>
      <c r="R191" s="48">
        <v>8918600276</v>
      </c>
      <c r="S191" s="33"/>
      <c r="T191" s="44">
        <v>15000000</v>
      </c>
      <c r="U191" s="33"/>
      <c r="V191" s="33"/>
      <c r="W191" s="52"/>
      <c r="X191" s="52">
        <f t="shared" ref="X191:Y191" si="184">M191-S191</f>
        <v>0</v>
      </c>
      <c r="Y191" s="52">
        <f t="shared" si="184"/>
        <v>0</v>
      </c>
      <c r="Z191" s="52">
        <f t="shared" si="7"/>
        <v>0</v>
      </c>
      <c r="AA191" s="54"/>
      <c r="AB191" s="68"/>
    </row>
    <row r="192" spans="1:28" ht="31.5" x14ac:dyDescent="0.25">
      <c r="A192" s="33" t="s">
        <v>52</v>
      </c>
      <c r="B192" s="42">
        <v>178</v>
      </c>
      <c r="C192" s="33" t="s">
        <v>386</v>
      </c>
      <c r="D192" s="33" t="s">
        <v>1506</v>
      </c>
      <c r="E192" s="33" t="s">
        <v>156</v>
      </c>
      <c r="F192" s="33" t="s">
        <v>1507</v>
      </c>
      <c r="G192" s="33" t="s">
        <v>405</v>
      </c>
      <c r="H192" s="32"/>
      <c r="I192" s="33" t="s">
        <v>1508</v>
      </c>
      <c r="J192" s="33" t="s">
        <v>43</v>
      </c>
      <c r="K192" s="33" t="s">
        <v>1509</v>
      </c>
      <c r="L192" s="48">
        <v>1981953376</v>
      </c>
      <c r="M192" s="48">
        <v>93049344</v>
      </c>
      <c r="N192" s="48">
        <v>15000000</v>
      </c>
      <c r="O192" s="43"/>
      <c r="P192" s="43"/>
      <c r="Q192" s="48">
        <f t="shared" si="47"/>
        <v>2090002720</v>
      </c>
      <c r="R192" s="48">
        <v>1981953376</v>
      </c>
      <c r="S192" s="48">
        <v>93049344</v>
      </c>
      <c r="T192" s="44">
        <v>15000000</v>
      </c>
      <c r="U192" s="33"/>
      <c r="V192" s="33"/>
      <c r="W192" s="52"/>
      <c r="X192" s="52">
        <f t="shared" ref="X192:Y192" si="185">M192-S192</f>
        <v>0</v>
      </c>
      <c r="Y192" s="52">
        <f t="shared" si="185"/>
        <v>0</v>
      </c>
      <c r="Z192" s="52">
        <f t="shared" si="7"/>
        <v>0</v>
      </c>
      <c r="AA192" s="54"/>
      <c r="AB192" s="68"/>
    </row>
    <row r="193" spans="1:28" ht="31.5" x14ac:dyDescent="0.25">
      <c r="A193" s="33" t="s">
        <v>60</v>
      </c>
      <c r="B193" s="42">
        <v>179</v>
      </c>
      <c r="C193" s="33" t="s">
        <v>386</v>
      </c>
      <c r="D193" s="33" t="s">
        <v>1514</v>
      </c>
      <c r="E193" s="32"/>
      <c r="F193" s="33" t="s">
        <v>859</v>
      </c>
      <c r="G193" s="32"/>
      <c r="H193" s="32"/>
      <c r="I193" s="33" t="s">
        <v>1515</v>
      </c>
      <c r="J193" s="33" t="s">
        <v>43</v>
      </c>
      <c r="K193" s="33" t="s">
        <v>274</v>
      </c>
      <c r="L193" s="48">
        <v>10000000</v>
      </c>
      <c r="M193" s="32"/>
      <c r="N193" s="48">
        <v>15000000</v>
      </c>
      <c r="O193" s="43"/>
      <c r="P193" s="43"/>
      <c r="Q193" s="48">
        <f t="shared" si="47"/>
        <v>25000000</v>
      </c>
      <c r="R193" s="52">
        <v>10000000</v>
      </c>
      <c r="S193" s="33"/>
      <c r="T193" s="44">
        <v>15000000</v>
      </c>
      <c r="U193" s="33"/>
      <c r="V193" s="33"/>
      <c r="W193" s="52"/>
      <c r="X193" s="52">
        <f t="shared" ref="X193:Y193" si="186">M193-S193</f>
        <v>0</v>
      </c>
      <c r="Y193" s="52">
        <f t="shared" si="186"/>
        <v>0</v>
      </c>
      <c r="Z193" s="52">
        <f t="shared" si="7"/>
        <v>0</v>
      </c>
      <c r="AA193" s="54"/>
      <c r="AB193" s="68"/>
    </row>
    <row r="194" spans="1:28" ht="31.5" x14ac:dyDescent="0.25">
      <c r="A194" s="33" t="s">
        <v>60</v>
      </c>
      <c r="B194" s="42">
        <v>180</v>
      </c>
      <c r="C194" s="33" t="s">
        <v>386</v>
      </c>
      <c r="D194" s="33" t="s">
        <v>1520</v>
      </c>
      <c r="E194" s="32"/>
      <c r="F194" s="33" t="s">
        <v>1521</v>
      </c>
      <c r="G194" s="32"/>
      <c r="H194" s="32"/>
      <c r="I194" s="33" t="s">
        <v>1522</v>
      </c>
      <c r="J194" s="33" t="s">
        <v>43</v>
      </c>
      <c r="K194" s="33" t="s">
        <v>1523</v>
      </c>
      <c r="L194" s="48">
        <v>10000000</v>
      </c>
      <c r="M194" s="32"/>
      <c r="N194" s="48">
        <v>15000000</v>
      </c>
      <c r="O194" s="43"/>
      <c r="P194" s="43"/>
      <c r="Q194" s="48">
        <f t="shared" si="47"/>
        <v>25000000</v>
      </c>
      <c r="R194" s="52">
        <v>10000000</v>
      </c>
      <c r="S194" s="33"/>
      <c r="T194" s="44">
        <v>15000000</v>
      </c>
      <c r="U194" s="33"/>
      <c r="V194" s="33"/>
      <c r="W194" s="52"/>
      <c r="X194" s="52">
        <f t="shared" ref="X194:Y194" si="187">M194-S194</f>
        <v>0</v>
      </c>
      <c r="Y194" s="52">
        <f t="shared" si="187"/>
        <v>0</v>
      </c>
      <c r="Z194" s="52">
        <f t="shared" si="7"/>
        <v>0</v>
      </c>
      <c r="AA194" s="54"/>
      <c r="AB194" s="68"/>
    </row>
    <row r="195" spans="1:28" ht="47.25" x14ac:dyDescent="0.25">
      <c r="A195" s="33" t="s">
        <v>60</v>
      </c>
      <c r="B195" s="42">
        <v>181</v>
      </c>
      <c r="C195" s="33" t="s">
        <v>386</v>
      </c>
      <c r="D195" s="33" t="s">
        <v>387</v>
      </c>
      <c r="E195" s="33" t="s">
        <v>156</v>
      </c>
      <c r="F195" s="33" t="s">
        <v>389</v>
      </c>
      <c r="G195" s="33" t="s">
        <v>390</v>
      </c>
      <c r="H195" s="32"/>
      <c r="I195" s="33" t="s">
        <v>391</v>
      </c>
      <c r="J195" s="33" t="s">
        <v>43</v>
      </c>
      <c r="K195" s="33" t="s">
        <v>392</v>
      </c>
      <c r="L195" s="48">
        <v>14532544980</v>
      </c>
      <c r="M195" s="48">
        <v>643772000</v>
      </c>
      <c r="N195" s="48">
        <v>15000000</v>
      </c>
      <c r="O195" s="43" t="s">
        <v>388</v>
      </c>
      <c r="P195" s="69">
        <v>48000000</v>
      </c>
      <c r="Q195" s="48">
        <f t="shared" si="47"/>
        <v>15239316980</v>
      </c>
      <c r="R195" s="48">
        <v>14532544980</v>
      </c>
      <c r="S195" s="48">
        <v>643772000</v>
      </c>
      <c r="T195" s="44">
        <v>15000000</v>
      </c>
      <c r="U195" s="48">
        <v>48000000</v>
      </c>
      <c r="V195" s="33"/>
      <c r="W195" s="52"/>
      <c r="X195" s="52">
        <f t="shared" ref="X195:Y195" si="188">M195-S195</f>
        <v>0</v>
      </c>
      <c r="Y195" s="52">
        <f t="shared" si="188"/>
        <v>0</v>
      </c>
      <c r="Z195" s="52">
        <f t="shared" si="7"/>
        <v>0</v>
      </c>
      <c r="AA195" s="54"/>
      <c r="AB195" s="68"/>
    </row>
    <row r="196" spans="1:28" ht="63" x14ac:dyDescent="0.25">
      <c r="A196" s="33" t="s">
        <v>60</v>
      </c>
      <c r="B196" s="42">
        <v>182</v>
      </c>
      <c r="C196" s="33" t="s">
        <v>1018</v>
      </c>
      <c r="D196" s="33" t="s">
        <v>1537</v>
      </c>
      <c r="E196" s="33" t="s">
        <v>1538</v>
      </c>
      <c r="F196" s="33" t="s">
        <v>431</v>
      </c>
      <c r="G196" s="33" t="s">
        <v>1539</v>
      </c>
      <c r="H196" s="32"/>
      <c r="I196" s="33" t="s">
        <v>1541</v>
      </c>
      <c r="J196" s="33" t="s">
        <v>43</v>
      </c>
      <c r="K196" s="33" t="s">
        <v>1544</v>
      </c>
      <c r="L196" s="48">
        <v>336768568</v>
      </c>
      <c r="M196" s="48">
        <v>141798254</v>
      </c>
      <c r="N196" s="48">
        <v>7500000</v>
      </c>
      <c r="O196" s="43"/>
      <c r="P196" s="43"/>
      <c r="Q196" s="48">
        <f t="shared" si="47"/>
        <v>486066822</v>
      </c>
      <c r="R196" s="48">
        <v>336768568</v>
      </c>
      <c r="S196" s="48">
        <v>116040254</v>
      </c>
      <c r="T196" s="44">
        <v>7500000</v>
      </c>
      <c r="U196" s="33"/>
      <c r="V196" s="33"/>
      <c r="W196" s="52"/>
      <c r="X196" s="52">
        <f t="shared" ref="X196:Y196" si="189">M196-S196</f>
        <v>25758000</v>
      </c>
      <c r="Y196" s="52">
        <f t="shared" si="189"/>
        <v>0</v>
      </c>
      <c r="Z196" s="52">
        <f t="shared" si="7"/>
        <v>0</v>
      </c>
      <c r="AA196" s="54"/>
      <c r="AB196" s="68"/>
    </row>
    <row r="197" spans="1:28" ht="31.5" x14ac:dyDescent="0.25">
      <c r="A197" s="33" t="s">
        <v>60</v>
      </c>
      <c r="B197" s="42">
        <v>183</v>
      </c>
      <c r="C197" s="33" t="s">
        <v>1018</v>
      </c>
      <c r="D197" s="33" t="s">
        <v>1549</v>
      </c>
      <c r="E197" s="32"/>
      <c r="F197" s="33" t="s">
        <v>1550</v>
      </c>
      <c r="G197" s="32"/>
      <c r="H197" s="32"/>
      <c r="I197" s="33" t="s">
        <v>1551</v>
      </c>
      <c r="J197" s="33" t="s">
        <v>43</v>
      </c>
      <c r="K197" s="33" t="s">
        <v>1553</v>
      </c>
      <c r="L197" s="48">
        <v>1710548356</v>
      </c>
      <c r="M197" s="32"/>
      <c r="N197" s="48">
        <v>7500000</v>
      </c>
      <c r="O197" s="43"/>
      <c r="P197" s="43"/>
      <c r="Q197" s="48">
        <f t="shared" si="47"/>
        <v>1718048356</v>
      </c>
      <c r="R197" s="48">
        <v>1710548356</v>
      </c>
      <c r="S197" s="33"/>
      <c r="T197" s="66"/>
      <c r="U197" s="33"/>
      <c r="V197" s="33"/>
      <c r="W197" s="52"/>
      <c r="X197" s="52">
        <f t="shared" ref="X197:Y197" si="190">M197-S197</f>
        <v>0</v>
      </c>
      <c r="Y197" s="52">
        <f t="shared" si="190"/>
        <v>7500000</v>
      </c>
      <c r="Z197" s="52">
        <f t="shared" si="7"/>
        <v>0</v>
      </c>
      <c r="AA197" s="54"/>
      <c r="AB197" s="68"/>
    </row>
    <row r="198" spans="1:28" ht="31.5" x14ac:dyDescent="0.25">
      <c r="A198" s="33" t="s">
        <v>60</v>
      </c>
      <c r="B198" s="42">
        <v>184</v>
      </c>
      <c r="C198" s="33" t="s">
        <v>1018</v>
      </c>
      <c r="D198" s="33" t="s">
        <v>1560</v>
      </c>
      <c r="E198" s="32"/>
      <c r="F198" s="33" t="s">
        <v>1563</v>
      </c>
      <c r="G198" s="32"/>
      <c r="H198" s="32"/>
      <c r="I198" s="33" t="s">
        <v>1565</v>
      </c>
      <c r="J198" s="33" t="s">
        <v>43</v>
      </c>
      <c r="K198" s="33" t="s">
        <v>1567</v>
      </c>
      <c r="L198" s="48">
        <v>2940512944</v>
      </c>
      <c r="M198" s="32"/>
      <c r="N198" s="48">
        <v>7500000</v>
      </c>
      <c r="O198" s="43"/>
      <c r="P198" s="43"/>
      <c r="Q198" s="48">
        <f t="shared" si="47"/>
        <v>2948012944</v>
      </c>
      <c r="R198" s="48">
        <v>2940512944</v>
      </c>
      <c r="S198" s="33"/>
      <c r="T198" s="44">
        <v>7500000</v>
      </c>
      <c r="U198" s="33"/>
      <c r="V198" s="33"/>
      <c r="W198" s="52"/>
      <c r="X198" s="52">
        <f t="shared" ref="X198:Y198" si="191">M198-S198</f>
        <v>0</v>
      </c>
      <c r="Y198" s="52">
        <f t="shared" si="191"/>
        <v>0</v>
      </c>
      <c r="Z198" s="52">
        <f t="shared" si="7"/>
        <v>0</v>
      </c>
      <c r="AA198" s="54"/>
      <c r="AB198" s="68"/>
    </row>
    <row r="199" spans="1:28" ht="31.5" x14ac:dyDescent="0.25">
      <c r="A199" s="33" t="s">
        <v>60</v>
      </c>
      <c r="B199" s="42">
        <v>185</v>
      </c>
      <c r="C199" s="33" t="s">
        <v>1018</v>
      </c>
      <c r="D199" s="33" t="s">
        <v>1569</v>
      </c>
      <c r="E199" s="32"/>
      <c r="F199" s="33" t="s">
        <v>931</v>
      </c>
      <c r="G199" s="32"/>
      <c r="H199" s="32"/>
      <c r="I199" s="33" t="s">
        <v>1570</v>
      </c>
      <c r="J199" s="33" t="s">
        <v>43</v>
      </c>
      <c r="K199" s="33" t="s">
        <v>1571</v>
      </c>
      <c r="L199" s="48">
        <v>1486137360</v>
      </c>
      <c r="M199" s="32"/>
      <c r="N199" s="48">
        <v>7500000</v>
      </c>
      <c r="O199" s="43"/>
      <c r="P199" s="43"/>
      <c r="Q199" s="48">
        <f t="shared" si="47"/>
        <v>1493637360</v>
      </c>
      <c r="R199" s="52">
        <v>1486137360</v>
      </c>
      <c r="S199" s="33"/>
      <c r="T199" s="44">
        <v>7500000</v>
      </c>
      <c r="U199" s="33"/>
      <c r="V199" s="33"/>
      <c r="W199" s="52"/>
      <c r="X199" s="52">
        <f t="shared" ref="X199:Y199" si="192">M199-S199</f>
        <v>0</v>
      </c>
      <c r="Y199" s="52">
        <f t="shared" si="192"/>
        <v>0</v>
      </c>
      <c r="Z199" s="52">
        <f t="shared" si="7"/>
        <v>0</v>
      </c>
      <c r="AA199" s="54"/>
      <c r="AB199" s="68"/>
    </row>
    <row r="200" spans="1:28" ht="31.5" x14ac:dyDescent="0.25">
      <c r="A200" s="33" t="s">
        <v>60</v>
      </c>
      <c r="B200" s="42">
        <v>186</v>
      </c>
      <c r="C200" s="33" t="s">
        <v>1018</v>
      </c>
      <c r="D200" s="33" t="s">
        <v>1574</v>
      </c>
      <c r="E200" s="32"/>
      <c r="F200" s="33" t="s">
        <v>452</v>
      </c>
      <c r="G200" s="32"/>
      <c r="H200" s="32"/>
      <c r="I200" s="33" t="s">
        <v>1577</v>
      </c>
      <c r="J200" s="33" t="s">
        <v>43</v>
      </c>
      <c r="K200" s="33" t="s">
        <v>1578</v>
      </c>
      <c r="L200" s="48">
        <v>7125152398</v>
      </c>
      <c r="M200" s="32"/>
      <c r="N200" s="48">
        <v>15000000</v>
      </c>
      <c r="O200" s="43"/>
      <c r="P200" s="43"/>
      <c r="Q200" s="48">
        <f t="shared" si="47"/>
        <v>7140152398</v>
      </c>
      <c r="R200" s="48">
        <v>7125152398</v>
      </c>
      <c r="S200" s="33"/>
      <c r="T200" s="44">
        <v>15000000</v>
      </c>
      <c r="U200" s="33"/>
      <c r="V200" s="33"/>
      <c r="W200" s="52"/>
      <c r="X200" s="52">
        <f t="shared" ref="X200:Y200" si="193">M200-S200</f>
        <v>0</v>
      </c>
      <c r="Y200" s="52">
        <f t="shared" si="193"/>
        <v>0</v>
      </c>
      <c r="Z200" s="52">
        <f t="shared" si="7"/>
        <v>0</v>
      </c>
      <c r="AA200" s="54"/>
      <c r="AB200" s="68"/>
    </row>
    <row r="201" spans="1:28" ht="63" x14ac:dyDescent="0.25">
      <c r="A201" s="33" t="s">
        <v>60</v>
      </c>
      <c r="B201" s="42">
        <v>187</v>
      </c>
      <c r="C201" s="33" t="s">
        <v>1018</v>
      </c>
      <c r="D201" s="33" t="s">
        <v>1581</v>
      </c>
      <c r="E201" s="33" t="s">
        <v>1583</v>
      </c>
      <c r="F201" s="33" t="s">
        <v>1585</v>
      </c>
      <c r="G201" s="33" t="s">
        <v>1587</v>
      </c>
      <c r="H201" s="32"/>
      <c r="I201" s="33" t="s">
        <v>1589</v>
      </c>
      <c r="J201" s="33" t="s">
        <v>43</v>
      </c>
      <c r="K201" s="33" t="s">
        <v>1590</v>
      </c>
      <c r="L201" s="48">
        <v>6715150664</v>
      </c>
      <c r="M201" s="48">
        <v>15861376</v>
      </c>
      <c r="N201" s="48">
        <v>15000000</v>
      </c>
      <c r="O201" s="43"/>
      <c r="P201" s="43"/>
      <c r="Q201" s="48">
        <f t="shared" si="47"/>
        <v>6746012040</v>
      </c>
      <c r="R201" s="48">
        <v>6715150664</v>
      </c>
      <c r="S201" s="48">
        <v>15861376</v>
      </c>
      <c r="T201" s="44">
        <v>15000000</v>
      </c>
      <c r="U201" s="33"/>
      <c r="V201" s="33"/>
      <c r="W201" s="52"/>
      <c r="X201" s="52">
        <f t="shared" ref="X201:Y201" si="194">M201-S201</f>
        <v>0</v>
      </c>
      <c r="Y201" s="52">
        <f t="shared" si="194"/>
        <v>0</v>
      </c>
      <c r="Z201" s="52">
        <f t="shared" si="7"/>
        <v>0</v>
      </c>
      <c r="AA201" s="54"/>
      <c r="AB201" s="68"/>
    </row>
    <row r="202" spans="1:28" ht="31.5" x14ac:dyDescent="0.25">
      <c r="A202" s="33" t="s">
        <v>60</v>
      </c>
      <c r="B202" s="42">
        <v>188</v>
      </c>
      <c r="C202" s="33" t="s">
        <v>1018</v>
      </c>
      <c r="D202" s="33" t="s">
        <v>1597</v>
      </c>
      <c r="E202" s="32"/>
      <c r="F202" s="33" t="s">
        <v>1598</v>
      </c>
      <c r="G202" s="33" t="s">
        <v>1599</v>
      </c>
      <c r="H202" s="32"/>
      <c r="I202" s="33" t="s">
        <v>1600</v>
      </c>
      <c r="J202" s="33" t="s">
        <v>43</v>
      </c>
      <c r="K202" s="33" t="s">
        <v>1601</v>
      </c>
      <c r="L202" s="48">
        <v>5835879930</v>
      </c>
      <c r="M202" s="32"/>
      <c r="N202" s="48">
        <v>15000000</v>
      </c>
      <c r="O202" s="43"/>
      <c r="P202" s="43"/>
      <c r="Q202" s="48">
        <f t="shared" si="47"/>
        <v>5850879930</v>
      </c>
      <c r="R202" s="48">
        <v>5835879930</v>
      </c>
      <c r="S202" s="33"/>
      <c r="T202" s="44">
        <v>15000000</v>
      </c>
      <c r="U202" s="33"/>
      <c r="V202" s="33"/>
      <c r="W202" s="52"/>
      <c r="X202" s="52">
        <f t="shared" ref="X202:Y202" si="195">M202-S202</f>
        <v>0</v>
      </c>
      <c r="Y202" s="52">
        <f t="shared" si="195"/>
        <v>0</v>
      </c>
      <c r="Z202" s="52">
        <f t="shared" si="7"/>
        <v>0</v>
      </c>
      <c r="AA202" s="54"/>
      <c r="AB202" s="68"/>
    </row>
    <row r="203" spans="1:28" ht="31.5" x14ac:dyDescent="0.25">
      <c r="A203" s="33" t="s">
        <v>60</v>
      </c>
      <c r="B203" s="42">
        <v>189</v>
      </c>
      <c r="C203" s="33" t="s">
        <v>1018</v>
      </c>
      <c r="D203" s="33" t="s">
        <v>1019</v>
      </c>
      <c r="E203" s="32"/>
      <c r="F203" s="33" t="s">
        <v>1020</v>
      </c>
      <c r="G203" s="32"/>
      <c r="H203" s="32"/>
      <c r="I203" s="33" t="s">
        <v>1021</v>
      </c>
      <c r="J203" s="33" t="s">
        <v>43</v>
      </c>
      <c r="K203" s="33" t="s">
        <v>1022</v>
      </c>
      <c r="L203" s="48">
        <v>3789029120</v>
      </c>
      <c r="M203" s="32"/>
      <c r="N203" s="48">
        <v>15000000</v>
      </c>
      <c r="O203" s="43" t="s">
        <v>1012</v>
      </c>
      <c r="P203" s="69">
        <v>24000000</v>
      </c>
      <c r="Q203" s="48">
        <f t="shared" si="47"/>
        <v>3828029120</v>
      </c>
      <c r="R203" s="48">
        <v>3789029120</v>
      </c>
      <c r="S203" s="33"/>
      <c r="T203" s="44">
        <v>15000000</v>
      </c>
      <c r="U203" s="48">
        <v>24000000</v>
      </c>
      <c r="V203" s="33"/>
      <c r="W203" s="52"/>
      <c r="X203" s="52">
        <f t="shared" ref="X203:Y203" si="196">M203-S203</f>
        <v>0</v>
      </c>
      <c r="Y203" s="52">
        <f t="shared" si="196"/>
        <v>0</v>
      </c>
      <c r="Z203" s="52">
        <f t="shared" si="7"/>
        <v>0</v>
      </c>
      <c r="AA203" s="54"/>
      <c r="AB203" s="68"/>
    </row>
    <row r="204" spans="1:28" ht="31.5" x14ac:dyDescent="0.25">
      <c r="A204" s="33" t="s">
        <v>60</v>
      </c>
      <c r="B204" s="42">
        <v>190</v>
      </c>
      <c r="C204" s="33" t="s">
        <v>1018</v>
      </c>
      <c r="D204" s="33" t="s">
        <v>1607</v>
      </c>
      <c r="E204" s="33" t="s">
        <v>156</v>
      </c>
      <c r="F204" s="33" t="s">
        <v>1608</v>
      </c>
      <c r="G204" s="33" t="s">
        <v>1609</v>
      </c>
      <c r="H204" s="32"/>
      <c r="I204" s="33" t="s">
        <v>1611</v>
      </c>
      <c r="J204" s="33" t="s">
        <v>43</v>
      </c>
      <c r="K204" s="33" t="s">
        <v>1612</v>
      </c>
      <c r="L204" s="48">
        <v>3874838388</v>
      </c>
      <c r="M204" s="48">
        <v>219379565</v>
      </c>
      <c r="N204" s="48">
        <v>15000000</v>
      </c>
      <c r="O204" s="43"/>
      <c r="P204" s="43"/>
      <c r="Q204" s="48">
        <f t="shared" si="47"/>
        <v>4109217953</v>
      </c>
      <c r="R204" s="48">
        <v>3874838388</v>
      </c>
      <c r="S204" s="48">
        <v>219379565</v>
      </c>
      <c r="T204" s="44">
        <v>15000000</v>
      </c>
      <c r="U204" s="33"/>
      <c r="V204" s="33"/>
      <c r="W204" s="52"/>
      <c r="X204" s="52">
        <f t="shared" ref="X204:Y204" si="197">M204-S204</f>
        <v>0</v>
      </c>
      <c r="Y204" s="52">
        <f t="shared" si="197"/>
        <v>0</v>
      </c>
      <c r="Z204" s="52">
        <f t="shared" si="7"/>
        <v>0</v>
      </c>
      <c r="AA204" s="54"/>
      <c r="AB204" s="68"/>
    </row>
    <row r="205" spans="1:28" ht="31.5" x14ac:dyDescent="0.25">
      <c r="A205" s="33" t="s">
        <v>35</v>
      </c>
      <c r="B205" s="42">
        <v>191</v>
      </c>
      <c r="C205" s="33" t="s">
        <v>1018</v>
      </c>
      <c r="D205" s="33" t="s">
        <v>1616</v>
      </c>
      <c r="E205" s="33" t="s">
        <v>100</v>
      </c>
      <c r="F205" s="33" t="s">
        <v>1617</v>
      </c>
      <c r="G205" s="33" t="s">
        <v>1618</v>
      </c>
      <c r="H205" s="32"/>
      <c r="I205" s="33" t="s">
        <v>1619</v>
      </c>
      <c r="J205" s="33" t="s">
        <v>43</v>
      </c>
      <c r="K205" s="33" t="s">
        <v>1620</v>
      </c>
      <c r="L205" s="48">
        <v>1674305520</v>
      </c>
      <c r="M205" s="48">
        <v>74625408</v>
      </c>
      <c r="N205" s="48">
        <v>7500000</v>
      </c>
      <c r="O205" s="43"/>
      <c r="P205" s="43"/>
      <c r="Q205" s="48">
        <f t="shared" si="47"/>
        <v>1756430928</v>
      </c>
      <c r="R205" s="48">
        <v>1674305520</v>
      </c>
      <c r="S205" s="48">
        <v>74625408</v>
      </c>
      <c r="T205" s="44">
        <v>7500000</v>
      </c>
      <c r="U205" s="33"/>
      <c r="V205" s="33"/>
      <c r="W205" s="52"/>
      <c r="X205" s="52">
        <f t="shared" ref="X205:Y205" si="198">M205-S205</f>
        <v>0</v>
      </c>
      <c r="Y205" s="52">
        <f t="shared" si="198"/>
        <v>0</v>
      </c>
      <c r="Z205" s="52">
        <f t="shared" si="7"/>
        <v>0</v>
      </c>
      <c r="AA205" s="54"/>
      <c r="AB205" s="68"/>
    </row>
    <row r="206" spans="1:28" ht="31.5" x14ac:dyDescent="0.25">
      <c r="A206" s="33" t="s">
        <v>35</v>
      </c>
      <c r="B206" s="42">
        <v>192</v>
      </c>
      <c r="C206" s="33" t="s">
        <v>1018</v>
      </c>
      <c r="D206" s="33" t="s">
        <v>1625</v>
      </c>
      <c r="E206" s="32"/>
      <c r="F206" s="33" t="s">
        <v>1626</v>
      </c>
      <c r="G206" s="32"/>
      <c r="H206" s="32"/>
      <c r="I206" s="33" t="s">
        <v>1627</v>
      </c>
      <c r="J206" s="33" t="s">
        <v>43</v>
      </c>
      <c r="K206" s="33" t="s">
        <v>1628</v>
      </c>
      <c r="L206" s="48">
        <v>3072481912</v>
      </c>
      <c r="M206" s="32"/>
      <c r="N206" s="48">
        <v>15000000</v>
      </c>
      <c r="O206" s="43"/>
      <c r="P206" s="43"/>
      <c r="Q206" s="48">
        <f t="shared" si="47"/>
        <v>3087481912</v>
      </c>
      <c r="R206" s="48">
        <v>3072481912</v>
      </c>
      <c r="S206" s="33"/>
      <c r="T206" s="44">
        <v>15000000</v>
      </c>
      <c r="U206" s="33"/>
      <c r="V206" s="33"/>
      <c r="W206" s="52"/>
      <c r="X206" s="52">
        <f t="shared" ref="X206:Y206" si="199">M206-S206</f>
        <v>0</v>
      </c>
      <c r="Y206" s="52">
        <f t="shared" si="199"/>
        <v>0</v>
      </c>
      <c r="Z206" s="52">
        <f t="shared" si="7"/>
        <v>0</v>
      </c>
      <c r="AA206" s="54"/>
      <c r="AB206" s="68"/>
    </row>
    <row r="207" spans="1:28" ht="47.25" x14ac:dyDescent="0.25">
      <c r="A207" s="33" t="s">
        <v>35</v>
      </c>
      <c r="B207" s="42">
        <v>193</v>
      </c>
      <c r="C207" s="33" t="s">
        <v>1018</v>
      </c>
      <c r="D207" s="33" t="s">
        <v>1634</v>
      </c>
      <c r="E207" s="33" t="s">
        <v>1635</v>
      </c>
      <c r="F207" s="33" t="s">
        <v>1636</v>
      </c>
      <c r="G207" s="33" t="s">
        <v>1637</v>
      </c>
      <c r="H207" s="32"/>
      <c r="I207" s="33" t="s">
        <v>1638</v>
      </c>
      <c r="J207" s="33" t="s">
        <v>43</v>
      </c>
      <c r="K207" s="33" t="s">
        <v>1639</v>
      </c>
      <c r="L207" s="48">
        <v>3088268220</v>
      </c>
      <c r="M207" s="48">
        <v>903427190</v>
      </c>
      <c r="N207" s="48">
        <v>15000000</v>
      </c>
      <c r="O207" s="43"/>
      <c r="P207" s="43"/>
      <c r="Q207" s="48">
        <f t="shared" si="47"/>
        <v>4006695410</v>
      </c>
      <c r="R207" s="48">
        <v>3088268220</v>
      </c>
      <c r="S207" s="48">
        <v>903427190</v>
      </c>
      <c r="T207" s="44">
        <v>15000000</v>
      </c>
      <c r="U207" s="33"/>
      <c r="V207" s="33"/>
      <c r="W207" s="52"/>
      <c r="X207" s="52">
        <f t="shared" ref="X207:Y207" si="200">M207-S207</f>
        <v>0</v>
      </c>
      <c r="Y207" s="52">
        <f t="shared" si="200"/>
        <v>0</v>
      </c>
      <c r="Z207" s="52">
        <f t="shared" si="7"/>
        <v>0</v>
      </c>
      <c r="AA207" s="54"/>
      <c r="AB207" s="68"/>
    </row>
    <row r="208" spans="1:28" ht="31.5" x14ac:dyDescent="0.25">
      <c r="A208" s="33" t="s">
        <v>35</v>
      </c>
      <c r="B208" s="42">
        <v>194</v>
      </c>
      <c r="C208" s="33" t="s">
        <v>1018</v>
      </c>
      <c r="D208" s="33" t="s">
        <v>1644</v>
      </c>
      <c r="E208" s="33" t="s">
        <v>100</v>
      </c>
      <c r="F208" s="33" t="s">
        <v>1645</v>
      </c>
      <c r="G208" s="33" t="s">
        <v>1550</v>
      </c>
      <c r="H208" s="32"/>
      <c r="I208" s="33" t="s">
        <v>1646</v>
      </c>
      <c r="J208" s="33" t="s">
        <v>43</v>
      </c>
      <c r="K208" s="33" t="s">
        <v>1647</v>
      </c>
      <c r="L208" s="48">
        <v>1894603455</v>
      </c>
      <c r="M208" s="48">
        <v>66971520</v>
      </c>
      <c r="N208" s="48">
        <v>7500000</v>
      </c>
      <c r="O208" s="43"/>
      <c r="P208" s="43"/>
      <c r="Q208" s="48">
        <f t="shared" si="47"/>
        <v>1969074975</v>
      </c>
      <c r="R208" s="48">
        <v>1894603455</v>
      </c>
      <c r="S208" s="48">
        <v>66971520</v>
      </c>
      <c r="T208" s="44">
        <v>7500000</v>
      </c>
      <c r="U208" s="33"/>
      <c r="V208" s="33"/>
      <c r="W208" s="52"/>
      <c r="X208" s="52">
        <f t="shared" ref="X208:Y208" si="201">M208-S208</f>
        <v>0</v>
      </c>
      <c r="Y208" s="52">
        <f t="shared" si="201"/>
        <v>0</v>
      </c>
      <c r="Z208" s="52">
        <f t="shared" si="7"/>
        <v>0</v>
      </c>
      <c r="AA208" s="54"/>
      <c r="AB208" s="68"/>
    </row>
    <row r="209" spans="1:28" ht="31.5" x14ac:dyDescent="0.25">
      <c r="A209" s="33" t="s">
        <v>35</v>
      </c>
      <c r="B209" s="42">
        <v>195</v>
      </c>
      <c r="C209" s="33" t="s">
        <v>1018</v>
      </c>
      <c r="D209" s="33" t="s">
        <v>1653</v>
      </c>
      <c r="E209" s="32"/>
      <c r="F209" s="33" t="s">
        <v>1654</v>
      </c>
      <c r="G209" s="32"/>
      <c r="H209" s="32"/>
      <c r="I209" s="33" t="s">
        <v>1655</v>
      </c>
      <c r="J209" s="33" t="s">
        <v>43</v>
      </c>
      <c r="K209" s="33" t="s">
        <v>1656</v>
      </c>
      <c r="L209" s="48">
        <v>2562353764</v>
      </c>
      <c r="M209" s="32"/>
      <c r="N209" s="48">
        <v>15000000</v>
      </c>
      <c r="O209" s="43"/>
      <c r="P209" s="43"/>
      <c r="Q209" s="48">
        <f t="shared" si="47"/>
        <v>2577353764</v>
      </c>
      <c r="R209" s="48">
        <v>2562353764</v>
      </c>
      <c r="S209" s="33"/>
      <c r="T209" s="44">
        <v>15000000</v>
      </c>
      <c r="U209" s="33"/>
      <c r="V209" s="33"/>
      <c r="W209" s="52"/>
      <c r="X209" s="52">
        <f t="shared" ref="X209:Y209" si="202">M209-S209</f>
        <v>0</v>
      </c>
      <c r="Y209" s="52">
        <f t="shared" si="202"/>
        <v>0</v>
      </c>
      <c r="Z209" s="52">
        <f t="shared" si="7"/>
        <v>0</v>
      </c>
      <c r="AA209" s="54"/>
      <c r="AB209" s="68"/>
    </row>
    <row r="210" spans="1:28" ht="31.5" x14ac:dyDescent="0.25">
      <c r="A210" s="33" t="s">
        <v>35</v>
      </c>
      <c r="B210" s="42">
        <v>196</v>
      </c>
      <c r="C210" s="33" t="s">
        <v>1018</v>
      </c>
      <c r="D210" s="33" t="s">
        <v>1657</v>
      </c>
      <c r="E210" s="32"/>
      <c r="F210" s="33" t="s">
        <v>1658</v>
      </c>
      <c r="G210" s="32"/>
      <c r="H210" s="32"/>
      <c r="I210" s="33" t="s">
        <v>1659</v>
      </c>
      <c r="J210" s="33" t="s">
        <v>43</v>
      </c>
      <c r="K210" s="33" t="s">
        <v>1660</v>
      </c>
      <c r="L210" s="48">
        <v>2203826444</v>
      </c>
      <c r="M210" s="32"/>
      <c r="N210" s="48">
        <v>7500000</v>
      </c>
      <c r="O210" s="43"/>
      <c r="P210" s="43"/>
      <c r="Q210" s="48">
        <f t="shared" si="47"/>
        <v>2211326444</v>
      </c>
      <c r="R210" s="48">
        <v>2203826444</v>
      </c>
      <c r="S210" s="33"/>
      <c r="T210" s="44">
        <v>7500000</v>
      </c>
      <c r="U210" s="33"/>
      <c r="V210" s="33"/>
      <c r="W210" s="52"/>
      <c r="X210" s="52">
        <f t="shared" ref="X210:Y210" si="203">M210-S210</f>
        <v>0</v>
      </c>
      <c r="Y210" s="52">
        <f t="shared" si="203"/>
        <v>0</v>
      </c>
      <c r="Z210" s="52">
        <f t="shared" si="7"/>
        <v>0</v>
      </c>
      <c r="AA210" s="54"/>
      <c r="AB210" s="68"/>
    </row>
    <row r="211" spans="1:28" ht="31.5" x14ac:dyDescent="0.25">
      <c r="A211" s="33" t="s">
        <v>35</v>
      </c>
      <c r="B211" s="42">
        <v>197</v>
      </c>
      <c r="C211" s="33" t="s">
        <v>1018</v>
      </c>
      <c r="D211" s="33" t="s">
        <v>1666</v>
      </c>
      <c r="E211" s="33" t="s">
        <v>883</v>
      </c>
      <c r="F211" s="33" t="s">
        <v>1667</v>
      </c>
      <c r="G211" s="33" t="s">
        <v>620</v>
      </c>
      <c r="H211" s="32"/>
      <c r="I211" s="33" t="s">
        <v>1668</v>
      </c>
      <c r="J211" s="33" t="s">
        <v>43</v>
      </c>
      <c r="K211" s="33" t="s">
        <v>1669</v>
      </c>
      <c r="L211" s="48">
        <v>3074543364</v>
      </c>
      <c r="M211" s="48">
        <v>808489752</v>
      </c>
      <c r="N211" s="48">
        <v>7500000</v>
      </c>
      <c r="O211" s="43"/>
      <c r="P211" s="43"/>
      <c r="Q211" s="48">
        <f t="shared" si="47"/>
        <v>3890533116</v>
      </c>
      <c r="R211" s="48">
        <v>3074543364</v>
      </c>
      <c r="S211" s="48">
        <v>808489752</v>
      </c>
      <c r="T211" s="66"/>
      <c r="U211" s="33"/>
      <c r="V211" s="33"/>
      <c r="W211" s="52"/>
      <c r="X211" s="52">
        <f t="shared" ref="X211:Y211" si="204">M211-S211</f>
        <v>0</v>
      </c>
      <c r="Y211" s="52">
        <f t="shared" si="204"/>
        <v>7500000</v>
      </c>
      <c r="Z211" s="52">
        <f t="shared" si="7"/>
        <v>0</v>
      </c>
      <c r="AA211" s="54"/>
      <c r="AB211" s="68"/>
    </row>
    <row r="212" spans="1:28" ht="94.5" x14ac:dyDescent="0.25">
      <c r="A212" s="33" t="s">
        <v>35</v>
      </c>
      <c r="B212" s="42">
        <v>198</v>
      </c>
      <c r="C212" s="33" t="s">
        <v>1018</v>
      </c>
      <c r="D212" s="33" t="s">
        <v>1676</v>
      </c>
      <c r="E212" s="32"/>
      <c r="F212" s="33" t="s">
        <v>1677</v>
      </c>
      <c r="G212" s="32"/>
      <c r="H212" s="33" t="s">
        <v>85</v>
      </c>
      <c r="I212" s="33" t="s">
        <v>1678</v>
      </c>
      <c r="J212" s="33" t="s">
        <v>43</v>
      </c>
      <c r="K212" s="33" t="s">
        <v>1601</v>
      </c>
      <c r="L212" s="42">
        <v>0</v>
      </c>
      <c r="M212" s="32"/>
      <c r="N212" s="33"/>
      <c r="O212" s="43"/>
      <c r="P212" s="43"/>
      <c r="Q212" s="48">
        <f t="shared" si="47"/>
        <v>0</v>
      </c>
      <c r="R212" s="42">
        <v>0</v>
      </c>
      <c r="S212" s="33"/>
      <c r="T212" s="66"/>
      <c r="U212" s="33"/>
      <c r="V212" s="33"/>
      <c r="W212" s="52"/>
      <c r="X212" s="52">
        <f t="shared" ref="X212:Y212" si="205">M212-S212</f>
        <v>0</v>
      </c>
      <c r="Y212" s="52">
        <f t="shared" si="205"/>
        <v>0</v>
      </c>
      <c r="Z212" s="52">
        <f t="shared" si="7"/>
        <v>0</v>
      </c>
      <c r="AA212" s="54"/>
      <c r="AB212" s="68"/>
    </row>
    <row r="213" spans="1:28" ht="31.5" x14ac:dyDescent="0.25">
      <c r="A213" s="33" t="s">
        <v>35</v>
      </c>
      <c r="B213" s="42">
        <v>199</v>
      </c>
      <c r="C213" s="33" t="s">
        <v>1018</v>
      </c>
      <c r="D213" s="33" t="s">
        <v>1679</v>
      </c>
      <c r="E213" s="33" t="s">
        <v>156</v>
      </c>
      <c r="F213" s="33" t="s">
        <v>1680</v>
      </c>
      <c r="G213" s="33" t="s">
        <v>1681</v>
      </c>
      <c r="H213" s="32"/>
      <c r="I213" s="33" t="s">
        <v>1682</v>
      </c>
      <c r="J213" s="33" t="s">
        <v>43</v>
      </c>
      <c r="K213" s="33" t="s">
        <v>1683</v>
      </c>
      <c r="L213" s="48">
        <v>11308899100</v>
      </c>
      <c r="M213" s="48">
        <v>243896000</v>
      </c>
      <c r="N213" s="48">
        <v>15000000</v>
      </c>
      <c r="O213" s="43" t="s">
        <v>1685</v>
      </c>
      <c r="P213" s="69">
        <v>72000000</v>
      </c>
      <c r="Q213" s="48">
        <f t="shared" si="47"/>
        <v>11639795100</v>
      </c>
      <c r="R213" s="48">
        <v>11308899100</v>
      </c>
      <c r="S213" s="48">
        <v>243896000</v>
      </c>
      <c r="T213" s="44">
        <v>15000000</v>
      </c>
      <c r="U213" s="48">
        <v>72000000</v>
      </c>
      <c r="V213" s="33"/>
      <c r="W213" s="52"/>
      <c r="X213" s="52">
        <f t="shared" ref="X213:Y213" si="206">M213-S213</f>
        <v>0</v>
      </c>
      <c r="Y213" s="52">
        <f t="shared" si="206"/>
        <v>0</v>
      </c>
      <c r="Z213" s="52">
        <f t="shared" si="7"/>
        <v>0</v>
      </c>
      <c r="AA213" s="54"/>
      <c r="AB213" s="68"/>
    </row>
    <row r="214" spans="1:28" ht="31.5" x14ac:dyDescent="0.25">
      <c r="A214" s="33" t="s">
        <v>35</v>
      </c>
      <c r="B214" s="42">
        <v>200</v>
      </c>
      <c r="C214" s="33" t="s">
        <v>1018</v>
      </c>
      <c r="D214" s="33" t="s">
        <v>1690</v>
      </c>
      <c r="E214" s="32"/>
      <c r="F214" s="33" t="s">
        <v>1691</v>
      </c>
      <c r="G214" s="32"/>
      <c r="H214" s="32"/>
      <c r="I214" s="33" t="s">
        <v>1692</v>
      </c>
      <c r="J214" s="33" t="s">
        <v>43</v>
      </c>
      <c r="K214" s="33" t="s">
        <v>1693</v>
      </c>
      <c r="L214" s="48">
        <v>3220790384</v>
      </c>
      <c r="M214" s="32"/>
      <c r="N214" s="48">
        <v>7500000</v>
      </c>
      <c r="O214" s="43"/>
      <c r="P214" s="43"/>
      <c r="Q214" s="48">
        <f t="shared" si="47"/>
        <v>3228290384</v>
      </c>
      <c r="R214" s="48">
        <v>3220790384</v>
      </c>
      <c r="S214" s="33"/>
      <c r="T214" s="44">
        <v>7500000</v>
      </c>
      <c r="U214" s="33"/>
      <c r="V214" s="33"/>
      <c r="W214" s="52"/>
      <c r="X214" s="52">
        <f t="shared" ref="X214:Y214" si="207">M214-S214</f>
        <v>0</v>
      </c>
      <c r="Y214" s="52">
        <f t="shared" si="207"/>
        <v>0</v>
      </c>
      <c r="Z214" s="52">
        <f t="shared" si="7"/>
        <v>0</v>
      </c>
      <c r="AA214" s="54"/>
      <c r="AB214" s="68"/>
    </row>
    <row r="215" spans="1:28" ht="31.5" x14ac:dyDescent="0.25">
      <c r="A215" s="33" t="s">
        <v>35</v>
      </c>
      <c r="B215" s="42">
        <v>201</v>
      </c>
      <c r="C215" s="33" t="s">
        <v>1018</v>
      </c>
      <c r="D215" s="33" t="s">
        <v>1700</v>
      </c>
      <c r="E215" s="33" t="s">
        <v>1701</v>
      </c>
      <c r="F215" s="33" t="s">
        <v>1702</v>
      </c>
      <c r="G215" s="33" t="s">
        <v>1703</v>
      </c>
      <c r="H215" s="32"/>
      <c r="I215" s="33" t="s">
        <v>1704</v>
      </c>
      <c r="J215" s="33" t="s">
        <v>43</v>
      </c>
      <c r="K215" s="33" t="s">
        <v>1705</v>
      </c>
      <c r="L215" s="48">
        <v>910302386</v>
      </c>
      <c r="M215" s="48">
        <v>152432640</v>
      </c>
      <c r="N215" s="48">
        <v>7500000</v>
      </c>
      <c r="O215" s="43"/>
      <c r="P215" s="43"/>
      <c r="Q215" s="48">
        <f t="shared" si="47"/>
        <v>1070235026</v>
      </c>
      <c r="R215" s="48">
        <v>910302386</v>
      </c>
      <c r="S215" s="33"/>
      <c r="T215" s="44">
        <v>7500000</v>
      </c>
      <c r="U215" s="33"/>
      <c r="V215" s="33"/>
      <c r="W215" s="52"/>
      <c r="X215" s="52">
        <f t="shared" ref="X215:Y215" si="208">M215-S215</f>
        <v>152432640</v>
      </c>
      <c r="Y215" s="52">
        <f t="shared" si="208"/>
        <v>0</v>
      </c>
      <c r="Z215" s="52">
        <f t="shared" si="7"/>
        <v>0</v>
      </c>
      <c r="AA215" s="54"/>
      <c r="AB215" s="68"/>
    </row>
    <row r="216" spans="1:28" ht="31.5" x14ac:dyDescent="0.25">
      <c r="A216" s="33" t="s">
        <v>35</v>
      </c>
      <c r="B216" s="42">
        <v>202</v>
      </c>
      <c r="C216" s="33" t="s">
        <v>1018</v>
      </c>
      <c r="D216" s="33" t="s">
        <v>1712</v>
      </c>
      <c r="E216" s="32"/>
      <c r="F216" s="33" t="s">
        <v>1713</v>
      </c>
      <c r="G216" s="32"/>
      <c r="H216" s="32"/>
      <c r="I216" s="33" t="s">
        <v>1715</v>
      </c>
      <c r="J216" s="33" t="s">
        <v>43</v>
      </c>
      <c r="K216" s="33" t="s">
        <v>1718</v>
      </c>
      <c r="L216" s="48">
        <v>1185868242</v>
      </c>
      <c r="M216" s="32"/>
      <c r="N216" s="48">
        <v>7500000</v>
      </c>
      <c r="O216" s="43"/>
      <c r="P216" s="43"/>
      <c r="Q216" s="48">
        <f t="shared" si="47"/>
        <v>1193368242</v>
      </c>
      <c r="R216" s="48">
        <v>1185868242</v>
      </c>
      <c r="S216" s="33"/>
      <c r="T216" s="44">
        <v>7500000</v>
      </c>
      <c r="U216" s="33"/>
      <c r="V216" s="33"/>
      <c r="W216" s="52"/>
      <c r="X216" s="52">
        <f t="shared" ref="X216:Y216" si="209">M216-S216</f>
        <v>0</v>
      </c>
      <c r="Y216" s="52">
        <f t="shared" si="209"/>
        <v>0</v>
      </c>
      <c r="Z216" s="52">
        <f t="shared" si="7"/>
        <v>0</v>
      </c>
      <c r="AA216" s="54"/>
      <c r="AB216" s="68"/>
    </row>
    <row r="217" spans="1:28" ht="63" x14ac:dyDescent="0.25">
      <c r="A217" s="33" t="s">
        <v>35</v>
      </c>
      <c r="B217" s="42">
        <v>203</v>
      </c>
      <c r="C217" s="33" t="s">
        <v>1018</v>
      </c>
      <c r="D217" s="33" t="s">
        <v>1721</v>
      </c>
      <c r="E217" s="32"/>
      <c r="F217" s="33" t="s">
        <v>1722</v>
      </c>
      <c r="G217" s="32"/>
      <c r="H217" s="32"/>
      <c r="I217" s="33" t="s">
        <v>1723</v>
      </c>
      <c r="J217" s="33" t="s">
        <v>43</v>
      </c>
      <c r="K217" s="33" t="s">
        <v>1724</v>
      </c>
      <c r="L217" s="48">
        <v>4789848</v>
      </c>
      <c r="M217" s="32"/>
      <c r="N217" s="48">
        <v>7500000</v>
      </c>
      <c r="O217" s="43"/>
      <c r="P217" s="43"/>
      <c r="Q217" s="48">
        <f t="shared" si="47"/>
        <v>12289848</v>
      </c>
      <c r="R217" s="33"/>
      <c r="S217" s="33"/>
      <c r="T217" s="66"/>
      <c r="U217" s="33"/>
      <c r="V217" s="33"/>
      <c r="W217" s="52">
        <v>4789848</v>
      </c>
      <c r="X217" s="52">
        <f t="shared" ref="X217:Y217" si="210">M217-S217</f>
        <v>0</v>
      </c>
      <c r="Y217" s="52">
        <f t="shared" si="210"/>
        <v>7500000</v>
      </c>
      <c r="Z217" s="52">
        <f t="shared" si="7"/>
        <v>0</v>
      </c>
      <c r="AA217" s="69">
        <v>4789848</v>
      </c>
      <c r="AB217" s="68"/>
    </row>
    <row r="218" spans="1:28" ht="31.5" x14ac:dyDescent="0.25">
      <c r="A218" s="33" t="s">
        <v>35</v>
      </c>
      <c r="B218" s="42">
        <v>204</v>
      </c>
      <c r="C218" s="33" t="s">
        <v>1018</v>
      </c>
      <c r="D218" s="33" t="s">
        <v>1730</v>
      </c>
      <c r="E218" s="32"/>
      <c r="F218" s="33" t="s">
        <v>1731</v>
      </c>
      <c r="G218" s="32"/>
      <c r="H218" s="32"/>
      <c r="I218" s="33" t="s">
        <v>1732</v>
      </c>
      <c r="J218" s="33" t="s">
        <v>43</v>
      </c>
      <c r="K218" s="33" t="s">
        <v>1733</v>
      </c>
      <c r="L218" s="48">
        <v>917216300</v>
      </c>
      <c r="M218" s="32"/>
      <c r="N218" s="48">
        <v>7500000</v>
      </c>
      <c r="O218" s="43"/>
      <c r="P218" s="43"/>
      <c r="Q218" s="48">
        <f t="shared" si="47"/>
        <v>924716300</v>
      </c>
      <c r="R218" s="48">
        <v>917216300</v>
      </c>
      <c r="S218" s="33"/>
      <c r="T218" s="44">
        <v>7500000</v>
      </c>
      <c r="U218" s="33"/>
      <c r="V218" s="33"/>
      <c r="W218" s="52"/>
      <c r="X218" s="52">
        <f t="shared" ref="X218:Y218" si="211">M218-S218</f>
        <v>0</v>
      </c>
      <c r="Y218" s="52">
        <f t="shared" si="211"/>
        <v>0</v>
      </c>
      <c r="Z218" s="52">
        <f t="shared" si="7"/>
        <v>0</v>
      </c>
      <c r="AA218" s="54"/>
      <c r="AB218" s="68"/>
    </row>
    <row r="219" spans="1:28" ht="47.25" x14ac:dyDescent="0.25">
      <c r="A219" s="33" t="s">
        <v>35</v>
      </c>
      <c r="B219" s="42">
        <v>205</v>
      </c>
      <c r="C219" s="33" t="s">
        <v>1018</v>
      </c>
      <c r="D219" s="33" t="s">
        <v>1740</v>
      </c>
      <c r="E219" s="33" t="s">
        <v>1741</v>
      </c>
      <c r="F219" s="33" t="s">
        <v>1742</v>
      </c>
      <c r="G219" s="32"/>
      <c r="H219" s="32"/>
      <c r="I219" s="33" t="s">
        <v>1743</v>
      </c>
      <c r="J219" s="33" t="s">
        <v>43</v>
      </c>
      <c r="K219" s="33" t="s">
        <v>1744</v>
      </c>
      <c r="L219" s="48">
        <v>9371283600</v>
      </c>
      <c r="M219" s="48">
        <v>550184000</v>
      </c>
      <c r="N219" s="48">
        <v>15000000</v>
      </c>
      <c r="O219" s="43"/>
      <c r="P219" s="43"/>
      <c r="Q219" s="48">
        <f t="shared" si="47"/>
        <v>9936467600</v>
      </c>
      <c r="R219" s="48">
        <v>9371283600</v>
      </c>
      <c r="S219" s="48">
        <v>550184000</v>
      </c>
      <c r="T219" s="66"/>
      <c r="U219" s="33"/>
      <c r="V219" s="33"/>
      <c r="W219" s="52"/>
      <c r="X219" s="52">
        <f t="shared" ref="X219:Y219" si="212">M219-S219</f>
        <v>0</v>
      </c>
      <c r="Y219" s="52">
        <f t="shared" si="212"/>
        <v>15000000</v>
      </c>
      <c r="Z219" s="52">
        <f t="shared" si="7"/>
        <v>0</v>
      </c>
      <c r="AA219" s="54"/>
      <c r="AB219" s="68"/>
    </row>
    <row r="220" spans="1:28" ht="31.5" x14ac:dyDescent="0.25">
      <c r="A220" s="33" t="s">
        <v>35</v>
      </c>
      <c r="B220" s="42">
        <v>206</v>
      </c>
      <c r="C220" s="33" t="s">
        <v>1018</v>
      </c>
      <c r="D220" s="33" t="s">
        <v>1749</v>
      </c>
      <c r="E220" s="32"/>
      <c r="F220" s="33" t="s">
        <v>1750</v>
      </c>
      <c r="G220" s="32"/>
      <c r="H220" s="32"/>
      <c r="I220" s="33" t="s">
        <v>1751</v>
      </c>
      <c r="J220" s="33" t="s">
        <v>43</v>
      </c>
      <c r="K220" s="33" t="s">
        <v>1752</v>
      </c>
      <c r="L220" s="48">
        <v>829054600</v>
      </c>
      <c r="M220" s="32"/>
      <c r="N220" s="48">
        <v>7500000</v>
      </c>
      <c r="O220" s="43"/>
      <c r="P220" s="43"/>
      <c r="Q220" s="48">
        <f t="shared" si="47"/>
        <v>836554600</v>
      </c>
      <c r="R220" s="48">
        <v>829054600</v>
      </c>
      <c r="S220" s="33"/>
      <c r="T220" s="44">
        <v>7500000</v>
      </c>
      <c r="U220" s="33"/>
      <c r="V220" s="33"/>
      <c r="W220" s="52"/>
      <c r="X220" s="52">
        <f t="shared" ref="X220:Y220" si="213">M220-S220</f>
        <v>0</v>
      </c>
      <c r="Y220" s="52">
        <f t="shared" si="213"/>
        <v>0</v>
      </c>
      <c r="Z220" s="52">
        <f t="shared" si="7"/>
        <v>0</v>
      </c>
      <c r="AA220" s="54"/>
      <c r="AB220" s="68"/>
    </row>
    <row r="221" spans="1:28" ht="31.5" x14ac:dyDescent="0.25">
      <c r="A221" s="33" t="s">
        <v>35</v>
      </c>
      <c r="B221" s="42">
        <v>207</v>
      </c>
      <c r="C221" s="33" t="s">
        <v>1018</v>
      </c>
      <c r="D221" s="33" t="s">
        <v>1758</v>
      </c>
      <c r="E221" s="32"/>
      <c r="F221" s="33" t="s">
        <v>1759</v>
      </c>
      <c r="G221" s="32"/>
      <c r="H221" s="32"/>
      <c r="I221" s="33" t="s">
        <v>1760</v>
      </c>
      <c r="J221" s="33" t="s">
        <v>43</v>
      </c>
      <c r="K221" s="33" t="s">
        <v>1761</v>
      </c>
      <c r="L221" s="48">
        <v>8019904200</v>
      </c>
      <c r="M221" s="32"/>
      <c r="N221" s="48">
        <v>7500000</v>
      </c>
      <c r="O221" s="43"/>
      <c r="P221" s="43"/>
      <c r="Q221" s="48">
        <f t="shared" si="47"/>
        <v>8027404200</v>
      </c>
      <c r="R221" s="48">
        <v>8019904200</v>
      </c>
      <c r="S221" s="33"/>
      <c r="T221" s="44">
        <v>7500000</v>
      </c>
      <c r="U221" s="33"/>
      <c r="V221" s="33"/>
      <c r="W221" s="52"/>
      <c r="X221" s="52">
        <f t="shared" ref="X221:Y221" si="214">M221-S221</f>
        <v>0</v>
      </c>
      <c r="Y221" s="52">
        <f t="shared" si="214"/>
        <v>0</v>
      </c>
      <c r="Z221" s="52">
        <f t="shared" si="7"/>
        <v>0</v>
      </c>
      <c r="AA221" s="54"/>
      <c r="AB221" s="68"/>
    </row>
    <row r="222" spans="1:28" ht="31.5" x14ac:dyDescent="0.25">
      <c r="A222" s="33" t="s">
        <v>60</v>
      </c>
      <c r="B222" s="42">
        <v>208</v>
      </c>
      <c r="C222" s="33" t="s">
        <v>557</v>
      </c>
      <c r="D222" s="33" t="s">
        <v>1762</v>
      </c>
      <c r="E222" s="32"/>
      <c r="F222" s="33" t="s">
        <v>1763</v>
      </c>
      <c r="G222" s="32"/>
      <c r="H222" s="32"/>
      <c r="I222" s="33" t="s">
        <v>1764</v>
      </c>
      <c r="J222" s="33" t="s">
        <v>43</v>
      </c>
      <c r="K222" s="33" t="s">
        <v>1765</v>
      </c>
      <c r="L222" s="48">
        <v>692628720</v>
      </c>
      <c r="M222" s="32"/>
      <c r="N222" s="48">
        <v>7500000</v>
      </c>
      <c r="O222" s="43"/>
      <c r="P222" s="43"/>
      <c r="Q222" s="48">
        <f t="shared" si="47"/>
        <v>700128720</v>
      </c>
      <c r="R222" s="48">
        <v>692628720</v>
      </c>
      <c r="S222" s="33"/>
      <c r="T222" s="44">
        <v>7500000</v>
      </c>
      <c r="U222" s="33"/>
      <c r="V222" s="33"/>
      <c r="W222" s="52"/>
      <c r="X222" s="52">
        <f t="shared" ref="X222:Y222" si="215">M222-S222</f>
        <v>0</v>
      </c>
      <c r="Y222" s="52">
        <f t="shared" si="215"/>
        <v>0</v>
      </c>
      <c r="Z222" s="52">
        <f t="shared" si="7"/>
        <v>0</v>
      </c>
      <c r="AA222" s="54"/>
      <c r="AB222" s="68"/>
    </row>
    <row r="223" spans="1:28" ht="31.5" x14ac:dyDescent="0.25">
      <c r="A223" s="33" t="s">
        <v>60</v>
      </c>
      <c r="B223" s="42">
        <v>209</v>
      </c>
      <c r="C223" s="33" t="s">
        <v>557</v>
      </c>
      <c r="D223" s="33" t="s">
        <v>1768</v>
      </c>
      <c r="E223" s="33" t="s">
        <v>62</v>
      </c>
      <c r="F223" s="33" t="s">
        <v>1770</v>
      </c>
      <c r="G223" s="32"/>
      <c r="H223" s="32"/>
      <c r="I223" s="33" t="s">
        <v>1771</v>
      </c>
      <c r="J223" s="33" t="s">
        <v>43</v>
      </c>
      <c r="K223" s="33" t="s">
        <v>1773</v>
      </c>
      <c r="L223" s="48">
        <v>3623186360</v>
      </c>
      <c r="M223" s="48">
        <v>652093580</v>
      </c>
      <c r="N223" s="48">
        <v>7500000</v>
      </c>
      <c r="O223" s="43"/>
      <c r="P223" s="43"/>
      <c r="Q223" s="48">
        <f t="shared" si="47"/>
        <v>4282779940</v>
      </c>
      <c r="R223" s="48">
        <v>3623186360</v>
      </c>
      <c r="S223" s="48">
        <v>652093580</v>
      </c>
      <c r="T223" s="66"/>
      <c r="U223" s="33"/>
      <c r="V223" s="33"/>
      <c r="W223" s="52"/>
      <c r="X223" s="52">
        <f t="shared" ref="X223:Y223" si="216">M223-S223</f>
        <v>0</v>
      </c>
      <c r="Y223" s="52">
        <f t="shared" si="216"/>
        <v>7500000</v>
      </c>
      <c r="Z223" s="52">
        <f t="shared" si="7"/>
        <v>0</v>
      </c>
      <c r="AA223" s="54"/>
      <c r="AB223" s="68"/>
    </row>
    <row r="224" spans="1:28" ht="31.5" x14ac:dyDescent="0.25">
      <c r="A224" s="33" t="s">
        <v>35</v>
      </c>
      <c r="B224" s="42">
        <v>210</v>
      </c>
      <c r="C224" s="33" t="s">
        <v>557</v>
      </c>
      <c r="D224" s="33" t="s">
        <v>1775</v>
      </c>
      <c r="E224" s="33" t="s">
        <v>1776</v>
      </c>
      <c r="F224" s="33" t="s">
        <v>1777</v>
      </c>
      <c r="G224" s="32"/>
      <c r="H224" s="32"/>
      <c r="I224" s="33" t="s">
        <v>1778</v>
      </c>
      <c r="J224" s="33" t="s">
        <v>43</v>
      </c>
      <c r="K224" s="33" t="s">
        <v>1779</v>
      </c>
      <c r="L224" s="48">
        <v>2110989648</v>
      </c>
      <c r="M224" s="48">
        <v>10000000</v>
      </c>
      <c r="N224" s="48">
        <v>15000000</v>
      </c>
      <c r="O224" s="43"/>
      <c r="P224" s="43"/>
      <c r="Q224" s="48">
        <f t="shared" si="47"/>
        <v>2135989648</v>
      </c>
      <c r="R224" s="48">
        <v>2110989648</v>
      </c>
      <c r="S224" s="48">
        <v>10000000</v>
      </c>
      <c r="T224" s="44">
        <v>15000000</v>
      </c>
      <c r="U224" s="33"/>
      <c r="V224" s="33"/>
      <c r="W224" s="52"/>
      <c r="X224" s="52">
        <f t="shared" ref="X224:Y224" si="217">M224-S224</f>
        <v>0</v>
      </c>
      <c r="Y224" s="52">
        <f t="shared" si="217"/>
        <v>0</v>
      </c>
      <c r="Z224" s="52">
        <f t="shared" si="7"/>
        <v>0</v>
      </c>
      <c r="AA224" s="54"/>
      <c r="AB224" s="68"/>
    </row>
    <row r="225" spans="1:28" ht="31.5" x14ac:dyDescent="0.25">
      <c r="A225" s="33" t="s">
        <v>35</v>
      </c>
      <c r="B225" s="42">
        <v>211</v>
      </c>
      <c r="C225" s="33" t="s">
        <v>557</v>
      </c>
      <c r="D225" s="33" t="s">
        <v>1780</v>
      </c>
      <c r="E225" s="33" t="s">
        <v>1043</v>
      </c>
      <c r="F225" s="33" t="s">
        <v>1781</v>
      </c>
      <c r="G225" s="33" t="s">
        <v>1782</v>
      </c>
      <c r="H225" s="32"/>
      <c r="I225" s="33" t="s">
        <v>1783</v>
      </c>
      <c r="J225" s="33" t="s">
        <v>43</v>
      </c>
      <c r="K225" s="33" t="s">
        <v>1784</v>
      </c>
      <c r="L225" s="48">
        <v>1970289158</v>
      </c>
      <c r="M225" s="48">
        <v>289891008</v>
      </c>
      <c r="N225" s="48">
        <v>15000000</v>
      </c>
      <c r="O225" s="43"/>
      <c r="P225" s="43"/>
      <c r="Q225" s="48">
        <f t="shared" si="47"/>
        <v>2275180166</v>
      </c>
      <c r="R225" s="48">
        <v>1970289158</v>
      </c>
      <c r="S225" s="48">
        <v>289891008</v>
      </c>
      <c r="T225" s="44">
        <v>15000000</v>
      </c>
      <c r="U225" s="33"/>
      <c r="V225" s="33"/>
      <c r="W225" s="52"/>
      <c r="X225" s="52">
        <f t="shared" ref="X225:Y225" si="218">M225-S225</f>
        <v>0</v>
      </c>
      <c r="Y225" s="52">
        <f t="shared" si="218"/>
        <v>0</v>
      </c>
      <c r="Z225" s="52">
        <f t="shared" si="7"/>
        <v>0</v>
      </c>
      <c r="AA225" s="54"/>
      <c r="AB225" s="68"/>
    </row>
    <row r="226" spans="1:28" ht="31.5" x14ac:dyDescent="0.25">
      <c r="A226" s="33" t="s">
        <v>35</v>
      </c>
      <c r="B226" s="42">
        <v>212</v>
      </c>
      <c r="C226" s="33" t="s">
        <v>557</v>
      </c>
      <c r="D226" s="33" t="s">
        <v>1791</v>
      </c>
      <c r="E226" s="32"/>
      <c r="F226" s="33" t="s">
        <v>1792</v>
      </c>
      <c r="G226" s="32"/>
      <c r="H226" s="32"/>
      <c r="I226" s="33" t="s">
        <v>1793</v>
      </c>
      <c r="J226" s="33" t="s">
        <v>43</v>
      </c>
      <c r="K226" s="33" t="s">
        <v>1794</v>
      </c>
      <c r="L226" s="48">
        <v>1905146779</v>
      </c>
      <c r="M226" s="32"/>
      <c r="N226" s="48">
        <v>7500000</v>
      </c>
      <c r="O226" s="43"/>
      <c r="P226" s="43"/>
      <c r="Q226" s="48">
        <f t="shared" si="47"/>
        <v>1912646779</v>
      </c>
      <c r="R226" s="48">
        <v>1905146779</v>
      </c>
      <c r="S226" s="33"/>
      <c r="T226" s="44">
        <v>7500000</v>
      </c>
      <c r="U226" s="33"/>
      <c r="V226" s="33"/>
      <c r="W226" s="52"/>
      <c r="X226" s="52">
        <f t="shared" ref="X226:Y226" si="219">M226-S226</f>
        <v>0</v>
      </c>
      <c r="Y226" s="52">
        <f t="shared" si="219"/>
        <v>0</v>
      </c>
      <c r="Z226" s="52">
        <f t="shared" si="7"/>
        <v>0</v>
      </c>
      <c r="AA226" s="54"/>
      <c r="AB226" s="68"/>
    </row>
    <row r="227" spans="1:28" ht="31.5" x14ac:dyDescent="0.25">
      <c r="A227" s="33" t="s">
        <v>52</v>
      </c>
      <c r="B227" s="42">
        <v>213</v>
      </c>
      <c r="C227" s="33" t="s">
        <v>557</v>
      </c>
      <c r="D227" s="33" t="s">
        <v>1800</v>
      </c>
      <c r="E227" s="32"/>
      <c r="F227" s="33" t="s">
        <v>1801</v>
      </c>
      <c r="G227" s="32"/>
      <c r="H227" s="33" t="s">
        <v>85</v>
      </c>
      <c r="I227" s="33" t="s">
        <v>1802</v>
      </c>
      <c r="J227" s="33" t="s">
        <v>43</v>
      </c>
      <c r="K227" s="33" t="s">
        <v>1803</v>
      </c>
      <c r="L227" s="42">
        <v>0</v>
      </c>
      <c r="M227" s="32"/>
      <c r="N227" s="33"/>
      <c r="O227" s="43"/>
      <c r="P227" s="43"/>
      <c r="Q227" s="48">
        <f t="shared" si="47"/>
        <v>0</v>
      </c>
      <c r="R227" s="42">
        <v>0</v>
      </c>
      <c r="S227" s="33"/>
      <c r="T227" s="66"/>
      <c r="U227" s="33"/>
      <c r="V227" s="33"/>
      <c r="W227" s="52"/>
      <c r="X227" s="52">
        <f t="shared" ref="X227:Y227" si="220">M227-S227</f>
        <v>0</v>
      </c>
      <c r="Y227" s="52">
        <f t="shared" si="220"/>
        <v>0</v>
      </c>
      <c r="Z227" s="52">
        <f t="shared" si="7"/>
        <v>0</v>
      </c>
      <c r="AA227" s="54"/>
      <c r="AB227" s="68"/>
    </row>
    <row r="228" spans="1:28" ht="31.5" x14ac:dyDescent="0.25">
      <c r="A228" s="33" t="s">
        <v>35</v>
      </c>
      <c r="B228" s="42">
        <v>214</v>
      </c>
      <c r="C228" s="33" t="s">
        <v>557</v>
      </c>
      <c r="D228" s="33" t="s">
        <v>1804</v>
      </c>
      <c r="E228" s="32"/>
      <c r="F228" s="33" t="s">
        <v>1805</v>
      </c>
      <c r="G228" s="32"/>
      <c r="H228" s="32"/>
      <c r="I228" s="33" t="s">
        <v>1806</v>
      </c>
      <c r="J228" s="33" t="s">
        <v>43</v>
      </c>
      <c r="K228" s="33" t="s">
        <v>1807</v>
      </c>
      <c r="L228" s="48">
        <v>1051785402</v>
      </c>
      <c r="M228" s="32"/>
      <c r="N228" s="48">
        <v>15000000</v>
      </c>
      <c r="O228" s="43"/>
      <c r="P228" s="43"/>
      <c r="Q228" s="48">
        <f t="shared" si="47"/>
        <v>1066785402</v>
      </c>
      <c r="R228" s="48">
        <v>1051785402</v>
      </c>
      <c r="S228" s="33"/>
      <c r="T228" s="44">
        <v>15000000</v>
      </c>
      <c r="U228" s="33"/>
      <c r="V228" s="33"/>
      <c r="W228" s="52"/>
      <c r="X228" s="52">
        <f t="shared" ref="X228:Y228" si="221">M228-S228</f>
        <v>0</v>
      </c>
      <c r="Y228" s="52">
        <f t="shared" si="221"/>
        <v>0</v>
      </c>
      <c r="Z228" s="52">
        <f t="shared" si="7"/>
        <v>0</v>
      </c>
      <c r="AA228" s="54"/>
      <c r="AB228" s="68"/>
    </row>
    <row r="229" spans="1:28" ht="31.5" x14ac:dyDescent="0.25">
      <c r="A229" s="33" t="s">
        <v>35</v>
      </c>
      <c r="B229" s="42">
        <v>215</v>
      </c>
      <c r="C229" s="33" t="s">
        <v>557</v>
      </c>
      <c r="D229" s="33" t="s">
        <v>1812</v>
      </c>
      <c r="E229" s="33" t="s">
        <v>409</v>
      </c>
      <c r="F229" s="33" t="s">
        <v>1813</v>
      </c>
      <c r="G229" s="33" t="s">
        <v>1626</v>
      </c>
      <c r="H229" s="32"/>
      <c r="I229" s="33" t="s">
        <v>1814</v>
      </c>
      <c r="J229" s="33" t="s">
        <v>43</v>
      </c>
      <c r="K229" s="33" t="s">
        <v>1815</v>
      </c>
      <c r="L229" s="48">
        <v>1825416000</v>
      </c>
      <c r="M229" s="48">
        <v>419381453</v>
      </c>
      <c r="N229" s="48">
        <v>15000000</v>
      </c>
      <c r="O229" s="43"/>
      <c r="P229" s="43"/>
      <c r="Q229" s="48">
        <f t="shared" si="47"/>
        <v>2259797453</v>
      </c>
      <c r="R229" s="48">
        <v>1825416000</v>
      </c>
      <c r="S229" s="48">
        <v>419381453</v>
      </c>
      <c r="T229" s="44">
        <v>15000000</v>
      </c>
      <c r="U229" s="33"/>
      <c r="V229" s="33"/>
      <c r="W229" s="52"/>
      <c r="X229" s="52">
        <f t="shared" ref="X229:Y229" si="222">M229-S229</f>
        <v>0</v>
      </c>
      <c r="Y229" s="52">
        <f t="shared" si="222"/>
        <v>0</v>
      </c>
      <c r="Z229" s="52">
        <f t="shared" si="7"/>
        <v>0</v>
      </c>
      <c r="AA229" s="54"/>
      <c r="AB229" s="68"/>
    </row>
    <row r="230" spans="1:28" ht="31.5" x14ac:dyDescent="0.25">
      <c r="A230" s="33" t="s">
        <v>35</v>
      </c>
      <c r="B230" s="42">
        <v>216</v>
      </c>
      <c r="C230" s="33" t="s">
        <v>557</v>
      </c>
      <c r="D230" s="33" t="s">
        <v>1816</v>
      </c>
      <c r="E230" s="32"/>
      <c r="F230" s="33" t="s">
        <v>1817</v>
      </c>
      <c r="G230" s="32"/>
      <c r="H230" s="32"/>
      <c r="I230" s="33" t="s">
        <v>1818</v>
      </c>
      <c r="J230" s="33" t="s">
        <v>43</v>
      </c>
      <c r="K230" s="33" t="s">
        <v>1819</v>
      </c>
      <c r="L230" s="48">
        <v>2346410500</v>
      </c>
      <c r="M230" s="32"/>
      <c r="N230" s="48">
        <v>7500000</v>
      </c>
      <c r="O230" s="43"/>
      <c r="P230" s="43"/>
      <c r="Q230" s="48">
        <f t="shared" si="47"/>
        <v>2353910500</v>
      </c>
      <c r="R230" s="48">
        <v>2346410500</v>
      </c>
      <c r="S230" s="33"/>
      <c r="T230" s="44">
        <v>7500000</v>
      </c>
      <c r="U230" s="33"/>
      <c r="V230" s="33"/>
      <c r="W230" s="52"/>
      <c r="X230" s="52">
        <f t="shared" ref="X230:Y230" si="223">M230-S230</f>
        <v>0</v>
      </c>
      <c r="Y230" s="52">
        <f t="shared" si="223"/>
        <v>0</v>
      </c>
      <c r="Z230" s="52">
        <f t="shared" si="7"/>
        <v>0</v>
      </c>
      <c r="AA230" s="54"/>
      <c r="AB230" s="68"/>
    </row>
    <row r="231" spans="1:28" ht="31.5" x14ac:dyDescent="0.25">
      <c r="A231" s="33" t="s">
        <v>35</v>
      </c>
      <c r="B231" s="42">
        <v>217</v>
      </c>
      <c r="C231" s="33" t="s">
        <v>557</v>
      </c>
      <c r="D231" s="33" t="s">
        <v>1827</v>
      </c>
      <c r="E231" s="32"/>
      <c r="F231" s="33" t="s">
        <v>1828</v>
      </c>
      <c r="G231" s="32"/>
      <c r="H231" s="32"/>
      <c r="I231" s="33" t="s">
        <v>1829</v>
      </c>
      <c r="J231" s="33" t="s">
        <v>43</v>
      </c>
      <c r="K231" s="33" t="s">
        <v>1830</v>
      </c>
      <c r="L231" s="48">
        <v>9676523194</v>
      </c>
      <c r="M231" s="32"/>
      <c r="N231" s="48">
        <v>15000000</v>
      </c>
      <c r="O231" s="43"/>
      <c r="P231" s="43"/>
      <c r="Q231" s="48">
        <f t="shared" si="47"/>
        <v>9691523194</v>
      </c>
      <c r="R231" s="48">
        <v>9676523194</v>
      </c>
      <c r="S231" s="33"/>
      <c r="T231" s="44">
        <v>15000000</v>
      </c>
      <c r="U231" s="33"/>
      <c r="V231" s="33"/>
      <c r="W231" s="52"/>
      <c r="X231" s="52">
        <f t="shared" ref="X231:Y231" si="224">M231-S231</f>
        <v>0</v>
      </c>
      <c r="Y231" s="52">
        <f t="shared" si="224"/>
        <v>0</v>
      </c>
      <c r="Z231" s="52">
        <f t="shared" si="7"/>
        <v>0</v>
      </c>
      <c r="AA231" s="54"/>
      <c r="AB231" s="68"/>
    </row>
    <row r="232" spans="1:28" ht="31.5" x14ac:dyDescent="0.25">
      <c r="A232" s="33" t="s">
        <v>52</v>
      </c>
      <c r="B232" s="42">
        <v>218</v>
      </c>
      <c r="C232" s="33" t="s">
        <v>557</v>
      </c>
      <c r="D232" s="33" t="s">
        <v>1224</v>
      </c>
      <c r="E232" s="33" t="s">
        <v>1226</v>
      </c>
      <c r="F232" s="33" t="s">
        <v>1229</v>
      </c>
      <c r="G232" s="32"/>
      <c r="H232" s="32"/>
      <c r="I232" s="33" t="s">
        <v>1231</v>
      </c>
      <c r="J232" s="33" t="s">
        <v>43</v>
      </c>
      <c r="K232" s="33" t="s">
        <v>1232</v>
      </c>
      <c r="L232" s="48">
        <v>1212272880</v>
      </c>
      <c r="M232" s="48">
        <v>231967520</v>
      </c>
      <c r="N232" s="48">
        <v>15000000</v>
      </c>
      <c r="O232" s="43" t="s">
        <v>1227</v>
      </c>
      <c r="P232" s="69">
        <v>42000000</v>
      </c>
      <c r="Q232" s="48">
        <f t="shared" si="47"/>
        <v>1501240400</v>
      </c>
      <c r="R232" s="48">
        <v>1212272880</v>
      </c>
      <c r="S232" s="48">
        <v>231967520</v>
      </c>
      <c r="T232" s="44">
        <v>15000000</v>
      </c>
      <c r="U232" s="48">
        <v>42000000</v>
      </c>
      <c r="V232" s="33"/>
      <c r="W232" s="52"/>
      <c r="X232" s="52">
        <f t="shared" ref="X232:Y232" si="225">M232-S232</f>
        <v>0</v>
      </c>
      <c r="Y232" s="52">
        <f t="shared" si="225"/>
        <v>0</v>
      </c>
      <c r="Z232" s="52">
        <f t="shared" si="7"/>
        <v>0</v>
      </c>
      <c r="AA232" s="54"/>
      <c r="AB232" s="68"/>
    </row>
    <row r="233" spans="1:28" ht="31.5" x14ac:dyDescent="0.25">
      <c r="A233" s="33" t="s">
        <v>35</v>
      </c>
      <c r="B233" s="42">
        <v>219</v>
      </c>
      <c r="C233" s="33" t="s">
        <v>557</v>
      </c>
      <c r="D233" s="33" t="s">
        <v>1839</v>
      </c>
      <c r="E233" s="32"/>
      <c r="F233" s="33" t="s">
        <v>1840</v>
      </c>
      <c r="G233" s="32"/>
      <c r="H233" s="32"/>
      <c r="I233" s="33" t="s">
        <v>1841</v>
      </c>
      <c r="J233" s="33" t="s">
        <v>43</v>
      </c>
      <c r="K233" s="33" t="s">
        <v>1842</v>
      </c>
      <c r="L233" s="48">
        <v>1642004400</v>
      </c>
      <c r="M233" s="32"/>
      <c r="N233" s="48">
        <v>7500000</v>
      </c>
      <c r="O233" s="43"/>
      <c r="P233" s="43"/>
      <c r="Q233" s="48">
        <f t="shared" si="47"/>
        <v>1649504400</v>
      </c>
      <c r="R233" s="48">
        <v>1642004400</v>
      </c>
      <c r="S233" s="33"/>
      <c r="T233" s="44">
        <v>7500000</v>
      </c>
      <c r="U233" s="33"/>
      <c r="V233" s="33"/>
      <c r="W233" s="52"/>
      <c r="X233" s="52">
        <f t="shared" ref="X233:Y233" si="226">M233-S233</f>
        <v>0</v>
      </c>
      <c r="Y233" s="52">
        <f t="shared" si="226"/>
        <v>0</v>
      </c>
      <c r="Z233" s="52">
        <f t="shared" si="7"/>
        <v>0</v>
      </c>
      <c r="AA233" s="54"/>
      <c r="AB233" s="68"/>
    </row>
    <row r="234" spans="1:28" ht="31.5" x14ac:dyDescent="0.25">
      <c r="A234" s="33" t="s">
        <v>52</v>
      </c>
      <c r="B234" s="42">
        <v>220</v>
      </c>
      <c r="C234" s="33" t="s">
        <v>557</v>
      </c>
      <c r="D234" s="33" t="s">
        <v>1843</v>
      </c>
      <c r="E234" s="32"/>
      <c r="F234" s="33" t="s">
        <v>1844</v>
      </c>
      <c r="G234" s="32"/>
      <c r="H234" s="32"/>
      <c r="I234" s="33" t="s">
        <v>1845</v>
      </c>
      <c r="J234" s="33" t="s">
        <v>43</v>
      </c>
      <c r="K234" s="33" t="s">
        <v>1847</v>
      </c>
      <c r="L234" s="48">
        <v>101857120</v>
      </c>
      <c r="M234" s="32"/>
      <c r="N234" s="48">
        <v>7500000</v>
      </c>
      <c r="O234" s="43"/>
      <c r="P234" s="43"/>
      <c r="Q234" s="48">
        <f t="shared" si="47"/>
        <v>109357120</v>
      </c>
      <c r="R234" s="48">
        <v>101857120</v>
      </c>
      <c r="S234" s="33"/>
      <c r="T234" s="44">
        <v>7500000</v>
      </c>
      <c r="U234" s="33"/>
      <c r="V234" s="33"/>
      <c r="W234" s="52"/>
      <c r="X234" s="52">
        <f t="shared" ref="X234:Y234" si="227">M234-S234</f>
        <v>0</v>
      </c>
      <c r="Y234" s="52">
        <f t="shared" si="227"/>
        <v>0</v>
      </c>
      <c r="Z234" s="52">
        <f t="shared" si="7"/>
        <v>0</v>
      </c>
      <c r="AA234" s="54"/>
      <c r="AB234" s="68"/>
    </row>
    <row r="235" spans="1:28" ht="94.5" x14ac:dyDescent="0.25">
      <c r="A235" s="33" t="s">
        <v>35</v>
      </c>
      <c r="B235" s="42">
        <v>221</v>
      </c>
      <c r="C235" s="33" t="s">
        <v>557</v>
      </c>
      <c r="D235" s="33" t="s">
        <v>1851</v>
      </c>
      <c r="E235" s="33" t="s">
        <v>156</v>
      </c>
      <c r="F235" s="33" t="s">
        <v>1852</v>
      </c>
      <c r="G235" s="33" t="s">
        <v>1853</v>
      </c>
      <c r="H235" s="32"/>
      <c r="I235" s="33" t="s">
        <v>1854</v>
      </c>
      <c r="J235" s="33" t="s">
        <v>43</v>
      </c>
      <c r="K235" s="33" t="s">
        <v>1855</v>
      </c>
      <c r="L235" s="48">
        <v>6130396068</v>
      </c>
      <c r="M235" s="48">
        <v>7326720</v>
      </c>
      <c r="N235" s="48">
        <v>15000000</v>
      </c>
      <c r="O235" s="43"/>
      <c r="P235" s="43"/>
      <c r="Q235" s="48">
        <f t="shared" si="47"/>
        <v>6152722788</v>
      </c>
      <c r="R235" s="48">
        <v>6130396068</v>
      </c>
      <c r="S235" s="48">
        <v>7326720</v>
      </c>
      <c r="T235" s="44">
        <v>15000000</v>
      </c>
      <c r="U235" s="33"/>
      <c r="V235" s="33"/>
      <c r="W235" s="52"/>
      <c r="X235" s="52">
        <f t="shared" ref="X235:Y235" si="228">M235-S235</f>
        <v>0</v>
      </c>
      <c r="Y235" s="52">
        <f t="shared" si="228"/>
        <v>0</v>
      </c>
      <c r="Z235" s="52">
        <f t="shared" si="7"/>
        <v>0</v>
      </c>
      <c r="AA235" s="54"/>
      <c r="AB235" s="68"/>
    </row>
    <row r="236" spans="1:28" ht="31.5" x14ac:dyDescent="0.25">
      <c r="A236" s="33" t="s">
        <v>52</v>
      </c>
      <c r="B236" s="42">
        <v>222</v>
      </c>
      <c r="C236" s="33" t="s">
        <v>557</v>
      </c>
      <c r="D236" s="33" t="s">
        <v>1860</v>
      </c>
      <c r="E236" s="32"/>
      <c r="F236" s="33" t="s">
        <v>1861</v>
      </c>
      <c r="G236" s="32"/>
      <c r="H236" s="32"/>
      <c r="I236" s="33" t="s">
        <v>1862</v>
      </c>
      <c r="J236" s="33" t="s">
        <v>43</v>
      </c>
      <c r="K236" s="33" t="s">
        <v>1863</v>
      </c>
      <c r="L236" s="48">
        <v>2707724480</v>
      </c>
      <c r="M236" s="32"/>
      <c r="N236" s="48">
        <v>15000000</v>
      </c>
      <c r="O236" s="43"/>
      <c r="P236" s="43"/>
      <c r="Q236" s="48">
        <f t="shared" si="47"/>
        <v>2722724480</v>
      </c>
      <c r="R236" s="48">
        <v>2707724480</v>
      </c>
      <c r="S236" s="33"/>
      <c r="T236" s="44">
        <v>15000000</v>
      </c>
      <c r="U236" s="33"/>
      <c r="V236" s="33"/>
      <c r="W236" s="52"/>
      <c r="X236" s="52">
        <f t="shared" ref="X236:Y236" si="229">M236-S236</f>
        <v>0</v>
      </c>
      <c r="Y236" s="52">
        <f t="shared" si="229"/>
        <v>0</v>
      </c>
      <c r="Z236" s="52">
        <f t="shared" si="7"/>
        <v>0</v>
      </c>
      <c r="AA236" s="54"/>
      <c r="AB236" s="68"/>
    </row>
    <row r="237" spans="1:28" ht="31.5" x14ac:dyDescent="0.25">
      <c r="A237" s="33" t="s">
        <v>52</v>
      </c>
      <c r="B237" s="42">
        <v>223</v>
      </c>
      <c r="C237" s="33" t="s">
        <v>557</v>
      </c>
      <c r="D237" s="33" t="s">
        <v>1868</v>
      </c>
      <c r="E237" s="32"/>
      <c r="F237" s="33" t="s">
        <v>1869</v>
      </c>
      <c r="G237" s="32"/>
      <c r="H237" s="32"/>
      <c r="I237" s="33" t="s">
        <v>1870</v>
      </c>
      <c r="J237" s="33" t="s">
        <v>43</v>
      </c>
      <c r="K237" s="33" t="s">
        <v>1871</v>
      </c>
      <c r="L237" s="48">
        <v>1477449600</v>
      </c>
      <c r="M237" s="32"/>
      <c r="N237" s="48">
        <v>7500000</v>
      </c>
      <c r="O237" s="43"/>
      <c r="P237" s="43"/>
      <c r="Q237" s="48">
        <f t="shared" si="47"/>
        <v>1484949600</v>
      </c>
      <c r="R237" s="48">
        <v>1477449600</v>
      </c>
      <c r="S237" s="33"/>
      <c r="T237" s="66"/>
      <c r="U237" s="33"/>
      <c r="V237" s="33"/>
      <c r="W237" s="52"/>
      <c r="X237" s="52">
        <f t="shared" ref="X237:Y237" si="230">M237-S237</f>
        <v>0</v>
      </c>
      <c r="Y237" s="52">
        <f t="shared" si="230"/>
        <v>7500000</v>
      </c>
      <c r="Z237" s="52">
        <f t="shared" si="7"/>
        <v>0</v>
      </c>
      <c r="AA237" s="54"/>
      <c r="AB237" s="68"/>
    </row>
    <row r="238" spans="1:28" ht="31.5" x14ac:dyDescent="0.25">
      <c r="A238" s="33" t="s">
        <v>52</v>
      </c>
      <c r="B238" s="42">
        <v>224</v>
      </c>
      <c r="C238" s="33" t="s">
        <v>557</v>
      </c>
      <c r="D238" s="33" t="s">
        <v>1876</v>
      </c>
      <c r="E238" s="32"/>
      <c r="F238" s="33" t="s">
        <v>1877</v>
      </c>
      <c r="G238" s="32"/>
      <c r="H238" s="32"/>
      <c r="I238" s="33" t="s">
        <v>1870</v>
      </c>
      <c r="J238" s="33" t="s">
        <v>43</v>
      </c>
      <c r="K238" s="33" t="s">
        <v>1871</v>
      </c>
      <c r="L238" s="48">
        <v>1245692800</v>
      </c>
      <c r="M238" s="32"/>
      <c r="N238" s="48">
        <v>7500000</v>
      </c>
      <c r="O238" s="43"/>
      <c r="P238" s="43"/>
      <c r="Q238" s="48">
        <f t="shared" si="47"/>
        <v>1253192800</v>
      </c>
      <c r="R238" s="48">
        <v>1245692800</v>
      </c>
      <c r="S238" s="33"/>
      <c r="T238" s="66"/>
      <c r="U238" s="33"/>
      <c r="V238" s="33"/>
      <c r="W238" s="52"/>
      <c r="X238" s="52">
        <f t="shared" ref="X238:Y238" si="231">M238-S238</f>
        <v>0</v>
      </c>
      <c r="Y238" s="52">
        <f t="shared" si="231"/>
        <v>7500000</v>
      </c>
      <c r="Z238" s="52">
        <f t="shared" si="7"/>
        <v>0</v>
      </c>
      <c r="AA238" s="54"/>
      <c r="AB238" s="68"/>
    </row>
    <row r="239" spans="1:28" ht="31.5" x14ac:dyDescent="0.25">
      <c r="A239" s="33" t="s">
        <v>52</v>
      </c>
      <c r="B239" s="42">
        <v>225</v>
      </c>
      <c r="C239" s="33" t="s">
        <v>557</v>
      </c>
      <c r="D239" s="33" t="s">
        <v>558</v>
      </c>
      <c r="E239" s="32"/>
      <c r="F239" s="33" t="s">
        <v>560</v>
      </c>
      <c r="G239" s="32"/>
      <c r="H239" s="32"/>
      <c r="I239" s="33" t="s">
        <v>561</v>
      </c>
      <c r="J239" s="33" t="s">
        <v>43</v>
      </c>
      <c r="K239" s="33" t="s">
        <v>562</v>
      </c>
      <c r="L239" s="48">
        <v>30585365520</v>
      </c>
      <c r="M239" s="32"/>
      <c r="N239" s="48">
        <v>15000000</v>
      </c>
      <c r="O239" s="33" t="s">
        <v>559</v>
      </c>
      <c r="P239" s="69">
        <v>48000000</v>
      </c>
      <c r="Q239" s="48">
        <f t="shared" si="47"/>
        <v>30648365520</v>
      </c>
      <c r="R239" s="48">
        <v>30585365520</v>
      </c>
      <c r="S239" s="33"/>
      <c r="T239" s="44">
        <v>15000000</v>
      </c>
      <c r="U239" s="48">
        <v>48000000</v>
      </c>
      <c r="V239" s="33"/>
      <c r="W239" s="52"/>
      <c r="X239" s="52">
        <f t="shared" ref="X239:Y239" si="232">M239-S239</f>
        <v>0</v>
      </c>
      <c r="Y239" s="52">
        <f t="shared" si="232"/>
        <v>0</v>
      </c>
      <c r="Z239" s="52">
        <f t="shared" si="7"/>
        <v>0</v>
      </c>
      <c r="AA239" s="54"/>
      <c r="AB239" s="68"/>
    </row>
    <row r="240" spans="1:28" ht="31.5" x14ac:dyDescent="0.25">
      <c r="A240" s="33" t="s">
        <v>52</v>
      </c>
      <c r="B240" s="42">
        <v>226</v>
      </c>
      <c r="C240" s="33" t="s">
        <v>557</v>
      </c>
      <c r="D240" s="33" t="s">
        <v>1885</v>
      </c>
      <c r="E240" s="32"/>
      <c r="F240" s="33" t="s">
        <v>1887</v>
      </c>
      <c r="G240" s="32"/>
      <c r="H240" s="32"/>
      <c r="I240" s="33" t="s">
        <v>1889</v>
      </c>
      <c r="J240" s="33" t="s">
        <v>43</v>
      </c>
      <c r="K240" s="33" t="s">
        <v>1891</v>
      </c>
      <c r="L240" s="42">
        <v>0</v>
      </c>
      <c r="M240" s="32"/>
      <c r="N240" s="48">
        <v>7500000</v>
      </c>
      <c r="O240" s="43"/>
      <c r="P240" s="43"/>
      <c r="Q240" s="48">
        <f t="shared" si="47"/>
        <v>7500000</v>
      </c>
      <c r="R240" s="42">
        <v>0</v>
      </c>
      <c r="S240" s="33"/>
      <c r="T240" s="44">
        <v>7500000</v>
      </c>
      <c r="U240" s="33"/>
      <c r="V240" s="33"/>
      <c r="W240" s="52"/>
      <c r="X240" s="52">
        <f t="shared" ref="X240:Y240" si="233">M240-S240</f>
        <v>0</v>
      </c>
      <c r="Y240" s="52">
        <f t="shared" si="233"/>
        <v>0</v>
      </c>
      <c r="Z240" s="52">
        <f t="shared" si="7"/>
        <v>0</v>
      </c>
      <c r="AA240" s="54"/>
      <c r="AB240" s="68"/>
    </row>
    <row r="241" spans="1:28" ht="31.5" x14ac:dyDescent="0.25">
      <c r="A241" s="33" t="s">
        <v>35</v>
      </c>
      <c r="B241" s="42">
        <v>227</v>
      </c>
      <c r="C241" s="33" t="s">
        <v>1136</v>
      </c>
      <c r="D241" s="33" t="s">
        <v>1895</v>
      </c>
      <c r="E241" s="32"/>
      <c r="F241" s="33" t="s">
        <v>1896</v>
      </c>
      <c r="G241" s="32"/>
      <c r="H241" s="32"/>
      <c r="I241" s="33" t="s">
        <v>1897</v>
      </c>
      <c r="J241" s="33" t="s">
        <v>43</v>
      </c>
      <c r="K241" s="33" t="s">
        <v>1898</v>
      </c>
      <c r="L241" s="48">
        <v>3467851106</v>
      </c>
      <c r="M241" s="32"/>
      <c r="N241" s="48">
        <v>7500000</v>
      </c>
      <c r="O241" s="43"/>
      <c r="P241" s="43"/>
      <c r="Q241" s="48">
        <f t="shared" si="47"/>
        <v>3475351106</v>
      </c>
      <c r="R241" s="33"/>
      <c r="S241" s="33"/>
      <c r="T241" s="66"/>
      <c r="U241" s="33"/>
      <c r="V241" s="33"/>
      <c r="W241" s="52">
        <v>3467851106</v>
      </c>
      <c r="X241" s="52">
        <f t="shared" ref="X241:Y241" si="234">M241-S241</f>
        <v>0</v>
      </c>
      <c r="Y241" s="52">
        <f t="shared" si="234"/>
        <v>7500000</v>
      </c>
      <c r="Z241" s="52">
        <f t="shared" si="7"/>
        <v>0</v>
      </c>
      <c r="AA241" s="69">
        <v>3467851106</v>
      </c>
      <c r="AB241" s="68"/>
    </row>
    <row r="242" spans="1:28" ht="31.5" x14ac:dyDescent="0.25">
      <c r="A242" s="33" t="s">
        <v>35</v>
      </c>
      <c r="B242" s="42">
        <v>228</v>
      </c>
      <c r="C242" s="33" t="s">
        <v>1136</v>
      </c>
      <c r="D242" s="33" t="s">
        <v>1904</v>
      </c>
      <c r="E242" s="33" t="s">
        <v>156</v>
      </c>
      <c r="F242" s="33" t="s">
        <v>1905</v>
      </c>
      <c r="G242" s="33" t="s">
        <v>1906</v>
      </c>
      <c r="H242" s="32"/>
      <c r="I242" s="33" t="s">
        <v>1907</v>
      </c>
      <c r="J242" s="33" t="s">
        <v>43</v>
      </c>
      <c r="K242" s="33" t="s">
        <v>1908</v>
      </c>
      <c r="L242" s="48">
        <v>2645084632</v>
      </c>
      <c r="M242" s="48">
        <v>617741568</v>
      </c>
      <c r="N242" s="48">
        <v>15000000</v>
      </c>
      <c r="O242" s="43"/>
      <c r="P242" s="43"/>
      <c r="Q242" s="48">
        <f t="shared" si="47"/>
        <v>3277826200</v>
      </c>
      <c r="R242" s="48">
        <v>2645084632</v>
      </c>
      <c r="S242" s="48">
        <v>617741568</v>
      </c>
      <c r="T242" s="44">
        <v>15000000</v>
      </c>
      <c r="U242" s="33"/>
      <c r="V242" s="33"/>
      <c r="W242" s="52"/>
      <c r="X242" s="52">
        <f t="shared" ref="X242:Y242" si="235">M242-S242</f>
        <v>0</v>
      </c>
      <c r="Y242" s="52">
        <f t="shared" si="235"/>
        <v>0</v>
      </c>
      <c r="Z242" s="52">
        <f t="shared" si="7"/>
        <v>0</v>
      </c>
      <c r="AA242" s="54"/>
      <c r="AB242" s="68"/>
    </row>
    <row r="243" spans="1:28" ht="31.5" x14ac:dyDescent="0.25">
      <c r="A243" s="33" t="s">
        <v>35</v>
      </c>
      <c r="B243" s="42">
        <v>229</v>
      </c>
      <c r="C243" s="33" t="s">
        <v>1136</v>
      </c>
      <c r="D243" s="33" t="s">
        <v>1910</v>
      </c>
      <c r="E243" s="32"/>
      <c r="F243" s="33" t="s">
        <v>1911</v>
      </c>
      <c r="G243" s="32"/>
      <c r="H243" s="32"/>
      <c r="I243" s="33" t="s">
        <v>1912</v>
      </c>
      <c r="J243" s="33" t="s">
        <v>43</v>
      </c>
      <c r="K243" s="33" t="s">
        <v>1913</v>
      </c>
      <c r="L243" s="48">
        <v>5265038802</v>
      </c>
      <c r="M243" s="32"/>
      <c r="N243" s="48">
        <v>7500000</v>
      </c>
      <c r="O243" s="43"/>
      <c r="P243" s="43"/>
      <c r="Q243" s="48">
        <f t="shared" si="47"/>
        <v>5272538802</v>
      </c>
      <c r="R243" s="48">
        <v>5265038802</v>
      </c>
      <c r="S243" s="33"/>
      <c r="T243" s="44">
        <v>7500000</v>
      </c>
      <c r="U243" s="33"/>
      <c r="V243" s="33"/>
      <c r="W243" s="52"/>
      <c r="X243" s="52">
        <f t="shared" ref="X243:Y243" si="236">M243-S243</f>
        <v>0</v>
      </c>
      <c r="Y243" s="52">
        <f t="shared" si="236"/>
        <v>0</v>
      </c>
      <c r="Z243" s="52">
        <f t="shared" si="7"/>
        <v>0</v>
      </c>
      <c r="AA243" s="54"/>
      <c r="AB243" s="68"/>
    </row>
    <row r="244" spans="1:28" ht="31.5" x14ac:dyDescent="0.25">
      <c r="A244" s="33" t="s">
        <v>35</v>
      </c>
      <c r="B244" s="42">
        <v>230</v>
      </c>
      <c r="C244" s="33" t="s">
        <v>1136</v>
      </c>
      <c r="D244" s="33" t="s">
        <v>1918</v>
      </c>
      <c r="E244" s="32"/>
      <c r="F244" s="33" t="s">
        <v>1919</v>
      </c>
      <c r="G244" s="32"/>
      <c r="H244" s="32"/>
      <c r="I244" s="33" t="s">
        <v>1920</v>
      </c>
      <c r="J244" s="33" t="s">
        <v>43</v>
      </c>
      <c r="K244" s="33" t="s">
        <v>1921</v>
      </c>
      <c r="L244" s="48">
        <v>204645630</v>
      </c>
      <c r="M244" s="32"/>
      <c r="N244" s="48">
        <v>7500000</v>
      </c>
      <c r="O244" s="43"/>
      <c r="P244" s="43"/>
      <c r="Q244" s="48">
        <f t="shared" si="47"/>
        <v>212145630</v>
      </c>
      <c r="R244" s="48">
        <v>204645630</v>
      </c>
      <c r="S244" s="33"/>
      <c r="T244" s="44">
        <v>7500000</v>
      </c>
      <c r="U244" s="33"/>
      <c r="V244" s="33"/>
      <c r="W244" s="52"/>
      <c r="X244" s="52">
        <f t="shared" ref="X244:Y244" si="237">M244-S244</f>
        <v>0</v>
      </c>
      <c r="Y244" s="52">
        <f t="shared" si="237"/>
        <v>0</v>
      </c>
      <c r="Z244" s="52">
        <f t="shared" si="7"/>
        <v>0</v>
      </c>
      <c r="AA244" s="54"/>
      <c r="AB244" s="68"/>
    </row>
    <row r="245" spans="1:28" ht="31.5" x14ac:dyDescent="0.25">
      <c r="A245" s="33" t="s">
        <v>35</v>
      </c>
      <c r="B245" s="42">
        <v>231</v>
      </c>
      <c r="C245" s="33" t="s">
        <v>1136</v>
      </c>
      <c r="D245" s="33" t="s">
        <v>1922</v>
      </c>
      <c r="E245" s="33" t="s">
        <v>1923</v>
      </c>
      <c r="F245" s="33" t="s">
        <v>1924</v>
      </c>
      <c r="G245" s="32"/>
      <c r="H245" s="32"/>
      <c r="I245" s="33" t="s">
        <v>1925</v>
      </c>
      <c r="J245" s="33" t="s">
        <v>43</v>
      </c>
      <c r="K245" s="33" t="s">
        <v>1926</v>
      </c>
      <c r="L245" s="48">
        <v>2537955740</v>
      </c>
      <c r="M245" s="48">
        <v>3522240</v>
      </c>
      <c r="N245" s="48">
        <v>15000000</v>
      </c>
      <c r="O245" s="43"/>
      <c r="P245" s="43"/>
      <c r="Q245" s="48">
        <f t="shared" si="47"/>
        <v>2556477980</v>
      </c>
      <c r="R245" s="48">
        <v>2537955740</v>
      </c>
      <c r="S245" s="48">
        <v>3522240</v>
      </c>
      <c r="T245" s="44">
        <v>15000000</v>
      </c>
      <c r="U245" s="33"/>
      <c r="V245" s="33"/>
      <c r="W245" s="52"/>
      <c r="X245" s="52">
        <f t="shared" ref="X245:Y245" si="238">M245-S245</f>
        <v>0</v>
      </c>
      <c r="Y245" s="52">
        <f t="shared" si="238"/>
        <v>0</v>
      </c>
      <c r="Z245" s="52">
        <f t="shared" si="7"/>
        <v>0</v>
      </c>
      <c r="AA245" s="54"/>
      <c r="AB245" s="68"/>
    </row>
    <row r="246" spans="1:28" ht="31.5" x14ac:dyDescent="0.25">
      <c r="A246" s="33" t="s">
        <v>52</v>
      </c>
      <c r="B246" s="42">
        <v>232</v>
      </c>
      <c r="C246" s="33" t="s">
        <v>1136</v>
      </c>
      <c r="D246" s="33" t="s">
        <v>1931</v>
      </c>
      <c r="E246" s="32"/>
      <c r="F246" s="33" t="s">
        <v>1932</v>
      </c>
      <c r="G246" s="32"/>
      <c r="H246" s="32"/>
      <c r="I246" s="33" t="s">
        <v>1933</v>
      </c>
      <c r="J246" s="33" t="s">
        <v>43</v>
      </c>
      <c r="K246" s="33" t="s">
        <v>1934</v>
      </c>
      <c r="L246" s="48">
        <v>5072847062</v>
      </c>
      <c r="M246" s="32"/>
      <c r="N246" s="48">
        <v>15000000</v>
      </c>
      <c r="O246" s="43"/>
      <c r="P246" s="43"/>
      <c r="Q246" s="48">
        <f t="shared" si="47"/>
        <v>5087847062</v>
      </c>
      <c r="R246" s="48">
        <v>5072847062</v>
      </c>
      <c r="S246" s="33"/>
      <c r="T246" s="80">
        <v>15000000</v>
      </c>
      <c r="U246" s="33"/>
      <c r="V246" s="33"/>
      <c r="W246" s="52"/>
      <c r="X246" s="52">
        <f t="shared" ref="X246:Y246" si="239">M246-S246</f>
        <v>0</v>
      </c>
      <c r="Y246" s="52">
        <f t="shared" si="239"/>
        <v>0</v>
      </c>
      <c r="Z246" s="52">
        <f t="shared" si="7"/>
        <v>0</v>
      </c>
      <c r="AA246" s="54"/>
      <c r="AB246" s="68"/>
    </row>
    <row r="247" spans="1:28" ht="47.25" x14ac:dyDescent="0.25">
      <c r="A247" s="33" t="s">
        <v>35</v>
      </c>
      <c r="B247" s="42">
        <v>233</v>
      </c>
      <c r="C247" s="33" t="s">
        <v>1136</v>
      </c>
      <c r="D247" s="33" t="s">
        <v>1935</v>
      </c>
      <c r="E247" s="32"/>
      <c r="F247" s="33" t="s">
        <v>1936</v>
      </c>
      <c r="G247" s="32"/>
      <c r="H247" s="32"/>
      <c r="I247" s="33" t="s">
        <v>1938</v>
      </c>
      <c r="J247" s="33" t="s">
        <v>43</v>
      </c>
      <c r="K247" s="33" t="s">
        <v>1940</v>
      </c>
      <c r="L247" s="48">
        <v>8181354</v>
      </c>
      <c r="M247" s="32"/>
      <c r="N247" s="48">
        <v>7500000</v>
      </c>
      <c r="O247" s="43"/>
      <c r="P247" s="43"/>
      <c r="Q247" s="48">
        <f t="shared" si="47"/>
        <v>15681354</v>
      </c>
      <c r="R247" s="33"/>
      <c r="S247" s="33"/>
      <c r="T247" s="66"/>
      <c r="U247" s="33"/>
      <c r="V247" s="33"/>
      <c r="W247" s="52">
        <v>8181354</v>
      </c>
      <c r="X247" s="52">
        <f t="shared" ref="X247:Y247" si="240">M247-S247</f>
        <v>0</v>
      </c>
      <c r="Y247" s="52">
        <f t="shared" si="240"/>
        <v>7500000</v>
      </c>
      <c r="Z247" s="52">
        <f t="shared" si="7"/>
        <v>0</v>
      </c>
      <c r="AA247" s="69">
        <v>8181354</v>
      </c>
      <c r="AB247" s="68"/>
    </row>
    <row r="248" spans="1:28" ht="94.5" x14ac:dyDescent="0.25">
      <c r="A248" s="33" t="s">
        <v>35</v>
      </c>
      <c r="B248" s="42">
        <v>234</v>
      </c>
      <c r="C248" s="33" t="s">
        <v>1136</v>
      </c>
      <c r="D248" s="33" t="s">
        <v>1945</v>
      </c>
      <c r="E248" s="32"/>
      <c r="F248" s="33" t="s">
        <v>1946</v>
      </c>
      <c r="G248" s="32"/>
      <c r="H248" s="33" t="s">
        <v>85</v>
      </c>
      <c r="I248" s="33" t="s">
        <v>1947</v>
      </c>
      <c r="J248" s="33" t="s">
        <v>43</v>
      </c>
      <c r="K248" s="33" t="s">
        <v>1948</v>
      </c>
      <c r="L248" s="42">
        <v>0</v>
      </c>
      <c r="M248" s="32"/>
      <c r="N248" s="33"/>
      <c r="O248" s="43"/>
      <c r="P248" s="43"/>
      <c r="Q248" s="48">
        <f t="shared" si="47"/>
        <v>0</v>
      </c>
      <c r="R248" s="42">
        <v>0</v>
      </c>
      <c r="S248" s="33"/>
      <c r="T248" s="66"/>
      <c r="U248" s="33"/>
      <c r="V248" s="33"/>
      <c r="W248" s="52"/>
      <c r="X248" s="52">
        <f t="shared" ref="X248:Y248" si="241">M248-S248</f>
        <v>0</v>
      </c>
      <c r="Y248" s="52">
        <f t="shared" si="241"/>
        <v>0</v>
      </c>
      <c r="Z248" s="52">
        <f t="shared" si="7"/>
        <v>0</v>
      </c>
      <c r="AA248" s="54"/>
      <c r="AB248" s="68"/>
    </row>
    <row r="249" spans="1:28" ht="31.5" x14ac:dyDescent="0.25">
      <c r="A249" s="33" t="s">
        <v>35</v>
      </c>
      <c r="B249" s="42">
        <v>235</v>
      </c>
      <c r="C249" s="33" t="s">
        <v>1136</v>
      </c>
      <c r="D249" s="33" t="s">
        <v>1284</v>
      </c>
      <c r="E249" s="33" t="s">
        <v>1285</v>
      </c>
      <c r="F249" s="33" t="s">
        <v>1286</v>
      </c>
      <c r="G249" s="33" t="s">
        <v>1287</v>
      </c>
      <c r="H249" s="32"/>
      <c r="I249" s="33" t="s">
        <v>1288</v>
      </c>
      <c r="J249" s="33" t="s">
        <v>43</v>
      </c>
      <c r="K249" s="33" t="s">
        <v>1289</v>
      </c>
      <c r="L249" s="48">
        <v>29643369869</v>
      </c>
      <c r="M249" s="48">
        <v>642820640</v>
      </c>
      <c r="N249" s="48">
        <v>15000000</v>
      </c>
      <c r="O249" s="33" t="s">
        <v>464</v>
      </c>
      <c r="P249" s="48">
        <v>48000000</v>
      </c>
      <c r="Q249" s="48">
        <f t="shared" si="47"/>
        <v>30349190509</v>
      </c>
      <c r="R249" s="48">
        <v>29643369869</v>
      </c>
      <c r="S249" s="33"/>
      <c r="T249" s="66"/>
      <c r="U249" s="33"/>
      <c r="V249" s="33"/>
      <c r="W249" s="52"/>
      <c r="X249" s="52">
        <f t="shared" ref="X249:Y249" si="242">M249-S249</f>
        <v>642820640</v>
      </c>
      <c r="Y249" s="52">
        <f t="shared" si="242"/>
        <v>15000000</v>
      </c>
      <c r="Z249" s="52">
        <f t="shared" si="7"/>
        <v>48000000</v>
      </c>
      <c r="AA249" s="54"/>
      <c r="AB249" s="75"/>
    </row>
    <row r="250" spans="1:28" ht="31.5" x14ac:dyDescent="0.25">
      <c r="A250" s="33" t="s">
        <v>35</v>
      </c>
      <c r="B250" s="42">
        <v>236</v>
      </c>
      <c r="C250" s="33" t="s">
        <v>1136</v>
      </c>
      <c r="D250" s="33" t="s">
        <v>1949</v>
      </c>
      <c r="E250" s="33" t="s">
        <v>100</v>
      </c>
      <c r="F250" s="33" t="s">
        <v>1950</v>
      </c>
      <c r="G250" s="33" t="s">
        <v>1563</v>
      </c>
      <c r="H250" s="32"/>
      <c r="I250" s="33" t="s">
        <v>1951</v>
      </c>
      <c r="J250" s="33" t="s">
        <v>43</v>
      </c>
      <c r="K250" s="33" t="s">
        <v>1952</v>
      </c>
      <c r="L250" s="48">
        <v>607575480</v>
      </c>
      <c r="M250" s="48">
        <v>60674400</v>
      </c>
      <c r="N250" s="48">
        <v>7500000</v>
      </c>
      <c r="O250" s="43"/>
      <c r="P250" s="43"/>
      <c r="Q250" s="48">
        <f t="shared" si="47"/>
        <v>675749880</v>
      </c>
      <c r="R250" s="48">
        <v>607575480</v>
      </c>
      <c r="S250" s="48">
        <v>60674400</v>
      </c>
      <c r="T250" s="44">
        <v>7500000</v>
      </c>
      <c r="U250" s="33"/>
      <c r="V250" s="33"/>
      <c r="W250" s="52"/>
      <c r="X250" s="52">
        <f t="shared" ref="X250:Y250" si="243">M250-S250</f>
        <v>0</v>
      </c>
      <c r="Y250" s="52">
        <f t="shared" si="243"/>
        <v>0</v>
      </c>
      <c r="Z250" s="52">
        <f t="shared" si="7"/>
        <v>0</v>
      </c>
      <c r="AA250" s="54"/>
      <c r="AB250" s="68"/>
    </row>
    <row r="251" spans="1:28" ht="31.5" x14ac:dyDescent="0.25">
      <c r="A251" s="33" t="s">
        <v>35</v>
      </c>
      <c r="B251" s="42">
        <v>237</v>
      </c>
      <c r="C251" s="33" t="s">
        <v>1136</v>
      </c>
      <c r="D251" s="33" t="s">
        <v>1953</v>
      </c>
      <c r="E251" s="32"/>
      <c r="F251" s="33" t="s">
        <v>1954</v>
      </c>
      <c r="G251" s="32"/>
      <c r="H251" s="32"/>
      <c r="I251" s="33" t="s">
        <v>1955</v>
      </c>
      <c r="J251" s="33" t="s">
        <v>43</v>
      </c>
      <c r="K251" s="33" t="s">
        <v>1956</v>
      </c>
      <c r="L251" s="48">
        <v>1176584884</v>
      </c>
      <c r="M251" s="32"/>
      <c r="N251" s="48">
        <v>7500000</v>
      </c>
      <c r="O251" s="43"/>
      <c r="P251" s="43"/>
      <c r="Q251" s="48">
        <f t="shared" si="47"/>
        <v>1184084884</v>
      </c>
      <c r="R251" s="48">
        <v>1176584884</v>
      </c>
      <c r="S251" s="33"/>
      <c r="T251" s="44">
        <v>7500000</v>
      </c>
      <c r="U251" s="33"/>
      <c r="V251" s="33"/>
      <c r="W251" s="52"/>
      <c r="X251" s="52">
        <f t="shared" ref="X251:Y251" si="244">M251-S251</f>
        <v>0</v>
      </c>
      <c r="Y251" s="52">
        <f t="shared" si="244"/>
        <v>0</v>
      </c>
      <c r="Z251" s="52">
        <f t="shared" si="7"/>
        <v>0</v>
      </c>
      <c r="AA251" s="54"/>
      <c r="AB251" s="68"/>
    </row>
    <row r="252" spans="1:28" ht="31.5" x14ac:dyDescent="0.25">
      <c r="A252" s="33" t="s">
        <v>35</v>
      </c>
      <c r="B252" s="42">
        <v>238</v>
      </c>
      <c r="C252" s="33" t="s">
        <v>1136</v>
      </c>
      <c r="D252" s="33" t="s">
        <v>1957</v>
      </c>
      <c r="E252" s="32"/>
      <c r="F252" s="33" t="s">
        <v>1958</v>
      </c>
      <c r="G252" s="32"/>
      <c r="H252" s="32"/>
      <c r="I252" s="33" t="s">
        <v>1959</v>
      </c>
      <c r="J252" s="33" t="s">
        <v>43</v>
      </c>
      <c r="K252" s="33" t="s">
        <v>1960</v>
      </c>
      <c r="L252" s="48">
        <v>2575548192</v>
      </c>
      <c r="M252" s="32"/>
      <c r="N252" s="48">
        <v>7500000</v>
      </c>
      <c r="O252" s="43"/>
      <c r="P252" s="43"/>
      <c r="Q252" s="48">
        <f t="shared" si="47"/>
        <v>2583048192</v>
      </c>
      <c r="R252" s="33"/>
      <c r="S252" s="33"/>
      <c r="T252" s="66"/>
      <c r="U252" s="33"/>
      <c r="V252" s="33"/>
      <c r="W252" s="52">
        <v>2575548192</v>
      </c>
      <c r="X252" s="52">
        <f t="shared" ref="X252:Y252" si="245">M252-S252</f>
        <v>0</v>
      </c>
      <c r="Y252" s="52">
        <f t="shared" si="245"/>
        <v>7500000</v>
      </c>
      <c r="Z252" s="52">
        <f t="shared" si="7"/>
        <v>0</v>
      </c>
      <c r="AA252" s="69">
        <v>2575548192</v>
      </c>
      <c r="AB252" s="68"/>
    </row>
    <row r="253" spans="1:28" ht="31.5" x14ac:dyDescent="0.25">
      <c r="A253" s="33" t="s">
        <v>52</v>
      </c>
      <c r="B253" s="42">
        <v>239</v>
      </c>
      <c r="C253" s="33" t="s">
        <v>1136</v>
      </c>
      <c r="D253" s="33" t="s">
        <v>1961</v>
      </c>
      <c r="E253" s="33" t="s">
        <v>409</v>
      </c>
      <c r="F253" s="33" t="s">
        <v>1962</v>
      </c>
      <c r="G253" s="33" t="s">
        <v>169</v>
      </c>
      <c r="H253" s="32"/>
      <c r="I253" s="33" t="s">
        <v>1963</v>
      </c>
      <c r="J253" s="33" t="s">
        <v>43</v>
      </c>
      <c r="K253" s="33" t="s">
        <v>1964</v>
      </c>
      <c r="L253" s="48">
        <v>3117071830</v>
      </c>
      <c r="M253" s="48">
        <v>483955776</v>
      </c>
      <c r="N253" s="48">
        <v>7500000</v>
      </c>
      <c r="O253" s="43"/>
      <c r="P253" s="43"/>
      <c r="Q253" s="48">
        <f t="shared" si="47"/>
        <v>3608527606</v>
      </c>
      <c r="R253" s="48">
        <v>3117071830</v>
      </c>
      <c r="S253" s="48">
        <v>483955776</v>
      </c>
      <c r="T253" s="44">
        <v>7500000</v>
      </c>
      <c r="U253" s="33"/>
      <c r="V253" s="33"/>
      <c r="W253" s="52"/>
      <c r="X253" s="52">
        <f t="shared" ref="X253:Y253" si="246">M253-S253</f>
        <v>0</v>
      </c>
      <c r="Y253" s="52">
        <f t="shared" si="246"/>
        <v>0</v>
      </c>
      <c r="Z253" s="52">
        <f t="shared" si="7"/>
        <v>0</v>
      </c>
      <c r="AA253" s="54"/>
      <c r="AB253" s="68"/>
    </row>
    <row r="254" spans="1:28" ht="36.75" customHeight="1" x14ac:dyDescent="0.25">
      <c r="A254" s="33"/>
      <c r="B254" s="299">
        <v>240</v>
      </c>
      <c r="C254" s="299" t="s">
        <v>1136</v>
      </c>
      <c r="D254" s="33"/>
      <c r="E254" s="33"/>
      <c r="F254" s="299" t="s">
        <v>1463</v>
      </c>
      <c r="G254" s="33"/>
      <c r="H254" s="32"/>
      <c r="I254" s="299" t="s">
        <v>1464</v>
      </c>
      <c r="J254" s="299" t="s">
        <v>43</v>
      </c>
      <c r="K254" s="299" t="s">
        <v>1465</v>
      </c>
      <c r="L254" s="48"/>
      <c r="M254" s="48"/>
      <c r="N254" s="48"/>
      <c r="O254" s="43" t="s">
        <v>1443</v>
      </c>
      <c r="P254" s="87">
        <v>30000000</v>
      </c>
      <c r="Q254" s="48"/>
      <c r="R254" s="48"/>
      <c r="S254" s="48"/>
      <c r="T254" s="44"/>
      <c r="U254" s="66">
        <v>30000000</v>
      </c>
      <c r="V254" s="33"/>
      <c r="W254" s="52"/>
      <c r="X254" s="52"/>
      <c r="Y254" s="52"/>
      <c r="Z254" s="52">
        <f t="shared" si="7"/>
        <v>0</v>
      </c>
      <c r="AA254" s="54"/>
      <c r="AB254" s="68"/>
    </row>
    <row r="255" spans="1:28" ht="36.75" customHeight="1" x14ac:dyDescent="0.25">
      <c r="A255" s="33" t="s">
        <v>52</v>
      </c>
      <c r="B255" s="290"/>
      <c r="C255" s="290"/>
      <c r="D255" s="33" t="s">
        <v>1461</v>
      </c>
      <c r="E255" s="32"/>
      <c r="F255" s="290"/>
      <c r="G255" s="32"/>
      <c r="H255" s="32"/>
      <c r="I255" s="290"/>
      <c r="J255" s="290"/>
      <c r="K255" s="290"/>
      <c r="L255" s="48">
        <v>3280061542</v>
      </c>
      <c r="M255" s="32"/>
      <c r="N255" s="48">
        <v>15000000</v>
      </c>
      <c r="O255" s="33" t="s">
        <v>1965</v>
      </c>
      <c r="P255" s="48">
        <v>60000000</v>
      </c>
      <c r="Q255" s="48">
        <f t="shared" ref="Q255:Q263" si="247">L255+M255+N255+P255</f>
        <v>3355061542</v>
      </c>
      <c r="R255" s="48">
        <v>3280061542</v>
      </c>
      <c r="S255" s="33"/>
      <c r="T255" s="44">
        <v>15000000</v>
      </c>
      <c r="U255" s="48"/>
      <c r="V255" s="33"/>
      <c r="W255" s="52"/>
      <c r="X255" s="52">
        <f t="shared" ref="X255:Y255" si="248">M255-S255</f>
        <v>0</v>
      </c>
      <c r="Y255" s="52">
        <f t="shared" si="248"/>
        <v>0</v>
      </c>
      <c r="Z255" s="52">
        <f t="shared" si="7"/>
        <v>60000000</v>
      </c>
      <c r="AA255" s="54"/>
      <c r="AB255" s="75"/>
    </row>
    <row r="256" spans="1:28" ht="31.5" x14ac:dyDescent="0.25">
      <c r="A256" s="33" t="s">
        <v>35</v>
      </c>
      <c r="B256" s="42">
        <v>241</v>
      </c>
      <c r="C256" s="33" t="s">
        <v>1136</v>
      </c>
      <c r="D256" s="33" t="s">
        <v>1966</v>
      </c>
      <c r="E256" s="32"/>
      <c r="F256" s="33" t="s">
        <v>1967</v>
      </c>
      <c r="G256" s="32"/>
      <c r="H256" s="32"/>
      <c r="I256" s="33" t="s">
        <v>1968</v>
      </c>
      <c r="J256" s="33" t="s">
        <v>43</v>
      </c>
      <c r="K256" s="33" t="s">
        <v>1969</v>
      </c>
      <c r="L256" s="48">
        <v>391616484</v>
      </c>
      <c r="M256" s="32"/>
      <c r="N256" s="48">
        <v>7500000</v>
      </c>
      <c r="O256" s="43"/>
      <c r="P256" s="43"/>
      <c r="Q256" s="48">
        <f t="shared" si="247"/>
        <v>399116484</v>
      </c>
      <c r="R256" s="48">
        <v>391616484</v>
      </c>
      <c r="S256" s="33"/>
      <c r="T256" s="44">
        <v>7500000</v>
      </c>
      <c r="U256" s="33"/>
      <c r="V256" s="33"/>
      <c r="W256" s="52"/>
      <c r="X256" s="52">
        <f t="shared" ref="X256:Y256" si="249">M256-S256</f>
        <v>0</v>
      </c>
      <c r="Y256" s="52">
        <f t="shared" si="249"/>
        <v>0</v>
      </c>
      <c r="Z256" s="52">
        <f t="shared" si="7"/>
        <v>0</v>
      </c>
      <c r="AA256" s="54"/>
      <c r="AB256" s="68"/>
    </row>
    <row r="257" spans="1:45" ht="31.5" x14ac:dyDescent="0.25">
      <c r="A257" s="33" t="s">
        <v>35</v>
      </c>
      <c r="B257" s="42">
        <v>242</v>
      </c>
      <c r="C257" s="33" t="s">
        <v>1136</v>
      </c>
      <c r="D257" s="33" t="s">
        <v>1971</v>
      </c>
      <c r="E257" s="33" t="s">
        <v>1923</v>
      </c>
      <c r="F257" s="33" t="s">
        <v>1972</v>
      </c>
      <c r="G257" s="32"/>
      <c r="H257" s="32"/>
      <c r="I257" s="33" t="s">
        <v>1973</v>
      </c>
      <c r="J257" s="33" t="s">
        <v>43</v>
      </c>
      <c r="K257" s="33" t="s">
        <v>1974</v>
      </c>
      <c r="L257" s="48">
        <v>5427416524</v>
      </c>
      <c r="M257" s="48">
        <v>5717376</v>
      </c>
      <c r="N257" s="48">
        <v>7500000</v>
      </c>
      <c r="O257" s="43"/>
      <c r="P257" s="43"/>
      <c r="Q257" s="48">
        <f t="shared" si="247"/>
        <v>5440633900</v>
      </c>
      <c r="R257" s="48">
        <v>5427416524</v>
      </c>
      <c r="S257" s="48">
        <v>5717376</v>
      </c>
      <c r="T257" s="44">
        <v>7500000</v>
      </c>
      <c r="U257" s="33"/>
      <c r="V257" s="33"/>
      <c r="W257" s="52"/>
      <c r="X257" s="52">
        <f t="shared" ref="X257:Y257" si="250">M257-S257</f>
        <v>0</v>
      </c>
      <c r="Y257" s="52">
        <f t="shared" si="250"/>
        <v>0</v>
      </c>
      <c r="Z257" s="52">
        <f t="shared" si="7"/>
        <v>0</v>
      </c>
      <c r="AA257" s="54"/>
      <c r="AB257" s="68"/>
    </row>
    <row r="258" spans="1:45" ht="31.5" x14ac:dyDescent="0.25">
      <c r="A258" s="33" t="s">
        <v>35</v>
      </c>
      <c r="B258" s="42">
        <v>243</v>
      </c>
      <c r="C258" s="33" t="s">
        <v>1136</v>
      </c>
      <c r="D258" s="33" t="s">
        <v>1975</v>
      </c>
      <c r="E258" s="32"/>
      <c r="F258" s="33" t="s">
        <v>1976</v>
      </c>
      <c r="G258" s="32"/>
      <c r="H258" s="32"/>
      <c r="I258" s="33" t="s">
        <v>1977</v>
      </c>
      <c r="J258" s="33" t="s">
        <v>43</v>
      </c>
      <c r="K258" s="33" t="s">
        <v>1978</v>
      </c>
      <c r="L258" s="48">
        <v>220068000</v>
      </c>
      <c r="M258" s="32"/>
      <c r="N258" s="48">
        <v>7500000</v>
      </c>
      <c r="O258" s="43"/>
      <c r="P258" s="43"/>
      <c r="Q258" s="48">
        <f t="shared" si="247"/>
        <v>227568000</v>
      </c>
      <c r="R258" s="48">
        <v>220068000</v>
      </c>
      <c r="S258" s="33"/>
      <c r="T258" s="44">
        <v>7500000</v>
      </c>
      <c r="U258" s="33"/>
      <c r="V258" s="33"/>
      <c r="W258" s="52"/>
      <c r="X258" s="52">
        <f t="shared" ref="X258:Y258" si="251">M258-S258</f>
        <v>0</v>
      </c>
      <c r="Y258" s="52">
        <f t="shared" si="251"/>
        <v>0</v>
      </c>
      <c r="Z258" s="52">
        <f t="shared" si="7"/>
        <v>0</v>
      </c>
      <c r="AA258" s="54"/>
      <c r="AB258" s="68"/>
    </row>
    <row r="259" spans="1:45" ht="31.5" x14ac:dyDescent="0.25">
      <c r="A259" s="33" t="s">
        <v>35</v>
      </c>
      <c r="B259" s="42">
        <v>244</v>
      </c>
      <c r="C259" s="33" t="s">
        <v>1136</v>
      </c>
      <c r="D259" s="33" t="s">
        <v>1979</v>
      </c>
      <c r="E259" s="33" t="s">
        <v>1923</v>
      </c>
      <c r="F259" s="33" t="s">
        <v>1980</v>
      </c>
      <c r="G259" s="32"/>
      <c r="H259" s="32"/>
      <c r="I259" s="33" t="s">
        <v>1981</v>
      </c>
      <c r="J259" s="33" t="s">
        <v>43</v>
      </c>
      <c r="K259" s="33" t="s">
        <v>1982</v>
      </c>
      <c r="L259" s="48">
        <v>803708300</v>
      </c>
      <c r="M259" s="48">
        <v>83491840</v>
      </c>
      <c r="N259" s="48">
        <v>7500000</v>
      </c>
      <c r="O259" s="43"/>
      <c r="P259" s="43"/>
      <c r="Q259" s="48">
        <f t="shared" si="247"/>
        <v>894700140</v>
      </c>
      <c r="R259" s="48">
        <v>803708300</v>
      </c>
      <c r="S259" s="48">
        <v>83491840</v>
      </c>
      <c r="T259" s="66"/>
      <c r="U259" s="33"/>
      <c r="V259" s="33"/>
      <c r="W259" s="52"/>
      <c r="X259" s="52">
        <f t="shared" ref="X259:Y259" si="252">M259-S259</f>
        <v>0</v>
      </c>
      <c r="Y259" s="52">
        <f t="shared" si="252"/>
        <v>7500000</v>
      </c>
      <c r="Z259" s="52">
        <f t="shared" si="7"/>
        <v>0</v>
      </c>
      <c r="AA259" s="54"/>
      <c r="AB259" s="68"/>
    </row>
    <row r="260" spans="1:45" ht="31.5" x14ac:dyDescent="0.25">
      <c r="A260" s="33" t="s">
        <v>52</v>
      </c>
      <c r="B260" s="42">
        <v>245</v>
      </c>
      <c r="C260" s="33" t="s">
        <v>1136</v>
      </c>
      <c r="D260" s="33" t="s">
        <v>1983</v>
      </c>
      <c r="E260" s="32"/>
      <c r="F260" s="33" t="s">
        <v>1984</v>
      </c>
      <c r="G260" s="32"/>
      <c r="H260" s="32"/>
      <c r="I260" s="33" t="s">
        <v>1985</v>
      </c>
      <c r="J260" s="33" t="s">
        <v>43</v>
      </c>
      <c r="K260" s="33" t="s">
        <v>1986</v>
      </c>
      <c r="L260" s="42">
        <v>0</v>
      </c>
      <c r="M260" s="32"/>
      <c r="N260" s="48">
        <v>7500000</v>
      </c>
      <c r="O260" s="43"/>
      <c r="P260" s="43"/>
      <c r="Q260" s="48">
        <f t="shared" si="247"/>
        <v>7500000</v>
      </c>
      <c r="R260" s="42">
        <v>0</v>
      </c>
      <c r="S260" s="33"/>
      <c r="T260" s="44">
        <v>7500000</v>
      </c>
      <c r="U260" s="33"/>
      <c r="V260" s="33"/>
      <c r="W260" s="52"/>
      <c r="X260" s="52">
        <f t="shared" ref="X260:Y260" si="253">M260-S260</f>
        <v>0</v>
      </c>
      <c r="Y260" s="52">
        <f t="shared" si="253"/>
        <v>0</v>
      </c>
      <c r="Z260" s="52">
        <f t="shared" si="7"/>
        <v>0</v>
      </c>
      <c r="AA260" s="54"/>
      <c r="AB260" s="68"/>
    </row>
    <row r="261" spans="1:45" ht="110.25" x14ac:dyDescent="0.25">
      <c r="A261" s="33" t="s">
        <v>35</v>
      </c>
      <c r="B261" s="42">
        <v>246</v>
      </c>
      <c r="C261" s="33" t="s">
        <v>1136</v>
      </c>
      <c r="D261" s="33" t="s">
        <v>1988</v>
      </c>
      <c r="E261" s="33" t="s">
        <v>1923</v>
      </c>
      <c r="F261" s="33" t="s">
        <v>1989</v>
      </c>
      <c r="G261" s="32"/>
      <c r="H261" s="32"/>
      <c r="I261" s="33" t="s">
        <v>1990</v>
      </c>
      <c r="J261" s="33" t="s">
        <v>43</v>
      </c>
      <c r="K261" s="33" t="s">
        <v>1991</v>
      </c>
      <c r="L261" s="48">
        <v>3613352200</v>
      </c>
      <c r="M261" s="48">
        <v>53089920</v>
      </c>
      <c r="N261" s="48">
        <v>7500000</v>
      </c>
      <c r="O261" s="43"/>
      <c r="P261" s="43"/>
      <c r="Q261" s="48">
        <f t="shared" si="247"/>
        <v>3673942120</v>
      </c>
      <c r="R261" s="48">
        <v>3613352200</v>
      </c>
      <c r="S261" s="48">
        <v>53089920</v>
      </c>
      <c r="T261" s="44">
        <v>7500000</v>
      </c>
      <c r="U261" s="33"/>
      <c r="V261" s="33"/>
      <c r="W261" s="52"/>
      <c r="X261" s="52">
        <f t="shared" ref="X261:Y261" si="254">M261-S261</f>
        <v>0</v>
      </c>
      <c r="Y261" s="52">
        <f t="shared" si="254"/>
        <v>0</v>
      </c>
      <c r="Z261" s="52">
        <f t="shared" si="7"/>
        <v>0</v>
      </c>
      <c r="AA261" s="54"/>
      <c r="AB261" s="68"/>
    </row>
    <row r="262" spans="1:45" ht="31.5" x14ac:dyDescent="0.25">
      <c r="A262" s="33" t="s">
        <v>35</v>
      </c>
      <c r="B262" s="42">
        <v>247</v>
      </c>
      <c r="C262" s="33" t="s">
        <v>1136</v>
      </c>
      <c r="D262" s="33" t="s">
        <v>1992</v>
      </c>
      <c r="E262" s="33" t="s">
        <v>1993</v>
      </c>
      <c r="F262" s="33" t="s">
        <v>1994</v>
      </c>
      <c r="G262" s="32"/>
      <c r="H262" s="32"/>
      <c r="I262" s="33" t="s">
        <v>1995</v>
      </c>
      <c r="J262" s="33" t="s">
        <v>43</v>
      </c>
      <c r="K262" s="33" t="s">
        <v>1996</v>
      </c>
      <c r="L262" s="48">
        <v>2238832624</v>
      </c>
      <c r="M262" s="48">
        <v>440119008</v>
      </c>
      <c r="N262" s="48">
        <v>15000000</v>
      </c>
      <c r="O262" s="43"/>
      <c r="P262" s="43"/>
      <c r="Q262" s="48">
        <f t="shared" si="247"/>
        <v>2693951632</v>
      </c>
      <c r="R262" s="48">
        <v>2238832624</v>
      </c>
      <c r="S262" s="48">
        <v>440119008</v>
      </c>
      <c r="T262" s="44">
        <v>15000000</v>
      </c>
      <c r="U262" s="33"/>
      <c r="V262" s="33"/>
      <c r="W262" s="52"/>
      <c r="X262" s="52">
        <f t="shared" ref="X262:Y262" si="255">M262-S262</f>
        <v>0</v>
      </c>
      <c r="Y262" s="52">
        <f t="shared" si="255"/>
        <v>0</v>
      </c>
      <c r="Z262" s="52">
        <f t="shared" si="7"/>
        <v>0</v>
      </c>
      <c r="AA262" s="54"/>
      <c r="AB262" s="68"/>
    </row>
    <row r="263" spans="1:45" ht="31.5" x14ac:dyDescent="0.25">
      <c r="A263" s="33" t="s">
        <v>35</v>
      </c>
      <c r="B263" s="42">
        <v>248</v>
      </c>
      <c r="C263" s="33" t="s">
        <v>1136</v>
      </c>
      <c r="D263" s="33" t="s">
        <v>1997</v>
      </c>
      <c r="E263" s="32"/>
      <c r="F263" s="33" t="s">
        <v>1383</v>
      </c>
      <c r="G263" s="32"/>
      <c r="H263" s="32"/>
      <c r="I263" s="33" t="s">
        <v>1998</v>
      </c>
      <c r="J263" s="33" t="s">
        <v>43</v>
      </c>
      <c r="K263" s="33" t="s">
        <v>1999</v>
      </c>
      <c r="L263" s="48">
        <v>3203717384</v>
      </c>
      <c r="M263" s="32"/>
      <c r="N263" s="48">
        <v>15000000</v>
      </c>
      <c r="O263" s="43"/>
      <c r="P263" s="43"/>
      <c r="Q263" s="48">
        <f t="shared" si="247"/>
        <v>3218717384</v>
      </c>
      <c r="R263" s="48">
        <v>3203717384</v>
      </c>
      <c r="S263" s="33"/>
      <c r="T263" s="44">
        <v>15000000</v>
      </c>
      <c r="U263" s="33"/>
      <c r="V263" s="33"/>
      <c r="W263" s="52"/>
      <c r="X263" s="52">
        <f t="shared" ref="X263:Y263" si="256">M263-S263</f>
        <v>0</v>
      </c>
      <c r="Y263" s="52">
        <f t="shared" si="256"/>
        <v>0</v>
      </c>
      <c r="Z263" s="52">
        <f t="shared" si="7"/>
        <v>0</v>
      </c>
      <c r="AA263" s="54"/>
      <c r="AB263" s="68"/>
    </row>
    <row r="264" spans="1:45" ht="31.5" x14ac:dyDescent="0.25">
      <c r="A264" s="33"/>
      <c r="B264" s="299">
        <v>249</v>
      </c>
      <c r="C264" s="309" t="s">
        <v>1136</v>
      </c>
      <c r="D264" s="33"/>
      <c r="E264" s="32"/>
      <c r="F264" s="309" t="s">
        <v>1140</v>
      </c>
      <c r="G264" s="32"/>
      <c r="H264" s="32"/>
      <c r="I264" s="309" t="s">
        <v>1141</v>
      </c>
      <c r="J264" s="309" t="s">
        <v>43</v>
      </c>
      <c r="K264" s="309" t="s">
        <v>1143</v>
      </c>
      <c r="L264" s="48"/>
      <c r="M264" s="32"/>
      <c r="N264" s="48"/>
      <c r="O264" s="43" t="s">
        <v>1012</v>
      </c>
      <c r="P264" s="43">
        <v>36000000</v>
      </c>
      <c r="Q264" s="48"/>
      <c r="R264" s="48"/>
      <c r="S264" s="33"/>
      <c r="T264" s="44"/>
      <c r="U264" s="66">
        <v>36000000</v>
      </c>
      <c r="V264" s="33"/>
      <c r="W264" s="52"/>
      <c r="X264" s="52"/>
      <c r="Y264" s="52"/>
      <c r="Z264" s="52"/>
      <c r="AA264" s="54"/>
      <c r="AB264" s="68"/>
    </row>
    <row r="265" spans="1:45" ht="31.5" x14ac:dyDescent="0.25">
      <c r="A265" s="92" t="s">
        <v>52</v>
      </c>
      <c r="B265" s="290"/>
      <c r="C265" s="290"/>
      <c r="D265" s="92" t="s">
        <v>1137</v>
      </c>
      <c r="E265" s="92" t="s">
        <v>409</v>
      </c>
      <c r="F265" s="290"/>
      <c r="G265" s="92" t="s">
        <v>204</v>
      </c>
      <c r="H265" s="95"/>
      <c r="I265" s="290"/>
      <c r="J265" s="290"/>
      <c r="K265" s="290"/>
      <c r="L265" s="84">
        <v>11542084576</v>
      </c>
      <c r="M265" s="84">
        <v>195952446</v>
      </c>
      <c r="N265" s="84">
        <v>15000000</v>
      </c>
      <c r="O265" s="92" t="s">
        <v>2001</v>
      </c>
      <c r="P265" s="84">
        <v>72000000</v>
      </c>
      <c r="Q265" s="91">
        <f t="shared" ref="Q265:Q285" si="257">L265+M265+N265+P265</f>
        <v>11825037022</v>
      </c>
      <c r="R265" s="91">
        <v>11542084576</v>
      </c>
      <c r="S265" s="91">
        <v>195952446</v>
      </c>
      <c r="T265" s="93">
        <v>15000000</v>
      </c>
      <c r="U265" s="84"/>
      <c r="V265" s="88"/>
      <c r="W265" s="94"/>
      <c r="X265" s="94">
        <f t="shared" ref="X265:Y265" si="258">M265-S265</f>
        <v>0</v>
      </c>
      <c r="Y265" s="94">
        <f t="shared" si="258"/>
        <v>0</v>
      </c>
      <c r="Z265" s="94">
        <f t="shared" ref="Z265:Z519" si="259">P265-U265</f>
        <v>72000000</v>
      </c>
      <c r="AA265" s="95"/>
      <c r="AB265" s="96" t="s">
        <v>1290</v>
      </c>
      <c r="AC265" s="97"/>
      <c r="AD265" s="97"/>
      <c r="AE265" s="97"/>
      <c r="AF265" s="97"/>
      <c r="AG265" s="97"/>
      <c r="AH265" s="97"/>
      <c r="AI265" s="97"/>
      <c r="AJ265" s="97"/>
      <c r="AK265" s="97"/>
      <c r="AL265" s="97"/>
      <c r="AM265" s="97"/>
      <c r="AN265" s="97"/>
      <c r="AO265" s="97"/>
      <c r="AP265" s="97"/>
      <c r="AQ265" s="97"/>
      <c r="AR265" s="97"/>
      <c r="AS265" s="97"/>
    </row>
    <row r="266" spans="1:45" ht="31.5" x14ac:dyDescent="0.25">
      <c r="A266" s="33" t="s">
        <v>35</v>
      </c>
      <c r="B266" s="42">
        <v>250</v>
      </c>
      <c r="C266" s="33" t="s">
        <v>1136</v>
      </c>
      <c r="D266" s="33" t="s">
        <v>2002</v>
      </c>
      <c r="E266" s="32"/>
      <c r="F266" s="33" t="s">
        <v>2003</v>
      </c>
      <c r="G266" s="32"/>
      <c r="H266" s="32"/>
      <c r="I266" s="33" t="s">
        <v>2004</v>
      </c>
      <c r="J266" s="33" t="s">
        <v>43</v>
      </c>
      <c r="K266" s="33" t="s">
        <v>2005</v>
      </c>
      <c r="L266" s="48">
        <v>3719388760</v>
      </c>
      <c r="M266" s="32"/>
      <c r="N266" s="48">
        <v>15000000</v>
      </c>
      <c r="O266" s="43"/>
      <c r="P266" s="43"/>
      <c r="Q266" s="48">
        <f t="shared" si="257"/>
        <v>3734388760</v>
      </c>
      <c r="R266" s="48">
        <v>3719388760</v>
      </c>
      <c r="S266" s="33"/>
      <c r="T266" s="44">
        <v>15000000</v>
      </c>
      <c r="U266" s="33"/>
      <c r="V266" s="33"/>
      <c r="W266" s="52"/>
      <c r="X266" s="52">
        <f t="shared" ref="X266:Y266" si="260">M266-S266</f>
        <v>0</v>
      </c>
      <c r="Y266" s="52">
        <f t="shared" si="260"/>
        <v>0</v>
      </c>
      <c r="Z266" s="52">
        <f t="shared" si="259"/>
        <v>0</v>
      </c>
      <c r="AA266" s="54"/>
      <c r="AB266" s="68"/>
    </row>
    <row r="267" spans="1:45" ht="31.5" x14ac:dyDescent="0.25">
      <c r="A267" s="33" t="s">
        <v>35</v>
      </c>
      <c r="B267" s="42">
        <v>251</v>
      </c>
      <c r="C267" s="33" t="s">
        <v>1136</v>
      </c>
      <c r="D267" s="33" t="s">
        <v>2006</v>
      </c>
      <c r="E267" s="32"/>
      <c r="F267" s="33" t="s">
        <v>2007</v>
      </c>
      <c r="G267" s="32"/>
      <c r="H267" s="33" t="s">
        <v>2008</v>
      </c>
      <c r="I267" s="33" t="s">
        <v>2009</v>
      </c>
      <c r="J267" s="33" t="s">
        <v>43</v>
      </c>
      <c r="K267" s="33" t="s">
        <v>2010</v>
      </c>
      <c r="L267" s="48">
        <v>3679560544</v>
      </c>
      <c r="M267" s="32"/>
      <c r="N267" s="48">
        <v>15000000</v>
      </c>
      <c r="O267" s="43"/>
      <c r="P267" s="43"/>
      <c r="Q267" s="48">
        <f t="shared" si="257"/>
        <v>3694560544</v>
      </c>
      <c r="R267" s="48">
        <v>3679560544</v>
      </c>
      <c r="S267" s="33"/>
      <c r="T267" s="44">
        <v>15000000</v>
      </c>
      <c r="U267" s="33"/>
      <c r="V267" s="33"/>
      <c r="W267" s="52"/>
      <c r="X267" s="52">
        <f t="shared" ref="X267:Y267" si="261">M267-S267</f>
        <v>0</v>
      </c>
      <c r="Y267" s="52">
        <f t="shared" si="261"/>
        <v>0</v>
      </c>
      <c r="Z267" s="52">
        <f t="shared" si="259"/>
        <v>0</v>
      </c>
      <c r="AA267" s="54"/>
      <c r="AB267" s="68"/>
    </row>
    <row r="268" spans="1:45" ht="47.25" x14ac:dyDescent="0.25">
      <c r="A268" s="33" t="s">
        <v>46</v>
      </c>
      <c r="B268" s="42">
        <v>252</v>
      </c>
      <c r="C268" s="33" t="s">
        <v>1886</v>
      </c>
      <c r="D268" s="33" t="s">
        <v>2011</v>
      </c>
      <c r="E268" s="32"/>
      <c r="F268" s="33" t="s">
        <v>2012</v>
      </c>
      <c r="G268" s="32"/>
      <c r="H268" s="32"/>
      <c r="I268" s="33" t="s">
        <v>2014</v>
      </c>
      <c r="J268" s="33" t="s">
        <v>43</v>
      </c>
      <c r="K268" s="33" t="s">
        <v>2015</v>
      </c>
      <c r="L268" s="48">
        <v>2768598346</v>
      </c>
      <c r="M268" s="32"/>
      <c r="N268" s="48">
        <v>7500000</v>
      </c>
      <c r="O268" s="43"/>
      <c r="P268" s="43"/>
      <c r="Q268" s="48">
        <f t="shared" si="257"/>
        <v>2776098346</v>
      </c>
      <c r="R268" s="48">
        <v>2768598346</v>
      </c>
      <c r="S268" s="33"/>
      <c r="T268" s="44">
        <v>7500000</v>
      </c>
      <c r="U268" s="33"/>
      <c r="V268" s="33"/>
      <c r="W268" s="52"/>
      <c r="X268" s="52">
        <f t="shared" ref="X268:Y268" si="262">M268-S268</f>
        <v>0</v>
      </c>
      <c r="Y268" s="52">
        <f t="shared" si="262"/>
        <v>0</v>
      </c>
      <c r="Z268" s="52">
        <f t="shared" si="259"/>
        <v>0</v>
      </c>
      <c r="AA268" s="54"/>
      <c r="AB268" s="68"/>
    </row>
    <row r="269" spans="1:45" ht="47.25" x14ac:dyDescent="0.25">
      <c r="A269" s="33" t="s">
        <v>46</v>
      </c>
      <c r="B269" s="42">
        <v>253</v>
      </c>
      <c r="C269" s="33" t="s">
        <v>1886</v>
      </c>
      <c r="D269" s="33" t="s">
        <v>2016</v>
      </c>
      <c r="E269" s="32"/>
      <c r="F269" s="33" t="s">
        <v>2017</v>
      </c>
      <c r="G269" s="32"/>
      <c r="H269" s="32"/>
      <c r="I269" s="33" t="s">
        <v>2018</v>
      </c>
      <c r="J269" s="33" t="s">
        <v>43</v>
      </c>
      <c r="K269" s="33" t="s">
        <v>2019</v>
      </c>
      <c r="L269" s="48">
        <v>671801500</v>
      </c>
      <c r="M269" s="32"/>
      <c r="N269" s="48">
        <v>7500000</v>
      </c>
      <c r="O269" s="43"/>
      <c r="P269" s="43"/>
      <c r="Q269" s="48">
        <f t="shared" si="257"/>
        <v>679301500</v>
      </c>
      <c r="R269" s="48">
        <v>671801500</v>
      </c>
      <c r="S269" s="33"/>
      <c r="T269" s="44">
        <v>7500000</v>
      </c>
      <c r="U269" s="33"/>
      <c r="V269" s="33"/>
      <c r="W269" s="52"/>
      <c r="X269" s="52">
        <f t="shared" ref="X269:Y269" si="263">M269-S269</f>
        <v>0</v>
      </c>
      <c r="Y269" s="52">
        <f t="shared" si="263"/>
        <v>0</v>
      </c>
      <c r="Z269" s="52">
        <f t="shared" si="259"/>
        <v>0</v>
      </c>
      <c r="AA269" s="54"/>
      <c r="AB269" s="68"/>
    </row>
    <row r="270" spans="1:45" ht="47.25" x14ac:dyDescent="0.25">
      <c r="A270" s="33" t="s">
        <v>46</v>
      </c>
      <c r="B270" s="42">
        <v>254</v>
      </c>
      <c r="C270" s="33" t="s">
        <v>1886</v>
      </c>
      <c r="D270" s="33" t="s">
        <v>2020</v>
      </c>
      <c r="E270" s="32"/>
      <c r="F270" s="33" t="s">
        <v>2021</v>
      </c>
      <c r="G270" s="32"/>
      <c r="H270" s="32"/>
      <c r="I270" s="33" t="s">
        <v>2022</v>
      </c>
      <c r="J270" s="33" t="s">
        <v>43</v>
      </c>
      <c r="K270" s="33" t="s">
        <v>2023</v>
      </c>
      <c r="L270" s="48">
        <v>691241261</v>
      </c>
      <c r="M270" s="32"/>
      <c r="N270" s="48">
        <v>7500000</v>
      </c>
      <c r="O270" s="43"/>
      <c r="P270" s="43"/>
      <c r="Q270" s="48">
        <f t="shared" si="257"/>
        <v>698741261</v>
      </c>
      <c r="R270" s="48">
        <v>691241261</v>
      </c>
      <c r="S270" s="33"/>
      <c r="T270" s="44">
        <v>7500000</v>
      </c>
      <c r="U270" s="33"/>
      <c r="V270" s="33"/>
      <c r="W270" s="52"/>
      <c r="X270" s="52">
        <f t="shared" ref="X270:Y270" si="264">M270-S270</f>
        <v>0</v>
      </c>
      <c r="Y270" s="52">
        <f t="shared" si="264"/>
        <v>0</v>
      </c>
      <c r="Z270" s="52">
        <f t="shared" si="259"/>
        <v>0</v>
      </c>
      <c r="AA270" s="54"/>
      <c r="AB270" s="68"/>
    </row>
    <row r="271" spans="1:45" ht="47.25" x14ac:dyDescent="0.25">
      <c r="A271" s="33" t="s">
        <v>35</v>
      </c>
      <c r="B271" s="42">
        <v>255</v>
      </c>
      <c r="C271" s="33" t="s">
        <v>1886</v>
      </c>
      <c r="D271" s="33" t="s">
        <v>2024</v>
      </c>
      <c r="E271" s="32"/>
      <c r="F271" s="33" t="s">
        <v>2025</v>
      </c>
      <c r="G271" s="32"/>
      <c r="H271" s="33" t="s">
        <v>2026</v>
      </c>
      <c r="I271" s="33" t="s">
        <v>2027</v>
      </c>
      <c r="J271" s="33" t="s">
        <v>43</v>
      </c>
      <c r="K271" s="33" t="s">
        <v>2028</v>
      </c>
      <c r="L271" s="48">
        <v>6226631799</v>
      </c>
      <c r="M271" s="32"/>
      <c r="N271" s="48">
        <v>15000000</v>
      </c>
      <c r="O271" s="43"/>
      <c r="P271" s="43"/>
      <c r="Q271" s="48">
        <f t="shared" si="257"/>
        <v>6241631799</v>
      </c>
      <c r="R271" s="48">
        <v>6226631799</v>
      </c>
      <c r="S271" s="33"/>
      <c r="T271" s="44">
        <v>15000000</v>
      </c>
      <c r="U271" s="33"/>
      <c r="V271" s="33"/>
      <c r="W271" s="52"/>
      <c r="X271" s="52">
        <f t="shared" ref="X271:Y271" si="265">M271-S271</f>
        <v>0</v>
      </c>
      <c r="Y271" s="52">
        <f t="shared" si="265"/>
        <v>0</v>
      </c>
      <c r="Z271" s="52">
        <f t="shared" si="259"/>
        <v>0</v>
      </c>
      <c r="AA271" s="54"/>
      <c r="AB271" s="68"/>
    </row>
    <row r="272" spans="1:45" ht="63" x14ac:dyDescent="0.25">
      <c r="A272" s="33" t="s">
        <v>46</v>
      </c>
      <c r="B272" s="42">
        <v>256</v>
      </c>
      <c r="C272" s="33" t="s">
        <v>1886</v>
      </c>
      <c r="D272" s="33" t="s">
        <v>1888</v>
      </c>
      <c r="E272" s="32"/>
      <c r="F272" s="33" t="s">
        <v>1890</v>
      </c>
      <c r="G272" s="32"/>
      <c r="H272" s="33" t="s">
        <v>1892</v>
      </c>
      <c r="I272" s="33" t="s">
        <v>1893</v>
      </c>
      <c r="J272" s="33" t="s">
        <v>43</v>
      </c>
      <c r="K272" s="33" t="s">
        <v>1894</v>
      </c>
      <c r="L272" s="48">
        <v>6294452378</v>
      </c>
      <c r="M272" s="32"/>
      <c r="N272" s="48">
        <v>15000000</v>
      </c>
      <c r="O272" s="33" t="s">
        <v>1685</v>
      </c>
      <c r="P272" s="48">
        <v>84000000</v>
      </c>
      <c r="Q272" s="48">
        <f t="shared" si="257"/>
        <v>6393452378</v>
      </c>
      <c r="R272" s="48">
        <v>6294452378</v>
      </c>
      <c r="S272" s="33"/>
      <c r="T272" s="44">
        <v>15000000</v>
      </c>
      <c r="U272" s="33"/>
      <c r="V272" s="33"/>
      <c r="W272" s="52"/>
      <c r="X272" s="52">
        <f t="shared" ref="X272:Y272" si="266">M272-S272</f>
        <v>0</v>
      </c>
      <c r="Y272" s="52">
        <f t="shared" si="266"/>
        <v>0</v>
      </c>
      <c r="Z272" s="52">
        <f t="shared" si="259"/>
        <v>84000000</v>
      </c>
      <c r="AA272" s="54"/>
      <c r="AB272" s="75" t="s">
        <v>2029</v>
      </c>
    </row>
    <row r="273" spans="1:28" ht="47.25" x14ac:dyDescent="0.25">
      <c r="A273" s="33" t="s">
        <v>46</v>
      </c>
      <c r="B273" s="42">
        <v>257</v>
      </c>
      <c r="C273" s="33" t="s">
        <v>1886</v>
      </c>
      <c r="D273" s="33" t="s">
        <v>2030</v>
      </c>
      <c r="E273" s="32"/>
      <c r="F273" s="33" t="s">
        <v>2031</v>
      </c>
      <c r="G273" s="32"/>
      <c r="H273" s="32"/>
      <c r="I273" s="33" t="s">
        <v>2032</v>
      </c>
      <c r="J273" s="33" t="s">
        <v>43</v>
      </c>
      <c r="K273" s="33" t="s">
        <v>2033</v>
      </c>
      <c r="L273" s="48">
        <v>1052260732</v>
      </c>
      <c r="M273" s="32"/>
      <c r="N273" s="48">
        <v>15000000</v>
      </c>
      <c r="O273" s="43"/>
      <c r="P273" s="43"/>
      <c r="Q273" s="48">
        <f t="shared" si="257"/>
        <v>1067260732</v>
      </c>
      <c r="R273" s="48">
        <v>1052260732</v>
      </c>
      <c r="S273" s="33"/>
      <c r="T273" s="44">
        <v>15000000</v>
      </c>
      <c r="U273" s="33"/>
      <c r="V273" s="33"/>
      <c r="W273" s="52"/>
      <c r="X273" s="52">
        <f t="shared" ref="X273:Y273" si="267">M273-S273</f>
        <v>0</v>
      </c>
      <c r="Y273" s="52">
        <f t="shared" si="267"/>
        <v>0</v>
      </c>
      <c r="Z273" s="52">
        <f t="shared" si="259"/>
        <v>0</v>
      </c>
      <c r="AA273" s="54"/>
      <c r="AB273" s="68"/>
    </row>
    <row r="274" spans="1:28" ht="47.25" x14ac:dyDescent="0.25">
      <c r="A274" s="33" t="s">
        <v>46</v>
      </c>
      <c r="B274" s="42">
        <v>258</v>
      </c>
      <c r="C274" s="33" t="s">
        <v>1886</v>
      </c>
      <c r="D274" s="33" t="s">
        <v>2034</v>
      </c>
      <c r="E274" s="33" t="s">
        <v>2035</v>
      </c>
      <c r="F274" s="33" t="s">
        <v>2036</v>
      </c>
      <c r="G274" s="32"/>
      <c r="H274" s="32"/>
      <c r="I274" s="33" t="s">
        <v>2037</v>
      </c>
      <c r="J274" s="33" t="s">
        <v>43</v>
      </c>
      <c r="K274" s="33" t="s">
        <v>274</v>
      </c>
      <c r="L274" s="48">
        <v>10000000</v>
      </c>
      <c r="M274" s="48">
        <v>1123847280</v>
      </c>
      <c r="N274" s="48">
        <v>15000000</v>
      </c>
      <c r="O274" s="43"/>
      <c r="P274" s="43"/>
      <c r="Q274" s="48">
        <f t="shared" si="257"/>
        <v>1148847280</v>
      </c>
      <c r="R274" s="48">
        <v>10000000</v>
      </c>
      <c r="S274" s="48">
        <v>1123847280</v>
      </c>
      <c r="T274" s="66"/>
      <c r="U274" s="33"/>
      <c r="V274" s="33"/>
      <c r="W274" s="52"/>
      <c r="X274" s="52">
        <f t="shared" ref="X274:Y274" si="268">M274-S274</f>
        <v>0</v>
      </c>
      <c r="Y274" s="52">
        <f t="shared" si="268"/>
        <v>15000000</v>
      </c>
      <c r="Z274" s="52">
        <f t="shared" si="259"/>
        <v>0</v>
      </c>
      <c r="AA274" s="54"/>
      <c r="AB274" s="68"/>
    </row>
    <row r="275" spans="1:28" ht="47.25" x14ac:dyDescent="0.25">
      <c r="A275" s="33" t="s">
        <v>35</v>
      </c>
      <c r="B275" s="42">
        <v>259</v>
      </c>
      <c r="C275" s="33" t="s">
        <v>1886</v>
      </c>
      <c r="D275" s="33" t="s">
        <v>2038</v>
      </c>
      <c r="E275" s="32"/>
      <c r="F275" s="33" t="s">
        <v>2039</v>
      </c>
      <c r="G275" s="32"/>
      <c r="H275" s="32"/>
      <c r="I275" s="33" t="s">
        <v>2040</v>
      </c>
      <c r="J275" s="33" t="s">
        <v>43</v>
      </c>
      <c r="K275" s="33" t="s">
        <v>2041</v>
      </c>
      <c r="L275" s="48">
        <v>2010547710</v>
      </c>
      <c r="M275" s="32"/>
      <c r="N275" s="48">
        <v>7500000</v>
      </c>
      <c r="O275" s="43"/>
      <c r="P275" s="43"/>
      <c r="Q275" s="48">
        <f t="shared" si="257"/>
        <v>2018047710</v>
      </c>
      <c r="R275" s="48">
        <v>2010547710</v>
      </c>
      <c r="S275" s="33"/>
      <c r="T275" s="44">
        <v>7500000</v>
      </c>
      <c r="U275" s="33"/>
      <c r="V275" s="33"/>
      <c r="W275" s="52"/>
      <c r="X275" s="52">
        <f t="shared" ref="X275:Y275" si="269">M275-S275</f>
        <v>0</v>
      </c>
      <c r="Y275" s="52">
        <f t="shared" si="269"/>
        <v>0</v>
      </c>
      <c r="Z275" s="52">
        <f t="shared" si="259"/>
        <v>0</v>
      </c>
      <c r="AA275" s="54"/>
      <c r="AB275" s="68"/>
    </row>
    <row r="276" spans="1:28" ht="31.5" x14ac:dyDescent="0.25">
      <c r="A276" s="33" t="s">
        <v>52</v>
      </c>
      <c r="B276" s="42">
        <v>260</v>
      </c>
      <c r="C276" s="33" t="s">
        <v>2042</v>
      </c>
      <c r="D276" s="33" t="s">
        <v>2043</v>
      </c>
      <c r="E276" s="32"/>
      <c r="F276" s="33" t="s">
        <v>2044</v>
      </c>
      <c r="G276" s="32"/>
      <c r="H276" s="32"/>
      <c r="I276" s="33" t="s">
        <v>2045</v>
      </c>
      <c r="J276" s="33" t="s">
        <v>43</v>
      </c>
      <c r="K276" s="33" t="s">
        <v>2046</v>
      </c>
      <c r="L276" s="48">
        <v>3081534920</v>
      </c>
      <c r="M276" s="32"/>
      <c r="N276" s="48">
        <v>7500000</v>
      </c>
      <c r="O276" s="43"/>
      <c r="P276" s="43"/>
      <c r="Q276" s="48">
        <f t="shared" si="257"/>
        <v>3089034920</v>
      </c>
      <c r="R276" s="48">
        <v>3081534920</v>
      </c>
      <c r="S276" s="33"/>
      <c r="T276" s="66"/>
      <c r="U276" s="33"/>
      <c r="V276" s="33"/>
      <c r="W276" s="52"/>
      <c r="X276" s="52">
        <f t="shared" ref="X276:Y276" si="270">M276-S276</f>
        <v>0</v>
      </c>
      <c r="Y276" s="52">
        <f t="shared" si="270"/>
        <v>7500000</v>
      </c>
      <c r="Z276" s="52">
        <f t="shared" si="259"/>
        <v>0</v>
      </c>
      <c r="AA276" s="54"/>
      <c r="AB276" s="68"/>
    </row>
    <row r="277" spans="1:28" ht="31.5" x14ac:dyDescent="0.25">
      <c r="A277" s="101" t="s">
        <v>35</v>
      </c>
      <c r="B277" s="42">
        <v>261</v>
      </c>
      <c r="C277" s="101" t="s">
        <v>2042</v>
      </c>
      <c r="D277" s="101" t="s">
        <v>2047</v>
      </c>
      <c r="E277" s="32"/>
      <c r="F277" s="101" t="s">
        <v>2048</v>
      </c>
      <c r="G277" s="32"/>
      <c r="H277" s="32"/>
      <c r="I277" s="101" t="s">
        <v>2049</v>
      </c>
      <c r="J277" s="101" t="s">
        <v>43</v>
      </c>
      <c r="K277" s="101" t="s">
        <v>2050</v>
      </c>
      <c r="L277" s="79">
        <v>10000000</v>
      </c>
      <c r="M277" s="32"/>
      <c r="N277" s="79">
        <v>15000000</v>
      </c>
      <c r="O277" s="43"/>
      <c r="P277" s="43"/>
      <c r="Q277" s="48">
        <f t="shared" si="257"/>
        <v>25000000</v>
      </c>
      <c r="R277" s="79">
        <v>10000000</v>
      </c>
      <c r="S277" s="33"/>
      <c r="T277" s="80">
        <v>15000000</v>
      </c>
      <c r="U277" s="33"/>
      <c r="V277" s="33"/>
      <c r="W277" s="52"/>
      <c r="X277" s="52">
        <f t="shared" ref="X277:Y277" si="271">M277-S277</f>
        <v>0</v>
      </c>
      <c r="Y277" s="52">
        <f t="shared" si="271"/>
        <v>0</v>
      </c>
      <c r="Z277" s="52">
        <f t="shared" si="259"/>
        <v>0</v>
      </c>
      <c r="AA277" s="54"/>
      <c r="AB277" s="68"/>
    </row>
    <row r="278" spans="1:28" ht="31.5" x14ac:dyDescent="0.25">
      <c r="A278" s="33" t="s">
        <v>52</v>
      </c>
      <c r="B278" s="42">
        <v>262</v>
      </c>
      <c r="C278" s="33" t="s">
        <v>2042</v>
      </c>
      <c r="D278" s="33" t="s">
        <v>2051</v>
      </c>
      <c r="E278" s="32"/>
      <c r="F278" s="33" t="s">
        <v>2052</v>
      </c>
      <c r="G278" s="32"/>
      <c r="H278" s="32"/>
      <c r="I278" s="33" t="s">
        <v>2053</v>
      </c>
      <c r="J278" s="33" t="s">
        <v>43</v>
      </c>
      <c r="K278" s="33" t="s">
        <v>2054</v>
      </c>
      <c r="L278" s="48">
        <v>3066157800</v>
      </c>
      <c r="M278" s="32"/>
      <c r="N278" s="48">
        <v>7500000</v>
      </c>
      <c r="O278" s="43"/>
      <c r="P278" s="43"/>
      <c r="Q278" s="48">
        <f t="shared" si="257"/>
        <v>3073657800</v>
      </c>
      <c r="R278" s="48">
        <v>3066157800</v>
      </c>
      <c r="S278" s="33"/>
      <c r="T278" s="44">
        <v>7500000</v>
      </c>
      <c r="U278" s="33"/>
      <c r="V278" s="33"/>
      <c r="W278" s="52"/>
      <c r="X278" s="52">
        <f t="shared" ref="X278:Y278" si="272">M278-S278</f>
        <v>0</v>
      </c>
      <c r="Y278" s="52">
        <f t="shared" si="272"/>
        <v>0</v>
      </c>
      <c r="Z278" s="52">
        <f t="shared" si="259"/>
        <v>0</v>
      </c>
      <c r="AA278" s="54"/>
      <c r="AB278" s="68"/>
    </row>
    <row r="279" spans="1:28" ht="31.5" x14ac:dyDescent="0.25">
      <c r="A279" s="33" t="s">
        <v>52</v>
      </c>
      <c r="B279" s="42">
        <v>263</v>
      </c>
      <c r="C279" s="33" t="s">
        <v>2042</v>
      </c>
      <c r="D279" s="33" t="s">
        <v>2055</v>
      </c>
      <c r="E279" s="32"/>
      <c r="F279" s="33" t="s">
        <v>2056</v>
      </c>
      <c r="G279" s="32"/>
      <c r="H279" s="32"/>
      <c r="I279" s="33" t="s">
        <v>2057</v>
      </c>
      <c r="J279" s="33" t="s">
        <v>43</v>
      </c>
      <c r="K279" s="33" t="s">
        <v>1469</v>
      </c>
      <c r="L279" s="48">
        <v>6936573600</v>
      </c>
      <c r="M279" s="32"/>
      <c r="N279" s="48">
        <v>7500000</v>
      </c>
      <c r="O279" s="43"/>
      <c r="P279" s="43"/>
      <c r="Q279" s="48">
        <f t="shared" si="257"/>
        <v>6944073600</v>
      </c>
      <c r="R279" s="48">
        <v>6936573600</v>
      </c>
      <c r="S279" s="33"/>
      <c r="T279" s="66"/>
      <c r="U279" s="33"/>
      <c r="V279" s="33"/>
      <c r="W279" s="52"/>
      <c r="X279" s="52">
        <f t="shared" ref="X279:Y279" si="273">M279-S279</f>
        <v>0</v>
      </c>
      <c r="Y279" s="52">
        <f t="shared" si="273"/>
        <v>7500000</v>
      </c>
      <c r="Z279" s="52">
        <f t="shared" si="259"/>
        <v>0</v>
      </c>
      <c r="AA279" s="54"/>
      <c r="AB279" s="68"/>
    </row>
    <row r="280" spans="1:28" ht="63" x14ac:dyDescent="0.25">
      <c r="A280" s="33" t="s">
        <v>52</v>
      </c>
      <c r="B280" s="42">
        <v>264</v>
      </c>
      <c r="C280" s="33" t="s">
        <v>2042</v>
      </c>
      <c r="D280" s="33" t="s">
        <v>2058</v>
      </c>
      <c r="E280" s="32"/>
      <c r="F280" s="33" t="s">
        <v>2059</v>
      </c>
      <c r="G280" s="32"/>
      <c r="H280" s="32"/>
      <c r="I280" s="33" t="s">
        <v>2060</v>
      </c>
      <c r="J280" s="33" t="s">
        <v>43</v>
      </c>
      <c r="K280" s="33" t="s">
        <v>2061</v>
      </c>
      <c r="L280" s="48">
        <v>3906644000</v>
      </c>
      <c r="M280" s="32"/>
      <c r="N280" s="48">
        <v>7500000</v>
      </c>
      <c r="O280" s="43"/>
      <c r="P280" s="43"/>
      <c r="Q280" s="48">
        <f t="shared" si="257"/>
        <v>3914144000</v>
      </c>
      <c r="R280" s="48">
        <v>3906644000</v>
      </c>
      <c r="S280" s="33"/>
      <c r="T280" s="44">
        <v>7500000</v>
      </c>
      <c r="U280" s="33"/>
      <c r="V280" s="33"/>
      <c r="W280" s="52"/>
      <c r="X280" s="52">
        <f t="shared" ref="X280:Y280" si="274">M280-S280</f>
        <v>0</v>
      </c>
      <c r="Y280" s="52">
        <f t="shared" si="274"/>
        <v>0</v>
      </c>
      <c r="Z280" s="52">
        <f t="shared" si="259"/>
        <v>0</v>
      </c>
      <c r="AA280" s="54"/>
      <c r="AB280" s="68"/>
    </row>
    <row r="281" spans="1:28" ht="31.5" x14ac:dyDescent="0.25">
      <c r="A281" s="33" t="s">
        <v>52</v>
      </c>
      <c r="B281" s="42">
        <v>265</v>
      </c>
      <c r="C281" s="33" t="s">
        <v>2042</v>
      </c>
      <c r="D281" s="33" t="s">
        <v>2062</v>
      </c>
      <c r="E281" s="33" t="s">
        <v>156</v>
      </c>
      <c r="F281" s="33" t="s">
        <v>2063</v>
      </c>
      <c r="G281" s="33" t="s">
        <v>2064</v>
      </c>
      <c r="H281" s="32"/>
      <c r="I281" s="33" t="s">
        <v>2065</v>
      </c>
      <c r="J281" s="33" t="s">
        <v>43</v>
      </c>
      <c r="K281" s="33" t="s">
        <v>2066</v>
      </c>
      <c r="L281" s="48">
        <v>1851531912</v>
      </c>
      <c r="M281" s="48">
        <v>220049280</v>
      </c>
      <c r="N281" s="48">
        <v>15000000</v>
      </c>
      <c r="O281" s="43"/>
      <c r="P281" s="43"/>
      <c r="Q281" s="48">
        <f t="shared" si="257"/>
        <v>2086581192</v>
      </c>
      <c r="R281" s="48">
        <v>1851531912</v>
      </c>
      <c r="S281" s="48">
        <v>220049280</v>
      </c>
      <c r="T281" s="44">
        <v>15000000</v>
      </c>
      <c r="U281" s="33"/>
      <c r="V281" s="33"/>
      <c r="W281" s="52"/>
      <c r="X281" s="52">
        <f t="shared" ref="X281:Y281" si="275">M281-S281</f>
        <v>0</v>
      </c>
      <c r="Y281" s="52">
        <f t="shared" si="275"/>
        <v>0</v>
      </c>
      <c r="Z281" s="52">
        <f t="shared" si="259"/>
        <v>0</v>
      </c>
      <c r="AA281" s="54"/>
      <c r="AB281" s="68"/>
    </row>
    <row r="282" spans="1:28" ht="31.5" x14ac:dyDescent="0.25">
      <c r="A282" s="33" t="s">
        <v>52</v>
      </c>
      <c r="B282" s="42">
        <v>266</v>
      </c>
      <c r="C282" s="33" t="s">
        <v>2042</v>
      </c>
      <c r="D282" s="33" t="s">
        <v>2067</v>
      </c>
      <c r="E282" s="33" t="s">
        <v>604</v>
      </c>
      <c r="F282" s="33" t="s">
        <v>2068</v>
      </c>
      <c r="G282" s="33" t="s">
        <v>1759</v>
      </c>
      <c r="H282" s="32"/>
      <c r="I282" s="33" t="s">
        <v>2069</v>
      </c>
      <c r="J282" s="33" t="s">
        <v>43</v>
      </c>
      <c r="K282" s="33" t="s">
        <v>2070</v>
      </c>
      <c r="L282" s="48">
        <v>4181618839</v>
      </c>
      <c r="M282" s="48">
        <v>765880262</v>
      </c>
      <c r="N282" s="79">
        <v>15000000</v>
      </c>
      <c r="O282" s="43"/>
      <c r="P282" s="43"/>
      <c r="Q282" s="48">
        <f t="shared" si="257"/>
        <v>4962499101</v>
      </c>
      <c r="R282" s="48">
        <v>4181618839</v>
      </c>
      <c r="S282" s="48">
        <v>765880262</v>
      </c>
      <c r="T282" s="44">
        <v>15000000</v>
      </c>
      <c r="U282" s="33"/>
      <c r="V282" s="33"/>
      <c r="W282" s="52"/>
      <c r="X282" s="52">
        <f t="shared" ref="X282:Y282" si="276">M282-S282</f>
        <v>0</v>
      </c>
      <c r="Y282" s="52">
        <f t="shared" si="276"/>
        <v>0</v>
      </c>
      <c r="Z282" s="52">
        <f t="shared" si="259"/>
        <v>0</v>
      </c>
      <c r="AA282" s="54"/>
      <c r="AB282" s="68"/>
    </row>
    <row r="283" spans="1:28" ht="31.5" x14ac:dyDescent="0.25">
      <c r="A283" s="33" t="s">
        <v>52</v>
      </c>
      <c r="B283" s="42">
        <v>267</v>
      </c>
      <c r="C283" s="33" t="s">
        <v>2042</v>
      </c>
      <c r="D283" s="33" t="s">
        <v>2071</v>
      </c>
      <c r="E283" s="33" t="s">
        <v>156</v>
      </c>
      <c r="F283" s="33" t="s">
        <v>2072</v>
      </c>
      <c r="G283" s="33" t="s">
        <v>2073</v>
      </c>
      <c r="H283" s="32"/>
      <c r="I283" s="33" t="s">
        <v>2074</v>
      </c>
      <c r="J283" s="33" t="s">
        <v>43</v>
      </c>
      <c r="K283" s="33" t="s">
        <v>2075</v>
      </c>
      <c r="L283" s="48">
        <v>1794046036</v>
      </c>
      <c r="M283" s="48">
        <v>186223104</v>
      </c>
      <c r="N283" s="48">
        <v>15000000</v>
      </c>
      <c r="O283" s="43"/>
      <c r="P283" s="43"/>
      <c r="Q283" s="48">
        <f t="shared" si="257"/>
        <v>1995269140</v>
      </c>
      <c r="R283" s="48">
        <v>1794046036</v>
      </c>
      <c r="S283" s="48">
        <v>186223104</v>
      </c>
      <c r="T283" s="44">
        <v>15000000</v>
      </c>
      <c r="U283" s="33"/>
      <c r="V283" s="33"/>
      <c r="W283" s="52"/>
      <c r="X283" s="52">
        <f t="shared" ref="X283:Y283" si="277">M283-S283</f>
        <v>0</v>
      </c>
      <c r="Y283" s="52">
        <f t="shared" si="277"/>
        <v>0</v>
      </c>
      <c r="Z283" s="52">
        <f t="shared" si="259"/>
        <v>0</v>
      </c>
      <c r="AA283" s="54"/>
      <c r="AB283" s="68"/>
    </row>
    <row r="284" spans="1:28" ht="47.25" x14ac:dyDescent="0.25">
      <c r="A284" s="33" t="s">
        <v>52</v>
      </c>
      <c r="B284" s="42">
        <v>268</v>
      </c>
      <c r="C284" s="33" t="s">
        <v>1233</v>
      </c>
      <c r="D284" s="33" t="s">
        <v>1234</v>
      </c>
      <c r="E284" s="32"/>
      <c r="F284" s="33" t="s">
        <v>1235</v>
      </c>
      <c r="G284" s="32"/>
      <c r="H284" s="32"/>
      <c r="I284" s="33" t="s">
        <v>1236</v>
      </c>
      <c r="J284" s="33" t="s">
        <v>43</v>
      </c>
      <c r="K284" s="33" t="s">
        <v>1237</v>
      </c>
      <c r="L284" s="48">
        <v>7086142428</v>
      </c>
      <c r="M284" s="32"/>
      <c r="N284" s="48">
        <v>7500000</v>
      </c>
      <c r="O284" s="43" t="s">
        <v>1227</v>
      </c>
      <c r="P284" s="69">
        <v>72000000</v>
      </c>
      <c r="Q284" s="48">
        <f t="shared" si="257"/>
        <v>7165642428</v>
      </c>
      <c r="R284" s="48">
        <v>7086142428</v>
      </c>
      <c r="S284" s="33"/>
      <c r="T284" s="44">
        <v>7500000</v>
      </c>
      <c r="U284" s="48">
        <v>72000000</v>
      </c>
      <c r="V284" s="33"/>
      <c r="W284" s="52"/>
      <c r="X284" s="52">
        <f t="shared" ref="X284:Y284" si="278">M284-S284</f>
        <v>0</v>
      </c>
      <c r="Y284" s="52">
        <f t="shared" si="278"/>
        <v>0</v>
      </c>
      <c r="Z284" s="52">
        <f t="shared" si="259"/>
        <v>0</v>
      </c>
      <c r="AA284" s="54"/>
      <c r="AB284" s="68"/>
    </row>
    <row r="285" spans="1:28" ht="47.25" x14ac:dyDescent="0.25">
      <c r="A285" s="33" t="s">
        <v>46</v>
      </c>
      <c r="B285" s="42">
        <v>269</v>
      </c>
      <c r="C285" s="33" t="s">
        <v>37</v>
      </c>
      <c r="D285" s="33" t="s">
        <v>2076</v>
      </c>
      <c r="E285" s="32"/>
      <c r="F285" s="33" t="s">
        <v>2077</v>
      </c>
      <c r="G285" s="32"/>
      <c r="H285" s="32"/>
      <c r="I285" s="33" t="s">
        <v>2078</v>
      </c>
      <c r="J285" s="33" t="s">
        <v>43</v>
      </c>
      <c r="K285" s="33" t="s">
        <v>2079</v>
      </c>
      <c r="L285" s="48">
        <v>6717999850</v>
      </c>
      <c r="M285" s="32"/>
      <c r="N285" s="48">
        <v>15000000</v>
      </c>
      <c r="O285" s="43"/>
      <c r="P285" s="43"/>
      <c r="Q285" s="48">
        <f t="shared" si="257"/>
        <v>6732999850</v>
      </c>
      <c r="R285" s="48">
        <v>6717999850</v>
      </c>
      <c r="S285" s="33"/>
      <c r="T285" s="44">
        <v>15000000</v>
      </c>
      <c r="U285" s="33"/>
      <c r="V285" s="33"/>
      <c r="W285" s="52"/>
      <c r="X285" s="52">
        <f t="shared" ref="X285:Y285" si="279">M285-S285</f>
        <v>0</v>
      </c>
      <c r="Y285" s="52">
        <f t="shared" si="279"/>
        <v>0</v>
      </c>
      <c r="Z285" s="52">
        <f t="shared" si="259"/>
        <v>0</v>
      </c>
      <c r="AA285" s="54"/>
      <c r="AB285" s="68"/>
    </row>
    <row r="286" spans="1:28" ht="31.5" x14ac:dyDescent="0.25">
      <c r="A286" s="33"/>
      <c r="B286" s="299">
        <v>270</v>
      </c>
      <c r="C286" s="299" t="s">
        <v>37</v>
      </c>
      <c r="D286" s="33"/>
      <c r="E286" s="32"/>
      <c r="F286" s="299" t="s">
        <v>1190</v>
      </c>
      <c r="G286" s="32"/>
      <c r="H286" s="32"/>
      <c r="I286" s="299" t="s">
        <v>1192</v>
      </c>
      <c r="J286" s="299" t="s">
        <v>43</v>
      </c>
      <c r="K286" s="299" t="s">
        <v>1193</v>
      </c>
      <c r="L286" s="48"/>
      <c r="M286" s="32"/>
      <c r="N286" s="48"/>
      <c r="O286" s="43" t="s">
        <v>1169</v>
      </c>
      <c r="P286" s="69">
        <v>48000000</v>
      </c>
      <c r="Q286" s="48"/>
      <c r="R286" s="48"/>
      <c r="S286" s="33"/>
      <c r="T286" s="44"/>
      <c r="U286" s="48">
        <v>48000000</v>
      </c>
      <c r="V286" s="33"/>
      <c r="W286" s="52"/>
      <c r="X286" s="52"/>
      <c r="Y286" s="52"/>
      <c r="Z286" s="52">
        <f t="shared" si="259"/>
        <v>0</v>
      </c>
      <c r="AA286" s="54"/>
      <c r="AB286" s="68"/>
    </row>
    <row r="287" spans="1:28" ht="31.5" x14ac:dyDescent="0.25">
      <c r="A287" s="33" t="s">
        <v>52</v>
      </c>
      <c r="B287" s="290"/>
      <c r="C287" s="290"/>
      <c r="D287" s="33" t="s">
        <v>1187</v>
      </c>
      <c r="E287" s="33" t="s">
        <v>1188</v>
      </c>
      <c r="F287" s="290"/>
      <c r="G287" s="33" t="s">
        <v>1191</v>
      </c>
      <c r="H287" s="32"/>
      <c r="I287" s="290"/>
      <c r="J287" s="290"/>
      <c r="K287" s="290"/>
      <c r="L287" s="48">
        <v>1418361365</v>
      </c>
      <c r="M287" s="48">
        <v>168075878</v>
      </c>
      <c r="N287" s="48">
        <v>15000000</v>
      </c>
      <c r="O287" s="43" t="s">
        <v>2080</v>
      </c>
      <c r="P287" s="69">
        <v>48000000</v>
      </c>
      <c r="Q287" s="48">
        <f t="shared" ref="Q287:Q295" si="280">L287+M287+N287+P287</f>
        <v>1649437243</v>
      </c>
      <c r="R287" s="48">
        <v>1418361365</v>
      </c>
      <c r="S287" s="48">
        <v>168075878</v>
      </c>
      <c r="T287" s="44">
        <v>15000000</v>
      </c>
      <c r="U287" s="48"/>
      <c r="V287" s="33"/>
      <c r="W287" s="52"/>
      <c r="X287" s="52">
        <f t="shared" ref="X287:Y287" si="281">M287-S287</f>
        <v>0</v>
      </c>
      <c r="Y287" s="52">
        <f t="shared" si="281"/>
        <v>0</v>
      </c>
      <c r="Z287" s="52">
        <f t="shared" si="259"/>
        <v>48000000</v>
      </c>
      <c r="AA287" s="54"/>
      <c r="AB287" s="74" t="s">
        <v>2081</v>
      </c>
    </row>
    <row r="288" spans="1:28" ht="47.25" x14ac:dyDescent="0.25">
      <c r="A288" s="33" t="s">
        <v>52</v>
      </c>
      <c r="B288" s="42">
        <v>271</v>
      </c>
      <c r="C288" s="33" t="s">
        <v>37</v>
      </c>
      <c r="D288" s="33" t="s">
        <v>2082</v>
      </c>
      <c r="E288" s="32"/>
      <c r="F288" s="33" t="s">
        <v>2083</v>
      </c>
      <c r="G288" s="32"/>
      <c r="H288" s="32"/>
      <c r="I288" s="33" t="s">
        <v>2084</v>
      </c>
      <c r="J288" s="33" t="s">
        <v>43</v>
      </c>
      <c r="K288" s="33" t="s">
        <v>2085</v>
      </c>
      <c r="L288" s="48">
        <v>1566048680</v>
      </c>
      <c r="M288" s="32"/>
      <c r="N288" s="48">
        <v>7500000</v>
      </c>
      <c r="O288" s="43"/>
      <c r="P288" s="43"/>
      <c r="Q288" s="48">
        <f t="shared" si="280"/>
        <v>1573548680</v>
      </c>
      <c r="R288" s="48">
        <v>1566048680</v>
      </c>
      <c r="S288" s="33"/>
      <c r="T288" s="44">
        <v>7500000</v>
      </c>
      <c r="U288" s="33"/>
      <c r="V288" s="33"/>
      <c r="W288" s="52"/>
      <c r="X288" s="52">
        <f t="shared" ref="X288:Y288" si="282">M288-S288</f>
        <v>0</v>
      </c>
      <c r="Y288" s="52">
        <f t="shared" si="282"/>
        <v>0</v>
      </c>
      <c r="Z288" s="52">
        <f t="shared" si="259"/>
        <v>0</v>
      </c>
      <c r="AA288" s="54"/>
      <c r="AB288" s="68"/>
    </row>
    <row r="289" spans="1:28" ht="47.25" x14ac:dyDescent="0.25">
      <c r="A289" s="33" t="s">
        <v>52</v>
      </c>
      <c r="B289" s="42">
        <v>272</v>
      </c>
      <c r="C289" s="33" t="s">
        <v>37</v>
      </c>
      <c r="D289" s="33" t="s">
        <v>2086</v>
      </c>
      <c r="E289" s="32"/>
      <c r="F289" s="33" t="s">
        <v>2087</v>
      </c>
      <c r="G289" s="32"/>
      <c r="H289" s="32"/>
      <c r="I289" s="33" t="s">
        <v>2088</v>
      </c>
      <c r="J289" s="33" t="s">
        <v>43</v>
      </c>
      <c r="K289" s="33" t="s">
        <v>2089</v>
      </c>
      <c r="L289" s="48">
        <v>1991452760</v>
      </c>
      <c r="M289" s="32"/>
      <c r="N289" s="48">
        <v>7500000</v>
      </c>
      <c r="O289" s="43"/>
      <c r="P289" s="43"/>
      <c r="Q289" s="48">
        <f t="shared" si="280"/>
        <v>1998952760</v>
      </c>
      <c r="R289" s="48">
        <v>1991452760</v>
      </c>
      <c r="S289" s="33"/>
      <c r="T289" s="44">
        <v>7500000</v>
      </c>
      <c r="U289" s="33"/>
      <c r="V289" s="33"/>
      <c r="W289" s="52"/>
      <c r="X289" s="52">
        <f t="shared" ref="X289:Y289" si="283">M289-S289</f>
        <v>0</v>
      </c>
      <c r="Y289" s="52">
        <f t="shared" si="283"/>
        <v>0</v>
      </c>
      <c r="Z289" s="52">
        <f t="shared" si="259"/>
        <v>0</v>
      </c>
      <c r="AA289" s="54"/>
      <c r="AB289" s="68"/>
    </row>
    <row r="290" spans="1:28" ht="78.75" x14ac:dyDescent="0.25">
      <c r="A290" s="33" t="s">
        <v>52</v>
      </c>
      <c r="B290" s="42">
        <v>273</v>
      </c>
      <c r="C290" s="33" t="s">
        <v>37</v>
      </c>
      <c r="D290" s="33" t="s">
        <v>2090</v>
      </c>
      <c r="E290" s="32"/>
      <c r="F290" s="33" t="s">
        <v>2091</v>
      </c>
      <c r="G290" s="32"/>
      <c r="H290" s="32"/>
      <c r="I290" s="33" t="s">
        <v>2092</v>
      </c>
      <c r="J290" s="33" t="s">
        <v>43</v>
      </c>
      <c r="K290" s="33" t="s">
        <v>2093</v>
      </c>
      <c r="L290" s="48">
        <v>174451100</v>
      </c>
      <c r="M290" s="32"/>
      <c r="N290" s="48">
        <v>7500000</v>
      </c>
      <c r="O290" s="43"/>
      <c r="P290" s="43"/>
      <c r="Q290" s="48">
        <f t="shared" si="280"/>
        <v>181951100</v>
      </c>
      <c r="R290" s="48">
        <v>174451100</v>
      </c>
      <c r="S290" s="33"/>
      <c r="T290" s="44">
        <v>7500000</v>
      </c>
      <c r="U290" s="33"/>
      <c r="V290" s="33"/>
      <c r="W290" s="52"/>
      <c r="X290" s="52">
        <f t="shared" ref="X290:Y290" si="284">M290-S290</f>
        <v>0</v>
      </c>
      <c r="Y290" s="52">
        <f t="shared" si="284"/>
        <v>0</v>
      </c>
      <c r="Z290" s="52">
        <f t="shared" si="259"/>
        <v>0</v>
      </c>
      <c r="AA290" s="54"/>
      <c r="AB290" s="68"/>
    </row>
    <row r="291" spans="1:28" ht="47.25" x14ac:dyDescent="0.25">
      <c r="A291" s="33" t="s">
        <v>35</v>
      </c>
      <c r="B291" s="42">
        <v>274</v>
      </c>
      <c r="C291" s="33" t="s">
        <v>37</v>
      </c>
      <c r="D291" s="33" t="s">
        <v>2094</v>
      </c>
      <c r="E291" s="32"/>
      <c r="F291" s="33" t="s">
        <v>2095</v>
      </c>
      <c r="G291" s="32"/>
      <c r="H291" s="32"/>
      <c r="I291" s="33" t="s">
        <v>2096</v>
      </c>
      <c r="J291" s="33" t="s">
        <v>43</v>
      </c>
      <c r="K291" s="33" t="s">
        <v>2097</v>
      </c>
      <c r="L291" s="48">
        <v>2784971220</v>
      </c>
      <c r="M291" s="32"/>
      <c r="N291" s="48">
        <v>7500000</v>
      </c>
      <c r="O291" s="43"/>
      <c r="P291" s="43"/>
      <c r="Q291" s="48">
        <f t="shared" si="280"/>
        <v>2792471220</v>
      </c>
      <c r="R291" s="48">
        <v>2784971220</v>
      </c>
      <c r="S291" s="33"/>
      <c r="T291" s="44">
        <v>7500000</v>
      </c>
      <c r="U291" s="33"/>
      <c r="V291" s="33"/>
      <c r="W291" s="52"/>
      <c r="X291" s="52">
        <f t="shared" ref="X291:Y291" si="285">M291-S291</f>
        <v>0</v>
      </c>
      <c r="Y291" s="52">
        <f t="shared" si="285"/>
        <v>0</v>
      </c>
      <c r="Z291" s="52">
        <f t="shared" si="259"/>
        <v>0</v>
      </c>
      <c r="AA291" s="54"/>
      <c r="AB291" s="68"/>
    </row>
    <row r="292" spans="1:28" ht="47.25" x14ac:dyDescent="0.25">
      <c r="A292" s="33" t="s">
        <v>35</v>
      </c>
      <c r="B292" s="42">
        <v>275</v>
      </c>
      <c r="C292" s="33" t="s">
        <v>37</v>
      </c>
      <c r="D292" s="33" t="s">
        <v>2098</v>
      </c>
      <c r="E292" s="33" t="s">
        <v>2099</v>
      </c>
      <c r="F292" s="33" t="s">
        <v>2100</v>
      </c>
      <c r="G292" s="33" t="s">
        <v>2101</v>
      </c>
      <c r="H292" s="32"/>
      <c r="I292" s="33" t="s">
        <v>2102</v>
      </c>
      <c r="J292" s="33" t="s">
        <v>43</v>
      </c>
      <c r="K292" s="33" t="s">
        <v>2103</v>
      </c>
      <c r="L292" s="48">
        <v>4232294940</v>
      </c>
      <c r="M292" s="48">
        <v>752539900</v>
      </c>
      <c r="N292" s="48">
        <v>7500000</v>
      </c>
      <c r="O292" s="43"/>
      <c r="P292" s="43"/>
      <c r="Q292" s="48">
        <f t="shared" si="280"/>
        <v>4992334840</v>
      </c>
      <c r="R292" s="48">
        <v>4232294940</v>
      </c>
      <c r="S292" s="48">
        <v>752539900</v>
      </c>
      <c r="T292" s="44">
        <v>7500000</v>
      </c>
      <c r="U292" s="33"/>
      <c r="V292" s="33"/>
      <c r="W292" s="52"/>
      <c r="X292" s="52">
        <f t="shared" ref="X292:Y292" si="286">M292-S292</f>
        <v>0</v>
      </c>
      <c r="Y292" s="52">
        <f t="shared" si="286"/>
        <v>0</v>
      </c>
      <c r="Z292" s="52">
        <f t="shared" si="259"/>
        <v>0</v>
      </c>
      <c r="AA292" s="54"/>
      <c r="AB292" s="68"/>
    </row>
    <row r="293" spans="1:28" ht="47.25" x14ac:dyDescent="0.25">
      <c r="A293" s="33" t="s">
        <v>35</v>
      </c>
      <c r="B293" s="42">
        <v>276</v>
      </c>
      <c r="C293" s="33" t="s">
        <v>37</v>
      </c>
      <c r="D293" s="33" t="s">
        <v>2104</v>
      </c>
      <c r="E293" s="32"/>
      <c r="F293" s="33" t="s">
        <v>2105</v>
      </c>
      <c r="G293" s="32"/>
      <c r="H293" s="32"/>
      <c r="I293" s="33" t="s">
        <v>2106</v>
      </c>
      <c r="J293" s="33" t="s">
        <v>43</v>
      </c>
      <c r="K293" s="33" t="s">
        <v>2107</v>
      </c>
      <c r="L293" s="48">
        <v>3383352800</v>
      </c>
      <c r="M293" s="32"/>
      <c r="N293" s="48">
        <v>7500000</v>
      </c>
      <c r="O293" s="43"/>
      <c r="P293" s="43"/>
      <c r="Q293" s="48">
        <f t="shared" si="280"/>
        <v>3390852800</v>
      </c>
      <c r="R293" s="48">
        <v>3383352800</v>
      </c>
      <c r="S293" s="33"/>
      <c r="T293" s="44">
        <v>7500000</v>
      </c>
      <c r="U293" s="33"/>
      <c r="V293" s="33"/>
      <c r="W293" s="52"/>
      <c r="X293" s="52">
        <f t="shared" ref="X293:Y293" si="287">M293-S293</f>
        <v>0</v>
      </c>
      <c r="Y293" s="52">
        <f t="shared" si="287"/>
        <v>0</v>
      </c>
      <c r="Z293" s="52">
        <f t="shared" si="259"/>
        <v>0</v>
      </c>
      <c r="AA293" s="54"/>
      <c r="AB293" s="68"/>
    </row>
    <row r="294" spans="1:28" ht="63" x14ac:dyDescent="0.25">
      <c r="A294" s="33" t="s">
        <v>52</v>
      </c>
      <c r="B294" s="42">
        <v>277</v>
      </c>
      <c r="C294" s="33" t="s">
        <v>37</v>
      </c>
      <c r="D294" s="33" t="s">
        <v>1177</v>
      </c>
      <c r="E294" s="32"/>
      <c r="F294" s="33" t="s">
        <v>1179</v>
      </c>
      <c r="G294" s="32"/>
      <c r="H294" s="32"/>
      <c r="I294" s="33" t="s">
        <v>1180</v>
      </c>
      <c r="J294" s="33" t="s">
        <v>43</v>
      </c>
      <c r="K294" s="33" t="s">
        <v>1181</v>
      </c>
      <c r="L294" s="48">
        <v>4066100280</v>
      </c>
      <c r="M294" s="32"/>
      <c r="N294" s="48">
        <v>15000000</v>
      </c>
      <c r="O294" s="43" t="s">
        <v>2108</v>
      </c>
      <c r="P294" s="69">
        <v>48000000</v>
      </c>
      <c r="Q294" s="48">
        <f t="shared" si="280"/>
        <v>4129100280</v>
      </c>
      <c r="R294" s="48">
        <v>4066100280</v>
      </c>
      <c r="S294" s="33"/>
      <c r="T294" s="44">
        <v>15000000</v>
      </c>
      <c r="U294" s="69">
        <v>24000000</v>
      </c>
      <c r="V294" s="33"/>
      <c r="W294" s="52"/>
      <c r="X294" s="52">
        <f t="shared" ref="X294:Y294" si="288">M294-S294</f>
        <v>0</v>
      </c>
      <c r="Y294" s="52">
        <f t="shared" si="288"/>
        <v>0</v>
      </c>
      <c r="Z294" s="52">
        <f t="shared" si="259"/>
        <v>24000000</v>
      </c>
      <c r="AA294" s="54"/>
      <c r="AB294" s="74" t="s">
        <v>721</v>
      </c>
    </row>
    <row r="295" spans="1:28" ht="47.25" x14ac:dyDescent="0.25">
      <c r="A295" s="33" t="s">
        <v>60</v>
      </c>
      <c r="B295" s="42">
        <v>278</v>
      </c>
      <c r="C295" s="33" t="s">
        <v>37</v>
      </c>
      <c r="D295" s="33" t="s">
        <v>2109</v>
      </c>
      <c r="E295" s="32"/>
      <c r="F295" s="33" t="s">
        <v>2110</v>
      </c>
      <c r="G295" s="32"/>
      <c r="H295" s="32"/>
      <c r="I295" s="33" t="s">
        <v>2</v>
      </c>
      <c r="J295" s="33" t="s">
        <v>43</v>
      </c>
      <c r="K295" s="33" t="s">
        <v>2111</v>
      </c>
      <c r="L295" s="48">
        <v>7304980</v>
      </c>
      <c r="M295" s="32"/>
      <c r="N295" s="48">
        <v>7500000</v>
      </c>
      <c r="O295" s="43"/>
      <c r="P295" s="43"/>
      <c r="Q295" s="48">
        <f t="shared" si="280"/>
        <v>14804980</v>
      </c>
      <c r="R295" s="33"/>
      <c r="S295" s="33"/>
      <c r="T295" s="66"/>
      <c r="U295" s="33"/>
      <c r="V295" s="33"/>
      <c r="W295" s="52">
        <v>7304980</v>
      </c>
      <c r="X295" s="52">
        <f t="shared" ref="X295:Y295" si="289">M295-S295</f>
        <v>0</v>
      </c>
      <c r="Y295" s="52">
        <f t="shared" si="289"/>
        <v>7500000</v>
      </c>
      <c r="Z295" s="52">
        <f t="shared" si="259"/>
        <v>0</v>
      </c>
      <c r="AA295" s="69">
        <v>7304980</v>
      </c>
      <c r="AB295" s="68"/>
    </row>
    <row r="296" spans="1:28" ht="30.75" customHeight="1" x14ac:dyDescent="0.25">
      <c r="A296" s="33"/>
      <c r="B296" s="299">
        <v>279</v>
      </c>
      <c r="C296" s="299" t="s">
        <v>37</v>
      </c>
      <c r="D296" s="33"/>
      <c r="E296" s="32"/>
      <c r="F296" s="299" t="s">
        <v>1797</v>
      </c>
      <c r="G296" s="32"/>
      <c r="H296" s="32"/>
      <c r="I296" s="299" t="s">
        <v>1798</v>
      </c>
      <c r="J296" s="299" t="s">
        <v>43</v>
      </c>
      <c r="K296" s="299" t="s">
        <v>1799</v>
      </c>
      <c r="L296" s="48"/>
      <c r="M296" s="32"/>
      <c r="N296" s="48"/>
      <c r="O296" s="43" t="s">
        <v>2112</v>
      </c>
      <c r="P296" s="43">
        <v>24000000</v>
      </c>
      <c r="Q296" s="48"/>
      <c r="R296" s="33"/>
      <c r="S296" s="33"/>
      <c r="T296" s="66"/>
      <c r="U296" s="48">
        <v>24000000</v>
      </c>
      <c r="V296" s="33"/>
      <c r="W296" s="52"/>
      <c r="X296" s="52"/>
      <c r="Y296" s="52"/>
      <c r="Z296" s="52">
        <f t="shared" si="259"/>
        <v>0</v>
      </c>
      <c r="AA296" s="69"/>
      <c r="AB296" s="68"/>
    </row>
    <row r="297" spans="1:28" ht="31.5" x14ac:dyDescent="0.25">
      <c r="A297" s="33" t="s">
        <v>46</v>
      </c>
      <c r="B297" s="290"/>
      <c r="C297" s="290"/>
      <c r="D297" s="33" t="s">
        <v>1795</v>
      </c>
      <c r="E297" s="32"/>
      <c r="F297" s="290"/>
      <c r="G297" s="32"/>
      <c r="H297" s="32"/>
      <c r="I297" s="290"/>
      <c r="J297" s="290"/>
      <c r="K297" s="290"/>
      <c r="L297" s="48">
        <v>10000000</v>
      </c>
      <c r="M297" s="32"/>
      <c r="N297" s="48">
        <v>15000000</v>
      </c>
      <c r="O297" s="33" t="s">
        <v>2113</v>
      </c>
      <c r="P297" s="48">
        <v>48000000</v>
      </c>
      <c r="Q297" s="48">
        <f t="shared" ref="Q297:Q300" si="290">L297+M297+N297+P297</f>
        <v>73000000</v>
      </c>
      <c r="R297" s="52">
        <v>10000000</v>
      </c>
      <c r="S297" s="33"/>
      <c r="T297" s="66"/>
      <c r="U297" s="48"/>
      <c r="V297" s="33"/>
      <c r="W297" s="52"/>
      <c r="X297" s="52">
        <f t="shared" ref="X297:Y297" si="291">M297-S297</f>
        <v>0</v>
      </c>
      <c r="Y297" s="52">
        <f t="shared" si="291"/>
        <v>15000000</v>
      </c>
      <c r="Z297" s="52">
        <f t="shared" si="259"/>
        <v>48000000</v>
      </c>
      <c r="AA297" s="54"/>
      <c r="AB297" s="75"/>
    </row>
    <row r="298" spans="1:28" ht="31.5" x14ac:dyDescent="0.25">
      <c r="A298" s="33" t="s">
        <v>52</v>
      </c>
      <c r="B298" s="42">
        <v>280</v>
      </c>
      <c r="C298" s="33" t="s">
        <v>37</v>
      </c>
      <c r="D298" s="33" t="s">
        <v>2114</v>
      </c>
      <c r="E298" s="32"/>
      <c r="F298" s="33" t="s">
        <v>2115</v>
      </c>
      <c r="G298" s="32"/>
      <c r="H298" s="32"/>
      <c r="I298" s="33" t="s">
        <v>2116</v>
      </c>
      <c r="J298" s="33" t="s">
        <v>43</v>
      </c>
      <c r="K298" s="33" t="s">
        <v>2117</v>
      </c>
      <c r="L298" s="48">
        <v>27024704</v>
      </c>
      <c r="M298" s="32"/>
      <c r="N298" s="48">
        <v>7500000</v>
      </c>
      <c r="O298" s="43"/>
      <c r="P298" s="43"/>
      <c r="Q298" s="48">
        <f t="shared" si="290"/>
        <v>34524704</v>
      </c>
      <c r="R298" s="48">
        <v>27024704</v>
      </c>
      <c r="S298" s="33"/>
      <c r="T298" s="44">
        <v>7500000</v>
      </c>
      <c r="U298" s="33"/>
      <c r="V298" s="33"/>
      <c r="W298" s="52"/>
      <c r="X298" s="52">
        <f t="shared" ref="X298:Y298" si="292">M298-S298</f>
        <v>0</v>
      </c>
      <c r="Y298" s="52">
        <f t="shared" si="292"/>
        <v>0</v>
      </c>
      <c r="Z298" s="52">
        <f t="shared" si="259"/>
        <v>0</v>
      </c>
      <c r="AA298" s="54"/>
      <c r="AB298" s="68"/>
    </row>
    <row r="299" spans="1:28" ht="31.5" x14ac:dyDescent="0.25">
      <c r="A299" s="33" t="s">
        <v>52</v>
      </c>
      <c r="B299" s="42">
        <v>281</v>
      </c>
      <c r="C299" s="33" t="s">
        <v>37</v>
      </c>
      <c r="D299" s="33" t="s">
        <v>2118</v>
      </c>
      <c r="E299" s="32"/>
      <c r="F299" s="33" t="s">
        <v>2119</v>
      </c>
      <c r="G299" s="32"/>
      <c r="H299" s="32"/>
      <c r="I299" s="33" t="s">
        <v>2120</v>
      </c>
      <c r="J299" s="33" t="s">
        <v>43</v>
      </c>
      <c r="K299" s="33" t="s">
        <v>2121</v>
      </c>
      <c r="L299" s="48">
        <v>8038952368</v>
      </c>
      <c r="M299" s="32"/>
      <c r="N299" s="48">
        <v>15000000</v>
      </c>
      <c r="O299" s="43"/>
      <c r="P299" s="43"/>
      <c r="Q299" s="48">
        <f t="shared" si="290"/>
        <v>8053952368</v>
      </c>
      <c r="R299" s="48">
        <v>8038952368</v>
      </c>
      <c r="S299" s="33"/>
      <c r="T299" s="44">
        <v>15000000</v>
      </c>
      <c r="U299" s="33"/>
      <c r="V299" s="33"/>
      <c r="W299" s="52"/>
      <c r="X299" s="52">
        <f t="shared" ref="X299:Y299" si="293">M299-S299</f>
        <v>0</v>
      </c>
      <c r="Y299" s="52">
        <f t="shared" si="293"/>
        <v>0</v>
      </c>
      <c r="Z299" s="52">
        <f t="shared" si="259"/>
        <v>0</v>
      </c>
      <c r="AA299" s="54"/>
      <c r="AB299" s="68"/>
    </row>
    <row r="300" spans="1:28" ht="47.25" x14ac:dyDescent="0.25">
      <c r="A300" s="33" t="s">
        <v>46</v>
      </c>
      <c r="B300" s="42">
        <v>282</v>
      </c>
      <c r="C300" s="33" t="s">
        <v>37</v>
      </c>
      <c r="D300" s="33" t="s">
        <v>1027</v>
      </c>
      <c r="E300" s="33" t="s">
        <v>1028</v>
      </c>
      <c r="F300" s="33" t="s">
        <v>1029</v>
      </c>
      <c r="G300" s="33" t="s">
        <v>1030</v>
      </c>
      <c r="H300" s="32"/>
      <c r="I300" s="33" t="s">
        <v>1031</v>
      </c>
      <c r="J300" s="33" t="s">
        <v>43</v>
      </c>
      <c r="K300" s="33" t="s">
        <v>1032</v>
      </c>
      <c r="L300" s="48">
        <v>1650170289</v>
      </c>
      <c r="M300" s="48">
        <v>191680384</v>
      </c>
      <c r="N300" s="48">
        <v>15000000</v>
      </c>
      <c r="O300" s="43" t="s">
        <v>1012</v>
      </c>
      <c r="P300" s="69">
        <v>24000000</v>
      </c>
      <c r="Q300" s="48">
        <f t="shared" si="290"/>
        <v>1880850673</v>
      </c>
      <c r="R300" s="48">
        <v>1650170289</v>
      </c>
      <c r="S300" s="48">
        <v>191680384</v>
      </c>
      <c r="T300" s="44">
        <v>15000000</v>
      </c>
      <c r="U300" s="48">
        <v>24000000</v>
      </c>
      <c r="V300" s="33"/>
      <c r="W300" s="52"/>
      <c r="X300" s="52">
        <f t="shared" ref="X300:Y300" si="294">M300-S300</f>
        <v>0</v>
      </c>
      <c r="Y300" s="52">
        <f t="shared" si="294"/>
        <v>0</v>
      </c>
      <c r="Z300" s="52">
        <f t="shared" si="259"/>
        <v>0</v>
      </c>
      <c r="AA300" s="54"/>
      <c r="AB300" s="68"/>
    </row>
    <row r="301" spans="1:28" ht="31.5" x14ac:dyDescent="0.25">
      <c r="A301" s="33"/>
      <c r="B301" s="299">
        <v>283</v>
      </c>
      <c r="C301" s="299" t="s">
        <v>37</v>
      </c>
      <c r="D301" s="33"/>
      <c r="E301" s="33"/>
      <c r="F301" s="299" t="s">
        <v>1562</v>
      </c>
      <c r="G301" s="33"/>
      <c r="H301" s="32"/>
      <c r="I301" s="299" t="s">
        <v>1566</v>
      </c>
      <c r="J301" s="299" t="s">
        <v>43</v>
      </c>
      <c r="K301" s="299" t="s">
        <v>1568</v>
      </c>
      <c r="L301" s="48"/>
      <c r="M301" s="48"/>
      <c r="N301" s="48"/>
      <c r="O301" s="43" t="s">
        <v>2122</v>
      </c>
      <c r="P301" s="69">
        <v>30000000</v>
      </c>
      <c r="Q301" s="48"/>
      <c r="R301" s="48"/>
      <c r="S301" s="48"/>
      <c r="T301" s="44"/>
      <c r="U301" s="48">
        <v>30000000</v>
      </c>
      <c r="V301" s="33"/>
      <c r="W301" s="52"/>
      <c r="X301" s="52"/>
      <c r="Y301" s="52"/>
      <c r="Z301" s="52">
        <f t="shared" si="259"/>
        <v>0</v>
      </c>
      <c r="AA301" s="54"/>
      <c r="AB301" s="68"/>
    </row>
    <row r="302" spans="1:28" ht="31.5" x14ac:dyDescent="0.25">
      <c r="A302" s="33" t="s">
        <v>46</v>
      </c>
      <c r="B302" s="290"/>
      <c r="C302" s="290"/>
      <c r="D302" s="33" t="s">
        <v>1559</v>
      </c>
      <c r="E302" s="33" t="s">
        <v>1395</v>
      </c>
      <c r="F302" s="290"/>
      <c r="G302" s="33" t="s">
        <v>1564</v>
      </c>
      <c r="H302" s="32"/>
      <c r="I302" s="290"/>
      <c r="J302" s="290"/>
      <c r="K302" s="290"/>
      <c r="L302" s="48">
        <v>2351212760</v>
      </c>
      <c r="M302" s="48">
        <v>533938698</v>
      </c>
      <c r="N302" s="48">
        <v>15000000</v>
      </c>
      <c r="O302" s="33" t="s">
        <v>2123</v>
      </c>
      <c r="P302" s="48">
        <v>60000000</v>
      </c>
      <c r="Q302" s="48">
        <f t="shared" ref="Q302:Q402" si="295">L302+M302+N302+P302</f>
        <v>2960151458</v>
      </c>
      <c r="R302" s="48">
        <v>2351212760</v>
      </c>
      <c r="S302" s="48">
        <v>533938698</v>
      </c>
      <c r="T302" s="44">
        <v>15000000</v>
      </c>
      <c r="U302" s="48">
        <v>60000000</v>
      </c>
      <c r="V302" s="33"/>
      <c r="W302" s="52"/>
      <c r="X302" s="52">
        <f t="shared" ref="X302:Y302" si="296">M302-S302</f>
        <v>0</v>
      </c>
      <c r="Y302" s="52">
        <f t="shared" si="296"/>
        <v>0</v>
      </c>
      <c r="Z302" s="52">
        <f t="shared" si="259"/>
        <v>0</v>
      </c>
      <c r="AA302" s="54"/>
      <c r="AB302" s="75" t="s">
        <v>2124</v>
      </c>
    </row>
    <row r="303" spans="1:28" ht="47.25" x14ac:dyDescent="0.25">
      <c r="A303" s="33" t="s">
        <v>46</v>
      </c>
      <c r="B303" s="42">
        <v>284</v>
      </c>
      <c r="C303" s="33" t="s">
        <v>37</v>
      </c>
      <c r="D303" s="33" t="s">
        <v>2125</v>
      </c>
      <c r="E303" s="33" t="s">
        <v>857</v>
      </c>
      <c r="F303" s="33" t="s">
        <v>2126</v>
      </c>
      <c r="G303" s="33" t="s">
        <v>2127</v>
      </c>
      <c r="H303" s="32"/>
      <c r="I303" s="33" t="s">
        <v>1434</v>
      </c>
      <c r="J303" s="33" t="s">
        <v>43</v>
      </c>
      <c r="K303" s="33" t="s">
        <v>2128</v>
      </c>
      <c r="L303" s="48">
        <v>8920129828</v>
      </c>
      <c r="M303" s="48">
        <v>80307072</v>
      </c>
      <c r="N303" s="48">
        <v>15000000</v>
      </c>
      <c r="O303" s="43"/>
      <c r="P303" s="43"/>
      <c r="Q303" s="48">
        <f t="shared" si="295"/>
        <v>9015436900</v>
      </c>
      <c r="R303" s="48">
        <v>8920129828</v>
      </c>
      <c r="S303" s="48">
        <v>80307072</v>
      </c>
      <c r="T303" s="44">
        <v>15000000</v>
      </c>
      <c r="U303" s="33"/>
      <c r="V303" s="33"/>
      <c r="W303" s="52"/>
      <c r="X303" s="52">
        <f t="shared" ref="X303:Y303" si="297">M303-S303</f>
        <v>0</v>
      </c>
      <c r="Y303" s="52">
        <f t="shared" si="297"/>
        <v>0</v>
      </c>
      <c r="Z303" s="52">
        <f t="shared" si="259"/>
        <v>0</v>
      </c>
      <c r="AA303" s="54"/>
      <c r="AB303" s="68"/>
    </row>
    <row r="304" spans="1:28" ht="47.25" x14ac:dyDescent="0.25">
      <c r="A304" s="33" t="s">
        <v>35</v>
      </c>
      <c r="B304" s="42">
        <v>285</v>
      </c>
      <c r="C304" s="33" t="s">
        <v>37</v>
      </c>
      <c r="D304" s="33" t="s">
        <v>367</v>
      </c>
      <c r="E304" s="33" t="s">
        <v>368</v>
      </c>
      <c r="F304" s="33" t="s">
        <v>370</v>
      </c>
      <c r="G304" s="32"/>
      <c r="H304" s="32"/>
      <c r="I304" s="33" t="s">
        <v>371</v>
      </c>
      <c r="J304" s="33" t="s">
        <v>43</v>
      </c>
      <c r="K304" s="33" t="s">
        <v>372</v>
      </c>
      <c r="L304" s="48">
        <v>10000000</v>
      </c>
      <c r="M304" s="48">
        <v>549345285</v>
      </c>
      <c r="N304" s="48">
        <v>15000000</v>
      </c>
      <c r="O304" s="43" t="s">
        <v>369</v>
      </c>
      <c r="P304" s="69">
        <v>30000000</v>
      </c>
      <c r="Q304" s="48">
        <f t="shared" si="295"/>
        <v>604345285</v>
      </c>
      <c r="R304" s="48">
        <v>10000000</v>
      </c>
      <c r="S304" s="48">
        <v>549345285</v>
      </c>
      <c r="T304" s="44">
        <v>15000000</v>
      </c>
      <c r="U304" s="48">
        <v>30000000</v>
      </c>
      <c r="V304" s="33"/>
      <c r="W304" s="52"/>
      <c r="X304" s="52">
        <f t="shared" ref="X304:Y304" si="298">M304-S304</f>
        <v>0</v>
      </c>
      <c r="Y304" s="52">
        <f t="shared" si="298"/>
        <v>0</v>
      </c>
      <c r="Z304" s="52">
        <f t="shared" si="259"/>
        <v>0</v>
      </c>
      <c r="AA304" s="54"/>
      <c r="AB304" s="68"/>
    </row>
    <row r="305" spans="1:45" ht="47.25" x14ac:dyDescent="0.25">
      <c r="A305" s="88" t="s">
        <v>35</v>
      </c>
      <c r="B305" s="89">
        <v>286</v>
      </c>
      <c r="C305" s="88" t="s">
        <v>37</v>
      </c>
      <c r="D305" s="88" t="s">
        <v>754</v>
      </c>
      <c r="E305" s="88" t="s">
        <v>756</v>
      </c>
      <c r="F305" s="88" t="s">
        <v>759</v>
      </c>
      <c r="G305" s="88" t="s">
        <v>760</v>
      </c>
      <c r="H305" s="90"/>
      <c r="I305" s="88" t="s">
        <v>761</v>
      </c>
      <c r="J305" s="88" t="s">
        <v>43</v>
      </c>
      <c r="K305" s="88" t="s">
        <v>762</v>
      </c>
      <c r="L305" s="91">
        <v>2353030170</v>
      </c>
      <c r="M305" s="91">
        <v>56355840</v>
      </c>
      <c r="N305" s="91">
        <v>15000000</v>
      </c>
      <c r="O305" s="92" t="s">
        <v>757</v>
      </c>
      <c r="P305" s="84">
        <v>48000000</v>
      </c>
      <c r="Q305" s="91">
        <f t="shared" si="295"/>
        <v>2472386010</v>
      </c>
      <c r="R305" s="91">
        <v>2353030170</v>
      </c>
      <c r="S305" s="91">
        <v>56355840</v>
      </c>
      <c r="T305" s="93">
        <v>15000000</v>
      </c>
      <c r="U305" s="88"/>
      <c r="V305" s="88"/>
      <c r="W305" s="94"/>
      <c r="X305" s="94">
        <f t="shared" ref="X305:Y305" si="299">M305-S305</f>
        <v>0</v>
      </c>
      <c r="Y305" s="94">
        <f t="shared" si="299"/>
        <v>0</v>
      </c>
      <c r="Z305" s="94">
        <f t="shared" si="259"/>
        <v>48000000</v>
      </c>
      <c r="AA305" s="95"/>
      <c r="AB305" s="96" t="s">
        <v>1290</v>
      </c>
      <c r="AC305" s="97"/>
      <c r="AD305" s="97"/>
      <c r="AE305" s="97"/>
      <c r="AF305" s="97"/>
      <c r="AG305" s="97"/>
      <c r="AH305" s="97"/>
      <c r="AI305" s="97"/>
      <c r="AJ305" s="97"/>
      <c r="AK305" s="97"/>
      <c r="AL305" s="97"/>
      <c r="AM305" s="97"/>
      <c r="AN305" s="97"/>
      <c r="AO305" s="97"/>
      <c r="AP305" s="97"/>
      <c r="AQ305" s="97"/>
      <c r="AR305" s="97"/>
      <c r="AS305" s="97"/>
    </row>
    <row r="306" spans="1:45" ht="47.25" x14ac:dyDescent="0.25">
      <c r="A306" s="33" t="s">
        <v>35</v>
      </c>
      <c r="B306" s="42">
        <v>287</v>
      </c>
      <c r="C306" s="33" t="s">
        <v>37</v>
      </c>
      <c r="D306" s="33" t="s">
        <v>2130</v>
      </c>
      <c r="E306" s="32"/>
      <c r="F306" s="33" t="s">
        <v>2131</v>
      </c>
      <c r="G306" s="32"/>
      <c r="H306" s="32"/>
      <c r="I306" s="33" t="s">
        <v>2132</v>
      </c>
      <c r="J306" s="33" t="s">
        <v>43</v>
      </c>
      <c r="K306" s="33" t="s">
        <v>2133</v>
      </c>
      <c r="L306" s="48">
        <v>2858621000</v>
      </c>
      <c r="M306" s="32"/>
      <c r="N306" s="48">
        <v>15000000</v>
      </c>
      <c r="O306" s="43"/>
      <c r="P306" s="43"/>
      <c r="Q306" s="48">
        <f t="shared" si="295"/>
        <v>2873621000</v>
      </c>
      <c r="R306" s="48">
        <v>2858621000</v>
      </c>
      <c r="S306" s="33"/>
      <c r="T306" s="44">
        <v>15000000</v>
      </c>
      <c r="U306" s="33"/>
      <c r="V306" s="33"/>
      <c r="W306" s="52"/>
      <c r="X306" s="52">
        <f t="shared" ref="X306:Y306" si="300">M306-S306</f>
        <v>0</v>
      </c>
      <c r="Y306" s="52">
        <f t="shared" si="300"/>
        <v>0</v>
      </c>
      <c r="Z306" s="52">
        <f t="shared" si="259"/>
        <v>0</v>
      </c>
      <c r="AA306" s="54"/>
      <c r="AB306" s="68"/>
    </row>
    <row r="307" spans="1:45" ht="31.5" x14ac:dyDescent="0.25">
      <c r="A307" s="33" t="s">
        <v>46</v>
      </c>
      <c r="B307" s="42">
        <v>288</v>
      </c>
      <c r="C307" s="33" t="s">
        <v>37</v>
      </c>
      <c r="D307" s="33" t="s">
        <v>2134</v>
      </c>
      <c r="E307" s="32"/>
      <c r="F307" s="33" t="s">
        <v>2135</v>
      </c>
      <c r="G307" s="32"/>
      <c r="H307" s="32"/>
      <c r="I307" s="33" t="s">
        <v>2136</v>
      </c>
      <c r="J307" s="33" t="s">
        <v>43</v>
      </c>
      <c r="K307" s="33" t="s">
        <v>2137</v>
      </c>
      <c r="L307" s="48">
        <v>1613980644</v>
      </c>
      <c r="M307" s="32"/>
      <c r="N307" s="48">
        <v>7500000</v>
      </c>
      <c r="O307" s="43"/>
      <c r="P307" s="43"/>
      <c r="Q307" s="48">
        <f t="shared" si="295"/>
        <v>1621480644</v>
      </c>
      <c r="R307" s="48">
        <v>1613980644</v>
      </c>
      <c r="S307" s="33"/>
      <c r="T307" s="66"/>
      <c r="U307" s="33"/>
      <c r="V307" s="33"/>
      <c r="W307" s="52"/>
      <c r="X307" s="52">
        <f t="shared" ref="X307:Y307" si="301">M307-S307</f>
        <v>0</v>
      </c>
      <c r="Y307" s="52">
        <f t="shared" si="301"/>
        <v>7500000</v>
      </c>
      <c r="Z307" s="52">
        <f t="shared" si="259"/>
        <v>0</v>
      </c>
      <c r="AA307" s="54"/>
      <c r="AB307" s="68"/>
    </row>
    <row r="308" spans="1:45" ht="47.25" x14ac:dyDescent="0.25">
      <c r="A308" s="33" t="s">
        <v>60</v>
      </c>
      <c r="B308" s="42">
        <v>289</v>
      </c>
      <c r="C308" s="33" t="s">
        <v>37</v>
      </c>
      <c r="D308" s="33" t="s">
        <v>1198</v>
      </c>
      <c r="E308" s="32"/>
      <c r="F308" s="33" t="s">
        <v>1200</v>
      </c>
      <c r="G308" s="32"/>
      <c r="H308" s="32"/>
      <c r="I308" s="33" t="s">
        <v>1201</v>
      </c>
      <c r="J308" s="33" t="s">
        <v>43</v>
      </c>
      <c r="K308" s="33" t="s">
        <v>1202</v>
      </c>
      <c r="L308" s="48">
        <v>20692684800</v>
      </c>
      <c r="M308" s="32"/>
      <c r="N308" s="48">
        <v>15000000</v>
      </c>
      <c r="O308" s="33" t="s">
        <v>1199</v>
      </c>
      <c r="P308" s="48">
        <v>24000000</v>
      </c>
      <c r="Q308" s="48">
        <f t="shared" si="295"/>
        <v>20731684800</v>
      </c>
      <c r="R308" s="48">
        <v>20692684800</v>
      </c>
      <c r="S308" s="33"/>
      <c r="T308" s="66"/>
      <c r="U308" s="33"/>
      <c r="V308" s="33"/>
      <c r="W308" s="52"/>
      <c r="X308" s="52">
        <f t="shared" ref="X308:Y308" si="302">M308-S308</f>
        <v>0</v>
      </c>
      <c r="Y308" s="52">
        <f t="shared" si="302"/>
        <v>15000000</v>
      </c>
      <c r="Z308" s="52">
        <f t="shared" si="259"/>
        <v>24000000</v>
      </c>
      <c r="AA308" s="54"/>
      <c r="AB308" s="75"/>
    </row>
    <row r="309" spans="1:45" ht="31.5" x14ac:dyDescent="0.25">
      <c r="A309" s="33" t="s">
        <v>46</v>
      </c>
      <c r="B309" s="42">
        <v>290</v>
      </c>
      <c r="C309" s="33" t="s">
        <v>37</v>
      </c>
      <c r="D309" s="33" t="s">
        <v>2138</v>
      </c>
      <c r="E309" s="32"/>
      <c r="F309" s="33" t="s">
        <v>2139</v>
      </c>
      <c r="G309" s="32"/>
      <c r="H309" s="32"/>
      <c r="I309" s="33" t="s">
        <v>2140</v>
      </c>
      <c r="J309" s="33" t="s">
        <v>43</v>
      </c>
      <c r="K309" s="33" t="s">
        <v>2141</v>
      </c>
      <c r="L309" s="48">
        <v>7632590744</v>
      </c>
      <c r="M309" s="32"/>
      <c r="N309" s="48">
        <v>15000000</v>
      </c>
      <c r="O309" s="43"/>
      <c r="P309" s="43"/>
      <c r="Q309" s="48">
        <f t="shared" si="295"/>
        <v>7647590744</v>
      </c>
      <c r="R309" s="48">
        <v>7632590744</v>
      </c>
      <c r="S309" s="33"/>
      <c r="T309" s="66"/>
      <c r="U309" s="33"/>
      <c r="V309" s="33"/>
      <c r="W309" s="52"/>
      <c r="X309" s="52">
        <f t="shared" ref="X309:Y309" si="303">M309-S309</f>
        <v>0</v>
      </c>
      <c r="Y309" s="52">
        <f t="shared" si="303"/>
        <v>15000000</v>
      </c>
      <c r="Z309" s="52">
        <f t="shared" si="259"/>
        <v>0</v>
      </c>
      <c r="AA309" s="54"/>
      <c r="AB309" s="68"/>
    </row>
    <row r="310" spans="1:45" ht="47.25" x14ac:dyDescent="0.25">
      <c r="A310" s="33" t="s">
        <v>60</v>
      </c>
      <c r="B310" s="42">
        <v>291</v>
      </c>
      <c r="C310" s="33" t="s">
        <v>37</v>
      </c>
      <c r="D310" s="33" t="s">
        <v>2142</v>
      </c>
      <c r="E310" s="33" t="s">
        <v>1923</v>
      </c>
      <c r="F310" s="33" t="s">
        <v>2143</v>
      </c>
      <c r="G310" s="32"/>
      <c r="H310" s="32"/>
      <c r="I310" s="33" t="s">
        <v>2144</v>
      </c>
      <c r="J310" s="33" t="s">
        <v>43</v>
      </c>
      <c r="K310" s="33" t="s">
        <v>2145</v>
      </c>
      <c r="L310" s="48">
        <v>1875268327</v>
      </c>
      <c r="M310" s="48">
        <v>352224000</v>
      </c>
      <c r="N310" s="48">
        <v>15000000</v>
      </c>
      <c r="O310" s="43"/>
      <c r="P310" s="43"/>
      <c r="Q310" s="48">
        <f t="shared" si="295"/>
        <v>2242492327</v>
      </c>
      <c r="R310" s="48">
        <v>1875268327</v>
      </c>
      <c r="S310" s="48">
        <v>352224000</v>
      </c>
      <c r="T310" s="44">
        <v>15000000</v>
      </c>
      <c r="U310" s="33"/>
      <c r="V310" s="33"/>
      <c r="W310" s="52"/>
      <c r="X310" s="52">
        <f t="shared" ref="X310:Y310" si="304">M310-S310</f>
        <v>0</v>
      </c>
      <c r="Y310" s="52">
        <f t="shared" si="304"/>
        <v>0</v>
      </c>
      <c r="Z310" s="52">
        <f t="shared" si="259"/>
        <v>0</v>
      </c>
      <c r="AA310" s="54"/>
      <c r="AB310" s="68"/>
    </row>
    <row r="311" spans="1:45" ht="47.25" x14ac:dyDescent="0.25">
      <c r="A311" s="33" t="s">
        <v>60</v>
      </c>
      <c r="B311" s="42">
        <v>292</v>
      </c>
      <c r="C311" s="33" t="s">
        <v>37</v>
      </c>
      <c r="D311" s="33" t="s">
        <v>2146</v>
      </c>
      <c r="E311" s="33" t="s">
        <v>883</v>
      </c>
      <c r="F311" s="33" t="s">
        <v>2147</v>
      </c>
      <c r="G311" s="33" t="s">
        <v>2148</v>
      </c>
      <c r="H311" s="32"/>
      <c r="I311" s="33" t="s">
        <v>2149</v>
      </c>
      <c r="J311" s="33" t="s">
        <v>43</v>
      </c>
      <c r="K311" s="33" t="s">
        <v>2150</v>
      </c>
      <c r="L311" s="48">
        <v>1054607500</v>
      </c>
      <c r="M311" s="48">
        <v>395612000</v>
      </c>
      <c r="N311" s="48">
        <v>7500000</v>
      </c>
      <c r="O311" s="43"/>
      <c r="P311" s="43"/>
      <c r="Q311" s="48">
        <f t="shared" si="295"/>
        <v>1457719500</v>
      </c>
      <c r="R311" s="48">
        <v>1054607500</v>
      </c>
      <c r="S311" s="48">
        <v>395612000</v>
      </c>
      <c r="T311" s="44">
        <v>7500000</v>
      </c>
      <c r="U311" s="33"/>
      <c r="V311" s="33"/>
      <c r="W311" s="52"/>
      <c r="X311" s="52">
        <f t="shared" ref="X311:Y311" si="305">M311-S311</f>
        <v>0</v>
      </c>
      <c r="Y311" s="52">
        <f t="shared" si="305"/>
        <v>0</v>
      </c>
      <c r="Z311" s="52">
        <f t="shared" si="259"/>
        <v>0</v>
      </c>
      <c r="AA311" s="54"/>
      <c r="AB311" s="68"/>
    </row>
    <row r="312" spans="1:45" ht="31.5" x14ac:dyDescent="0.25">
      <c r="A312" s="33" t="s">
        <v>52</v>
      </c>
      <c r="B312" s="42">
        <v>293</v>
      </c>
      <c r="C312" s="33" t="s">
        <v>37</v>
      </c>
      <c r="D312" s="33" t="s">
        <v>2151</v>
      </c>
      <c r="E312" s="32"/>
      <c r="F312" s="33" t="s">
        <v>2152</v>
      </c>
      <c r="G312" s="32"/>
      <c r="H312" s="32"/>
      <c r="I312" s="33" t="s">
        <v>2153</v>
      </c>
      <c r="J312" s="33" t="s">
        <v>43</v>
      </c>
      <c r="K312" s="33" t="s">
        <v>2154</v>
      </c>
      <c r="L312" s="48">
        <v>4707710338</v>
      </c>
      <c r="M312" s="32"/>
      <c r="N312" s="48">
        <v>15000000</v>
      </c>
      <c r="O312" s="43"/>
      <c r="P312" s="43"/>
      <c r="Q312" s="48">
        <f t="shared" si="295"/>
        <v>4722710338</v>
      </c>
      <c r="R312" s="48">
        <v>4707710338</v>
      </c>
      <c r="S312" s="33"/>
      <c r="T312" s="44">
        <v>15000000</v>
      </c>
      <c r="U312" s="33"/>
      <c r="V312" s="33"/>
      <c r="W312" s="52"/>
      <c r="X312" s="52">
        <f t="shared" ref="X312:Y312" si="306">M312-S312</f>
        <v>0</v>
      </c>
      <c r="Y312" s="52">
        <f t="shared" si="306"/>
        <v>0</v>
      </c>
      <c r="Z312" s="52">
        <f t="shared" si="259"/>
        <v>0</v>
      </c>
      <c r="AA312" s="54"/>
      <c r="AB312" s="68"/>
    </row>
    <row r="313" spans="1:45" ht="31.5" x14ac:dyDescent="0.25">
      <c r="A313" s="33" t="s">
        <v>60</v>
      </c>
      <c r="B313" s="42">
        <v>294</v>
      </c>
      <c r="C313" s="33" t="s">
        <v>37</v>
      </c>
      <c r="D313" s="33" t="s">
        <v>2155</v>
      </c>
      <c r="E313" s="32"/>
      <c r="F313" s="33" t="s">
        <v>2156</v>
      </c>
      <c r="G313" s="32"/>
      <c r="H313" s="32"/>
      <c r="I313" s="33" t="s">
        <v>2157</v>
      </c>
      <c r="J313" s="33" t="s">
        <v>43</v>
      </c>
      <c r="K313" s="33" t="s">
        <v>2158</v>
      </c>
      <c r="L313" s="48">
        <v>11923902764</v>
      </c>
      <c r="M313" s="32"/>
      <c r="N313" s="48">
        <v>15000000</v>
      </c>
      <c r="O313" s="43"/>
      <c r="P313" s="43"/>
      <c r="Q313" s="48">
        <f t="shared" si="295"/>
        <v>11938902764</v>
      </c>
      <c r="R313" s="48">
        <v>11923902764</v>
      </c>
      <c r="S313" s="33"/>
      <c r="T313" s="44">
        <v>15000000</v>
      </c>
      <c r="U313" s="33"/>
      <c r="V313" s="33"/>
      <c r="W313" s="52"/>
      <c r="X313" s="52">
        <f t="shared" ref="X313:Y313" si="307">M313-S313</f>
        <v>0</v>
      </c>
      <c r="Y313" s="52">
        <f t="shared" si="307"/>
        <v>0</v>
      </c>
      <c r="Z313" s="52">
        <f t="shared" si="259"/>
        <v>0</v>
      </c>
      <c r="AA313" s="54"/>
      <c r="AB313" s="68"/>
    </row>
    <row r="314" spans="1:45" ht="78.75" x14ac:dyDescent="0.25">
      <c r="A314" s="33" t="s">
        <v>60</v>
      </c>
      <c r="B314" s="42">
        <v>295</v>
      </c>
      <c r="C314" s="33" t="s">
        <v>37</v>
      </c>
      <c r="D314" s="33" t="s">
        <v>1629</v>
      </c>
      <c r="E314" s="32"/>
      <c r="F314" s="33" t="s">
        <v>1631</v>
      </c>
      <c r="G314" s="32"/>
      <c r="H314" s="32"/>
      <c r="I314" s="33" t="s">
        <v>1632</v>
      </c>
      <c r="J314" s="33" t="s">
        <v>43</v>
      </c>
      <c r="K314" s="33" t="s">
        <v>1633</v>
      </c>
      <c r="L314" s="48">
        <v>10000000</v>
      </c>
      <c r="M314" s="32"/>
      <c r="N314" s="48">
        <v>15000000</v>
      </c>
      <c r="O314" s="43" t="s">
        <v>1630</v>
      </c>
      <c r="P314" s="69">
        <v>90000000</v>
      </c>
      <c r="Q314" s="48">
        <f t="shared" si="295"/>
        <v>115000000</v>
      </c>
      <c r="R314" s="48">
        <v>10000000</v>
      </c>
      <c r="S314" s="33"/>
      <c r="T314" s="44">
        <v>15000000</v>
      </c>
      <c r="U314" s="48">
        <v>90000000</v>
      </c>
      <c r="V314" s="33"/>
      <c r="W314" s="52"/>
      <c r="X314" s="52">
        <f t="shared" ref="X314:Y314" si="308">M314-S314</f>
        <v>0</v>
      </c>
      <c r="Y314" s="52">
        <f t="shared" si="308"/>
        <v>0</v>
      </c>
      <c r="Z314" s="52">
        <f t="shared" si="259"/>
        <v>0</v>
      </c>
      <c r="AA314" s="54"/>
      <c r="AB314" s="68"/>
    </row>
    <row r="315" spans="1:45" ht="47.25" x14ac:dyDescent="0.25">
      <c r="A315" s="33" t="s">
        <v>52</v>
      </c>
      <c r="B315" s="42">
        <v>296</v>
      </c>
      <c r="C315" s="33" t="s">
        <v>37</v>
      </c>
      <c r="D315" s="33" t="s">
        <v>1820</v>
      </c>
      <c r="E315" s="33" t="s">
        <v>1821</v>
      </c>
      <c r="F315" s="33" t="s">
        <v>1823</v>
      </c>
      <c r="G315" s="33" t="s">
        <v>1824</v>
      </c>
      <c r="H315" s="32"/>
      <c r="I315" s="33" t="s">
        <v>1825</v>
      </c>
      <c r="J315" s="33" t="s">
        <v>43</v>
      </c>
      <c r="K315" s="33" t="s">
        <v>1826</v>
      </c>
      <c r="L315" s="48">
        <v>980624620</v>
      </c>
      <c r="M315" s="48">
        <v>7988680</v>
      </c>
      <c r="N315" s="48">
        <v>15000000</v>
      </c>
      <c r="O315" s="43" t="s">
        <v>1822</v>
      </c>
      <c r="P315" s="69">
        <v>24000000</v>
      </c>
      <c r="Q315" s="48">
        <f t="shared" si="295"/>
        <v>1027613300</v>
      </c>
      <c r="R315" s="48">
        <v>980624620</v>
      </c>
      <c r="S315" s="48">
        <v>7988680</v>
      </c>
      <c r="T315" s="44">
        <v>15000000</v>
      </c>
      <c r="U315" s="48">
        <v>24000000</v>
      </c>
      <c r="V315" s="33"/>
      <c r="W315" s="52"/>
      <c r="X315" s="52">
        <f t="shared" ref="X315:Y315" si="309">M315-S315</f>
        <v>0</v>
      </c>
      <c r="Y315" s="52">
        <f t="shared" si="309"/>
        <v>0</v>
      </c>
      <c r="Z315" s="52">
        <f t="shared" si="259"/>
        <v>0</v>
      </c>
      <c r="AA315" s="54"/>
      <c r="AB315" s="68"/>
    </row>
    <row r="316" spans="1:45" ht="47.25" x14ac:dyDescent="0.25">
      <c r="A316" s="33" t="s">
        <v>35</v>
      </c>
      <c r="B316" s="42">
        <v>297</v>
      </c>
      <c r="C316" s="33" t="s">
        <v>37</v>
      </c>
      <c r="D316" s="33" t="s">
        <v>2161</v>
      </c>
      <c r="E316" s="32"/>
      <c r="F316" s="33" t="s">
        <v>2163</v>
      </c>
      <c r="G316" s="32"/>
      <c r="H316" s="32"/>
      <c r="I316" s="33" t="s">
        <v>2164</v>
      </c>
      <c r="J316" s="33" t="s">
        <v>43</v>
      </c>
      <c r="K316" s="33" t="s">
        <v>2165</v>
      </c>
      <c r="L316" s="42">
        <v>0</v>
      </c>
      <c r="M316" s="32"/>
      <c r="N316" s="48">
        <v>7500000</v>
      </c>
      <c r="O316" s="43"/>
      <c r="P316" s="43"/>
      <c r="Q316" s="48">
        <f t="shared" si="295"/>
        <v>7500000</v>
      </c>
      <c r="R316" s="42">
        <v>0</v>
      </c>
      <c r="S316" s="33"/>
      <c r="T316" s="66"/>
      <c r="U316" s="33"/>
      <c r="V316" s="33"/>
      <c r="W316" s="52"/>
      <c r="X316" s="52">
        <f t="shared" ref="X316:Y316" si="310">M316-S316</f>
        <v>0</v>
      </c>
      <c r="Y316" s="52">
        <f t="shared" si="310"/>
        <v>7500000</v>
      </c>
      <c r="Z316" s="52">
        <f t="shared" si="259"/>
        <v>0</v>
      </c>
      <c r="AA316" s="54"/>
      <c r="AB316" s="68"/>
    </row>
    <row r="317" spans="1:45" ht="63" x14ac:dyDescent="0.25">
      <c r="A317" s="33" t="s">
        <v>35</v>
      </c>
      <c r="B317" s="42">
        <v>298</v>
      </c>
      <c r="C317" s="33" t="s">
        <v>37</v>
      </c>
      <c r="D317" s="33" t="s">
        <v>2166</v>
      </c>
      <c r="E317" s="33" t="s">
        <v>2167</v>
      </c>
      <c r="F317" s="33" t="s">
        <v>2168</v>
      </c>
      <c r="G317" s="33" t="s">
        <v>2169</v>
      </c>
      <c r="H317" s="32"/>
      <c r="I317" s="33" t="s">
        <v>2170</v>
      </c>
      <c r="J317" s="33" t="s">
        <v>43</v>
      </c>
      <c r="K317" s="33" t="s">
        <v>2171</v>
      </c>
      <c r="L317" s="48">
        <v>2444325600</v>
      </c>
      <c r="M317" s="48">
        <v>117744973</v>
      </c>
      <c r="N317" s="48">
        <v>7500000</v>
      </c>
      <c r="O317" s="43"/>
      <c r="P317" s="43"/>
      <c r="Q317" s="48">
        <f t="shared" si="295"/>
        <v>2569570573</v>
      </c>
      <c r="R317" s="48">
        <v>2444325600</v>
      </c>
      <c r="S317" s="48">
        <v>117744973</v>
      </c>
      <c r="T317" s="44">
        <v>7500000</v>
      </c>
      <c r="U317" s="33"/>
      <c r="V317" s="33"/>
      <c r="W317" s="52"/>
      <c r="X317" s="52">
        <f t="shared" ref="X317:Y317" si="311">M317-S317</f>
        <v>0</v>
      </c>
      <c r="Y317" s="52">
        <f t="shared" si="311"/>
        <v>0</v>
      </c>
      <c r="Z317" s="52">
        <f t="shared" si="259"/>
        <v>0</v>
      </c>
      <c r="AA317" s="54"/>
      <c r="AB317" s="68"/>
    </row>
    <row r="318" spans="1:45" ht="47.25" x14ac:dyDescent="0.25">
      <c r="A318" s="33" t="s">
        <v>46</v>
      </c>
      <c r="B318" s="42">
        <v>299</v>
      </c>
      <c r="C318" s="33" t="s">
        <v>37</v>
      </c>
      <c r="D318" s="33" t="s">
        <v>2172</v>
      </c>
      <c r="E318" s="32"/>
      <c r="F318" s="33" t="s">
        <v>2173</v>
      </c>
      <c r="G318" s="32"/>
      <c r="H318" s="32"/>
      <c r="I318" s="33" t="s">
        <v>2174</v>
      </c>
      <c r="J318" s="33" t="s">
        <v>43</v>
      </c>
      <c r="K318" s="33" t="s">
        <v>2175</v>
      </c>
      <c r="L318" s="48">
        <v>5876123796</v>
      </c>
      <c r="M318" s="32"/>
      <c r="N318" s="48">
        <v>7500000</v>
      </c>
      <c r="O318" s="43"/>
      <c r="P318" s="43"/>
      <c r="Q318" s="48">
        <f t="shared" si="295"/>
        <v>5883623796</v>
      </c>
      <c r="R318" s="48">
        <v>5876123796</v>
      </c>
      <c r="S318" s="33"/>
      <c r="T318" s="44">
        <v>7500000</v>
      </c>
      <c r="U318" s="33"/>
      <c r="V318" s="33"/>
      <c r="W318" s="52"/>
      <c r="X318" s="52">
        <f t="shared" ref="X318:Y318" si="312">M318-S318</f>
        <v>0</v>
      </c>
      <c r="Y318" s="52">
        <f t="shared" si="312"/>
        <v>0</v>
      </c>
      <c r="Z318" s="52">
        <f t="shared" si="259"/>
        <v>0</v>
      </c>
      <c r="AA318" s="54"/>
      <c r="AB318" s="68"/>
    </row>
    <row r="319" spans="1:45" ht="47.25" x14ac:dyDescent="0.25">
      <c r="A319" s="33" t="s">
        <v>46</v>
      </c>
      <c r="B319" s="42">
        <v>300</v>
      </c>
      <c r="C319" s="33" t="s">
        <v>37</v>
      </c>
      <c r="D319" s="33" t="s">
        <v>2176</v>
      </c>
      <c r="E319" s="32"/>
      <c r="F319" s="33" t="s">
        <v>2177</v>
      </c>
      <c r="G319" s="32"/>
      <c r="H319" s="32"/>
      <c r="I319" s="33" t="s">
        <v>2178</v>
      </c>
      <c r="J319" s="33" t="s">
        <v>43</v>
      </c>
      <c r="K319" s="33" t="s">
        <v>2179</v>
      </c>
      <c r="L319" s="48">
        <v>2259157980</v>
      </c>
      <c r="M319" s="32"/>
      <c r="N319" s="48">
        <v>15000000</v>
      </c>
      <c r="O319" s="43"/>
      <c r="P319" s="43"/>
      <c r="Q319" s="48">
        <f t="shared" si="295"/>
        <v>2274157980</v>
      </c>
      <c r="R319" s="48">
        <v>2259157980</v>
      </c>
      <c r="S319" s="33"/>
      <c r="T319" s="44">
        <v>15000000</v>
      </c>
      <c r="U319" s="33"/>
      <c r="V319" s="33"/>
      <c r="W319" s="52"/>
      <c r="X319" s="52">
        <f t="shared" ref="X319:Y319" si="313">M319-S319</f>
        <v>0</v>
      </c>
      <c r="Y319" s="52">
        <f t="shared" si="313"/>
        <v>0</v>
      </c>
      <c r="Z319" s="52">
        <f t="shared" si="259"/>
        <v>0</v>
      </c>
      <c r="AA319" s="54"/>
      <c r="AB319" s="68"/>
    </row>
    <row r="320" spans="1:45" ht="63" x14ac:dyDescent="0.25">
      <c r="A320" s="33" t="s">
        <v>52</v>
      </c>
      <c r="B320" s="42">
        <v>301</v>
      </c>
      <c r="C320" s="33" t="s">
        <v>37</v>
      </c>
      <c r="D320" s="33" t="s">
        <v>526</v>
      </c>
      <c r="E320" s="33" t="s">
        <v>527</v>
      </c>
      <c r="F320" s="33" t="s">
        <v>529</v>
      </c>
      <c r="G320" s="33" t="s">
        <v>530</v>
      </c>
      <c r="H320" s="32"/>
      <c r="I320" s="33" t="s">
        <v>531</v>
      </c>
      <c r="J320" s="33" t="s">
        <v>43</v>
      </c>
      <c r="K320" s="33" t="s">
        <v>532</v>
      </c>
      <c r="L320" s="48">
        <v>3088919040</v>
      </c>
      <c r="M320" s="48">
        <v>465246720</v>
      </c>
      <c r="N320" s="48">
        <v>15000000</v>
      </c>
      <c r="O320" s="43" t="s">
        <v>528</v>
      </c>
      <c r="P320" s="69">
        <v>36000000</v>
      </c>
      <c r="Q320" s="48">
        <f t="shared" si="295"/>
        <v>3605165760</v>
      </c>
      <c r="R320" s="48">
        <v>3088919040</v>
      </c>
      <c r="S320" s="48">
        <v>278415360</v>
      </c>
      <c r="T320" s="44">
        <v>15000000</v>
      </c>
      <c r="U320" s="48">
        <v>36000000</v>
      </c>
      <c r="V320" s="33"/>
      <c r="W320" s="52"/>
      <c r="X320" s="52">
        <f t="shared" ref="X320:Y320" si="314">M320-S320</f>
        <v>186831360</v>
      </c>
      <c r="Y320" s="52">
        <f t="shared" si="314"/>
        <v>0</v>
      </c>
      <c r="Z320" s="52">
        <f t="shared" si="259"/>
        <v>0</v>
      </c>
      <c r="AA320" s="54"/>
      <c r="AB320" s="68"/>
    </row>
    <row r="321" spans="1:28" ht="47.25" x14ac:dyDescent="0.25">
      <c r="A321" s="33" t="s">
        <v>35</v>
      </c>
      <c r="B321" s="42">
        <v>302</v>
      </c>
      <c r="C321" s="33" t="s">
        <v>37</v>
      </c>
      <c r="D321" s="33" t="s">
        <v>2180</v>
      </c>
      <c r="E321" s="32"/>
      <c r="F321" s="33" t="s">
        <v>2181</v>
      </c>
      <c r="G321" s="32"/>
      <c r="H321" s="32"/>
      <c r="I321" s="33" t="s">
        <v>2182</v>
      </c>
      <c r="J321" s="33" t="s">
        <v>43</v>
      </c>
      <c r="K321" s="33" t="s">
        <v>2183</v>
      </c>
      <c r="L321" s="48">
        <v>3566485286</v>
      </c>
      <c r="M321" s="32"/>
      <c r="N321" s="48">
        <v>15000000</v>
      </c>
      <c r="O321" s="43"/>
      <c r="P321" s="43"/>
      <c r="Q321" s="48">
        <f t="shared" si="295"/>
        <v>3581485286</v>
      </c>
      <c r="R321" s="48">
        <v>3566485286</v>
      </c>
      <c r="S321" s="33"/>
      <c r="T321" s="44">
        <v>15000000</v>
      </c>
      <c r="U321" s="33"/>
      <c r="V321" s="33"/>
      <c r="W321" s="52"/>
      <c r="X321" s="52">
        <f t="shared" ref="X321:Y321" si="315">M321-S321</f>
        <v>0</v>
      </c>
      <c r="Y321" s="52">
        <f t="shared" si="315"/>
        <v>0</v>
      </c>
      <c r="Z321" s="52">
        <f t="shared" si="259"/>
        <v>0</v>
      </c>
      <c r="AA321" s="54"/>
      <c r="AB321" s="68"/>
    </row>
    <row r="322" spans="1:28" ht="47.25" x14ac:dyDescent="0.25">
      <c r="A322" s="33" t="s">
        <v>52</v>
      </c>
      <c r="B322" s="42">
        <v>303</v>
      </c>
      <c r="C322" s="33" t="s">
        <v>37</v>
      </c>
      <c r="D322" s="33" t="s">
        <v>2184</v>
      </c>
      <c r="E322" s="32"/>
      <c r="F322" s="33" t="s">
        <v>2185</v>
      </c>
      <c r="G322" s="32"/>
      <c r="H322" s="32"/>
      <c r="I322" s="33" t="s">
        <v>2186</v>
      </c>
      <c r="J322" s="33" t="s">
        <v>43</v>
      </c>
      <c r="K322" s="33" t="s">
        <v>2187</v>
      </c>
      <c r="L322" s="48">
        <v>861548648</v>
      </c>
      <c r="M322" s="32"/>
      <c r="N322" s="48">
        <v>7500000</v>
      </c>
      <c r="O322" s="43"/>
      <c r="P322" s="43"/>
      <c r="Q322" s="48">
        <f t="shared" si="295"/>
        <v>869048648</v>
      </c>
      <c r="R322" s="48">
        <v>861548648</v>
      </c>
      <c r="S322" s="33"/>
      <c r="T322" s="44">
        <v>7500000</v>
      </c>
      <c r="U322" s="33"/>
      <c r="V322" s="33"/>
      <c r="W322" s="52"/>
      <c r="X322" s="52">
        <f t="shared" ref="X322:Y322" si="316">M322-S322</f>
        <v>0</v>
      </c>
      <c r="Y322" s="52">
        <f t="shared" si="316"/>
        <v>0</v>
      </c>
      <c r="Z322" s="52">
        <f t="shared" si="259"/>
        <v>0</v>
      </c>
      <c r="AA322" s="54"/>
      <c r="AB322" s="68"/>
    </row>
    <row r="323" spans="1:28" ht="47.25" x14ac:dyDescent="0.25">
      <c r="A323" s="33" t="s">
        <v>52</v>
      </c>
      <c r="B323" s="42">
        <v>304</v>
      </c>
      <c r="C323" s="33" t="s">
        <v>37</v>
      </c>
      <c r="D323" s="33" t="s">
        <v>1766</v>
      </c>
      <c r="E323" s="33" t="s">
        <v>857</v>
      </c>
      <c r="F323" s="33" t="s">
        <v>1769</v>
      </c>
      <c r="G323" s="33" t="s">
        <v>1480</v>
      </c>
      <c r="H323" s="32"/>
      <c r="I323" s="33" t="s">
        <v>1772</v>
      </c>
      <c r="J323" s="33" t="s">
        <v>43</v>
      </c>
      <c r="K323" s="33" t="s">
        <v>1774</v>
      </c>
      <c r="L323" s="48">
        <v>5592906642</v>
      </c>
      <c r="M323" s="48">
        <v>713725056</v>
      </c>
      <c r="N323" s="48">
        <v>15000000</v>
      </c>
      <c r="O323" s="43" t="s">
        <v>1767</v>
      </c>
      <c r="P323" s="69">
        <v>24000000</v>
      </c>
      <c r="Q323" s="48">
        <f t="shared" si="295"/>
        <v>6345631698</v>
      </c>
      <c r="R323" s="48">
        <v>5592906642</v>
      </c>
      <c r="S323" s="48">
        <v>713725056</v>
      </c>
      <c r="T323" s="44">
        <v>15000000</v>
      </c>
      <c r="U323" s="48">
        <v>24000000</v>
      </c>
      <c r="V323" s="33"/>
      <c r="W323" s="52"/>
      <c r="X323" s="52">
        <f t="shared" ref="X323:Y323" si="317">M323-S323</f>
        <v>0</v>
      </c>
      <c r="Y323" s="52">
        <f t="shared" si="317"/>
        <v>0</v>
      </c>
      <c r="Z323" s="52">
        <f t="shared" si="259"/>
        <v>0</v>
      </c>
      <c r="AA323" s="54"/>
      <c r="AB323" s="68"/>
    </row>
    <row r="324" spans="1:28" ht="47.25" x14ac:dyDescent="0.25">
      <c r="A324" s="33" t="s">
        <v>52</v>
      </c>
      <c r="B324" s="42">
        <v>305</v>
      </c>
      <c r="C324" s="33" t="s">
        <v>37</v>
      </c>
      <c r="D324" s="33" t="s">
        <v>2188</v>
      </c>
      <c r="E324" s="32"/>
      <c r="F324" s="33" t="s">
        <v>2189</v>
      </c>
      <c r="G324" s="32"/>
      <c r="H324" s="32"/>
      <c r="I324" s="33" t="s">
        <v>2190</v>
      </c>
      <c r="J324" s="33" t="s">
        <v>43</v>
      </c>
      <c r="K324" s="33" t="s">
        <v>2191</v>
      </c>
      <c r="L324" s="48">
        <v>454606610</v>
      </c>
      <c r="M324" s="32"/>
      <c r="N324" s="48">
        <v>15000000</v>
      </c>
      <c r="O324" s="43"/>
      <c r="P324" s="43"/>
      <c r="Q324" s="48">
        <f t="shared" si="295"/>
        <v>469606610</v>
      </c>
      <c r="R324" s="48">
        <v>454606610</v>
      </c>
      <c r="S324" s="33"/>
      <c r="T324" s="44">
        <v>15000000</v>
      </c>
      <c r="U324" s="33"/>
      <c r="V324" s="33"/>
      <c r="W324" s="52"/>
      <c r="X324" s="52">
        <f t="shared" ref="X324:Y324" si="318">M324-S324</f>
        <v>0</v>
      </c>
      <c r="Y324" s="52">
        <f t="shared" si="318"/>
        <v>0</v>
      </c>
      <c r="Z324" s="52">
        <f t="shared" si="259"/>
        <v>0</v>
      </c>
      <c r="AA324" s="54"/>
      <c r="AB324" s="68"/>
    </row>
    <row r="325" spans="1:28" ht="47.25" x14ac:dyDescent="0.25">
      <c r="A325" s="33" t="s">
        <v>35</v>
      </c>
      <c r="B325" s="42">
        <v>306</v>
      </c>
      <c r="C325" s="33" t="s">
        <v>37</v>
      </c>
      <c r="D325" s="33" t="s">
        <v>2192</v>
      </c>
      <c r="E325" s="32"/>
      <c r="F325" s="33" t="s">
        <v>2193</v>
      </c>
      <c r="G325" s="32"/>
      <c r="H325" s="32"/>
      <c r="I325" s="33" t="s">
        <v>2102</v>
      </c>
      <c r="J325" s="33" t="s">
        <v>43</v>
      </c>
      <c r="K325" s="33" t="s">
        <v>2194</v>
      </c>
      <c r="L325" s="48">
        <v>2354986700</v>
      </c>
      <c r="M325" s="32"/>
      <c r="N325" s="48">
        <v>15000000</v>
      </c>
      <c r="O325" s="43"/>
      <c r="P325" s="43"/>
      <c r="Q325" s="48">
        <f t="shared" si="295"/>
        <v>2369986700</v>
      </c>
      <c r="R325" s="48">
        <v>2354986700</v>
      </c>
      <c r="S325" s="33"/>
      <c r="T325" s="44">
        <v>15000000</v>
      </c>
      <c r="U325" s="33"/>
      <c r="V325" s="33"/>
      <c r="W325" s="52"/>
      <c r="X325" s="52">
        <f t="shared" ref="X325:Y325" si="319">M325-S325</f>
        <v>0</v>
      </c>
      <c r="Y325" s="52">
        <f t="shared" si="319"/>
        <v>0</v>
      </c>
      <c r="Z325" s="52">
        <f t="shared" si="259"/>
        <v>0</v>
      </c>
      <c r="AA325" s="54"/>
      <c r="AB325" s="68"/>
    </row>
    <row r="326" spans="1:28" ht="47.25" x14ac:dyDescent="0.25">
      <c r="A326" s="33" t="s">
        <v>52</v>
      </c>
      <c r="B326" s="42">
        <v>307</v>
      </c>
      <c r="C326" s="33" t="s">
        <v>37</v>
      </c>
      <c r="D326" s="33" t="s">
        <v>2195</v>
      </c>
      <c r="E326" s="33" t="s">
        <v>450</v>
      </c>
      <c r="F326" s="33" t="s">
        <v>2196</v>
      </c>
      <c r="G326" s="33" t="s">
        <v>2197</v>
      </c>
      <c r="H326" s="32"/>
      <c r="I326" s="33" t="s">
        <v>2198</v>
      </c>
      <c r="J326" s="33" t="s">
        <v>43</v>
      </c>
      <c r="K326" s="33" t="s">
        <v>2199</v>
      </c>
      <c r="L326" s="48">
        <v>3187632080</v>
      </c>
      <c r="M326" s="48">
        <v>304242048</v>
      </c>
      <c r="N326" s="48">
        <v>7500000</v>
      </c>
      <c r="O326" s="43"/>
      <c r="P326" s="43"/>
      <c r="Q326" s="48">
        <f t="shared" si="295"/>
        <v>3499374128</v>
      </c>
      <c r="R326" s="48">
        <v>3187632080</v>
      </c>
      <c r="S326" s="48">
        <v>304242048</v>
      </c>
      <c r="T326" s="44">
        <v>7500000</v>
      </c>
      <c r="U326" s="33"/>
      <c r="V326" s="33"/>
      <c r="W326" s="52"/>
      <c r="X326" s="52">
        <f t="shared" ref="X326:Y326" si="320">M326-S326</f>
        <v>0</v>
      </c>
      <c r="Y326" s="52">
        <f t="shared" si="320"/>
        <v>0</v>
      </c>
      <c r="Z326" s="52">
        <f t="shared" si="259"/>
        <v>0</v>
      </c>
      <c r="AA326" s="54"/>
      <c r="AB326" s="68"/>
    </row>
    <row r="327" spans="1:28" ht="47.25" x14ac:dyDescent="0.25">
      <c r="A327" s="33" t="s">
        <v>46</v>
      </c>
      <c r="B327" s="42">
        <v>308</v>
      </c>
      <c r="C327" s="33" t="s">
        <v>37</v>
      </c>
      <c r="D327" s="33" t="s">
        <v>2200</v>
      </c>
      <c r="E327" s="32"/>
      <c r="F327" s="33" t="s">
        <v>2201</v>
      </c>
      <c r="G327" s="32"/>
      <c r="H327" s="32"/>
      <c r="I327" s="33" t="s">
        <v>2202</v>
      </c>
      <c r="J327" s="33" t="s">
        <v>43</v>
      </c>
      <c r="K327" s="33" t="s">
        <v>2203</v>
      </c>
      <c r="L327" s="48">
        <v>1759567324</v>
      </c>
      <c r="M327" s="32"/>
      <c r="N327" s="48">
        <v>7500000</v>
      </c>
      <c r="O327" s="43"/>
      <c r="P327" s="43"/>
      <c r="Q327" s="48">
        <f t="shared" si="295"/>
        <v>1767067324</v>
      </c>
      <c r="R327" s="48">
        <v>1759567324</v>
      </c>
      <c r="S327" s="33"/>
      <c r="T327" s="44">
        <v>7500000</v>
      </c>
      <c r="U327" s="33"/>
      <c r="V327" s="33"/>
      <c r="W327" s="52"/>
      <c r="X327" s="52">
        <f t="shared" ref="X327:Y327" si="321">M327-S327</f>
        <v>0</v>
      </c>
      <c r="Y327" s="52">
        <f t="shared" si="321"/>
        <v>0</v>
      </c>
      <c r="Z327" s="52">
        <f t="shared" si="259"/>
        <v>0</v>
      </c>
      <c r="AA327" s="54"/>
      <c r="AB327" s="68"/>
    </row>
    <row r="328" spans="1:28" ht="47.25" x14ac:dyDescent="0.25">
      <c r="A328" s="33" t="s">
        <v>46</v>
      </c>
      <c r="B328" s="42">
        <v>309</v>
      </c>
      <c r="C328" s="33" t="s">
        <v>37</v>
      </c>
      <c r="D328" s="33" t="s">
        <v>1734</v>
      </c>
      <c r="E328" s="33" t="s">
        <v>1735</v>
      </c>
      <c r="F328" s="33" t="s">
        <v>1737</v>
      </c>
      <c r="G328" s="32"/>
      <c r="H328" s="32"/>
      <c r="I328" s="33" t="s">
        <v>1738</v>
      </c>
      <c r="J328" s="33" t="s">
        <v>43</v>
      </c>
      <c r="K328" s="33" t="s">
        <v>1739</v>
      </c>
      <c r="L328" s="48">
        <v>1344327673</v>
      </c>
      <c r="M328" s="48">
        <v>262193501</v>
      </c>
      <c r="N328" s="48">
        <v>15000000</v>
      </c>
      <c r="O328" s="43" t="s">
        <v>1736</v>
      </c>
      <c r="P328" s="69">
        <v>16000000</v>
      </c>
      <c r="Q328" s="48">
        <f t="shared" si="295"/>
        <v>1637521174</v>
      </c>
      <c r="R328" s="48">
        <v>1344327673</v>
      </c>
      <c r="S328" s="48">
        <v>262193501</v>
      </c>
      <c r="T328" s="44">
        <v>15000000</v>
      </c>
      <c r="U328" s="48">
        <v>16000000</v>
      </c>
      <c r="V328" s="33"/>
      <c r="W328" s="52"/>
      <c r="X328" s="52">
        <f t="shared" ref="X328:Y328" si="322">M328-S328</f>
        <v>0</v>
      </c>
      <c r="Y328" s="52">
        <f t="shared" si="322"/>
        <v>0</v>
      </c>
      <c r="Z328" s="52">
        <f t="shared" si="259"/>
        <v>0</v>
      </c>
      <c r="AA328" s="54"/>
      <c r="AB328" s="68"/>
    </row>
    <row r="329" spans="1:28" ht="31.5" x14ac:dyDescent="0.25">
      <c r="A329" s="33" t="s">
        <v>52</v>
      </c>
      <c r="B329" s="42">
        <v>310</v>
      </c>
      <c r="C329" s="33" t="s">
        <v>37</v>
      </c>
      <c r="D329" s="33" t="s">
        <v>2204</v>
      </c>
      <c r="E329" s="33" t="s">
        <v>2205</v>
      </c>
      <c r="F329" s="33" t="s">
        <v>2206</v>
      </c>
      <c r="G329" s="33" t="s">
        <v>2207</v>
      </c>
      <c r="H329" s="32"/>
      <c r="I329" s="33" t="s">
        <v>2208</v>
      </c>
      <c r="J329" s="33" t="s">
        <v>43</v>
      </c>
      <c r="K329" s="33" t="s">
        <v>2209</v>
      </c>
      <c r="L329" s="48">
        <v>4651993608</v>
      </c>
      <c r="M329" s="48">
        <v>1194625056</v>
      </c>
      <c r="N329" s="48">
        <v>15000000</v>
      </c>
      <c r="O329" s="43"/>
      <c r="P329" s="43"/>
      <c r="Q329" s="48">
        <f t="shared" si="295"/>
        <v>5861618664</v>
      </c>
      <c r="R329" s="48">
        <v>4651993608</v>
      </c>
      <c r="S329" s="48">
        <v>1194625056</v>
      </c>
      <c r="T329" s="66"/>
      <c r="U329" s="33"/>
      <c r="V329" s="33"/>
      <c r="W329" s="52"/>
      <c r="X329" s="52">
        <f t="shared" ref="X329:Y329" si="323">M329-S329</f>
        <v>0</v>
      </c>
      <c r="Y329" s="52">
        <f t="shared" si="323"/>
        <v>15000000</v>
      </c>
      <c r="Z329" s="52">
        <f t="shared" si="259"/>
        <v>0</v>
      </c>
      <c r="AA329" s="54"/>
      <c r="AB329" s="68"/>
    </row>
    <row r="330" spans="1:28" ht="110.25" x14ac:dyDescent="0.25">
      <c r="A330" s="33" t="s">
        <v>60</v>
      </c>
      <c r="B330" s="42">
        <v>311</v>
      </c>
      <c r="C330" s="33" t="s">
        <v>37</v>
      </c>
      <c r="D330" s="33" t="s">
        <v>2210</v>
      </c>
      <c r="E330" s="32"/>
      <c r="F330" s="33" t="s">
        <v>2211</v>
      </c>
      <c r="G330" s="33" t="s">
        <v>2212</v>
      </c>
      <c r="H330" s="32"/>
      <c r="I330" s="33" t="s">
        <v>2213</v>
      </c>
      <c r="J330" s="33" t="s">
        <v>43</v>
      </c>
      <c r="K330" s="33" t="s">
        <v>2214</v>
      </c>
      <c r="L330" s="48">
        <v>7228048500</v>
      </c>
      <c r="M330" s="32"/>
      <c r="N330" s="48">
        <v>7500000</v>
      </c>
      <c r="O330" s="43"/>
      <c r="P330" s="43"/>
      <c r="Q330" s="48">
        <f t="shared" si="295"/>
        <v>7235548500</v>
      </c>
      <c r="R330" s="33"/>
      <c r="S330" s="33"/>
      <c r="T330" s="66"/>
      <c r="U330" s="33"/>
      <c r="V330" s="33"/>
      <c r="W330" s="52">
        <v>7228048500</v>
      </c>
      <c r="X330" s="52">
        <f t="shared" ref="X330:Y330" si="324">M330-S330</f>
        <v>0</v>
      </c>
      <c r="Y330" s="52">
        <f t="shared" si="324"/>
        <v>7500000</v>
      </c>
      <c r="Z330" s="52">
        <f t="shared" si="259"/>
        <v>0</v>
      </c>
      <c r="AA330" s="69">
        <v>7228048500</v>
      </c>
      <c r="AB330" s="68"/>
    </row>
    <row r="331" spans="1:28" ht="63" x14ac:dyDescent="0.25">
      <c r="A331" s="33" t="s">
        <v>60</v>
      </c>
      <c r="B331" s="42">
        <v>312</v>
      </c>
      <c r="C331" s="33" t="s">
        <v>37</v>
      </c>
      <c r="D331" s="33" t="s">
        <v>2215</v>
      </c>
      <c r="E331" s="32"/>
      <c r="F331" s="33" t="s">
        <v>2216</v>
      </c>
      <c r="G331" s="32"/>
      <c r="H331" s="32"/>
      <c r="I331" s="33" t="s">
        <v>2217</v>
      </c>
      <c r="J331" s="33" t="s">
        <v>43</v>
      </c>
      <c r="K331" s="33" t="s">
        <v>2218</v>
      </c>
      <c r="L331" s="42">
        <v>0</v>
      </c>
      <c r="M331" s="32"/>
      <c r="N331" s="48">
        <v>7500000</v>
      </c>
      <c r="O331" s="43"/>
      <c r="P331" s="43"/>
      <c r="Q331" s="48">
        <f t="shared" si="295"/>
        <v>7500000</v>
      </c>
      <c r="R331" s="42">
        <v>0</v>
      </c>
      <c r="S331" s="33"/>
      <c r="T331" s="66"/>
      <c r="U331" s="33"/>
      <c r="V331" s="33"/>
      <c r="W331" s="52"/>
      <c r="X331" s="52">
        <f t="shared" ref="X331:Y331" si="325">M331-S331</f>
        <v>0</v>
      </c>
      <c r="Y331" s="52">
        <f t="shared" si="325"/>
        <v>7500000</v>
      </c>
      <c r="Z331" s="52">
        <f t="shared" si="259"/>
        <v>0</v>
      </c>
      <c r="AA331" s="54"/>
      <c r="AB331" s="68"/>
    </row>
    <row r="332" spans="1:28" ht="47.25" x14ac:dyDescent="0.25">
      <c r="A332" s="33" t="s">
        <v>52</v>
      </c>
      <c r="B332" s="42">
        <v>313</v>
      </c>
      <c r="C332" s="33" t="s">
        <v>37</v>
      </c>
      <c r="D332" s="33" t="s">
        <v>2219</v>
      </c>
      <c r="E332" s="33" t="s">
        <v>604</v>
      </c>
      <c r="F332" s="33" t="s">
        <v>2220</v>
      </c>
      <c r="G332" s="33" t="s">
        <v>1585</v>
      </c>
      <c r="H332" s="32"/>
      <c r="I332" s="33" t="s">
        <v>2221</v>
      </c>
      <c r="J332" s="33" t="s">
        <v>43</v>
      </c>
      <c r="K332" s="33" t="s">
        <v>2222</v>
      </c>
      <c r="L332" s="48">
        <v>1181168502</v>
      </c>
      <c r="M332" s="48">
        <v>283193856</v>
      </c>
      <c r="N332" s="48">
        <v>7500000</v>
      </c>
      <c r="O332" s="43"/>
      <c r="P332" s="43"/>
      <c r="Q332" s="48">
        <f t="shared" si="295"/>
        <v>1471862358</v>
      </c>
      <c r="R332" s="48">
        <v>1181168502</v>
      </c>
      <c r="S332" s="48">
        <v>283193856</v>
      </c>
      <c r="T332" s="66"/>
      <c r="U332" s="33"/>
      <c r="V332" s="33"/>
      <c r="W332" s="52"/>
      <c r="X332" s="52">
        <f t="shared" ref="X332:Y332" si="326">M332-S332</f>
        <v>0</v>
      </c>
      <c r="Y332" s="52">
        <f t="shared" si="326"/>
        <v>7500000</v>
      </c>
      <c r="Z332" s="52">
        <f t="shared" si="259"/>
        <v>0</v>
      </c>
      <c r="AA332" s="54"/>
      <c r="AB332" s="68"/>
    </row>
    <row r="333" spans="1:28" ht="31.5" x14ac:dyDescent="0.25">
      <c r="A333" s="33" t="s">
        <v>52</v>
      </c>
      <c r="B333" s="42">
        <v>314</v>
      </c>
      <c r="C333" s="33" t="s">
        <v>37</v>
      </c>
      <c r="D333" s="33" t="s">
        <v>2223</v>
      </c>
      <c r="E333" s="32"/>
      <c r="F333" s="33" t="s">
        <v>2224</v>
      </c>
      <c r="G333" s="32"/>
      <c r="H333" s="32"/>
      <c r="I333" s="33" t="s">
        <v>2225</v>
      </c>
      <c r="J333" s="33" t="s">
        <v>43</v>
      </c>
      <c r="K333" s="33" t="s">
        <v>2226</v>
      </c>
      <c r="L333" s="48">
        <v>1634644894</v>
      </c>
      <c r="M333" s="32"/>
      <c r="N333" s="48">
        <v>7500000</v>
      </c>
      <c r="O333" s="43"/>
      <c r="P333" s="43"/>
      <c r="Q333" s="48">
        <f t="shared" si="295"/>
        <v>1642144894</v>
      </c>
      <c r="R333" s="48">
        <v>1634644894</v>
      </c>
      <c r="S333" s="33"/>
      <c r="T333" s="44">
        <v>7500000</v>
      </c>
      <c r="U333" s="33"/>
      <c r="V333" s="33"/>
      <c r="W333" s="52"/>
      <c r="X333" s="52">
        <f t="shared" ref="X333:Y333" si="327">M333-S333</f>
        <v>0</v>
      </c>
      <c r="Y333" s="52">
        <f t="shared" si="327"/>
        <v>0</v>
      </c>
      <c r="Z333" s="52">
        <f t="shared" si="259"/>
        <v>0</v>
      </c>
      <c r="AA333" s="54"/>
      <c r="AB333" s="68"/>
    </row>
    <row r="334" spans="1:28" ht="31.5" x14ac:dyDescent="0.25">
      <c r="A334" s="33" t="s">
        <v>60</v>
      </c>
      <c r="B334" s="42">
        <v>315</v>
      </c>
      <c r="C334" s="33" t="s">
        <v>37</v>
      </c>
      <c r="D334" s="33" t="s">
        <v>2227</v>
      </c>
      <c r="E334" s="32"/>
      <c r="F334" s="33" t="s">
        <v>2228</v>
      </c>
      <c r="G334" s="32"/>
      <c r="H334" s="32"/>
      <c r="I334" s="33" t="s">
        <v>2229</v>
      </c>
      <c r="J334" s="33" t="s">
        <v>43</v>
      </c>
      <c r="K334" s="33" t="s">
        <v>2230</v>
      </c>
      <c r="L334" s="48">
        <v>2916899139</v>
      </c>
      <c r="M334" s="32"/>
      <c r="N334" s="48">
        <v>7500000</v>
      </c>
      <c r="O334" s="43"/>
      <c r="P334" s="43"/>
      <c r="Q334" s="48">
        <f t="shared" si="295"/>
        <v>2924399139</v>
      </c>
      <c r="R334" s="48">
        <v>2916899139</v>
      </c>
      <c r="S334" s="33"/>
      <c r="T334" s="44">
        <v>7500000</v>
      </c>
      <c r="U334" s="33"/>
      <c r="V334" s="33"/>
      <c r="W334" s="52"/>
      <c r="X334" s="52">
        <f t="shared" ref="X334:Y334" si="328">M334-S334</f>
        <v>0</v>
      </c>
      <c r="Y334" s="52">
        <f t="shared" si="328"/>
        <v>0</v>
      </c>
      <c r="Z334" s="52">
        <f t="shared" si="259"/>
        <v>0</v>
      </c>
      <c r="AA334" s="54"/>
      <c r="AB334" s="68"/>
    </row>
    <row r="335" spans="1:28" ht="47.25" x14ac:dyDescent="0.25">
      <c r="A335" s="101" t="s">
        <v>35</v>
      </c>
      <c r="B335" s="42">
        <v>316</v>
      </c>
      <c r="C335" s="101" t="s">
        <v>37</v>
      </c>
      <c r="D335" s="101" t="s">
        <v>2231</v>
      </c>
      <c r="E335" s="32"/>
      <c r="F335" s="101" t="s">
        <v>2232</v>
      </c>
      <c r="G335" s="32"/>
      <c r="H335" s="32"/>
      <c r="I335" s="101" t="s">
        <v>2233</v>
      </c>
      <c r="J335" s="101" t="s">
        <v>43</v>
      </c>
      <c r="K335" s="33" t="s">
        <v>2234</v>
      </c>
      <c r="L335" s="79">
        <v>2045718784</v>
      </c>
      <c r="M335" s="32"/>
      <c r="N335" s="79">
        <v>15000000</v>
      </c>
      <c r="O335" s="43"/>
      <c r="P335" s="43"/>
      <c r="Q335" s="48">
        <f t="shared" si="295"/>
        <v>2060718784</v>
      </c>
      <c r="R335" s="79">
        <v>2045718784</v>
      </c>
      <c r="S335" s="33"/>
      <c r="T335" s="80">
        <v>15000000</v>
      </c>
      <c r="U335" s="33"/>
      <c r="V335" s="33"/>
      <c r="W335" s="52"/>
      <c r="X335" s="52">
        <f t="shared" ref="X335:Y335" si="329">M335-S335</f>
        <v>0</v>
      </c>
      <c r="Y335" s="52">
        <f t="shared" si="329"/>
        <v>0</v>
      </c>
      <c r="Z335" s="52">
        <f t="shared" si="259"/>
        <v>0</v>
      </c>
      <c r="AA335" s="54"/>
      <c r="AB335" s="68"/>
    </row>
    <row r="336" spans="1:28" ht="47.25" x14ac:dyDescent="0.25">
      <c r="A336" s="33" t="s">
        <v>35</v>
      </c>
      <c r="B336" s="42">
        <v>317</v>
      </c>
      <c r="C336" s="33" t="s">
        <v>37</v>
      </c>
      <c r="D336" s="33" t="s">
        <v>1242</v>
      </c>
      <c r="E336" s="33" t="s">
        <v>409</v>
      </c>
      <c r="F336" s="33" t="s">
        <v>1243</v>
      </c>
      <c r="G336" s="33" t="s">
        <v>1244</v>
      </c>
      <c r="H336" s="32"/>
      <c r="I336" s="33" t="s">
        <v>1245</v>
      </c>
      <c r="J336" s="33" t="s">
        <v>43</v>
      </c>
      <c r="K336" s="33" t="s">
        <v>1246</v>
      </c>
      <c r="L336" s="48">
        <v>2002133194</v>
      </c>
      <c r="M336" s="48">
        <v>247965696</v>
      </c>
      <c r="N336" s="48">
        <v>15000000</v>
      </c>
      <c r="O336" s="43" t="s">
        <v>1227</v>
      </c>
      <c r="P336" s="69">
        <v>30000000</v>
      </c>
      <c r="Q336" s="48">
        <f t="shared" si="295"/>
        <v>2295098890</v>
      </c>
      <c r="R336" s="48">
        <v>2002133194</v>
      </c>
      <c r="S336" s="33"/>
      <c r="T336" s="44">
        <v>15000000</v>
      </c>
      <c r="U336" s="48">
        <v>30000000</v>
      </c>
      <c r="V336" s="33"/>
      <c r="W336" s="52"/>
      <c r="X336" s="52">
        <f t="shared" ref="X336:Y336" si="330">M336-S336</f>
        <v>247965696</v>
      </c>
      <c r="Y336" s="52">
        <f t="shared" si="330"/>
        <v>0</v>
      </c>
      <c r="Z336" s="52">
        <f t="shared" si="259"/>
        <v>0</v>
      </c>
      <c r="AA336" s="54"/>
      <c r="AB336" s="68"/>
    </row>
    <row r="337" spans="1:28" ht="47.25" x14ac:dyDescent="0.25">
      <c r="A337" s="33" t="s">
        <v>60</v>
      </c>
      <c r="B337" s="42">
        <v>318</v>
      </c>
      <c r="C337" s="33" t="s">
        <v>37</v>
      </c>
      <c r="D337" s="33" t="s">
        <v>2235</v>
      </c>
      <c r="E337" s="32"/>
      <c r="F337" s="33" t="s">
        <v>2236</v>
      </c>
      <c r="G337" s="32"/>
      <c r="H337" s="32"/>
      <c r="I337" s="33" t="s">
        <v>2237</v>
      </c>
      <c r="J337" s="33" t="s">
        <v>43</v>
      </c>
      <c r="K337" s="33" t="s">
        <v>2238</v>
      </c>
      <c r="L337" s="48">
        <v>698692632</v>
      </c>
      <c r="M337" s="32"/>
      <c r="N337" s="48">
        <v>7500000</v>
      </c>
      <c r="O337" s="43"/>
      <c r="P337" s="43"/>
      <c r="Q337" s="48">
        <f t="shared" si="295"/>
        <v>706192632</v>
      </c>
      <c r="R337" s="48">
        <v>698692632</v>
      </c>
      <c r="S337" s="33"/>
      <c r="T337" s="66"/>
      <c r="U337" s="33"/>
      <c r="V337" s="33"/>
      <c r="W337" s="52"/>
      <c r="X337" s="52">
        <f t="shared" ref="X337:Y337" si="331">M337-S337</f>
        <v>0</v>
      </c>
      <c r="Y337" s="52">
        <f t="shared" si="331"/>
        <v>7500000</v>
      </c>
      <c r="Z337" s="52">
        <f t="shared" si="259"/>
        <v>0</v>
      </c>
      <c r="AA337" s="54"/>
      <c r="AB337" s="68"/>
    </row>
    <row r="338" spans="1:28" ht="47.25" x14ac:dyDescent="0.25">
      <c r="A338" s="33" t="s">
        <v>35</v>
      </c>
      <c r="B338" s="42">
        <v>319</v>
      </c>
      <c r="C338" s="33" t="s">
        <v>37</v>
      </c>
      <c r="D338" s="33" t="s">
        <v>1602</v>
      </c>
      <c r="E338" s="32"/>
      <c r="F338" s="33" t="s">
        <v>1604</v>
      </c>
      <c r="G338" s="32"/>
      <c r="H338" s="32"/>
      <c r="I338" s="33" t="s">
        <v>1605</v>
      </c>
      <c r="J338" s="33" t="s">
        <v>43</v>
      </c>
      <c r="K338" s="33" t="s">
        <v>1606</v>
      </c>
      <c r="L338" s="48">
        <v>10000000</v>
      </c>
      <c r="M338" s="32"/>
      <c r="N338" s="48">
        <v>15000000</v>
      </c>
      <c r="O338" s="43" t="s">
        <v>2122</v>
      </c>
      <c r="P338" s="69">
        <v>24000000</v>
      </c>
      <c r="Q338" s="48">
        <f t="shared" si="295"/>
        <v>49000000</v>
      </c>
      <c r="R338" s="48">
        <v>10000000</v>
      </c>
      <c r="S338" s="33"/>
      <c r="T338" s="44">
        <v>15000000</v>
      </c>
      <c r="U338" s="48">
        <v>24000000</v>
      </c>
      <c r="V338" s="33"/>
      <c r="W338" s="52"/>
      <c r="X338" s="52">
        <f t="shared" ref="X338:Y338" si="332">M338-S338</f>
        <v>0</v>
      </c>
      <c r="Y338" s="52">
        <f t="shared" si="332"/>
        <v>0</v>
      </c>
      <c r="Z338" s="52">
        <f t="shared" si="259"/>
        <v>0</v>
      </c>
      <c r="AA338" s="54"/>
      <c r="AB338" s="68"/>
    </row>
    <row r="339" spans="1:28" ht="47.25" x14ac:dyDescent="0.25">
      <c r="A339" s="33" t="s">
        <v>52</v>
      </c>
      <c r="B339" s="42">
        <v>320</v>
      </c>
      <c r="C339" s="33" t="s">
        <v>37</v>
      </c>
      <c r="D339" s="33" t="s">
        <v>2239</v>
      </c>
      <c r="E339" s="32"/>
      <c r="F339" s="33" t="s">
        <v>2240</v>
      </c>
      <c r="G339" s="32"/>
      <c r="H339" s="32"/>
      <c r="I339" s="33" t="s">
        <v>2241</v>
      </c>
      <c r="J339" s="33" t="s">
        <v>43</v>
      </c>
      <c r="K339" s="33" t="s">
        <v>2242</v>
      </c>
      <c r="L339" s="48">
        <v>5629237075</v>
      </c>
      <c r="M339" s="32"/>
      <c r="N339" s="48">
        <v>15000000</v>
      </c>
      <c r="O339" s="43"/>
      <c r="P339" s="43"/>
      <c r="Q339" s="48">
        <f t="shared" si="295"/>
        <v>5644237075</v>
      </c>
      <c r="R339" s="48">
        <v>5629237075</v>
      </c>
      <c r="S339" s="33"/>
      <c r="T339" s="44">
        <v>15000000</v>
      </c>
      <c r="U339" s="33"/>
      <c r="V339" s="33"/>
      <c r="W339" s="52"/>
      <c r="X339" s="52">
        <f t="shared" ref="X339:Y339" si="333">M339-S339</f>
        <v>0</v>
      </c>
      <c r="Y339" s="52">
        <f t="shared" si="333"/>
        <v>0</v>
      </c>
      <c r="Z339" s="52">
        <f t="shared" si="259"/>
        <v>0</v>
      </c>
      <c r="AA339" s="54"/>
      <c r="AB339" s="68"/>
    </row>
    <row r="340" spans="1:28" ht="31.5" x14ac:dyDescent="0.25">
      <c r="A340" s="33" t="s">
        <v>60</v>
      </c>
      <c r="B340" s="42">
        <v>321</v>
      </c>
      <c r="C340" s="33" t="s">
        <v>37</v>
      </c>
      <c r="D340" s="33" t="s">
        <v>2243</v>
      </c>
      <c r="E340" s="32"/>
      <c r="F340" s="33" t="s">
        <v>2244</v>
      </c>
      <c r="G340" s="32"/>
      <c r="H340" s="32"/>
      <c r="I340" s="33" t="s">
        <v>2245</v>
      </c>
      <c r="J340" s="33" t="s">
        <v>43</v>
      </c>
      <c r="K340" s="33" t="s">
        <v>2246</v>
      </c>
      <c r="L340" s="42">
        <v>0</v>
      </c>
      <c r="M340" s="32"/>
      <c r="N340" s="48">
        <v>7500000</v>
      </c>
      <c r="O340" s="43"/>
      <c r="P340" s="43"/>
      <c r="Q340" s="48">
        <f t="shared" si="295"/>
        <v>7500000</v>
      </c>
      <c r="R340" s="42">
        <v>0</v>
      </c>
      <c r="S340" s="33"/>
      <c r="T340" s="66"/>
      <c r="U340" s="33"/>
      <c r="V340" s="33"/>
      <c r="W340" s="52"/>
      <c r="X340" s="52">
        <f t="shared" ref="X340:Y340" si="334">M340-S340</f>
        <v>0</v>
      </c>
      <c r="Y340" s="52">
        <f t="shared" si="334"/>
        <v>7500000</v>
      </c>
      <c r="Z340" s="52">
        <f t="shared" si="259"/>
        <v>0</v>
      </c>
      <c r="AA340" s="54"/>
      <c r="AB340" s="68"/>
    </row>
    <row r="341" spans="1:28" ht="47.25" x14ac:dyDescent="0.25">
      <c r="A341" s="33" t="s">
        <v>52</v>
      </c>
      <c r="B341" s="42">
        <v>322</v>
      </c>
      <c r="C341" s="33" t="s">
        <v>37</v>
      </c>
      <c r="D341" s="33" t="s">
        <v>2247</v>
      </c>
      <c r="E341" s="32"/>
      <c r="F341" s="33" t="s">
        <v>2248</v>
      </c>
      <c r="G341" s="32"/>
      <c r="H341" s="32"/>
      <c r="I341" s="33" t="s">
        <v>2249</v>
      </c>
      <c r="J341" s="33" t="s">
        <v>43</v>
      </c>
      <c r="K341" s="33" t="s">
        <v>2250</v>
      </c>
      <c r="L341" s="48">
        <v>1119302208</v>
      </c>
      <c r="M341" s="32"/>
      <c r="N341" s="48">
        <v>15000000</v>
      </c>
      <c r="O341" s="43"/>
      <c r="P341" s="43"/>
      <c r="Q341" s="48">
        <f t="shared" si="295"/>
        <v>1134302208</v>
      </c>
      <c r="R341" s="48">
        <v>1119302208</v>
      </c>
      <c r="S341" s="33"/>
      <c r="T341" s="44">
        <v>15000000</v>
      </c>
      <c r="U341" s="33"/>
      <c r="V341" s="33"/>
      <c r="W341" s="52"/>
      <c r="X341" s="52">
        <f t="shared" ref="X341:Y341" si="335">M341-S341</f>
        <v>0</v>
      </c>
      <c r="Y341" s="52">
        <f t="shared" si="335"/>
        <v>0</v>
      </c>
      <c r="Z341" s="52">
        <f t="shared" si="259"/>
        <v>0</v>
      </c>
      <c r="AA341" s="54"/>
      <c r="AB341" s="68"/>
    </row>
    <row r="342" spans="1:28" ht="78.75" x14ac:dyDescent="0.25">
      <c r="A342" s="33" t="s">
        <v>46</v>
      </c>
      <c r="B342" s="42">
        <v>323</v>
      </c>
      <c r="C342" s="33" t="s">
        <v>37</v>
      </c>
      <c r="D342" s="33" t="s">
        <v>1296</v>
      </c>
      <c r="E342" s="33" t="s">
        <v>450</v>
      </c>
      <c r="F342" s="33" t="s">
        <v>1297</v>
      </c>
      <c r="G342" s="33" t="s">
        <v>1298</v>
      </c>
      <c r="H342" s="32"/>
      <c r="I342" s="33" t="s">
        <v>1299</v>
      </c>
      <c r="J342" s="33" t="s">
        <v>43</v>
      </c>
      <c r="K342" s="33" t="s">
        <v>1300</v>
      </c>
      <c r="L342" s="48">
        <v>31787585620</v>
      </c>
      <c r="M342" s="48">
        <v>1149412000</v>
      </c>
      <c r="N342" s="48">
        <v>15000000</v>
      </c>
      <c r="O342" s="33" t="s">
        <v>464</v>
      </c>
      <c r="P342" s="48">
        <v>60000000</v>
      </c>
      <c r="Q342" s="48">
        <f t="shared" si="295"/>
        <v>33011997620</v>
      </c>
      <c r="R342" s="48">
        <v>31787585620</v>
      </c>
      <c r="S342" s="48">
        <v>1149412000</v>
      </c>
      <c r="T342" s="44">
        <v>15000000</v>
      </c>
      <c r="U342" s="33"/>
      <c r="V342" s="33"/>
      <c r="W342" s="52"/>
      <c r="X342" s="52">
        <f t="shared" ref="X342:Y342" si="336">M342-S342</f>
        <v>0</v>
      </c>
      <c r="Y342" s="52">
        <f t="shared" si="336"/>
        <v>0</v>
      </c>
      <c r="Z342" s="52">
        <f t="shared" si="259"/>
        <v>60000000</v>
      </c>
      <c r="AA342" s="54"/>
      <c r="AB342" s="75" t="s">
        <v>2251</v>
      </c>
    </row>
    <row r="343" spans="1:28" ht="47.25" x14ac:dyDescent="0.25">
      <c r="A343" s="33" t="s">
        <v>35</v>
      </c>
      <c r="B343" s="42">
        <v>324</v>
      </c>
      <c r="C343" s="33" t="s">
        <v>37</v>
      </c>
      <c r="D343" s="33" t="s">
        <v>2252</v>
      </c>
      <c r="E343" s="32"/>
      <c r="F343" s="33" t="s">
        <v>2253</v>
      </c>
      <c r="G343" s="32"/>
      <c r="H343" s="32"/>
      <c r="I343" s="33" t="s">
        <v>2254</v>
      </c>
      <c r="J343" s="33" t="s">
        <v>43</v>
      </c>
      <c r="K343" s="33" t="s">
        <v>2255</v>
      </c>
      <c r="L343" s="48">
        <v>11003820410</v>
      </c>
      <c r="M343" s="32"/>
      <c r="N343" s="48">
        <v>15000000</v>
      </c>
      <c r="O343" s="43"/>
      <c r="P343" s="43"/>
      <c r="Q343" s="48">
        <f t="shared" si="295"/>
        <v>11018820410</v>
      </c>
      <c r="R343" s="48">
        <v>11003820410</v>
      </c>
      <c r="S343" s="33"/>
      <c r="T343" s="44">
        <v>15000000</v>
      </c>
      <c r="U343" s="33"/>
      <c r="V343" s="33"/>
      <c r="W343" s="52"/>
      <c r="X343" s="52">
        <f t="shared" ref="X343:Y343" si="337">M343-S343</f>
        <v>0</v>
      </c>
      <c r="Y343" s="52">
        <f t="shared" si="337"/>
        <v>0</v>
      </c>
      <c r="Z343" s="52">
        <f t="shared" si="259"/>
        <v>0</v>
      </c>
      <c r="AA343" s="54"/>
      <c r="AB343" s="68"/>
    </row>
    <row r="344" spans="1:28" ht="47.25" x14ac:dyDescent="0.25">
      <c r="A344" s="33" t="s">
        <v>60</v>
      </c>
      <c r="B344" s="42">
        <v>325</v>
      </c>
      <c r="C344" s="33" t="s">
        <v>37</v>
      </c>
      <c r="D344" s="33" t="s">
        <v>1036</v>
      </c>
      <c r="E344" s="32"/>
      <c r="F344" s="33" t="s">
        <v>1037</v>
      </c>
      <c r="G344" s="32"/>
      <c r="H344" s="32"/>
      <c r="I344" s="33" t="s">
        <v>1038</v>
      </c>
      <c r="J344" s="33" t="s">
        <v>43</v>
      </c>
      <c r="K344" s="33" t="s">
        <v>1039</v>
      </c>
      <c r="L344" s="48">
        <v>5365012540</v>
      </c>
      <c r="M344" s="32"/>
      <c r="N344" s="48">
        <v>15000000</v>
      </c>
      <c r="O344" s="43" t="s">
        <v>1012</v>
      </c>
      <c r="P344" s="69">
        <v>24000000</v>
      </c>
      <c r="Q344" s="48">
        <f t="shared" si="295"/>
        <v>5404012540</v>
      </c>
      <c r="R344" s="48">
        <v>5365012540</v>
      </c>
      <c r="S344" s="33"/>
      <c r="T344" s="44">
        <v>15000000</v>
      </c>
      <c r="U344" s="48">
        <v>24000000</v>
      </c>
      <c r="V344" s="33"/>
      <c r="W344" s="52"/>
      <c r="X344" s="52">
        <f t="shared" ref="X344:Y344" si="338">M344-S344</f>
        <v>0</v>
      </c>
      <c r="Y344" s="52">
        <f t="shared" si="338"/>
        <v>0</v>
      </c>
      <c r="Z344" s="52">
        <f t="shared" si="259"/>
        <v>0</v>
      </c>
      <c r="AA344" s="54"/>
      <c r="AB344" s="68"/>
    </row>
    <row r="345" spans="1:28" ht="31.5" x14ac:dyDescent="0.25">
      <c r="A345" s="33" t="s">
        <v>60</v>
      </c>
      <c r="B345" s="42">
        <v>326</v>
      </c>
      <c r="C345" s="33" t="s">
        <v>37</v>
      </c>
      <c r="D345" s="33" t="s">
        <v>2256</v>
      </c>
      <c r="E345" s="32"/>
      <c r="F345" s="33" t="s">
        <v>2257</v>
      </c>
      <c r="G345" s="32"/>
      <c r="H345" s="32"/>
      <c r="I345" s="33" t="s">
        <v>2258</v>
      </c>
      <c r="J345" s="33" t="s">
        <v>43</v>
      </c>
      <c r="K345" s="33" t="s">
        <v>2259</v>
      </c>
      <c r="L345" s="48">
        <v>8078620056</v>
      </c>
      <c r="M345" s="32"/>
      <c r="N345" s="48">
        <v>15000000</v>
      </c>
      <c r="O345" s="43"/>
      <c r="P345" s="43"/>
      <c r="Q345" s="48">
        <f t="shared" si="295"/>
        <v>8093620056</v>
      </c>
      <c r="R345" s="48">
        <v>8078620056</v>
      </c>
      <c r="S345" s="33"/>
      <c r="T345" s="44">
        <v>15000000</v>
      </c>
      <c r="U345" s="33"/>
      <c r="V345" s="33"/>
      <c r="W345" s="52"/>
      <c r="X345" s="52">
        <f t="shared" ref="X345:Y345" si="339">M345-S345</f>
        <v>0</v>
      </c>
      <c r="Y345" s="52">
        <f t="shared" si="339"/>
        <v>0</v>
      </c>
      <c r="Z345" s="52">
        <f t="shared" si="259"/>
        <v>0</v>
      </c>
      <c r="AA345" s="54"/>
      <c r="AB345" s="68"/>
    </row>
    <row r="346" spans="1:28" ht="31.5" x14ac:dyDescent="0.25">
      <c r="A346" s="33" t="s">
        <v>60</v>
      </c>
      <c r="B346" s="42">
        <v>327</v>
      </c>
      <c r="C346" s="33" t="s">
        <v>37</v>
      </c>
      <c r="D346" s="33" t="s">
        <v>2260</v>
      </c>
      <c r="E346" s="33" t="s">
        <v>1132</v>
      </c>
      <c r="F346" s="33" t="s">
        <v>2261</v>
      </c>
      <c r="G346" s="32"/>
      <c r="H346" s="32"/>
      <c r="I346" s="33" t="s">
        <v>2262</v>
      </c>
      <c r="J346" s="33" t="s">
        <v>43</v>
      </c>
      <c r="K346" s="33" t="s">
        <v>2263</v>
      </c>
      <c r="L346" s="48">
        <v>2028942168</v>
      </c>
      <c r="M346" s="48">
        <v>396202200</v>
      </c>
      <c r="N346" s="48">
        <v>7500000</v>
      </c>
      <c r="O346" s="43"/>
      <c r="P346" s="43"/>
      <c r="Q346" s="48">
        <f t="shared" si="295"/>
        <v>2432644368</v>
      </c>
      <c r="R346" s="48">
        <v>2028942168</v>
      </c>
      <c r="S346" s="48">
        <v>396202200</v>
      </c>
      <c r="T346" s="66"/>
      <c r="U346" s="33"/>
      <c r="V346" s="33"/>
      <c r="W346" s="52"/>
      <c r="X346" s="52">
        <f t="shared" ref="X346:Y346" si="340">M346-S346</f>
        <v>0</v>
      </c>
      <c r="Y346" s="52">
        <f t="shared" si="340"/>
        <v>7500000</v>
      </c>
      <c r="Z346" s="52">
        <f t="shared" si="259"/>
        <v>0</v>
      </c>
      <c r="AA346" s="54"/>
      <c r="AB346" s="68"/>
    </row>
    <row r="347" spans="1:28" ht="47.25" x14ac:dyDescent="0.25">
      <c r="A347" s="33" t="s">
        <v>60</v>
      </c>
      <c r="B347" s="42">
        <v>328</v>
      </c>
      <c r="C347" s="33" t="s">
        <v>37</v>
      </c>
      <c r="D347" s="33" t="s">
        <v>2264</v>
      </c>
      <c r="E347" s="32"/>
      <c r="F347" s="33" t="s">
        <v>2265</v>
      </c>
      <c r="G347" s="32"/>
      <c r="H347" s="33" t="s">
        <v>2266</v>
      </c>
      <c r="I347" s="33" t="s">
        <v>2267</v>
      </c>
      <c r="J347" s="33" t="s">
        <v>43</v>
      </c>
      <c r="K347" s="33" t="s">
        <v>2268</v>
      </c>
      <c r="L347" s="48">
        <v>2166823187</v>
      </c>
      <c r="M347" s="32"/>
      <c r="N347" s="48">
        <v>15000000</v>
      </c>
      <c r="O347" s="43"/>
      <c r="P347" s="43"/>
      <c r="Q347" s="48">
        <f t="shared" si="295"/>
        <v>2181823187</v>
      </c>
      <c r="R347" s="48">
        <v>2166823187</v>
      </c>
      <c r="S347" s="33"/>
      <c r="T347" s="44">
        <v>15000000</v>
      </c>
      <c r="U347" s="33"/>
      <c r="V347" s="33"/>
      <c r="W347" s="52"/>
      <c r="X347" s="52">
        <f t="shared" ref="X347:Y347" si="341">M347-S347</f>
        <v>0</v>
      </c>
      <c r="Y347" s="52">
        <f t="shared" si="341"/>
        <v>0</v>
      </c>
      <c r="Z347" s="52">
        <f t="shared" si="259"/>
        <v>0</v>
      </c>
      <c r="AA347" s="54"/>
      <c r="AB347" s="68"/>
    </row>
    <row r="348" spans="1:28" ht="31.5" x14ac:dyDescent="0.25">
      <c r="A348" s="33" t="s">
        <v>46</v>
      </c>
      <c r="B348" s="42">
        <v>329</v>
      </c>
      <c r="C348" s="33" t="s">
        <v>37</v>
      </c>
      <c r="D348" s="33" t="s">
        <v>2269</v>
      </c>
      <c r="E348" s="32"/>
      <c r="F348" s="33" t="s">
        <v>2270</v>
      </c>
      <c r="G348" s="32"/>
      <c r="H348" s="32"/>
      <c r="I348" s="33" t="s">
        <v>2271</v>
      </c>
      <c r="J348" s="33" t="s">
        <v>43</v>
      </c>
      <c r="K348" s="33" t="s">
        <v>2272</v>
      </c>
      <c r="L348" s="48">
        <v>5427333000</v>
      </c>
      <c r="M348" s="32"/>
      <c r="N348" s="48">
        <v>7500000</v>
      </c>
      <c r="O348" s="43"/>
      <c r="P348" s="43"/>
      <c r="Q348" s="48">
        <f t="shared" si="295"/>
        <v>5434833000</v>
      </c>
      <c r="R348" s="48">
        <v>5427333000</v>
      </c>
      <c r="S348" s="33"/>
      <c r="T348" s="44">
        <v>7500000</v>
      </c>
      <c r="U348" s="33"/>
      <c r="V348" s="33"/>
      <c r="W348" s="52"/>
      <c r="X348" s="52">
        <f t="shared" ref="X348:Y348" si="342">M348-S348</f>
        <v>0</v>
      </c>
      <c r="Y348" s="52">
        <f t="shared" si="342"/>
        <v>0</v>
      </c>
      <c r="Z348" s="52">
        <f t="shared" si="259"/>
        <v>0</v>
      </c>
      <c r="AA348" s="54"/>
      <c r="AB348" s="68"/>
    </row>
    <row r="349" spans="1:28" ht="31.5" x14ac:dyDescent="0.25">
      <c r="A349" s="33" t="s">
        <v>46</v>
      </c>
      <c r="B349" s="42">
        <v>330</v>
      </c>
      <c r="C349" s="33" t="s">
        <v>37</v>
      </c>
      <c r="D349" s="33" t="s">
        <v>2273</v>
      </c>
      <c r="E349" s="32"/>
      <c r="F349" s="33" t="s">
        <v>2274</v>
      </c>
      <c r="G349" s="32"/>
      <c r="H349" s="32"/>
      <c r="I349" s="33" t="s">
        <v>2275</v>
      </c>
      <c r="J349" s="33" t="s">
        <v>43</v>
      </c>
      <c r="K349" s="33" t="s">
        <v>2276</v>
      </c>
      <c r="L349" s="48">
        <v>1292171692</v>
      </c>
      <c r="M349" s="32"/>
      <c r="N349" s="48">
        <v>7500000</v>
      </c>
      <c r="O349" s="43"/>
      <c r="P349" s="43"/>
      <c r="Q349" s="48">
        <f t="shared" si="295"/>
        <v>1299671692</v>
      </c>
      <c r="R349" s="48">
        <v>1292171692</v>
      </c>
      <c r="S349" s="33"/>
      <c r="T349" s="44">
        <v>7500000</v>
      </c>
      <c r="U349" s="33"/>
      <c r="V349" s="33"/>
      <c r="W349" s="52"/>
      <c r="X349" s="52">
        <f t="shared" ref="X349:Y349" si="343">M349-S349</f>
        <v>0</v>
      </c>
      <c r="Y349" s="52">
        <f t="shared" si="343"/>
        <v>0</v>
      </c>
      <c r="Z349" s="52">
        <f t="shared" si="259"/>
        <v>0</v>
      </c>
      <c r="AA349" s="54"/>
      <c r="AB349" s="68"/>
    </row>
    <row r="350" spans="1:28" ht="31.5" x14ac:dyDescent="0.25">
      <c r="A350" s="33" t="s">
        <v>46</v>
      </c>
      <c r="B350" s="42">
        <v>331</v>
      </c>
      <c r="C350" s="33" t="s">
        <v>37</v>
      </c>
      <c r="D350" s="33" t="s">
        <v>2277</v>
      </c>
      <c r="E350" s="33" t="s">
        <v>1923</v>
      </c>
      <c r="F350" s="33" t="s">
        <v>2278</v>
      </c>
      <c r="G350" s="32"/>
      <c r="H350" s="32"/>
      <c r="I350" s="33" t="s">
        <v>2279</v>
      </c>
      <c r="J350" s="33" t="s">
        <v>43</v>
      </c>
      <c r="K350" s="33" t="s">
        <v>2280</v>
      </c>
      <c r="L350" s="48">
        <v>6687219200</v>
      </c>
      <c r="M350" s="48">
        <v>415250000</v>
      </c>
      <c r="N350" s="48">
        <v>7500000</v>
      </c>
      <c r="O350" s="43"/>
      <c r="P350" s="43"/>
      <c r="Q350" s="48">
        <f t="shared" si="295"/>
        <v>7109969200</v>
      </c>
      <c r="R350" s="48">
        <v>6687219200</v>
      </c>
      <c r="S350" s="48">
        <v>415250000</v>
      </c>
      <c r="T350" s="44">
        <v>7500000</v>
      </c>
      <c r="U350" s="33"/>
      <c r="V350" s="33"/>
      <c r="W350" s="52"/>
      <c r="X350" s="52">
        <f t="shared" ref="X350:Y350" si="344">M350-S350</f>
        <v>0</v>
      </c>
      <c r="Y350" s="52">
        <f t="shared" si="344"/>
        <v>0</v>
      </c>
      <c r="Z350" s="52">
        <f t="shared" si="259"/>
        <v>0</v>
      </c>
      <c r="AA350" s="54"/>
      <c r="AB350" s="68"/>
    </row>
    <row r="351" spans="1:28" ht="47.25" x14ac:dyDescent="0.25">
      <c r="A351" s="33" t="s">
        <v>60</v>
      </c>
      <c r="B351" s="42">
        <v>332</v>
      </c>
      <c r="C351" s="33" t="s">
        <v>37</v>
      </c>
      <c r="D351" s="33" t="s">
        <v>2281</v>
      </c>
      <c r="E351" s="32"/>
      <c r="F351" s="33" t="s">
        <v>2282</v>
      </c>
      <c r="G351" s="32"/>
      <c r="H351" s="32"/>
      <c r="I351" s="33" t="s">
        <v>2283</v>
      </c>
      <c r="J351" s="33" t="s">
        <v>43</v>
      </c>
      <c r="K351" s="33" t="s">
        <v>2284</v>
      </c>
      <c r="L351" s="48">
        <v>1954058966</v>
      </c>
      <c r="M351" s="32"/>
      <c r="N351" s="48">
        <v>15000000</v>
      </c>
      <c r="O351" s="43"/>
      <c r="P351" s="43"/>
      <c r="Q351" s="48">
        <f t="shared" si="295"/>
        <v>1969058966</v>
      </c>
      <c r="R351" s="48">
        <v>1954058966</v>
      </c>
      <c r="S351" s="33"/>
      <c r="T351" s="44">
        <v>15000000</v>
      </c>
      <c r="U351" s="33"/>
      <c r="V351" s="33"/>
      <c r="W351" s="52"/>
      <c r="X351" s="52">
        <f t="shared" ref="X351:Y351" si="345">M351-S351</f>
        <v>0</v>
      </c>
      <c r="Y351" s="52">
        <f t="shared" si="345"/>
        <v>0</v>
      </c>
      <c r="Z351" s="52">
        <f t="shared" si="259"/>
        <v>0</v>
      </c>
      <c r="AA351" s="54"/>
      <c r="AB351" s="68"/>
    </row>
    <row r="352" spans="1:28" ht="47.25" x14ac:dyDescent="0.25">
      <c r="A352" s="33" t="s">
        <v>46</v>
      </c>
      <c r="B352" s="42">
        <v>333</v>
      </c>
      <c r="C352" s="33" t="s">
        <v>37</v>
      </c>
      <c r="D352" s="33" t="s">
        <v>2285</v>
      </c>
      <c r="E352" s="32"/>
      <c r="F352" s="33" t="s">
        <v>2286</v>
      </c>
      <c r="G352" s="32"/>
      <c r="H352" s="32"/>
      <c r="I352" s="33" t="s">
        <v>2287</v>
      </c>
      <c r="J352" s="33" t="s">
        <v>43</v>
      </c>
      <c r="K352" s="33" t="s">
        <v>2288</v>
      </c>
      <c r="L352" s="48">
        <v>2411362824</v>
      </c>
      <c r="M352" s="32"/>
      <c r="N352" s="48">
        <v>7500000</v>
      </c>
      <c r="O352" s="43"/>
      <c r="P352" s="43"/>
      <c r="Q352" s="48">
        <f t="shared" si="295"/>
        <v>2418862824</v>
      </c>
      <c r="R352" s="48">
        <v>2411362824</v>
      </c>
      <c r="S352" s="33"/>
      <c r="T352" s="44">
        <v>7500000</v>
      </c>
      <c r="U352" s="33"/>
      <c r="V352" s="33"/>
      <c r="W352" s="52"/>
      <c r="X352" s="52">
        <f t="shared" ref="X352:Y352" si="346">M352-S352</f>
        <v>0</v>
      </c>
      <c r="Y352" s="52">
        <f t="shared" si="346"/>
        <v>0</v>
      </c>
      <c r="Z352" s="52">
        <f t="shared" si="259"/>
        <v>0</v>
      </c>
      <c r="AA352" s="54"/>
      <c r="AB352" s="68"/>
    </row>
    <row r="353" spans="1:28" ht="47.25" x14ac:dyDescent="0.25">
      <c r="A353" s="33" t="s">
        <v>46</v>
      </c>
      <c r="B353" s="42">
        <v>334</v>
      </c>
      <c r="C353" s="33" t="s">
        <v>37</v>
      </c>
      <c r="D353" s="33" t="s">
        <v>2289</v>
      </c>
      <c r="E353" s="32"/>
      <c r="F353" s="33" t="s">
        <v>2290</v>
      </c>
      <c r="G353" s="32"/>
      <c r="H353" s="32"/>
      <c r="I353" s="33" t="s">
        <v>2291</v>
      </c>
      <c r="J353" s="33" t="s">
        <v>43</v>
      </c>
      <c r="K353" s="33" t="s">
        <v>2292</v>
      </c>
      <c r="L353" s="48">
        <v>1176308218</v>
      </c>
      <c r="M353" s="32"/>
      <c r="N353" s="48">
        <v>7500000</v>
      </c>
      <c r="O353" s="43"/>
      <c r="P353" s="43"/>
      <c r="Q353" s="48">
        <f t="shared" si="295"/>
        <v>1183808218</v>
      </c>
      <c r="R353" s="48">
        <v>1176308218</v>
      </c>
      <c r="S353" s="33"/>
      <c r="T353" s="44">
        <v>7500000</v>
      </c>
      <c r="U353" s="33"/>
      <c r="V353" s="33"/>
      <c r="W353" s="52"/>
      <c r="X353" s="52">
        <f t="shared" ref="X353:Y353" si="347">M353-S353</f>
        <v>0</v>
      </c>
      <c r="Y353" s="52">
        <f t="shared" si="347"/>
        <v>0</v>
      </c>
      <c r="Z353" s="52">
        <f t="shared" si="259"/>
        <v>0</v>
      </c>
      <c r="AA353" s="54"/>
      <c r="AB353" s="68"/>
    </row>
    <row r="354" spans="1:28" ht="47.25" x14ac:dyDescent="0.25">
      <c r="A354" s="33" t="s">
        <v>35</v>
      </c>
      <c r="B354" s="42">
        <v>335</v>
      </c>
      <c r="C354" s="33" t="s">
        <v>37</v>
      </c>
      <c r="D354" s="33" t="s">
        <v>2293</v>
      </c>
      <c r="E354" s="101" t="s">
        <v>2294</v>
      </c>
      <c r="F354" s="33" t="s">
        <v>2295</v>
      </c>
      <c r="G354" s="101" t="s">
        <v>2296</v>
      </c>
      <c r="H354" s="32"/>
      <c r="I354" s="33" t="s">
        <v>2297</v>
      </c>
      <c r="J354" s="101" t="s">
        <v>43</v>
      </c>
      <c r="K354" s="33" t="s">
        <v>2298</v>
      </c>
      <c r="L354" s="48">
        <v>768083200</v>
      </c>
      <c r="M354" s="48">
        <v>1230901182</v>
      </c>
      <c r="N354" s="48">
        <v>15000000</v>
      </c>
      <c r="O354" s="43"/>
      <c r="P354" s="43"/>
      <c r="Q354" s="48">
        <f t="shared" si="295"/>
        <v>2013984382</v>
      </c>
      <c r="R354" s="48">
        <v>768083200</v>
      </c>
      <c r="S354" s="48">
        <v>1230901182</v>
      </c>
      <c r="T354" s="44">
        <v>15000000</v>
      </c>
      <c r="U354" s="33"/>
      <c r="V354" s="33"/>
      <c r="W354" s="52"/>
      <c r="X354" s="52">
        <f t="shared" ref="X354:Y354" si="348">M354-S354</f>
        <v>0</v>
      </c>
      <c r="Y354" s="52">
        <f t="shared" si="348"/>
        <v>0</v>
      </c>
      <c r="Z354" s="52">
        <f t="shared" si="259"/>
        <v>0</v>
      </c>
      <c r="AA354" s="54"/>
      <c r="AB354" s="68"/>
    </row>
    <row r="355" spans="1:28" ht="31.5" x14ac:dyDescent="0.25">
      <c r="A355" s="33" t="s">
        <v>52</v>
      </c>
      <c r="B355" s="42">
        <v>336</v>
      </c>
      <c r="C355" s="33" t="s">
        <v>37</v>
      </c>
      <c r="D355" s="33" t="s">
        <v>2299</v>
      </c>
      <c r="E355" s="32"/>
      <c r="F355" s="33" t="s">
        <v>2300</v>
      </c>
      <c r="G355" s="32"/>
      <c r="H355" s="32"/>
      <c r="I355" s="33" t="s">
        <v>2301</v>
      </c>
      <c r="J355" s="33" t="s">
        <v>43</v>
      </c>
      <c r="K355" s="33" t="s">
        <v>2302</v>
      </c>
      <c r="L355" s="42">
        <v>0</v>
      </c>
      <c r="M355" s="32"/>
      <c r="N355" s="48">
        <v>7500000</v>
      </c>
      <c r="O355" s="43"/>
      <c r="P355" s="43"/>
      <c r="Q355" s="48">
        <f t="shared" si="295"/>
        <v>7500000</v>
      </c>
      <c r="R355" s="42">
        <v>0</v>
      </c>
      <c r="S355" s="33"/>
      <c r="T355" s="44">
        <v>7500000</v>
      </c>
      <c r="U355" s="33"/>
      <c r="V355" s="33"/>
      <c r="W355" s="52"/>
      <c r="X355" s="52">
        <f t="shared" ref="X355:Y355" si="349">M355-S355</f>
        <v>0</v>
      </c>
      <c r="Y355" s="52">
        <f t="shared" si="349"/>
        <v>0</v>
      </c>
      <c r="Z355" s="52">
        <f t="shared" si="259"/>
        <v>0</v>
      </c>
      <c r="AA355" s="54"/>
      <c r="AB355" s="68"/>
    </row>
    <row r="356" spans="1:28" ht="31.5" x14ac:dyDescent="0.25">
      <c r="A356" s="33" t="s">
        <v>35</v>
      </c>
      <c r="B356" s="42">
        <v>337</v>
      </c>
      <c r="C356" s="33" t="s">
        <v>37</v>
      </c>
      <c r="D356" s="33" t="s">
        <v>2303</v>
      </c>
      <c r="E356" s="32"/>
      <c r="F356" s="33" t="s">
        <v>2304</v>
      </c>
      <c r="G356" s="32"/>
      <c r="H356" s="32"/>
      <c r="I356" s="33" t="s">
        <v>2305</v>
      </c>
      <c r="J356" s="33" t="s">
        <v>43</v>
      </c>
      <c r="K356" s="33" t="s">
        <v>2306</v>
      </c>
      <c r="L356" s="48">
        <v>486048836</v>
      </c>
      <c r="M356" s="32"/>
      <c r="N356" s="48">
        <v>7500000</v>
      </c>
      <c r="O356" s="43"/>
      <c r="P356" s="43"/>
      <c r="Q356" s="48">
        <f t="shared" si="295"/>
        <v>493548836</v>
      </c>
      <c r="R356" s="48">
        <v>486048836</v>
      </c>
      <c r="S356" s="33"/>
      <c r="T356" s="44">
        <v>7500000</v>
      </c>
      <c r="U356" s="33"/>
      <c r="V356" s="33"/>
      <c r="W356" s="52"/>
      <c r="X356" s="52">
        <f t="shared" ref="X356:Y356" si="350">M356-S356</f>
        <v>0</v>
      </c>
      <c r="Y356" s="52">
        <f t="shared" si="350"/>
        <v>0</v>
      </c>
      <c r="Z356" s="52">
        <f t="shared" si="259"/>
        <v>0</v>
      </c>
      <c r="AA356" s="54"/>
      <c r="AB356" s="68"/>
    </row>
    <row r="357" spans="1:28" ht="63" x14ac:dyDescent="0.25">
      <c r="A357" s="33" t="s">
        <v>60</v>
      </c>
      <c r="B357" s="42">
        <v>338</v>
      </c>
      <c r="C357" s="33" t="s">
        <v>37</v>
      </c>
      <c r="D357" s="33" t="s">
        <v>818</v>
      </c>
      <c r="E357" s="33" t="s">
        <v>821</v>
      </c>
      <c r="F357" s="33" t="s">
        <v>824</v>
      </c>
      <c r="G357" s="33" t="s">
        <v>825</v>
      </c>
      <c r="H357" s="32"/>
      <c r="I357" s="33" t="s">
        <v>826</v>
      </c>
      <c r="J357" s="33" t="s">
        <v>43</v>
      </c>
      <c r="K357" s="33" t="s">
        <v>827</v>
      </c>
      <c r="L357" s="48">
        <v>6891800904</v>
      </c>
      <c r="M357" s="48">
        <v>390746990</v>
      </c>
      <c r="N357" s="48">
        <v>15000000</v>
      </c>
      <c r="O357" s="43" t="s">
        <v>823</v>
      </c>
      <c r="P357" s="69">
        <v>48000000</v>
      </c>
      <c r="Q357" s="48">
        <f t="shared" si="295"/>
        <v>7345547894</v>
      </c>
      <c r="R357" s="48">
        <v>6891800904</v>
      </c>
      <c r="S357" s="48">
        <v>24484800</v>
      </c>
      <c r="T357" s="66"/>
      <c r="U357" s="33"/>
      <c r="V357" s="33"/>
      <c r="W357" s="52"/>
      <c r="X357" s="52">
        <f t="shared" ref="X357:Y357" si="351">M357-S357</f>
        <v>366262190</v>
      </c>
      <c r="Y357" s="52">
        <f t="shared" si="351"/>
        <v>15000000</v>
      </c>
      <c r="Z357" s="52">
        <f t="shared" si="259"/>
        <v>48000000</v>
      </c>
      <c r="AA357" s="54"/>
      <c r="AB357" s="74" t="s">
        <v>1222</v>
      </c>
    </row>
    <row r="358" spans="1:28" ht="31.5" x14ac:dyDescent="0.25">
      <c r="A358" s="33" t="s">
        <v>35</v>
      </c>
      <c r="B358" s="42">
        <v>339</v>
      </c>
      <c r="C358" s="33" t="s">
        <v>37</v>
      </c>
      <c r="D358" s="33" t="s">
        <v>2307</v>
      </c>
      <c r="E358" s="32"/>
      <c r="F358" s="33" t="s">
        <v>2308</v>
      </c>
      <c r="G358" s="32"/>
      <c r="H358" s="32"/>
      <c r="I358" s="33" t="s">
        <v>2309</v>
      </c>
      <c r="J358" s="33" t="s">
        <v>43</v>
      </c>
      <c r="K358" s="33" t="s">
        <v>2310</v>
      </c>
      <c r="L358" s="48">
        <v>1514795152</v>
      </c>
      <c r="M358" s="32"/>
      <c r="N358" s="48">
        <v>15000000</v>
      </c>
      <c r="O358" s="43"/>
      <c r="P358" s="43"/>
      <c r="Q358" s="48">
        <f t="shared" si="295"/>
        <v>1529795152</v>
      </c>
      <c r="R358" s="48">
        <v>1514795152</v>
      </c>
      <c r="S358" s="33"/>
      <c r="T358" s="44">
        <v>15000000</v>
      </c>
      <c r="U358" s="33"/>
      <c r="V358" s="33"/>
      <c r="W358" s="52"/>
      <c r="X358" s="52">
        <f t="shared" ref="X358:Y358" si="352">M358-S358</f>
        <v>0</v>
      </c>
      <c r="Y358" s="52">
        <f t="shared" si="352"/>
        <v>0</v>
      </c>
      <c r="Z358" s="52">
        <f t="shared" si="259"/>
        <v>0</v>
      </c>
      <c r="AA358" s="54"/>
      <c r="AB358" s="68"/>
    </row>
    <row r="359" spans="1:28" ht="31.5" x14ac:dyDescent="0.25">
      <c r="A359" s="33" t="s">
        <v>46</v>
      </c>
      <c r="B359" s="42">
        <v>340</v>
      </c>
      <c r="C359" s="33" t="s">
        <v>37</v>
      </c>
      <c r="D359" s="33" t="s">
        <v>2311</v>
      </c>
      <c r="E359" s="32"/>
      <c r="F359" s="33" t="s">
        <v>2312</v>
      </c>
      <c r="G359" s="32"/>
      <c r="H359" s="32"/>
      <c r="I359" s="33" t="s">
        <v>2313</v>
      </c>
      <c r="J359" s="33" t="s">
        <v>43</v>
      </c>
      <c r="K359" s="33" t="s">
        <v>2314</v>
      </c>
      <c r="L359" s="42">
        <v>0</v>
      </c>
      <c r="M359" s="32"/>
      <c r="N359" s="48">
        <v>7500000</v>
      </c>
      <c r="O359" s="43"/>
      <c r="P359" s="43"/>
      <c r="Q359" s="48">
        <f t="shared" si="295"/>
        <v>7500000</v>
      </c>
      <c r="R359" s="42">
        <v>0</v>
      </c>
      <c r="S359" s="33"/>
      <c r="T359" s="66"/>
      <c r="U359" s="33"/>
      <c r="V359" s="33"/>
      <c r="W359" s="52"/>
      <c r="X359" s="52">
        <f t="shared" ref="X359:Y359" si="353">M359-S359</f>
        <v>0</v>
      </c>
      <c r="Y359" s="52">
        <f t="shared" si="353"/>
        <v>7500000</v>
      </c>
      <c r="Z359" s="52">
        <f t="shared" si="259"/>
        <v>0</v>
      </c>
      <c r="AA359" s="54"/>
      <c r="AB359" s="68"/>
    </row>
    <row r="360" spans="1:28" ht="31.5" x14ac:dyDescent="0.25">
      <c r="A360" s="33" t="s">
        <v>52</v>
      </c>
      <c r="B360" s="42">
        <v>341</v>
      </c>
      <c r="C360" s="33" t="s">
        <v>37</v>
      </c>
      <c r="D360" s="33" t="s">
        <v>200</v>
      </c>
      <c r="E360" s="32"/>
      <c r="F360" s="33" t="s">
        <v>202</v>
      </c>
      <c r="G360" s="32"/>
      <c r="H360" s="32"/>
      <c r="I360" s="33" t="s">
        <v>203</v>
      </c>
      <c r="J360" s="33" t="s">
        <v>43</v>
      </c>
      <c r="K360" s="33" t="s">
        <v>205</v>
      </c>
      <c r="L360" s="48">
        <v>15179235900</v>
      </c>
      <c r="M360" s="32"/>
      <c r="N360" s="48">
        <v>15000000</v>
      </c>
      <c r="O360" s="43" t="s">
        <v>201</v>
      </c>
      <c r="P360" s="69">
        <v>96000000</v>
      </c>
      <c r="Q360" s="48">
        <f t="shared" si="295"/>
        <v>15290235900</v>
      </c>
      <c r="R360" s="48">
        <v>15179235900</v>
      </c>
      <c r="S360" s="33"/>
      <c r="T360" s="44">
        <v>15000000</v>
      </c>
      <c r="U360" s="48">
        <v>96000000</v>
      </c>
      <c r="V360" s="33"/>
      <c r="W360" s="52"/>
      <c r="X360" s="52">
        <f t="shared" ref="X360:Y360" si="354">M360-S360</f>
        <v>0</v>
      </c>
      <c r="Y360" s="52">
        <f t="shared" si="354"/>
        <v>0</v>
      </c>
      <c r="Z360" s="52">
        <f t="shared" si="259"/>
        <v>0</v>
      </c>
      <c r="AA360" s="54"/>
      <c r="AB360" s="68"/>
    </row>
    <row r="361" spans="1:28" ht="47.25" x14ac:dyDescent="0.25">
      <c r="A361" s="33" t="s">
        <v>46</v>
      </c>
      <c r="B361" s="42">
        <v>342</v>
      </c>
      <c r="C361" s="33" t="s">
        <v>37</v>
      </c>
      <c r="D361" s="33" t="s">
        <v>2315</v>
      </c>
      <c r="E361" s="32"/>
      <c r="F361" s="33" t="s">
        <v>2316</v>
      </c>
      <c r="G361" s="32"/>
      <c r="H361" s="32"/>
      <c r="I361" s="33" t="s">
        <v>2317</v>
      </c>
      <c r="J361" s="33" t="s">
        <v>43</v>
      </c>
      <c r="K361" s="33" t="s">
        <v>2318</v>
      </c>
      <c r="L361" s="48">
        <v>938372032</v>
      </c>
      <c r="M361" s="32"/>
      <c r="N361" s="48">
        <v>15000000</v>
      </c>
      <c r="O361" s="43"/>
      <c r="P361" s="43"/>
      <c r="Q361" s="48">
        <f t="shared" si="295"/>
        <v>953372032</v>
      </c>
      <c r="R361" s="48">
        <v>938372032</v>
      </c>
      <c r="S361" s="33"/>
      <c r="T361" s="44">
        <v>15000000</v>
      </c>
      <c r="U361" s="33"/>
      <c r="V361" s="33"/>
      <c r="W361" s="52"/>
      <c r="X361" s="52">
        <f t="shared" ref="X361:Y361" si="355">M361-S361</f>
        <v>0</v>
      </c>
      <c r="Y361" s="52">
        <f t="shared" si="355"/>
        <v>0</v>
      </c>
      <c r="Z361" s="52">
        <f t="shared" si="259"/>
        <v>0</v>
      </c>
      <c r="AA361" s="54"/>
      <c r="AB361" s="68"/>
    </row>
    <row r="362" spans="1:28" ht="31.5" x14ac:dyDescent="0.25">
      <c r="A362" s="33" t="s">
        <v>35</v>
      </c>
      <c r="B362" s="42">
        <v>343</v>
      </c>
      <c r="C362" s="33" t="s">
        <v>37</v>
      </c>
      <c r="D362" s="33" t="s">
        <v>2319</v>
      </c>
      <c r="E362" s="32"/>
      <c r="F362" s="33" t="s">
        <v>2320</v>
      </c>
      <c r="G362" s="32"/>
      <c r="H362" s="32"/>
      <c r="I362" s="33" t="s">
        <v>2321</v>
      </c>
      <c r="J362" s="33" t="s">
        <v>43</v>
      </c>
      <c r="K362" s="33" t="s">
        <v>2322</v>
      </c>
      <c r="L362" s="48">
        <v>296069312</v>
      </c>
      <c r="M362" s="32"/>
      <c r="N362" s="48">
        <v>7500000</v>
      </c>
      <c r="O362" s="43"/>
      <c r="P362" s="43"/>
      <c r="Q362" s="48">
        <f t="shared" si="295"/>
        <v>303569312</v>
      </c>
      <c r="R362" s="48">
        <v>296069312</v>
      </c>
      <c r="S362" s="33"/>
      <c r="T362" s="44">
        <v>7500000</v>
      </c>
      <c r="U362" s="33"/>
      <c r="V362" s="33"/>
      <c r="W362" s="52"/>
      <c r="X362" s="52">
        <f t="shared" ref="X362:Y362" si="356">M362-S362</f>
        <v>0</v>
      </c>
      <c r="Y362" s="52">
        <f t="shared" si="356"/>
        <v>0</v>
      </c>
      <c r="Z362" s="52">
        <f t="shared" si="259"/>
        <v>0</v>
      </c>
      <c r="AA362" s="54"/>
      <c r="AB362" s="68"/>
    </row>
    <row r="363" spans="1:28" ht="47.25" x14ac:dyDescent="0.25">
      <c r="A363" s="33" t="s">
        <v>46</v>
      </c>
      <c r="B363" s="42">
        <v>344</v>
      </c>
      <c r="C363" s="33" t="s">
        <v>37</v>
      </c>
      <c r="D363" s="33" t="s">
        <v>714</v>
      </c>
      <c r="E363" s="32"/>
      <c r="F363" s="33" t="s">
        <v>716</v>
      </c>
      <c r="G363" s="32"/>
      <c r="H363" s="32"/>
      <c r="I363" s="33" t="s">
        <v>717</v>
      </c>
      <c r="J363" s="33" t="s">
        <v>43</v>
      </c>
      <c r="K363" s="33" t="s">
        <v>718</v>
      </c>
      <c r="L363" s="48">
        <v>1585255168</v>
      </c>
      <c r="M363" s="32"/>
      <c r="N363" s="48">
        <v>15000000</v>
      </c>
      <c r="O363" s="43" t="s">
        <v>715</v>
      </c>
      <c r="P363" s="69">
        <v>48000000</v>
      </c>
      <c r="Q363" s="48">
        <f t="shared" si="295"/>
        <v>1648255168</v>
      </c>
      <c r="R363" s="48">
        <v>1585255168</v>
      </c>
      <c r="S363" s="33"/>
      <c r="T363" s="44">
        <v>15000000</v>
      </c>
      <c r="U363" s="33"/>
      <c r="V363" s="33"/>
      <c r="W363" s="52"/>
      <c r="X363" s="52">
        <f t="shared" ref="X363:Y363" si="357">M363-S363</f>
        <v>0</v>
      </c>
      <c r="Y363" s="52">
        <f t="shared" si="357"/>
        <v>0</v>
      </c>
      <c r="Z363" s="52">
        <f t="shared" si="259"/>
        <v>48000000</v>
      </c>
      <c r="AA363" s="54"/>
      <c r="AB363" s="74" t="s">
        <v>1222</v>
      </c>
    </row>
    <row r="364" spans="1:28" ht="47.25" x14ac:dyDescent="0.25">
      <c r="A364" s="33" t="s">
        <v>60</v>
      </c>
      <c r="B364" s="42">
        <v>345</v>
      </c>
      <c r="C364" s="33" t="s">
        <v>37</v>
      </c>
      <c r="D364" s="33" t="s">
        <v>2324</v>
      </c>
      <c r="E364" s="32"/>
      <c r="F364" s="33" t="s">
        <v>2325</v>
      </c>
      <c r="G364" s="32"/>
      <c r="H364" s="32"/>
      <c r="I364" s="33" t="s">
        <v>2326</v>
      </c>
      <c r="J364" s="33" t="s">
        <v>43</v>
      </c>
      <c r="K364" s="33" t="s">
        <v>137</v>
      </c>
      <c r="L364" s="48">
        <v>10000000</v>
      </c>
      <c r="M364" s="32"/>
      <c r="N364" s="48">
        <v>15000000</v>
      </c>
      <c r="O364" s="43"/>
      <c r="P364" s="43"/>
      <c r="Q364" s="48">
        <f t="shared" si="295"/>
        <v>25000000</v>
      </c>
      <c r="R364" s="33"/>
      <c r="S364" s="33"/>
      <c r="T364" s="66"/>
      <c r="U364" s="33"/>
      <c r="V364" s="33"/>
      <c r="W364" s="52">
        <v>10000000</v>
      </c>
      <c r="X364" s="52">
        <f t="shared" ref="X364:Y364" si="358">M364-S364</f>
        <v>0</v>
      </c>
      <c r="Y364" s="52">
        <f t="shared" si="358"/>
        <v>15000000</v>
      </c>
      <c r="Z364" s="52">
        <f t="shared" si="259"/>
        <v>0</v>
      </c>
      <c r="AA364" s="69">
        <v>10000000</v>
      </c>
      <c r="AB364" s="68"/>
    </row>
    <row r="365" spans="1:28" ht="31.5" x14ac:dyDescent="0.25">
      <c r="A365" s="33" t="s">
        <v>35</v>
      </c>
      <c r="B365" s="42">
        <v>346</v>
      </c>
      <c r="C365" s="33" t="s">
        <v>37</v>
      </c>
      <c r="D365" s="33" t="s">
        <v>2327</v>
      </c>
      <c r="E365" s="33" t="s">
        <v>857</v>
      </c>
      <c r="F365" s="33" t="s">
        <v>2328</v>
      </c>
      <c r="G365" s="33" t="s">
        <v>2329</v>
      </c>
      <c r="H365" s="32"/>
      <c r="I365" s="33" t="s">
        <v>2330</v>
      </c>
      <c r="J365" s="33" t="s">
        <v>43</v>
      </c>
      <c r="K365" s="33" t="s">
        <v>2331</v>
      </c>
      <c r="L365" s="48">
        <v>11061492360</v>
      </c>
      <c r="M365" s="48">
        <v>127192000</v>
      </c>
      <c r="N365" s="48">
        <v>15000000</v>
      </c>
      <c r="O365" s="43"/>
      <c r="P365" s="43"/>
      <c r="Q365" s="48">
        <f t="shared" si="295"/>
        <v>11203684360</v>
      </c>
      <c r="R365" s="48">
        <v>11061492360</v>
      </c>
      <c r="S365" s="48">
        <v>127192000</v>
      </c>
      <c r="T365" s="44">
        <v>15000000</v>
      </c>
      <c r="U365" s="33"/>
      <c r="V365" s="33"/>
      <c r="W365" s="52"/>
      <c r="X365" s="52">
        <f t="shared" ref="X365:Y365" si="359">M365-S365</f>
        <v>0</v>
      </c>
      <c r="Y365" s="52">
        <f t="shared" si="359"/>
        <v>0</v>
      </c>
      <c r="Z365" s="52">
        <f t="shared" si="259"/>
        <v>0</v>
      </c>
      <c r="AA365" s="54"/>
      <c r="AB365" s="68"/>
    </row>
    <row r="366" spans="1:28" ht="47.25" x14ac:dyDescent="0.25">
      <c r="A366" s="33" t="s">
        <v>60</v>
      </c>
      <c r="B366" s="42">
        <v>347</v>
      </c>
      <c r="C366" s="33" t="s">
        <v>37</v>
      </c>
      <c r="D366" s="33" t="s">
        <v>2332</v>
      </c>
      <c r="E366" s="32"/>
      <c r="F366" s="33" t="s">
        <v>2333</v>
      </c>
      <c r="G366" s="32"/>
      <c r="H366" s="32"/>
      <c r="I366" s="33" t="s">
        <v>2334</v>
      </c>
      <c r="J366" s="33" t="s">
        <v>43</v>
      </c>
      <c r="K366" s="33" t="s">
        <v>2335</v>
      </c>
      <c r="L366" s="48">
        <v>551324800</v>
      </c>
      <c r="M366" s="32"/>
      <c r="N366" s="48">
        <v>15000000</v>
      </c>
      <c r="O366" s="43"/>
      <c r="P366" s="43"/>
      <c r="Q366" s="48">
        <f t="shared" si="295"/>
        <v>566324800</v>
      </c>
      <c r="R366" s="48">
        <v>551324800</v>
      </c>
      <c r="S366" s="33"/>
      <c r="T366" s="44">
        <v>15000000</v>
      </c>
      <c r="U366" s="33"/>
      <c r="V366" s="33"/>
      <c r="W366" s="52"/>
      <c r="X366" s="52">
        <f t="shared" ref="X366:Y366" si="360">M366-S366</f>
        <v>0</v>
      </c>
      <c r="Y366" s="52">
        <f t="shared" si="360"/>
        <v>0</v>
      </c>
      <c r="Z366" s="52">
        <f t="shared" si="259"/>
        <v>0</v>
      </c>
      <c r="AA366" s="54"/>
      <c r="AB366" s="68"/>
    </row>
    <row r="367" spans="1:28" ht="31.5" x14ac:dyDescent="0.25">
      <c r="A367" s="33" t="s">
        <v>52</v>
      </c>
      <c r="B367" s="42">
        <v>348</v>
      </c>
      <c r="C367" s="33" t="s">
        <v>37</v>
      </c>
      <c r="D367" s="33" t="s">
        <v>2336</v>
      </c>
      <c r="E367" s="32"/>
      <c r="F367" s="33" t="s">
        <v>2337</v>
      </c>
      <c r="G367" s="32"/>
      <c r="H367" s="32"/>
      <c r="I367" s="33" t="s">
        <v>2338</v>
      </c>
      <c r="J367" s="33" t="s">
        <v>43</v>
      </c>
      <c r="K367" s="33" t="s">
        <v>2339</v>
      </c>
      <c r="L367" s="48">
        <v>4341330000</v>
      </c>
      <c r="M367" s="32"/>
      <c r="N367" s="48">
        <v>7500000</v>
      </c>
      <c r="O367" s="43"/>
      <c r="P367" s="43"/>
      <c r="Q367" s="48">
        <f t="shared" si="295"/>
        <v>4348830000</v>
      </c>
      <c r="R367" s="48">
        <v>4341330000</v>
      </c>
      <c r="S367" s="33"/>
      <c r="T367" s="44">
        <v>7500000</v>
      </c>
      <c r="U367" s="33"/>
      <c r="V367" s="33"/>
      <c r="W367" s="52"/>
      <c r="X367" s="52">
        <f t="shared" ref="X367:Y367" si="361">M367-S367</f>
        <v>0</v>
      </c>
      <c r="Y367" s="52">
        <f t="shared" si="361"/>
        <v>0</v>
      </c>
      <c r="Z367" s="52">
        <f t="shared" si="259"/>
        <v>0</v>
      </c>
      <c r="AA367" s="54"/>
      <c r="AB367" s="68"/>
    </row>
    <row r="368" spans="1:28" ht="47.25" x14ac:dyDescent="0.25">
      <c r="A368" s="33" t="s">
        <v>46</v>
      </c>
      <c r="B368" s="42">
        <v>349</v>
      </c>
      <c r="C368" s="33" t="s">
        <v>37</v>
      </c>
      <c r="D368" s="33" t="s">
        <v>2340</v>
      </c>
      <c r="E368" s="32"/>
      <c r="F368" s="33" t="s">
        <v>2341</v>
      </c>
      <c r="G368" s="32"/>
      <c r="H368" s="32"/>
      <c r="I368" s="33" t="s">
        <v>2342</v>
      </c>
      <c r="J368" s="33" t="s">
        <v>43</v>
      </c>
      <c r="K368" s="33" t="s">
        <v>2343</v>
      </c>
      <c r="L368" s="48">
        <v>674476192</v>
      </c>
      <c r="M368" s="32"/>
      <c r="N368" s="48">
        <v>15000000</v>
      </c>
      <c r="O368" s="43"/>
      <c r="P368" s="43"/>
      <c r="Q368" s="48">
        <f t="shared" si="295"/>
        <v>689476192</v>
      </c>
      <c r="R368" s="48">
        <v>674476192</v>
      </c>
      <c r="S368" s="33"/>
      <c r="T368" s="44">
        <v>15000000</v>
      </c>
      <c r="U368" s="33"/>
      <c r="V368" s="33"/>
      <c r="W368" s="52"/>
      <c r="X368" s="52">
        <f t="shared" ref="X368:Y368" si="362">M368-S368</f>
        <v>0</v>
      </c>
      <c r="Y368" s="52">
        <f t="shared" si="362"/>
        <v>0</v>
      </c>
      <c r="Z368" s="52">
        <f t="shared" si="259"/>
        <v>0</v>
      </c>
      <c r="AA368" s="54"/>
      <c r="AB368" s="68"/>
    </row>
    <row r="369" spans="1:28" ht="47.25" x14ac:dyDescent="0.25">
      <c r="A369" s="33" t="s">
        <v>60</v>
      </c>
      <c r="B369" s="42">
        <v>350</v>
      </c>
      <c r="C369" s="33" t="s">
        <v>37</v>
      </c>
      <c r="D369" s="33" t="s">
        <v>2344</v>
      </c>
      <c r="E369" s="32"/>
      <c r="F369" s="33" t="s">
        <v>2345</v>
      </c>
      <c r="G369" s="32"/>
      <c r="H369" s="32"/>
      <c r="I369" s="33" t="s">
        <v>2346</v>
      </c>
      <c r="J369" s="33" t="s">
        <v>43</v>
      </c>
      <c r="K369" s="33" t="s">
        <v>2347</v>
      </c>
      <c r="L369" s="48">
        <v>65141933</v>
      </c>
      <c r="M369" s="32"/>
      <c r="N369" s="48">
        <v>7500000</v>
      </c>
      <c r="O369" s="43"/>
      <c r="P369" s="43"/>
      <c r="Q369" s="48">
        <f t="shared" si="295"/>
        <v>72641933</v>
      </c>
      <c r="R369" s="48">
        <v>65141933</v>
      </c>
      <c r="S369" s="33"/>
      <c r="T369" s="44">
        <v>7500000</v>
      </c>
      <c r="U369" s="33"/>
      <c r="V369" s="33"/>
      <c r="W369" s="52"/>
      <c r="X369" s="52">
        <f t="shared" ref="X369:Y369" si="363">M369-S369</f>
        <v>0</v>
      </c>
      <c r="Y369" s="52">
        <f t="shared" si="363"/>
        <v>0</v>
      </c>
      <c r="Z369" s="52">
        <f t="shared" si="259"/>
        <v>0</v>
      </c>
      <c r="AA369" s="54"/>
      <c r="AB369" s="68"/>
    </row>
    <row r="370" spans="1:28" ht="47.25" x14ac:dyDescent="0.25">
      <c r="A370" s="33" t="s">
        <v>46</v>
      </c>
      <c r="B370" s="42">
        <v>351</v>
      </c>
      <c r="C370" s="33" t="s">
        <v>37</v>
      </c>
      <c r="D370" s="33" t="s">
        <v>2348</v>
      </c>
      <c r="E370" s="32"/>
      <c r="F370" s="33" t="s">
        <v>2349</v>
      </c>
      <c r="G370" s="32"/>
      <c r="H370" s="32"/>
      <c r="I370" s="33" t="s">
        <v>2350</v>
      </c>
      <c r="J370" s="33" t="s">
        <v>43</v>
      </c>
      <c r="K370" s="33" t="s">
        <v>2351</v>
      </c>
      <c r="L370" s="48">
        <v>2508309760</v>
      </c>
      <c r="M370" s="32"/>
      <c r="N370" s="48">
        <v>15000000</v>
      </c>
      <c r="O370" s="43"/>
      <c r="P370" s="43"/>
      <c r="Q370" s="48">
        <f t="shared" si="295"/>
        <v>2523309760</v>
      </c>
      <c r="R370" s="48">
        <v>2508309760</v>
      </c>
      <c r="S370" s="33"/>
      <c r="T370" s="44">
        <v>15000000</v>
      </c>
      <c r="U370" s="33"/>
      <c r="V370" s="33"/>
      <c r="W370" s="52"/>
      <c r="X370" s="52">
        <f t="shared" ref="X370:Y370" si="364">M370-S370</f>
        <v>0</v>
      </c>
      <c r="Y370" s="52">
        <f t="shared" si="364"/>
        <v>0</v>
      </c>
      <c r="Z370" s="52">
        <f t="shared" si="259"/>
        <v>0</v>
      </c>
      <c r="AA370" s="54"/>
      <c r="AB370" s="68"/>
    </row>
    <row r="371" spans="1:28" ht="47.25" x14ac:dyDescent="0.25">
      <c r="A371" s="33" t="s">
        <v>35</v>
      </c>
      <c r="B371" s="42">
        <v>352</v>
      </c>
      <c r="C371" s="33" t="s">
        <v>37</v>
      </c>
      <c r="D371" s="33" t="s">
        <v>2352</v>
      </c>
      <c r="E371" s="32"/>
      <c r="F371" s="33" t="s">
        <v>2353</v>
      </c>
      <c r="G371" s="32"/>
      <c r="H371" s="32"/>
      <c r="I371" s="33" t="s">
        <v>2354</v>
      </c>
      <c r="J371" s="33" t="s">
        <v>43</v>
      </c>
      <c r="K371" s="33" t="s">
        <v>2355</v>
      </c>
      <c r="L371" s="42">
        <v>0</v>
      </c>
      <c r="M371" s="32"/>
      <c r="N371" s="48">
        <v>7500000</v>
      </c>
      <c r="O371" s="43"/>
      <c r="P371" s="43"/>
      <c r="Q371" s="48">
        <f t="shared" si="295"/>
        <v>7500000</v>
      </c>
      <c r="R371" s="42">
        <v>0</v>
      </c>
      <c r="S371" s="33"/>
      <c r="T371" s="66"/>
      <c r="U371" s="33"/>
      <c r="V371" s="33"/>
      <c r="W371" s="52"/>
      <c r="X371" s="52">
        <f t="shared" ref="X371:Y371" si="365">M371-S371</f>
        <v>0</v>
      </c>
      <c r="Y371" s="52">
        <f t="shared" si="365"/>
        <v>7500000</v>
      </c>
      <c r="Z371" s="52">
        <f t="shared" si="259"/>
        <v>0</v>
      </c>
      <c r="AA371" s="54"/>
      <c r="AB371" s="68"/>
    </row>
    <row r="372" spans="1:28" ht="31.5" x14ac:dyDescent="0.25">
      <c r="A372" s="33" t="s">
        <v>35</v>
      </c>
      <c r="B372" s="42">
        <v>353</v>
      </c>
      <c r="C372" s="33" t="s">
        <v>37</v>
      </c>
      <c r="D372" s="33" t="s">
        <v>2356</v>
      </c>
      <c r="E372" s="32"/>
      <c r="F372" s="33" t="s">
        <v>2357</v>
      </c>
      <c r="G372" s="32"/>
      <c r="H372" s="32"/>
      <c r="I372" s="33" t="s">
        <v>2358</v>
      </c>
      <c r="J372" s="33" t="s">
        <v>43</v>
      </c>
      <c r="K372" s="33" t="s">
        <v>2359</v>
      </c>
      <c r="L372" s="48">
        <v>3137001240</v>
      </c>
      <c r="M372" s="32"/>
      <c r="N372" s="48">
        <v>15000000</v>
      </c>
      <c r="O372" s="43"/>
      <c r="P372" s="43"/>
      <c r="Q372" s="48">
        <f t="shared" si="295"/>
        <v>3152001240</v>
      </c>
      <c r="R372" s="48">
        <v>3137001240</v>
      </c>
      <c r="S372" s="33"/>
      <c r="T372" s="44">
        <v>15000000</v>
      </c>
      <c r="U372" s="33"/>
      <c r="V372" s="33"/>
      <c r="W372" s="52"/>
      <c r="X372" s="52">
        <f t="shared" ref="X372:Y372" si="366">M372-S372</f>
        <v>0</v>
      </c>
      <c r="Y372" s="52">
        <f t="shared" si="366"/>
        <v>0</v>
      </c>
      <c r="Z372" s="52">
        <f t="shared" si="259"/>
        <v>0</v>
      </c>
      <c r="AA372" s="54"/>
      <c r="AB372" s="68"/>
    </row>
    <row r="373" spans="1:28" ht="31.5" x14ac:dyDescent="0.25">
      <c r="A373" s="33" t="s">
        <v>35</v>
      </c>
      <c r="B373" s="42">
        <v>354</v>
      </c>
      <c r="C373" s="33" t="s">
        <v>37</v>
      </c>
      <c r="D373" s="33" t="s">
        <v>2360</v>
      </c>
      <c r="E373" s="32"/>
      <c r="F373" s="33" t="s">
        <v>2361</v>
      </c>
      <c r="G373" s="32"/>
      <c r="H373" s="32"/>
      <c r="I373" s="33" t="s">
        <v>2362</v>
      </c>
      <c r="J373" s="33" t="s">
        <v>43</v>
      </c>
      <c r="K373" s="33" t="s">
        <v>2363</v>
      </c>
      <c r="L373" s="48">
        <v>2986318488</v>
      </c>
      <c r="M373" s="32"/>
      <c r="N373" s="48">
        <v>15000000</v>
      </c>
      <c r="O373" s="43"/>
      <c r="P373" s="43"/>
      <c r="Q373" s="48">
        <f t="shared" si="295"/>
        <v>3001318488</v>
      </c>
      <c r="R373" s="48">
        <v>2986318488</v>
      </c>
      <c r="S373" s="33"/>
      <c r="T373" s="44">
        <v>15000000</v>
      </c>
      <c r="U373" s="33"/>
      <c r="V373" s="33"/>
      <c r="W373" s="52"/>
      <c r="X373" s="52">
        <f t="shared" ref="X373:Y373" si="367">M373-S373</f>
        <v>0</v>
      </c>
      <c r="Y373" s="52">
        <f t="shared" si="367"/>
        <v>0</v>
      </c>
      <c r="Z373" s="52">
        <f t="shared" si="259"/>
        <v>0</v>
      </c>
      <c r="AA373" s="54"/>
      <c r="AB373" s="68"/>
    </row>
    <row r="374" spans="1:28" ht="47.25" x14ac:dyDescent="0.25">
      <c r="A374" s="33" t="s">
        <v>52</v>
      </c>
      <c r="B374" s="42">
        <v>355</v>
      </c>
      <c r="C374" s="33" t="s">
        <v>37</v>
      </c>
      <c r="D374" s="33" t="s">
        <v>2364</v>
      </c>
      <c r="E374" s="32"/>
      <c r="F374" s="33" t="s">
        <v>2365</v>
      </c>
      <c r="G374" s="32"/>
      <c r="H374" s="32"/>
      <c r="I374" s="33" t="s">
        <v>2366</v>
      </c>
      <c r="J374" s="33" t="s">
        <v>43</v>
      </c>
      <c r="K374" s="33" t="s">
        <v>2367</v>
      </c>
      <c r="L374" s="48">
        <v>124614064</v>
      </c>
      <c r="M374" s="32"/>
      <c r="N374" s="48">
        <v>7500000</v>
      </c>
      <c r="O374" s="43"/>
      <c r="P374" s="43"/>
      <c r="Q374" s="48">
        <f t="shared" si="295"/>
        <v>132114064</v>
      </c>
      <c r="R374" s="48">
        <v>124614064</v>
      </c>
      <c r="S374" s="33"/>
      <c r="T374" s="44">
        <v>7500000</v>
      </c>
      <c r="U374" s="33"/>
      <c r="V374" s="33"/>
      <c r="W374" s="52"/>
      <c r="X374" s="52">
        <f t="shared" ref="X374:Y374" si="368">M374-S374</f>
        <v>0</v>
      </c>
      <c r="Y374" s="52">
        <f t="shared" si="368"/>
        <v>0</v>
      </c>
      <c r="Z374" s="52">
        <f t="shared" si="259"/>
        <v>0</v>
      </c>
      <c r="AA374" s="54"/>
      <c r="AB374" s="68"/>
    </row>
    <row r="375" spans="1:28" ht="31.5" x14ac:dyDescent="0.25">
      <c r="A375" s="33" t="s">
        <v>60</v>
      </c>
      <c r="B375" s="42">
        <v>356</v>
      </c>
      <c r="C375" s="33" t="s">
        <v>37</v>
      </c>
      <c r="D375" s="33" t="s">
        <v>2368</v>
      </c>
      <c r="E375" s="32"/>
      <c r="F375" s="33" t="s">
        <v>2369</v>
      </c>
      <c r="G375" s="32"/>
      <c r="H375" s="32"/>
      <c r="I375" s="33" t="s">
        <v>2370</v>
      </c>
      <c r="J375" s="33" t="s">
        <v>43</v>
      </c>
      <c r="K375" s="33" t="s">
        <v>2371</v>
      </c>
      <c r="L375" s="48">
        <v>2246345440</v>
      </c>
      <c r="M375" s="32"/>
      <c r="N375" s="48">
        <v>15000000</v>
      </c>
      <c r="O375" s="43"/>
      <c r="P375" s="43"/>
      <c r="Q375" s="48">
        <f t="shared" si="295"/>
        <v>2261345440</v>
      </c>
      <c r="R375" s="48">
        <v>2246345440</v>
      </c>
      <c r="S375" s="33"/>
      <c r="T375" s="44">
        <v>15000000</v>
      </c>
      <c r="U375" s="33"/>
      <c r="V375" s="33"/>
      <c r="W375" s="52"/>
      <c r="X375" s="52">
        <f t="shared" ref="X375:Y375" si="369">M375-S375</f>
        <v>0</v>
      </c>
      <c r="Y375" s="52">
        <f t="shared" si="369"/>
        <v>0</v>
      </c>
      <c r="Z375" s="52">
        <f t="shared" si="259"/>
        <v>0</v>
      </c>
      <c r="AA375" s="54"/>
      <c r="AB375" s="68"/>
    </row>
    <row r="376" spans="1:28" ht="47.25" x14ac:dyDescent="0.25">
      <c r="A376" s="33" t="s">
        <v>35</v>
      </c>
      <c r="B376" s="42">
        <v>357</v>
      </c>
      <c r="C376" s="33" t="s">
        <v>37</v>
      </c>
      <c r="D376" s="33" t="s">
        <v>2372</v>
      </c>
      <c r="E376" s="32"/>
      <c r="F376" s="33" t="s">
        <v>2373</v>
      </c>
      <c r="G376" s="32"/>
      <c r="H376" s="32"/>
      <c r="I376" s="33" t="s">
        <v>2374</v>
      </c>
      <c r="J376" s="33" t="s">
        <v>43</v>
      </c>
      <c r="K376" s="33" t="s">
        <v>2375</v>
      </c>
      <c r="L376" s="48">
        <v>693893100</v>
      </c>
      <c r="M376" s="32"/>
      <c r="N376" s="48">
        <v>15000000</v>
      </c>
      <c r="O376" s="43"/>
      <c r="P376" s="43"/>
      <c r="Q376" s="48">
        <f t="shared" si="295"/>
        <v>708893100</v>
      </c>
      <c r="R376" s="48">
        <v>693893100</v>
      </c>
      <c r="S376" s="33"/>
      <c r="T376" s="44">
        <v>15000000</v>
      </c>
      <c r="U376" s="33"/>
      <c r="V376" s="33"/>
      <c r="W376" s="52"/>
      <c r="X376" s="52">
        <f t="shared" ref="X376:Y376" si="370">M376-S376</f>
        <v>0</v>
      </c>
      <c r="Y376" s="52">
        <f t="shared" si="370"/>
        <v>0</v>
      </c>
      <c r="Z376" s="52">
        <f t="shared" si="259"/>
        <v>0</v>
      </c>
      <c r="AA376" s="54"/>
      <c r="AB376" s="68"/>
    </row>
    <row r="377" spans="1:28" ht="47.25" x14ac:dyDescent="0.25">
      <c r="A377" s="33" t="s">
        <v>60</v>
      </c>
      <c r="B377" s="42">
        <v>358</v>
      </c>
      <c r="C377" s="33" t="s">
        <v>37</v>
      </c>
      <c r="D377" s="33" t="s">
        <v>133</v>
      </c>
      <c r="E377" s="32"/>
      <c r="F377" s="33" t="s">
        <v>135</v>
      </c>
      <c r="G377" s="32"/>
      <c r="H377" s="32"/>
      <c r="I377" s="33" t="s">
        <v>136</v>
      </c>
      <c r="J377" s="33" t="s">
        <v>43</v>
      </c>
      <c r="K377" s="33" t="s">
        <v>137</v>
      </c>
      <c r="L377" s="48">
        <v>10000000</v>
      </c>
      <c r="M377" s="32"/>
      <c r="N377" s="48">
        <v>15000000</v>
      </c>
      <c r="O377" s="43" t="s">
        <v>134</v>
      </c>
      <c r="P377" s="69">
        <v>30000000</v>
      </c>
      <c r="Q377" s="48">
        <f t="shared" si="295"/>
        <v>55000000</v>
      </c>
      <c r="R377" s="48">
        <v>10000000</v>
      </c>
      <c r="S377" s="33"/>
      <c r="T377" s="44">
        <v>15000000</v>
      </c>
      <c r="U377" s="48">
        <v>30000000</v>
      </c>
      <c r="V377" s="33"/>
      <c r="W377" s="52"/>
      <c r="X377" s="52">
        <f t="shared" ref="X377:Y377" si="371">M377-S377</f>
        <v>0</v>
      </c>
      <c r="Y377" s="52">
        <f t="shared" si="371"/>
        <v>0</v>
      </c>
      <c r="Z377" s="52">
        <f t="shared" si="259"/>
        <v>0</v>
      </c>
      <c r="AA377" s="54"/>
      <c r="AB377" s="68"/>
    </row>
    <row r="378" spans="1:28" ht="31.5" x14ac:dyDescent="0.25">
      <c r="A378" s="33" t="s">
        <v>60</v>
      </c>
      <c r="B378" s="42">
        <v>359</v>
      </c>
      <c r="C378" s="33" t="s">
        <v>37</v>
      </c>
      <c r="D378" s="33" t="s">
        <v>2376</v>
      </c>
      <c r="E378" s="32"/>
      <c r="F378" s="33" t="s">
        <v>2377</v>
      </c>
      <c r="G378" s="32"/>
      <c r="H378" s="32"/>
      <c r="I378" s="33" t="s">
        <v>2378</v>
      </c>
      <c r="J378" s="33" t="s">
        <v>43</v>
      </c>
      <c r="K378" s="33" t="s">
        <v>2379</v>
      </c>
      <c r="L378" s="48">
        <v>1333962300</v>
      </c>
      <c r="M378" s="32"/>
      <c r="N378" s="48">
        <v>7500000</v>
      </c>
      <c r="O378" s="43"/>
      <c r="P378" s="43"/>
      <c r="Q378" s="48">
        <f t="shared" si="295"/>
        <v>1341462300</v>
      </c>
      <c r="R378" s="48">
        <v>1333962300</v>
      </c>
      <c r="S378" s="33"/>
      <c r="T378" s="66"/>
      <c r="U378" s="33"/>
      <c r="V378" s="33"/>
      <c r="W378" s="52"/>
      <c r="X378" s="52">
        <f t="shared" ref="X378:Y378" si="372">M378-S378</f>
        <v>0</v>
      </c>
      <c r="Y378" s="52">
        <f t="shared" si="372"/>
        <v>7500000</v>
      </c>
      <c r="Z378" s="52">
        <f t="shared" si="259"/>
        <v>0</v>
      </c>
      <c r="AA378" s="54"/>
      <c r="AB378" s="68"/>
    </row>
    <row r="379" spans="1:28" ht="31.5" x14ac:dyDescent="0.25">
      <c r="A379" s="33" t="s">
        <v>60</v>
      </c>
      <c r="B379" s="42">
        <v>360</v>
      </c>
      <c r="C379" s="33" t="s">
        <v>37</v>
      </c>
      <c r="D379" s="33" t="s">
        <v>2380</v>
      </c>
      <c r="E379" s="32"/>
      <c r="F379" s="33" t="s">
        <v>2381</v>
      </c>
      <c r="G379" s="33" t="s">
        <v>2212</v>
      </c>
      <c r="H379" s="32"/>
      <c r="I379" s="33" t="s">
        <v>2382</v>
      </c>
      <c r="J379" s="33" t="s">
        <v>43</v>
      </c>
      <c r="K379" s="33" t="s">
        <v>2383</v>
      </c>
      <c r="L379" s="48">
        <v>1884646500</v>
      </c>
      <c r="M379" s="32"/>
      <c r="N379" s="48">
        <v>7500000</v>
      </c>
      <c r="O379" s="43"/>
      <c r="P379" s="43"/>
      <c r="Q379" s="48">
        <f t="shared" si="295"/>
        <v>1892146500</v>
      </c>
      <c r="R379" s="48">
        <v>1884646500</v>
      </c>
      <c r="S379" s="33"/>
      <c r="T379" s="44">
        <v>7500000</v>
      </c>
      <c r="U379" s="33"/>
      <c r="V379" s="33"/>
      <c r="W379" s="52"/>
      <c r="X379" s="52">
        <f t="shared" ref="X379:Y379" si="373">M379-S379</f>
        <v>0</v>
      </c>
      <c r="Y379" s="52">
        <f t="shared" si="373"/>
        <v>0</v>
      </c>
      <c r="Z379" s="52">
        <f t="shared" si="259"/>
        <v>0</v>
      </c>
      <c r="AA379" s="54"/>
      <c r="AB379" s="68"/>
    </row>
    <row r="380" spans="1:28" ht="47.25" x14ac:dyDescent="0.25">
      <c r="A380" s="33" t="s">
        <v>60</v>
      </c>
      <c r="B380" s="42">
        <v>361</v>
      </c>
      <c r="C380" s="33" t="s">
        <v>37</v>
      </c>
      <c r="D380" s="33" t="s">
        <v>2384</v>
      </c>
      <c r="E380" s="32"/>
      <c r="F380" s="33" t="s">
        <v>2385</v>
      </c>
      <c r="G380" s="32"/>
      <c r="H380" s="32"/>
      <c r="I380" s="33" t="s">
        <v>2386</v>
      </c>
      <c r="J380" s="33" t="s">
        <v>43</v>
      </c>
      <c r="K380" s="33" t="s">
        <v>2387</v>
      </c>
      <c r="L380" s="48">
        <v>827738776</v>
      </c>
      <c r="M380" s="32"/>
      <c r="N380" s="48">
        <v>15000000</v>
      </c>
      <c r="O380" s="43"/>
      <c r="P380" s="43"/>
      <c r="Q380" s="48">
        <f t="shared" si="295"/>
        <v>842738776</v>
      </c>
      <c r="R380" s="48">
        <v>827738776</v>
      </c>
      <c r="S380" s="33"/>
      <c r="T380" s="44">
        <v>15000000</v>
      </c>
      <c r="U380" s="33"/>
      <c r="V380" s="33"/>
      <c r="W380" s="52"/>
      <c r="X380" s="52">
        <f t="shared" ref="X380:Y380" si="374">M380-S380</f>
        <v>0</v>
      </c>
      <c r="Y380" s="52">
        <f t="shared" si="374"/>
        <v>0</v>
      </c>
      <c r="Z380" s="52">
        <f t="shared" si="259"/>
        <v>0</v>
      </c>
      <c r="AA380" s="54"/>
      <c r="AB380" s="68"/>
    </row>
    <row r="381" spans="1:28" ht="47.25" x14ac:dyDescent="0.25">
      <c r="A381" s="33" t="s">
        <v>46</v>
      </c>
      <c r="B381" s="42">
        <v>362</v>
      </c>
      <c r="C381" s="33" t="s">
        <v>37</v>
      </c>
      <c r="D381" s="33" t="s">
        <v>2388</v>
      </c>
      <c r="E381" s="32"/>
      <c r="F381" s="33" t="s">
        <v>2389</v>
      </c>
      <c r="G381" s="32"/>
      <c r="H381" s="32"/>
      <c r="I381" s="33" t="s">
        <v>2390</v>
      </c>
      <c r="J381" s="33" t="s">
        <v>43</v>
      </c>
      <c r="K381" s="33" t="s">
        <v>2391</v>
      </c>
      <c r="L381" s="48">
        <v>3291977680</v>
      </c>
      <c r="M381" s="32"/>
      <c r="N381" s="48">
        <v>15000000</v>
      </c>
      <c r="O381" s="43"/>
      <c r="P381" s="43"/>
      <c r="Q381" s="48">
        <f t="shared" si="295"/>
        <v>3306977680</v>
      </c>
      <c r="R381" s="48">
        <v>3291977680</v>
      </c>
      <c r="S381" s="33"/>
      <c r="T381" s="66"/>
      <c r="U381" s="33"/>
      <c r="V381" s="33"/>
      <c r="W381" s="52"/>
      <c r="X381" s="52">
        <f t="shared" ref="X381:Y381" si="375">M381-S381</f>
        <v>0</v>
      </c>
      <c r="Y381" s="52">
        <f t="shared" si="375"/>
        <v>15000000</v>
      </c>
      <c r="Z381" s="52">
        <f t="shared" si="259"/>
        <v>0</v>
      </c>
      <c r="AA381" s="54"/>
      <c r="AB381" s="68"/>
    </row>
    <row r="382" spans="1:28" ht="47.25" x14ac:dyDescent="0.25">
      <c r="A382" s="33" t="s">
        <v>46</v>
      </c>
      <c r="B382" s="42">
        <v>363</v>
      </c>
      <c r="C382" s="33" t="s">
        <v>37</v>
      </c>
      <c r="D382" s="33" t="s">
        <v>2392</v>
      </c>
      <c r="E382" s="32"/>
      <c r="F382" s="33" t="s">
        <v>2393</v>
      </c>
      <c r="G382" s="32"/>
      <c r="H382" s="32"/>
      <c r="I382" s="33" t="s">
        <v>2321</v>
      </c>
      <c r="J382" s="33" t="s">
        <v>43</v>
      </c>
      <c r="K382" s="33" t="s">
        <v>2394</v>
      </c>
      <c r="L382" s="48">
        <v>937421750</v>
      </c>
      <c r="M382" s="32"/>
      <c r="N382" s="48">
        <v>7500000</v>
      </c>
      <c r="O382" s="43"/>
      <c r="P382" s="43"/>
      <c r="Q382" s="48">
        <f t="shared" si="295"/>
        <v>944921750</v>
      </c>
      <c r="R382" s="48">
        <v>937421750</v>
      </c>
      <c r="S382" s="33"/>
      <c r="T382" s="44">
        <v>7500000</v>
      </c>
      <c r="U382" s="33"/>
      <c r="V382" s="33"/>
      <c r="W382" s="52"/>
      <c r="X382" s="52">
        <f t="shared" ref="X382:Y382" si="376">M382-S382</f>
        <v>0</v>
      </c>
      <c r="Y382" s="52">
        <f t="shared" si="376"/>
        <v>0</v>
      </c>
      <c r="Z382" s="52">
        <f t="shared" si="259"/>
        <v>0</v>
      </c>
      <c r="AA382" s="54"/>
      <c r="AB382" s="68"/>
    </row>
    <row r="383" spans="1:28" ht="47.25" x14ac:dyDescent="0.25">
      <c r="A383" s="33" t="s">
        <v>52</v>
      </c>
      <c r="B383" s="42">
        <v>364</v>
      </c>
      <c r="C383" s="33" t="s">
        <v>37</v>
      </c>
      <c r="D383" s="33" t="s">
        <v>2395</v>
      </c>
      <c r="E383" s="33" t="s">
        <v>2396</v>
      </c>
      <c r="F383" s="33" t="s">
        <v>2397</v>
      </c>
      <c r="G383" s="33" t="s">
        <v>2398</v>
      </c>
      <c r="H383" s="32"/>
      <c r="I383" s="33" t="s">
        <v>2399</v>
      </c>
      <c r="J383" s="33" t="s">
        <v>43</v>
      </c>
      <c r="K383" s="33" t="s">
        <v>2400</v>
      </c>
      <c r="L383" s="48">
        <v>10000000</v>
      </c>
      <c r="M383" s="48">
        <v>762996660</v>
      </c>
      <c r="N383" s="48">
        <v>15000000</v>
      </c>
      <c r="O383" s="43"/>
      <c r="P383" s="43"/>
      <c r="Q383" s="48">
        <f t="shared" si="295"/>
        <v>787996660</v>
      </c>
      <c r="R383" s="48">
        <v>10000000</v>
      </c>
      <c r="S383" s="48">
        <v>762996660</v>
      </c>
      <c r="T383" s="44">
        <v>15000000</v>
      </c>
      <c r="U383" s="33"/>
      <c r="V383" s="33"/>
      <c r="W383" s="52"/>
      <c r="X383" s="52">
        <f t="shared" ref="X383:Y383" si="377">M383-S383</f>
        <v>0</v>
      </c>
      <c r="Y383" s="52">
        <f t="shared" si="377"/>
        <v>0</v>
      </c>
      <c r="Z383" s="52">
        <f t="shared" si="259"/>
        <v>0</v>
      </c>
      <c r="AA383" s="54"/>
      <c r="AB383" s="68"/>
    </row>
    <row r="384" spans="1:28" ht="47.25" x14ac:dyDescent="0.25">
      <c r="A384" s="33" t="s">
        <v>35</v>
      </c>
      <c r="B384" s="42">
        <v>365</v>
      </c>
      <c r="C384" s="33" t="s">
        <v>37</v>
      </c>
      <c r="D384" s="33" t="s">
        <v>2401</v>
      </c>
      <c r="E384" s="33" t="s">
        <v>2402</v>
      </c>
      <c r="F384" s="33" t="s">
        <v>2403</v>
      </c>
      <c r="G384" s="33" t="s">
        <v>2404</v>
      </c>
      <c r="H384" s="32"/>
      <c r="I384" s="33" t="s">
        <v>479</v>
      </c>
      <c r="J384" s="33" t="s">
        <v>43</v>
      </c>
      <c r="K384" s="33" t="s">
        <v>2405</v>
      </c>
      <c r="L384" s="48">
        <v>1975869376</v>
      </c>
      <c r="M384" s="48">
        <v>579124224</v>
      </c>
      <c r="N384" s="48">
        <v>15000000</v>
      </c>
      <c r="O384" s="43"/>
      <c r="P384" s="43"/>
      <c r="Q384" s="48">
        <f t="shared" si="295"/>
        <v>2569993600</v>
      </c>
      <c r="R384" s="48">
        <v>1975869376</v>
      </c>
      <c r="S384" s="48">
        <v>579124224</v>
      </c>
      <c r="T384" s="44">
        <v>15000000</v>
      </c>
      <c r="U384" s="33"/>
      <c r="V384" s="33"/>
      <c r="W384" s="52"/>
      <c r="X384" s="52">
        <f t="shared" ref="X384:Y384" si="378">M384-S384</f>
        <v>0</v>
      </c>
      <c r="Y384" s="52">
        <f t="shared" si="378"/>
        <v>0</v>
      </c>
      <c r="Z384" s="52">
        <f t="shared" si="259"/>
        <v>0</v>
      </c>
      <c r="AA384" s="54"/>
      <c r="AB384" s="68"/>
    </row>
    <row r="385" spans="1:28" ht="47.25" x14ac:dyDescent="0.25">
      <c r="A385" s="33" t="s">
        <v>46</v>
      </c>
      <c r="B385" s="42">
        <v>366</v>
      </c>
      <c r="C385" s="33" t="s">
        <v>37</v>
      </c>
      <c r="D385" s="33" t="s">
        <v>2406</v>
      </c>
      <c r="E385" s="33" t="s">
        <v>1923</v>
      </c>
      <c r="F385" s="33" t="s">
        <v>2407</v>
      </c>
      <c r="G385" s="32"/>
      <c r="H385" s="32"/>
      <c r="I385" s="33" t="s">
        <v>2408</v>
      </c>
      <c r="J385" s="33" t="s">
        <v>43</v>
      </c>
      <c r="K385" s="33" t="s">
        <v>2409</v>
      </c>
      <c r="L385" s="48">
        <v>1715172160</v>
      </c>
      <c r="M385" s="48">
        <v>196024320</v>
      </c>
      <c r="N385" s="48">
        <v>15000000</v>
      </c>
      <c r="O385" s="43"/>
      <c r="P385" s="43"/>
      <c r="Q385" s="48">
        <f t="shared" si="295"/>
        <v>1926196480</v>
      </c>
      <c r="R385" s="48">
        <v>1715172160</v>
      </c>
      <c r="S385" s="48">
        <v>196024320</v>
      </c>
      <c r="T385" s="44">
        <v>15000000</v>
      </c>
      <c r="U385" s="33"/>
      <c r="V385" s="33"/>
      <c r="W385" s="52"/>
      <c r="X385" s="52">
        <f t="shared" ref="X385:Y385" si="379">M385-S385</f>
        <v>0</v>
      </c>
      <c r="Y385" s="52">
        <f t="shared" si="379"/>
        <v>0</v>
      </c>
      <c r="Z385" s="52">
        <f t="shared" si="259"/>
        <v>0</v>
      </c>
      <c r="AA385" s="54"/>
      <c r="AB385" s="68"/>
    </row>
    <row r="386" spans="1:28" ht="31.5" x14ac:dyDescent="0.25">
      <c r="A386" s="33" t="s">
        <v>35</v>
      </c>
      <c r="B386" s="42">
        <v>367</v>
      </c>
      <c r="C386" s="33" t="s">
        <v>37</v>
      </c>
      <c r="D386" s="33" t="s">
        <v>2410</v>
      </c>
      <c r="E386" s="32"/>
      <c r="F386" s="33" t="s">
        <v>2411</v>
      </c>
      <c r="G386" s="32"/>
      <c r="H386" s="32"/>
      <c r="I386" s="33" t="s">
        <v>2412</v>
      </c>
      <c r="J386" s="33" t="s">
        <v>43</v>
      </c>
      <c r="K386" s="33" t="s">
        <v>2413</v>
      </c>
      <c r="L386" s="48">
        <v>1139494794</v>
      </c>
      <c r="M386" s="32"/>
      <c r="N386" s="48">
        <v>7500000</v>
      </c>
      <c r="O386" s="43"/>
      <c r="P386" s="43"/>
      <c r="Q386" s="48">
        <f t="shared" si="295"/>
        <v>1146994794</v>
      </c>
      <c r="R386" s="48">
        <v>1139494794</v>
      </c>
      <c r="S386" s="33"/>
      <c r="T386" s="44">
        <v>7500000</v>
      </c>
      <c r="U386" s="33"/>
      <c r="V386" s="33"/>
      <c r="W386" s="52"/>
      <c r="X386" s="52">
        <f t="shared" ref="X386:Y386" si="380">M386-S386</f>
        <v>0</v>
      </c>
      <c r="Y386" s="52">
        <f t="shared" si="380"/>
        <v>0</v>
      </c>
      <c r="Z386" s="52">
        <f t="shared" si="259"/>
        <v>0</v>
      </c>
      <c r="AA386" s="54"/>
      <c r="AB386" s="68"/>
    </row>
    <row r="387" spans="1:28" ht="47.25" x14ac:dyDescent="0.25">
      <c r="A387" s="33" t="s">
        <v>52</v>
      </c>
      <c r="B387" s="42">
        <v>368</v>
      </c>
      <c r="C387" s="33" t="s">
        <v>37</v>
      </c>
      <c r="D387" s="33" t="s">
        <v>2414</v>
      </c>
      <c r="E387" s="32"/>
      <c r="F387" s="33" t="s">
        <v>2415</v>
      </c>
      <c r="G387" s="32"/>
      <c r="H387" s="32"/>
      <c r="I387" s="33" t="s">
        <v>2416</v>
      </c>
      <c r="J387" s="33" t="s">
        <v>43</v>
      </c>
      <c r="K387" s="33" t="s">
        <v>2417</v>
      </c>
      <c r="L387" s="48">
        <v>3291977680</v>
      </c>
      <c r="M387" s="32"/>
      <c r="N387" s="48">
        <v>15000000</v>
      </c>
      <c r="O387" s="43"/>
      <c r="P387" s="43"/>
      <c r="Q387" s="48">
        <f t="shared" si="295"/>
        <v>3306977680</v>
      </c>
      <c r="R387" s="48">
        <v>3291977680</v>
      </c>
      <c r="S387" s="33"/>
      <c r="T387" s="44">
        <v>15000000</v>
      </c>
      <c r="U387" s="33"/>
      <c r="V387" s="33"/>
      <c r="W387" s="52"/>
      <c r="X387" s="52">
        <f t="shared" ref="X387:Y387" si="381">M387-S387</f>
        <v>0</v>
      </c>
      <c r="Y387" s="52">
        <f t="shared" si="381"/>
        <v>0</v>
      </c>
      <c r="Z387" s="52">
        <f t="shared" si="259"/>
        <v>0</v>
      </c>
      <c r="AA387" s="54"/>
      <c r="AB387" s="68"/>
    </row>
    <row r="388" spans="1:28" ht="47.25" x14ac:dyDescent="0.25">
      <c r="A388" s="33" t="s">
        <v>60</v>
      </c>
      <c r="B388" s="42">
        <v>369</v>
      </c>
      <c r="C388" s="33" t="s">
        <v>37</v>
      </c>
      <c r="D388" s="33" t="s">
        <v>2418</v>
      </c>
      <c r="E388" s="32"/>
      <c r="F388" s="33" t="s">
        <v>2419</v>
      </c>
      <c r="G388" s="32"/>
      <c r="H388" s="32"/>
      <c r="I388" s="33" t="s">
        <v>2420</v>
      </c>
      <c r="J388" s="33" t="s">
        <v>43</v>
      </c>
      <c r="K388" s="33" t="s">
        <v>2421</v>
      </c>
      <c r="L388" s="48">
        <v>923485600</v>
      </c>
      <c r="M388" s="32"/>
      <c r="N388" s="48">
        <v>15000000</v>
      </c>
      <c r="O388" s="43"/>
      <c r="P388" s="43"/>
      <c r="Q388" s="48">
        <f t="shared" si="295"/>
        <v>938485600</v>
      </c>
      <c r="R388" s="48">
        <v>923485600</v>
      </c>
      <c r="S388" s="33"/>
      <c r="T388" s="44">
        <v>15000000</v>
      </c>
      <c r="U388" s="33"/>
      <c r="V388" s="33"/>
      <c r="W388" s="52"/>
      <c r="X388" s="52">
        <f t="shared" ref="X388:Y388" si="382">M388-S388</f>
        <v>0</v>
      </c>
      <c r="Y388" s="52">
        <f t="shared" si="382"/>
        <v>0</v>
      </c>
      <c r="Z388" s="52">
        <f t="shared" si="259"/>
        <v>0</v>
      </c>
      <c r="AA388" s="54"/>
      <c r="AB388" s="68"/>
    </row>
    <row r="389" spans="1:28" ht="31.5" x14ac:dyDescent="0.25">
      <c r="A389" s="33" t="s">
        <v>35</v>
      </c>
      <c r="B389" s="42">
        <v>370</v>
      </c>
      <c r="C389" s="33" t="s">
        <v>37</v>
      </c>
      <c r="D389" s="33" t="s">
        <v>2422</v>
      </c>
      <c r="E389" s="33" t="s">
        <v>2423</v>
      </c>
      <c r="F389" s="33" t="s">
        <v>2424</v>
      </c>
      <c r="G389" s="33" t="s">
        <v>2425</v>
      </c>
      <c r="H389" s="32"/>
      <c r="I389" s="33" t="s">
        <v>1064</v>
      </c>
      <c r="J389" s="33" t="s">
        <v>43</v>
      </c>
      <c r="K389" s="33" t="s">
        <v>2426</v>
      </c>
      <c r="L389" s="48">
        <v>2060615056</v>
      </c>
      <c r="M389" s="48">
        <v>207933110</v>
      </c>
      <c r="N389" s="48">
        <v>15000000</v>
      </c>
      <c r="O389" s="43"/>
      <c r="P389" s="43"/>
      <c r="Q389" s="48">
        <f t="shared" si="295"/>
        <v>2283548166</v>
      </c>
      <c r="R389" s="48">
        <v>2060615056</v>
      </c>
      <c r="S389" s="48">
        <v>207933110</v>
      </c>
      <c r="T389" s="44">
        <v>15000000</v>
      </c>
      <c r="U389" s="33"/>
      <c r="V389" s="33"/>
      <c r="W389" s="52"/>
      <c r="X389" s="52">
        <f t="shared" ref="X389:Y389" si="383">M389-S389</f>
        <v>0</v>
      </c>
      <c r="Y389" s="52">
        <f t="shared" si="383"/>
        <v>0</v>
      </c>
      <c r="Z389" s="52">
        <f t="shared" si="259"/>
        <v>0</v>
      </c>
      <c r="AA389" s="54"/>
      <c r="AB389" s="68"/>
    </row>
    <row r="390" spans="1:28" ht="31.5" x14ac:dyDescent="0.25">
      <c r="A390" s="33" t="s">
        <v>35</v>
      </c>
      <c r="B390" s="42">
        <v>371</v>
      </c>
      <c r="C390" s="33" t="s">
        <v>37</v>
      </c>
      <c r="D390" s="33" t="s">
        <v>2427</v>
      </c>
      <c r="E390" s="32"/>
      <c r="F390" s="33" t="s">
        <v>2428</v>
      </c>
      <c r="G390" s="32"/>
      <c r="H390" s="32"/>
      <c r="I390" s="33" t="s">
        <v>2429</v>
      </c>
      <c r="J390" s="33" t="s">
        <v>43</v>
      </c>
      <c r="K390" s="33" t="s">
        <v>2430</v>
      </c>
      <c r="L390" s="42">
        <v>0</v>
      </c>
      <c r="M390" s="32"/>
      <c r="N390" s="48">
        <v>7500000</v>
      </c>
      <c r="O390" s="43"/>
      <c r="P390" s="43"/>
      <c r="Q390" s="48">
        <f t="shared" si="295"/>
        <v>7500000</v>
      </c>
      <c r="R390" s="42">
        <v>0</v>
      </c>
      <c r="S390" s="33"/>
      <c r="T390" s="66"/>
      <c r="U390" s="33"/>
      <c r="V390" s="33"/>
      <c r="W390" s="52"/>
      <c r="X390" s="52">
        <f t="shared" ref="X390:Y390" si="384">M390-S390</f>
        <v>0</v>
      </c>
      <c r="Y390" s="52">
        <f t="shared" si="384"/>
        <v>7500000</v>
      </c>
      <c r="Z390" s="52">
        <f t="shared" si="259"/>
        <v>0</v>
      </c>
      <c r="AA390" s="54"/>
      <c r="AB390" s="68"/>
    </row>
    <row r="391" spans="1:28" ht="47.25" x14ac:dyDescent="0.25">
      <c r="A391" s="33" t="s">
        <v>46</v>
      </c>
      <c r="B391" s="42">
        <v>372</v>
      </c>
      <c r="C391" s="33" t="s">
        <v>37</v>
      </c>
      <c r="D391" s="33" t="s">
        <v>2431</v>
      </c>
      <c r="E391" s="32"/>
      <c r="F391" s="33" t="s">
        <v>2432</v>
      </c>
      <c r="G391" s="32"/>
      <c r="H391" s="32"/>
      <c r="I391" s="33" t="s">
        <v>2321</v>
      </c>
      <c r="J391" s="33" t="s">
        <v>43</v>
      </c>
      <c r="K391" s="33" t="s">
        <v>2433</v>
      </c>
      <c r="L391" s="48">
        <v>921360322</v>
      </c>
      <c r="M391" s="32"/>
      <c r="N391" s="48">
        <v>7500000</v>
      </c>
      <c r="O391" s="43"/>
      <c r="P391" s="43"/>
      <c r="Q391" s="48">
        <f t="shared" si="295"/>
        <v>928860322</v>
      </c>
      <c r="R391" s="48">
        <v>921360322</v>
      </c>
      <c r="S391" s="33"/>
      <c r="T391" s="44">
        <v>7500000</v>
      </c>
      <c r="U391" s="33"/>
      <c r="V391" s="33"/>
      <c r="W391" s="52"/>
      <c r="X391" s="52">
        <f t="shared" ref="X391:Y391" si="385">M391-S391</f>
        <v>0</v>
      </c>
      <c r="Y391" s="52">
        <f t="shared" si="385"/>
        <v>0</v>
      </c>
      <c r="Z391" s="52">
        <f t="shared" si="259"/>
        <v>0</v>
      </c>
      <c r="AA391" s="54"/>
      <c r="AB391" s="68"/>
    </row>
    <row r="392" spans="1:28" ht="47.25" x14ac:dyDescent="0.25">
      <c r="A392" s="33" t="s">
        <v>60</v>
      </c>
      <c r="B392" s="42">
        <v>373</v>
      </c>
      <c r="C392" s="33" t="s">
        <v>37</v>
      </c>
      <c r="D392" s="33" t="s">
        <v>852</v>
      </c>
      <c r="E392" s="32"/>
      <c r="F392" s="33" t="s">
        <v>854</v>
      </c>
      <c r="G392" s="32"/>
      <c r="H392" s="32"/>
      <c r="I392" s="33" t="s">
        <v>855</v>
      </c>
      <c r="J392" s="33" t="s">
        <v>43</v>
      </c>
      <c r="K392" s="33" t="s">
        <v>856</v>
      </c>
      <c r="L392" s="48">
        <v>3862052810</v>
      </c>
      <c r="M392" s="32"/>
      <c r="N392" s="48">
        <v>15000000</v>
      </c>
      <c r="O392" s="33" t="s">
        <v>853</v>
      </c>
      <c r="P392" s="48">
        <v>56000000</v>
      </c>
      <c r="Q392" s="48">
        <f t="shared" si="295"/>
        <v>3933052810</v>
      </c>
      <c r="R392" s="48">
        <v>3862052810</v>
      </c>
      <c r="S392" s="33"/>
      <c r="T392" s="44">
        <v>15000000</v>
      </c>
      <c r="U392" s="33"/>
      <c r="V392" s="33"/>
      <c r="W392" s="52"/>
      <c r="X392" s="52">
        <f t="shared" ref="X392:Y392" si="386">M392-S392</f>
        <v>0</v>
      </c>
      <c r="Y392" s="52">
        <f t="shared" si="386"/>
        <v>0</v>
      </c>
      <c r="Z392" s="52">
        <f t="shared" si="259"/>
        <v>56000000</v>
      </c>
      <c r="AA392" s="54"/>
      <c r="AB392" s="75"/>
    </row>
    <row r="393" spans="1:28" ht="31.5" x14ac:dyDescent="0.25">
      <c r="A393" s="33" t="s">
        <v>60</v>
      </c>
      <c r="B393" s="42">
        <v>374</v>
      </c>
      <c r="C393" s="33" t="s">
        <v>37</v>
      </c>
      <c r="D393" s="33" t="s">
        <v>2434</v>
      </c>
      <c r="E393" s="33" t="s">
        <v>2294</v>
      </c>
      <c r="F393" s="33" t="s">
        <v>2435</v>
      </c>
      <c r="G393" s="32"/>
      <c r="H393" s="32"/>
      <c r="I393" s="33" t="s">
        <v>2436</v>
      </c>
      <c r="J393" s="33" t="s">
        <v>43</v>
      </c>
      <c r="K393" s="33" t="s">
        <v>2437</v>
      </c>
      <c r="L393" s="48">
        <v>1332855184</v>
      </c>
      <c r="M393" s="48">
        <v>1083625992</v>
      </c>
      <c r="N393" s="48">
        <v>15000000</v>
      </c>
      <c r="O393" s="43"/>
      <c r="P393" s="43"/>
      <c r="Q393" s="48">
        <f t="shared" si="295"/>
        <v>2431481176</v>
      </c>
      <c r="R393" s="48">
        <v>1332855184</v>
      </c>
      <c r="S393" s="48">
        <v>1083625992</v>
      </c>
      <c r="T393" s="44">
        <v>15000000</v>
      </c>
      <c r="U393" s="33"/>
      <c r="V393" s="33"/>
      <c r="W393" s="52"/>
      <c r="X393" s="52">
        <f t="shared" ref="X393:Y393" si="387">M393-S393</f>
        <v>0</v>
      </c>
      <c r="Y393" s="52">
        <f t="shared" si="387"/>
        <v>0</v>
      </c>
      <c r="Z393" s="52">
        <f t="shared" si="259"/>
        <v>0</v>
      </c>
      <c r="AA393" s="54"/>
      <c r="AB393" s="68"/>
    </row>
    <row r="394" spans="1:28" ht="47.25" x14ac:dyDescent="0.25">
      <c r="A394" s="33" t="s">
        <v>52</v>
      </c>
      <c r="B394" s="42">
        <v>375</v>
      </c>
      <c r="C394" s="33" t="s">
        <v>37</v>
      </c>
      <c r="D394" s="33" t="s">
        <v>2438</v>
      </c>
      <c r="E394" s="32"/>
      <c r="F394" s="33" t="s">
        <v>2439</v>
      </c>
      <c r="G394" s="32"/>
      <c r="H394" s="32"/>
      <c r="I394" s="33" t="s">
        <v>2440</v>
      </c>
      <c r="J394" s="33" t="s">
        <v>43</v>
      </c>
      <c r="K394" s="33" t="s">
        <v>2441</v>
      </c>
      <c r="L394" s="48">
        <v>1438986832</v>
      </c>
      <c r="M394" s="32"/>
      <c r="N394" s="48">
        <v>15000000</v>
      </c>
      <c r="O394" s="43"/>
      <c r="P394" s="43"/>
      <c r="Q394" s="48">
        <f t="shared" si="295"/>
        <v>1453986832</v>
      </c>
      <c r="R394" s="48">
        <v>1438986832</v>
      </c>
      <c r="S394" s="33"/>
      <c r="T394" s="44">
        <v>15000000</v>
      </c>
      <c r="U394" s="33"/>
      <c r="V394" s="33"/>
      <c r="W394" s="52"/>
      <c r="X394" s="52">
        <f t="shared" ref="X394:Y394" si="388">M394-S394</f>
        <v>0</v>
      </c>
      <c r="Y394" s="52">
        <f t="shared" si="388"/>
        <v>0</v>
      </c>
      <c r="Z394" s="52">
        <f t="shared" si="259"/>
        <v>0</v>
      </c>
      <c r="AA394" s="54"/>
      <c r="AB394" s="68"/>
    </row>
    <row r="395" spans="1:28" ht="47.25" x14ac:dyDescent="0.25">
      <c r="A395" s="33" t="s">
        <v>35</v>
      </c>
      <c r="B395" s="42">
        <v>376</v>
      </c>
      <c r="C395" s="33" t="s">
        <v>37</v>
      </c>
      <c r="D395" s="33" t="s">
        <v>38</v>
      </c>
      <c r="E395" s="32"/>
      <c r="F395" s="33" t="s">
        <v>40</v>
      </c>
      <c r="G395" s="32"/>
      <c r="H395" s="32"/>
      <c r="I395" s="33" t="s">
        <v>41</v>
      </c>
      <c r="J395" s="33" t="s">
        <v>43</v>
      </c>
      <c r="K395" s="33" t="s">
        <v>44</v>
      </c>
      <c r="L395" s="48">
        <v>544448656</v>
      </c>
      <c r="M395" s="32"/>
      <c r="N395" s="48">
        <v>15000000</v>
      </c>
      <c r="O395" s="33" t="s">
        <v>39</v>
      </c>
      <c r="P395" s="48">
        <v>72000000</v>
      </c>
      <c r="Q395" s="48">
        <f t="shared" si="295"/>
        <v>631448656</v>
      </c>
      <c r="R395" s="48">
        <v>544448656</v>
      </c>
      <c r="S395" s="33"/>
      <c r="T395" s="44">
        <v>15000000</v>
      </c>
      <c r="U395" s="33"/>
      <c r="V395" s="33"/>
      <c r="W395" s="52"/>
      <c r="X395" s="52">
        <f t="shared" ref="X395:Y395" si="389">M395-S395</f>
        <v>0</v>
      </c>
      <c r="Y395" s="52">
        <f t="shared" si="389"/>
        <v>0</v>
      </c>
      <c r="Z395" s="52">
        <f t="shared" si="259"/>
        <v>72000000</v>
      </c>
      <c r="AA395" s="54"/>
      <c r="AB395" s="75"/>
    </row>
    <row r="396" spans="1:28" ht="31.5" x14ac:dyDescent="0.25">
      <c r="A396" s="33" t="s">
        <v>52</v>
      </c>
      <c r="B396" s="42">
        <v>377</v>
      </c>
      <c r="C396" s="33" t="s">
        <v>37</v>
      </c>
      <c r="D396" s="33" t="s">
        <v>2442</v>
      </c>
      <c r="E396" s="33" t="s">
        <v>2443</v>
      </c>
      <c r="F396" s="33" t="s">
        <v>2444</v>
      </c>
      <c r="G396" s="33" t="s">
        <v>2445</v>
      </c>
      <c r="H396" s="32"/>
      <c r="I396" s="33" t="s">
        <v>2446</v>
      </c>
      <c r="J396" s="33" t="s">
        <v>43</v>
      </c>
      <c r="K396" s="33" t="s">
        <v>2310</v>
      </c>
      <c r="L396" s="48">
        <v>1565965768</v>
      </c>
      <c r="M396" s="48">
        <v>410266836</v>
      </c>
      <c r="N396" s="48">
        <v>15000000</v>
      </c>
      <c r="O396" s="43"/>
      <c r="P396" s="43"/>
      <c r="Q396" s="48">
        <f t="shared" si="295"/>
        <v>1991232604</v>
      </c>
      <c r="R396" s="48">
        <v>1565965768</v>
      </c>
      <c r="S396" s="33"/>
      <c r="T396" s="44">
        <v>15000000</v>
      </c>
      <c r="U396" s="33"/>
      <c r="V396" s="33"/>
      <c r="W396" s="52"/>
      <c r="X396" s="52">
        <f t="shared" ref="X396:Y396" si="390">M396-S396</f>
        <v>410266836</v>
      </c>
      <c r="Y396" s="52">
        <f t="shared" si="390"/>
        <v>0</v>
      </c>
      <c r="Z396" s="52">
        <f t="shared" si="259"/>
        <v>0</v>
      </c>
      <c r="AA396" s="54"/>
      <c r="AB396" s="68"/>
    </row>
    <row r="397" spans="1:28" ht="31.5" x14ac:dyDescent="0.25">
      <c r="A397" s="33" t="s">
        <v>52</v>
      </c>
      <c r="B397" s="42">
        <v>378</v>
      </c>
      <c r="C397" s="33" t="s">
        <v>37</v>
      </c>
      <c r="D397" s="33" t="s">
        <v>2447</v>
      </c>
      <c r="E397" s="32"/>
      <c r="F397" s="33" t="s">
        <v>2448</v>
      </c>
      <c r="G397" s="32"/>
      <c r="H397" s="32"/>
      <c r="I397" s="33" t="s">
        <v>2449</v>
      </c>
      <c r="J397" s="33" t="s">
        <v>43</v>
      </c>
      <c r="K397" s="33" t="s">
        <v>2450</v>
      </c>
      <c r="L397" s="48">
        <v>1173810916</v>
      </c>
      <c r="M397" s="32"/>
      <c r="N397" s="48">
        <v>15000000</v>
      </c>
      <c r="O397" s="43"/>
      <c r="P397" s="43"/>
      <c r="Q397" s="48">
        <f t="shared" si="295"/>
        <v>1188810916</v>
      </c>
      <c r="R397" s="48">
        <v>1173810916</v>
      </c>
      <c r="S397" s="33"/>
      <c r="T397" s="44">
        <v>15000000</v>
      </c>
      <c r="U397" s="33"/>
      <c r="V397" s="33"/>
      <c r="W397" s="52"/>
      <c r="X397" s="52">
        <f t="shared" ref="X397:Y397" si="391">M397-S397</f>
        <v>0</v>
      </c>
      <c r="Y397" s="52">
        <f t="shared" si="391"/>
        <v>0</v>
      </c>
      <c r="Z397" s="52">
        <f t="shared" si="259"/>
        <v>0</v>
      </c>
      <c r="AA397" s="54"/>
      <c r="AB397" s="68"/>
    </row>
    <row r="398" spans="1:28" ht="31.5" x14ac:dyDescent="0.25">
      <c r="A398" s="33" t="s">
        <v>52</v>
      </c>
      <c r="B398" s="42">
        <v>379</v>
      </c>
      <c r="C398" s="33" t="s">
        <v>37</v>
      </c>
      <c r="D398" s="33" t="s">
        <v>2451</v>
      </c>
      <c r="E398" s="32"/>
      <c r="F398" s="33" t="s">
        <v>2452</v>
      </c>
      <c r="G398" s="32"/>
      <c r="H398" s="32"/>
      <c r="I398" s="33" t="s">
        <v>2453</v>
      </c>
      <c r="J398" s="33" t="s">
        <v>43</v>
      </c>
      <c r="K398" s="33" t="s">
        <v>2454</v>
      </c>
      <c r="L398" s="48">
        <v>1932455460</v>
      </c>
      <c r="M398" s="32"/>
      <c r="N398" s="48">
        <v>7500000</v>
      </c>
      <c r="O398" s="43"/>
      <c r="P398" s="43"/>
      <c r="Q398" s="48">
        <f t="shared" si="295"/>
        <v>1939955460</v>
      </c>
      <c r="R398" s="48">
        <v>1932455460</v>
      </c>
      <c r="S398" s="33"/>
      <c r="T398" s="66"/>
      <c r="U398" s="33"/>
      <c r="V398" s="33"/>
      <c r="W398" s="52"/>
      <c r="X398" s="52">
        <f t="shared" ref="X398:Y398" si="392">M398-S398</f>
        <v>0</v>
      </c>
      <c r="Y398" s="52">
        <f t="shared" si="392"/>
        <v>7500000</v>
      </c>
      <c r="Z398" s="52">
        <f t="shared" si="259"/>
        <v>0</v>
      </c>
      <c r="AA398" s="54"/>
      <c r="AB398" s="68"/>
    </row>
    <row r="399" spans="1:28" ht="47.25" x14ac:dyDescent="0.25">
      <c r="A399" s="33" t="s">
        <v>60</v>
      </c>
      <c r="B399" s="42">
        <v>380</v>
      </c>
      <c r="C399" s="33" t="s">
        <v>37</v>
      </c>
      <c r="D399" s="33" t="s">
        <v>2455</v>
      </c>
      <c r="E399" s="33" t="s">
        <v>2402</v>
      </c>
      <c r="F399" s="33" t="s">
        <v>2456</v>
      </c>
      <c r="G399" s="33" t="s">
        <v>2457</v>
      </c>
      <c r="H399" s="32"/>
      <c r="I399" s="33" t="s">
        <v>2458</v>
      </c>
      <c r="J399" s="33" t="s">
        <v>43</v>
      </c>
      <c r="K399" s="33" t="s">
        <v>2459</v>
      </c>
      <c r="L399" s="48">
        <v>7987138183</v>
      </c>
      <c r="M399" s="48">
        <v>674307533</v>
      </c>
      <c r="N399" s="48">
        <v>15000000</v>
      </c>
      <c r="O399" s="43"/>
      <c r="P399" s="43"/>
      <c r="Q399" s="48">
        <f t="shared" si="295"/>
        <v>8676445716</v>
      </c>
      <c r="R399" s="48">
        <v>7987138183</v>
      </c>
      <c r="S399" s="48">
        <v>674307533</v>
      </c>
      <c r="T399" s="44">
        <v>15000000</v>
      </c>
      <c r="U399" s="33"/>
      <c r="V399" s="33"/>
      <c r="W399" s="52"/>
      <c r="X399" s="52">
        <f t="shared" ref="X399:Y399" si="393">M399-S399</f>
        <v>0</v>
      </c>
      <c r="Y399" s="52">
        <f t="shared" si="393"/>
        <v>0</v>
      </c>
      <c r="Z399" s="52">
        <f t="shared" si="259"/>
        <v>0</v>
      </c>
      <c r="AA399" s="54"/>
      <c r="AB399" s="68"/>
    </row>
    <row r="400" spans="1:28" ht="31.5" x14ac:dyDescent="0.25">
      <c r="A400" s="33" t="s">
        <v>60</v>
      </c>
      <c r="B400" s="42">
        <v>381</v>
      </c>
      <c r="C400" s="33" t="s">
        <v>37</v>
      </c>
      <c r="D400" s="33" t="s">
        <v>2461</v>
      </c>
      <c r="E400" s="33" t="s">
        <v>2462</v>
      </c>
      <c r="F400" s="33" t="s">
        <v>2463</v>
      </c>
      <c r="G400" s="33" t="s">
        <v>2464</v>
      </c>
      <c r="H400" s="32"/>
      <c r="I400" s="33" t="s">
        <v>2465</v>
      </c>
      <c r="J400" s="33" t="s">
        <v>43</v>
      </c>
      <c r="K400" s="33" t="s">
        <v>2466</v>
      </c>
      <c r="L400" s="48">
        <v>3114350704</v>
      </c>
      <c r="M400" s="48">
        <v>818534808</v>
      </c>
      <c r="N400" s="48">
        <v>15000000</v>
      </c>
      <c r="O400" s="43"/>
      <c r="P400" s="43"/>
      <c r="Q400" s="48">
        <f t="shared" si="295"/>
        <v>3947885512</v>
      </c>
      <c r="R400" s="48">
        <v>3114350704</v>
      </c>
      <c r="S400" s="48">
        <v>818534808</v>
      </c>
      <c r="T400" s="44">
        <v>15000000</v>
      </c>
      <c r="U400" s="33"/>
      <c r="V400" s="33"/>
      <c r="W400" s="52"/>
      <c r="X400" s="52">
        <f t="shared" ref="X400:Y400" si="394">M400-S400</f>
        <v>0</v>
      </c>
      <c r="Y400" s="52">
        <f t="shared" si="394"/>
        <v>0</v>
      </c>
      <c r="Z400" s="52">
        <f t="shared" si="259"/>
        <v>0</v>
      </c>
      <c r="AA400" s="54"/>
      <c r="AB400" s="68"/>
    </row>
    <row r="401" spans="1:28" ht="47.25" x14ac:dyDescent="0.25">
      <c r="A401" s="33" t="s">
        <v>52</v>
      </c>
      <c r="B401" s="42">
        <v>382</v>
      </c>
      <c r="C401" s="33" t="s">
        <v>37</v>
      </c>
      <c r="D401" s="33" t="s">
        <v>2467</v>
      </c>
      <c r="E401" s="32"/>
      <c r="F401" s="33" t="s">
        <v>2468</v>
      </c>
      <c r="G401" s="32"/>
      <c r="H401" s="32"/>
      <c r="I401" s="33" t="s">
        <v>2469</v>
      </c>
      <c r="J401" s="33" t="s">
        <v>43</v>
      </c>
      <c r="K401" s="33" t="s">
        <v>2470</v>
      </c>
      <c r="L401" s="48">
        <v>1601529450</v>
      </c>
      <c r="M401" s="32"/>
      <c r="N401" s="48">
        <v>7500000</v>
      </c>
      <c r="O401" s="43"/>
      <c r="P401" s="43"/>
      <c r="Q401" s="48">
        <f t="shared" si="295"/>
        <v>1609029450</v>
      </c>
      <c r="R401" s="48">
        <v>1601529450</v>
      </c>
      <c r="S401" s="33"/>
      <c r="T401" s="44">
        <v>7500000</v>
      </c>
      <c r="U401" s="33"/>
      <c r="V401" s="33"/>
      <c r="W401" s="52"/>
      <c r="X401" s="52">
        <f t="shared" ref="X401:Y401" si="395">M401-S401</f>
        <v>0</v>
      </c>
      <c r="Y401" s="52">
        <f t="shared" si="395"/>
        <v>0</v>
      </c>
      <c r="Z401" s="52">
        <f t="shared" si="259"/>
        <v>0</v>
      </c>
      <c r="AA401" s="54"/>
      <c r="AB401" s="68"/>
    </row>
    <row r="402" spans="1:28" ht="47.25" x14ac:dyDescent="0.25">
      <c r="A402" s="33" t="s">
        <v>52</v>
      </c>
      <c r="B402" s="42">
        <v>383</v>
      </c>
      <c r="C402" s="33" t="s">
        <v>163</v>
      </c>
      <c r="D402" s="33" t="s">
        <v>2471</v>
      </c>
      <c r="E402" s="32"/>
      <c r="F402" s="33" t="s">
        <v>2472</v>
      </c>
      <c r="G402" s="32"/>
      <c r="H402" s="32"/>
      <c r="I402" s="33" t="s">
        <v>2473</v>
      </c>
      <c r="J402" s="33" t="s">
        <v>43</v>
      </c>
      <c r="K402" s="33" t="s">
        <v>2474</v>
      </c>
      <c r="L402" s="48">
        <v>11297433580</v>
      </c>
      <c r="M402" s="32"/>
      <c r="N402" s="48">
        <v>15000000</v>
      </c>
      <c r="O402" s="43"/>
      <c r="P402" s="43"/>
      <c r="Q402" s="48">
        <f t="shared" si="295"/>
        <v>11312433580</v>
      </c>
      <c r="R402" s="48">
        <v>11297433580</v>
      </c>
      <c r="S402" s="33"/>
      <c r="T402" s="44">
        <v>15000000</v>
      </c>
      <c r="U402" s="33"/>
      <c r="V402" s="33"/>
      <c r="W402" s="52"/>
      <c r="X402" s="52">
        <f t="shared" ref="X402:Y402" si="396">M402-S402</f>
        <v>0</v>
      </c>
      <c r="Y402" s="52">
        <f t="shared" si="396"/>
        <v>0</v>
      </c>
      <c r="Z402" s="52">
        <f t="shared" si="259"/>
        <v>0</v>
      </c>
      <c r="AA402" s="54"/>
      <c r="AB402" s="68"/>
    </row>
    <row r="403" spans="1:28" ht="30" customHeight="1" x14ac:dyDescent="0.25">
      <c r="A403" s="33"/>
      <c r="B403" s="299">
        <v>384</v>
      </c>
      <c r="C403" s="299" t="s">
        <v>163</v>
      </c>
      <c r="D403" s="33"/>
      <c r="E403" s="32"/>
      <c r="F403" s="299" t="s">
        <v>166</v>
      </c>
      <c r="G403" s="32"/>
      <c r="H403" s="32"/>
      <c r="I403" s="300" t="s">
        <v>167</v>
      </c>
      <c r="J403" s="299" t="s">
        <v>43</v>
      </c>
      <c r="K403" s="299" t="s">
        <v>168</v>
      </c>
      <c r="L403" s="48"/>
      <c r="M403" s="32"/>
      <c r="N403" s="48"/>
      <c r="O403" s="43" t="s">
        <v>2475</v>
      </c>
      <c r="P403" s="48">
        <v>42000000</v>
      </c>
      <c r="Q403" s="48"/>
      <c r="R403" s="48"/>
      <c r="S403" s="33"/>
      <c r="T403" s="44"/>
      <c r="U403" s="48">
        <v>42000000</v>
      </c>
      <c r="V403" s="33"/>
      <c r="W403" s="52"/>
      <c r="X403" s="52"/>
      <c r="Y403" s="52"/>
      <c r="Z403" s="52">
        <f t="shared" si="259"/>
        <v>0</v>
      </c>
      <c r="AA403" s="54"/>
      <c r="AB403" s="68"/>
    </row>
    <row r="404" spans="1:28" ht="31.5" x14ac:dyDescent="0.25">
      <c r="A404" s="33" t="s">
        <v>35</v>
      </c>
      <c r="B404" s="290"/>
      <c r="C404" s="290"/>
      <c r="D404" s="33" t="s">
        <v>164</v>
      </c>
      <c r="E404" s="32"/>
      <c r="F404" s="290"/>
      <c r="G404" s="32"/>
      <c r="H404" s="32"/>
      <c r="I404" s="290"/>
      <c r="J404" s="290"/>
      <c r="K404" s="290"/>
      <c r="L404" s="48">
        <v>3413351616</v>
      </c>
      <c r="M404" s="32"/>
      <c r="N404" s="48">
        <v>15000000</v>
      </c>
      <c r="O404" s="33" t="s">
        <v>1965</v>
      </c>
      <c r="P404" s="48">
        <v>84000000</v>
      </c>
      <c r="Q404" s="48">
        <f t="shared" ref="Q404:Q563" si="397">L404+M404+N404+P404</f>
        <v>3512351616</v>
      </c>
      <c r="R404" s="48">
        <v>3413351616</v>
      </c>
      <c r="S404" s="33"/>
      <c r="T404" s="44">
        <v>15000000</v>
      </c>
      <c r="U404" s="48"/>
      <c r="V404" s="33"/>
      <c r="W404" s="52"/>
      <c r="X404" s="52">
        <f t="shared" ref="X404:Y404" si="398">M404-S404</f>
        <v>0</v>
      </c>
      <c r="Y404" s="52">
        <f t="shared" si="398"/>
        <v>0</v>
      </c>
      <c r="Z404" s="52">
        <f t="shared" si="259"/>
        <v>84000000</v>
      </c>
      <c r="AA404" s="54"/>
      <c r="AB404" s="75"/>
    </row>
    <row r="405" spans="1:28" ht="78.75" x14ac:dyDescent="0.25">
      <c r="A405" s="33" t="s">
        <v>88</v>
      </c>
      <c r="B405" s="42">
        <v>385</v>
      </c>
      <c r="C405" s="33" t="s">
        <v>163</v>
      </c>
      <c r="D405" s="33" t="s">
        <v>2476</v>
      </c>
      <c r="E405" s="33" t="s">
        <v>2477</v>
      </c>
      <c r="F405" s="33" t="s">
        <v>2478</v>
      </c>
      <c r="G405" s="32"/>
      <c r="H405" s="33" t="s">
        <v>2479</v>
      </c>
      <c r="I405" s="33" t="s">
        <v>0</v>
      </c>
      <c r="J405" s="33" t="s">
        <v>43</v>
      </c>
      <c r="K405" s="33" t="s">
        <v>2480</v>
      </c>
      <c r="L405" s="42">
        <v>0</v>
      </c>
      <c r="M405" s="32"/>
      <c r="N405" s="48">
        <v>7500000</v>
      </c>
      <c r="O405" s="43"/>
      <c r="P405" s="43"/>
      <c r="Q405" s="48">
        <f t="shared" si="397"/>
        <v>7500000</v>
      </c>
      <c r="R405" s="42">
        <v>0</v>
      </c>
      <c r="S405" s="33"/>
      <c r="T405" s="66"/>
      <c r="U405" s="33"/>
      <c r="V405" s="33"/>
      <c r="W405" s="52"/>
      <c r="X405" s="52">
        <f t="shared" ref="X405:Y405" si="399">M405-S405</f>
        <v>0</v>
      </c>
      <c r="Y405" s="52">
        <f t="shared" si="399"/>
        <v>7500000</v>
      </c>
      <c r="Z405" s="52">
        <f t="shared" si="259"/>
        <v>0</v>
      </c>
      <c r="AA405" s="54"/>
      <c r="AB405" s="68"/>
    </row>
    <row r="406" spans="1:28" ht="47.25" x14ac:dyDescent="0.25">
      <c r="A406" s="33" t="s">
        <v>60</v>
      </c>
      <c r="B406" s="42">
        <v>386</v>
      </c>
      <c r="C406" s="33" t="s">
        <v>163</v>
      </c>
      <c r="D406" s="33" t="s">
        <v>2481</v>
      </c>
      <c r="E406" s="32"/>
      <c r="F406" s="33" t="s">
        <v>2482</v>
      </c>
      <c r="G406" s="32"/>
      <c r="H406" s="32"/>
      <c r="I406" s="33" t="s">
        <v>2483</v>
      </c>
      <c r="J406" s="33" t="s">
        <v>43</v>
      </c>
      <c r="K406" s="33" t="s">
        <v>2484</v>
      </c>
      <c r="L406" s="48">
        <v>10000000</v>
      </c>
      <c r="M406" s="32"/>
      <c r="N406" s="48">
        <v>15000000</v>
      </c>
      <c r="O406" s="43"/>
      <c r="P406" s="43"/>
      <c r="Q406" s="48">
        <f t="shared" si="397"/>
        <v>25000000</v>
      </c>
      <c r="R406" s="33"/>
      <c r="S406" s="33"/>
      <c r="T406" s="66"/>
      <c r="U406" s="33"/>
      <c r="V406" s="33"/>
      <c r="W406" s="52">
        <v>10000000</v>
      </c>
      <c r="X406" s="52">
        <f t="shared" ref="X406:Y406" si="400">M406-S406</f>
        <v>0</v>
      </c>
      <c r="Y406" s="52">
        <f t="shared" si="400"/>
        <v>15000000</v>
      </c>
      <c r="Z406" s="52">
        <f t="shared" si="259"/>
        <v>0</v>
      </c>
      <c r="AA406" s="102">
        <v>10000000</v>
      </c>
      <c r="AB406" s="68"/>
    </row>
    <row r="407" spans="1:28" ht="47.25" x14ac:dyDescent="0.25">
      <c r="A407" s="33" t="s">
        <v>60</v>
      </c>
      <c r="B407" s="42">
        <v>387</v>
      </c>
      <c r="C407" s="33" t="s">
        <v>163</v>
      </c>
      <c r="D407" s="33" t="s">
        <v>2485</v>
      </c>
      <c r="E407" s="32"/>
      <c r="F407" s="33" t="s">
        <v>2486</v>
      </c>
      <c r="G407" s="32"/>
      <c r="H407" s="32"/>
      <c r="I407" s="33" t="s">
        <v>2487</v>
      </c>
      <c r="J407" s="33" t="s">
        <v>43</v>
      </c>
      <c r="K407" s="33" t="s">
        <v>2488</v>
      </c>
      <c r="L407" s="48">
        <v>316671600</v>
      </c>
      <c r="M407" s="32"/>
      <c r="N407" s="48">
        <v>7500000</v>
      </c>
      <c r="O407" s="43"/>
      <c r="P407" s="43"/>
      <c r="Q407" s="48">
        <f t="shared" si="397"/>
        <v>324171600</v>
      </c>
      <c r="R407" s="48">
        <v>316671600</v>
      </c>
      <c r="S407" s="33"/>
      <c r="T407" s="44">
        <v>7500000</v>
      </c>
      <c r="U407" s="33"/>
      <c r="V407" s="33"/>
      <c r="W407" s="52"/>
      <c r="X407" s="52">
        <f t="shared" ref="X407:Y407" si="401">M407-S407</f>
        <v>0</v>
      </c>
      <c r="Y407" s="52">
        <f t="shared" si="401"/>
        <v>0</v>
      </c>
      <c r="Z407" s="52">
        <f t="shared" si="259"/>
        <v>0</v>
      </c>
      <c r="AA407" s="54"/>
      <c r="AB407" s="68"/>
    </row>
    <row r="408" spans="1:28" ht="47.25" x14ac:dyDescent="0.25">
      <c r="A408" s="33" t="s">
        <v>60</v>
      </c>
      <c r="B408" s="42">
        <v>388</v>
      </c>
      <c r="C408" s="33" t="s">
        <v>163</v>
      </c>
      <c r="D408" s="33" t="s">
        <v>2489</v>
      </c>
      <c r="E408" s="32"/>
      <c r="F408" s="33" t="s">
        <v>2490</v>
      </c>
      <c r="G408" s="32"/>
      <c r="H408" s="32"/>
      <c r="I408" s="33" t="s">
        <v>2491</v>
      </c>
      <c r="J408" s="33" t="s">
        <v>43</v>
      </c>
      <c r="K408" s="33" t="s">
        <v>2492</v>
      </c>
      <c r="L408" s="48">
        <v>467090610</v>
      </c>
      <c r="M408" s="32"/>
      <c r="N408" s="48">
        <v>7500000</v>
      </c>
      <c r="O408" s="43"/>
      <c r="P408" s="43"/>
      <c r="Q408" s="48">
        <f t="shared" si="397"/>
        <v>474590610</v>
      </c>
      <c r="R408" s="79">
        <v>467090610</v>
      </c>
      <c r="S408" s="33"/>
      <c r="T408" s="44">
        <v>7500000</v>
      </c>
      <c r="U408" s="33"/>
      <c r="V408" s="33"/>
      <c r="W408" s="52"/>
      <c r="X408" s="52">
        <f t="shared" ref="X408:Y408" si="402">M408-S408</f>
        <v>0</v>
      </c>
      <c r="Y408" s="52">
        <f t="shared" si="402"/>
        <v>0</v>
      </c>
      <c r="Z408" s="52">
        <f t="shared" si="259"/>
        <v>0</v>
      </c>
      <c r="AA408" s="54"/>
      <c r="AB408" s="68"/>
    </row>
    <row r="409" spans="1:28" ht="47.25" x14ac:dyDescent="0.25">
      <c r="A409" s="33" t="s">
        <v>60</v>
      </c>
      <c r="B409" s="42">
        <v>389</v>
      </c>
      <c r="C409" s="33" t="s">
        <v>163</v>
      </c>
      <c r="D409" s="33" t="s">
        <v>2493</v>
      </c>
      <c r="E409" s="32"/>
      <c r="F409" s="33" t="s">
        <v>2494</v>
      </c>
      <c r="G409" s="32"/>
      <c r="H409" s="32"/>
      <c r="I409" s="33" t="s">
        <v>2495</v>
      </c>
      <c r="J409" s="33" t="s">
        <v>43</v>
      </c>
      <c r="K409" s="33" t="s">
        <v>2496</v>
      </c>
      <c r="L409" s="48">
        <v>938372032</v>
      </c>
      <c r="M409" s="32"/>
      <c r="N409" s="48">
        <v>15000000</v>
      </c>
      <c r="O409" s="43"/>
      <c r="P409" s="43"/>
      <c r="Q409" s="48">
        <f t="shared" si="397"/>
        <v>953372032</v>
      </c>
      <c r="R409" s="48">
        <v>938372032</v>
      </c>
      <c r="S409" s="33"/>
      <c r="T409" s="44">
        <v>15000000</v>
      </c>
      <c r="U409" s="33"/>
      <c r="V409" s="33"/>
      <c r="W409" s="52"/>
      <c r="X409" s="52">
        <f t="shared" ref="X409:Y409" si="403">M409-S409</f>
        <v>0</v>
      </c>
      <c r="Y409" s="52">
        <f t="shared" si="403"/>
        <v>0</v>
      </c>
      <c r="Z409" s="52">
        <f t="shared" si="259"/>
        <v>0</v>
      </c>
      <c r="AA409" s="54"/>
      <c r="AB409" s="68"/>
    </row>
    <row r="410" spans="1:28" ht="47.25" x14ac:dyDescent="0.25">
      <c r="A410" s="33" t="s">
        <v>88</v>
      </c>
      <c r="B410" s="42">
        <v>390</v>
      </c>
      <c r="C410" s="33" t="s">
        <v>163</v>
      </c>
      <c r="D410" s="33" t="s">
        <v>2497</v>
      </c>
      <c r="E410" s="32"/>
      <c r="F410" s="33" t="s">
        <v>2498</v>
      </c>
      <c r="G410" s="32"/>
      <c r="H410" s="32"/>
      <c r="I410" s="33" t="s">
        <v>2499</v>
      </c>
      <c r="J410" s="33" t="s">
        <v>43</v>
      </c>
      <c r="K410" s="33" t="s">
        <v>2500</v>
      </c>
      <c r="L410" s="48">
        <v>6416500</v>
      </c>
      <c r="M410" s="32"/>
      <c r="N410" s="48">
        <v>7500000</v>
      </c>
      <c r="O410" s="43"/>
      <c r="P410" s="43"/>
      <c r="Q410" s="48">
        <f t="shared" si="397"/>
        <v>13916500</v>
      </c>
      <c r="R410" s="33"/>
      <c r="S410" s="33"/>
      <c r="T410" s="66"/>
      <c r="U410" s="33"/>
      <c r="V410" s="33"/>
      <c r="W410" s="52">
        <v>6416500</v>
      </c>
      <c r="X410" s="52">
        <f t="shared" ref="X410:Y410" si="404">M410-S410</f>
        <v>0</v>
      </c>
      <c r="Y410" s="52">
        <f t="shared" si="404"/>
        <v>7500000</v>
      </c>
      <c r="Z410" s="52">
        <f t="shared" si="259"/>
        <v>0</v>
      </c>
      <c r="AA410" s="73">
        <v>6416500</v>
      </c>
      <c r="AB410" s="68"/>
    </row>
    <row r="411" spans="1:28" ht="47.25" x14ac:dyDescent="0.25">
      <c r="A411" s="33" t="s">
        <v>46</v>
      </c>
      <c r="B411" s="42">
        <v>391</v>
      </c>
      <c r="C411" s="33" t="s">
        <v>163</v>
      </c>
      <c r="D411" s="33" t="s">
        <v>2501</v>
      </c>
      <c r="E411" s="32"/>
      <c r="F411" s="33" t="s">
        <v>2502</v>
      </c>
      <c r="G411" s="32"/>
      <c r="H411" s="32"/>
      <c r="I411" s="33" t="s">
        <v>2503</v>
      </c>
      <c r="J411" s="33" t="s">
        <v>43</v>
      </c>
      <c r="K411" s="33" t="s">
        <v>242</v>
      </c>
      <c r="L411" s="48">
        <v>1417969836</v>
      </c>
      <c r="M411" s="32"/>
      <c r="N411" s="48">
        <v>15000000</v>
      </c>
      <c r="O411" s="43"/>
      <c r="P411" s="43"/>
      <c r="Q411" s="48">
        <f t="shared" si="397"/>
        <v>1432969836</v>
      </c>
      <c r="R411" s="48">
        <v>1417969836</v>
      </c>
      <c r="S411" s="33"/>
      <c r="T411" s="44">
        <v>15000000</v>
      </c>
      <c r="U411" s="33"/>
      <c r="V411" s="33"/>
      <c r="W411" s="52"/>
      <c r="X411" s="52">
        <f t="shared" ref="X411:Y411" si="405">M411-S411</f>
        <v>0</v>
      </c>
      <c r="Y411" s="52">
        <f t="shared" si="405"/>
        <v>0</v>
      </c>
      <c r="Z411" s="52">
        <f t="shared" si="259"/>
        <v>0</v>
      </c>
      <c r="AA411" s="54"/>
      <c r="AB411" s="68"/>
    </row>
    <row r="412" spans="1:28" ht="47.25" x14ac:dyDescent="0.25">
      <c r="A412" s="33" t="s">
        <v>60</v>
      </c>
      <c r="B412" s="42">
        <v>392</v>
      </c>
      <c r="C412" s="33" t="s">
        <v>163</v>
      </c>
      <c r="D412" s="33" t="s">
        <v>2504</v>
      </c>
      <c r="E412" s="32"/>
      <c r="F412" s="33" t="s">
        <v>2505</v>
      </c>
      <c r="G412" s="32"/>
      <c r="H412" s="32"/>
      <c r="I412" s="33" t="s">
        <v>2506</v>
      </c>
      <c r="J412" s="33" t="s">
        <v>43</v>
      </c>
      <c r="K412" s="33" t="s">
        <v>2507</v>
      </c>
      <c r="L412" s="48">
        <v>593759250</v>
      </c>
      <c r="M412" s="32"/>
      <c r="N412" s="48">
        <v>7500000</v>
      </c>
      <c r="O412" s="43"/>
      <c r="P412" s="43"/>
      <c r="Q412" s="48">
        <f t="shared" si="397"/>
        <v>601259250</v>
      </c>
      <c r="R412" s="48">
        <v>593759250</v>
      </c>
      <c r="S412" s="33"/>
      <c r="T412" s="44">
        <v>7500000</v>
      </c>
      <c r="U412" s="33"/>
      <c r="V412" s="33"/>
      <c r="W412" s="52"/>
      <c r="X412" s="52">
        <f t="shared" ref="X412:Y412" si="406">M412-S412</f>
        <v>0</v>
      </c>
      <c r="Y412" s="52">
        <f t="shared" si="406"/>
        <v>0</v>
      </c>
      <c r="Z412" s="52">
        <f t="shared" si="259"/>
        <v>0</v>
      </c>
      <c r="AA412" s="54"/>
      <c r="AB412" s="68"/>
    </row>
    <row r="413" spans="1:28" ht="47.25" x14ac:dyDescent="0.25">
      <c r="A413" s="33" t="s">
        <v>35</v>
      </c>
      <c r="B413" s="42">
        <v>393</v>
      </c>
      <c r="C413" s="33" t="s">
        <v>163</v>
      </c>
      <c r="D413" s="33" t="s">
        <v>2508</v>
      </c>
      <c r="E413" s="32"/>
      <c r="F413" s="33" t="s">
        <v>2509</v>
      </c>
      <c r="G413" s="32"/>
      <c r="H413" s="32"/>
      <c r="I413" s="33" t="s">
        <v>2510</v>
      </c>
      <c r="J413" s="33" t="s">
        <v>43</v>
      </c>
      <c r="K413" s="33" t="s">
        <v>2511</v>
      </c>
      <c r="L413" s="42">
        <v>0</v>
      </c>
      <c r="M413" s="32"/>
      <c r="N413" s="48">
        <v>7500000</v>
      </c>
      <c r="O413" s="43"/>
      <c r="P413" s="43"/>
      <c r="Q413" s="48">
        <f t="shared" si="397"/>
        <v>7500000</v>
      </c>
      <c r="R413" s="42">
        <v>0</v>
      </c>
      <c r="S413" s="33"/>
      <c r="T413" s="44">
        <v>7500000</v>
      </c>
      <c r="U413" s="33"/>
      <c r="V413" s="33"/>
      <c r="W413" s="52"/>
      <c r="X413" s="52">
        <f t="shared" ref="X413:Y413" si="407">M413-S413</f>
        <v>0</v>
      </c>
      <c r="Y413" s="52">
        <f t="shared" si="407"/>
        <v>0</v>
      </c>
      <c r="Z413" s="52">
        <f t="shared" si="259"/>
        <v>0</v>
      </c>
      <c r="AA413" s="54"/>
      <c r="AB413" s="68"/>
    </row>
    <row r="414" spans="1:28" ht="47.25" x14ac:dyDescent="0.25">
      <c r="A414" s="33" t="s">
        <v>88</v>
      </c>
      <c r="B414" s="42">
        <v>394</v>
      </c>
      <c r="C414" s="33" t="s">
        <v>163</v>
      </c>
      <c r="D414" s="33" t="s">
        <v>2512</v>
      </c>
      <c r="E414" s="32"/>
      <c r="F414" s="33" t="s">
        <v>2513</v>
      </c>
      <c r="G414" s="32"/>
      <c r="H414" s="32"/>
      <c r="I414" s="33" t="s">
        <v>2514</v>
      </c>
      <c r="J414" s="33" t="s">
        <v>43</v>
      </c>
      <c r="K414" s="33" t="s">
        <v>2515</v>
      </c>
      <c r="L414" s="48">
        <v>12385885580</v>
      </c>
      <c r="M414" s="32"/>
      <c r="N414" s="48">
        <v>15000000</v>
      </c>
      <c r="O414" s="43"/>
      <c r="P414" s="43"/>
      <c r="Q414" s="48">
        <f t="shared" si="397"/>
        <v>12400885580</v>
      </c>
      <c r="R414" s="48">
        <v>12385885580</v>
      </c>
      <c r="S414" s="33"/>
      <c r="T414" s="44">
        <v>15000000</v>
      </c>
      <c r="U414" s="33"/>
      <c r="V414" s="33"/>
      <c r="W414" s="52"/>
      <c r="X414" s="52">
        <f t="shared" ref="X414:Y414" si="408">M414-S414</f>
        <v>0</v>
      </c>
      <c r="Y414" s="52">
        <f t="shared" si="408"/>
        <v>0</v>
      </c>
      <c r="Z414" s="52">
        <f t="shared" si="259"/>
        <v>0</v>
      </c>
      <c r="AA414" s="54"/>
      <c r="AB414" s="68"/>
    </row>
    <row r="415" spans="1:28" ht="47.25" x14ac:dyDescent="0.25">
      <c r="A415" s="33" t="s">
        <v>52</v>
      </c>
      <c r="B415" s="42">
        <v>395</v>
      </c>
      <c r="C415" s="33" t="s">
        <v>163</v>
      </c>
      <c r="D415" s="33" t="s">
        <v>2516</v>
      </c>
      <c r="E415" s="32"/>
      <c r="F415" s="33" t="s">
        <v>2517</v>
      </c>
      <c r="G415" s="32"/>
      <c r="H415" s="32"/>
      <c r="I415" s="33" t="s">
        <v>2518</v>
      </c>
      <c r="J415" s="33" t="s">
        <v>43</v>
      </c>
      <c r="K415" s="33" t="s">
        <v>242</v>
      </c>
      <c r="L415" s="48">
        <v>1322232264</v>
      </c>
      <c r="M415" s="32"/>
      <c r="N415" s="48">
        <v>15000000</v>
      </c>
      <c r="O415" s="43"/>
      <c r="P415" s="43"/>
      <c r="Q415" s="48">
        <f t="shared" si="397"/>
        <v>1337232264</v>
      </c>
      <c r="R415" s="48">
        <v>1322232264</v>
      </c>
      <c r="S415" s="33"/>
      <c r="T415" s="44">
        <v>15000000</v>
      </c>
      <c r="U415" s="33"/>
      <c r="V415" s="33"/>
      <c r="W415" s="52"/>
      <c r="X415" s="52">
        <f t="shared" ref="X415:Y415" si="409">M415-S415</f>
        <v>0</v>
      </c>
      <c r="Y415" s="52">
        <f t="shared" si="409"/>
        <v>0</v>
      </c>
      <c r="Z415" s="52">
        <f t="shared" si="259"/>
        <v>0</v>
      </c>
      <c r="AA415" s="54"/>
      <c r="AB415" s="68"/>
    </row>
    <row r="416" spans="1:28" ht="47.25" x14ac:dyDescent="0.25">
      <c r="A416" s="33" t="s">
        <v>46</v>
      </c>
      <c r="B416" s="42">
        <v>396</v>
      </c>
      <c r="C416" s="33" t="s">
        <v>163</v>
      </c>
      <c r="D416" s="33" t="s">
        <v>1301</v>
      </c>
      <c r="E416" s="33" t="s">
        <v>1302</v>
      </c>
      <c r="F416" s="33" t="s">
        <v>1303</v>
      </c>
      <c r="G416" s="33" t="s">
        <v>1304</v>
      </c>
      <c r="H416" s="32"/>
      <c r="I416" s="33" t="s">
        <v>1305</v>
      </c>
      <c r="J416" s="33" t="s">
        <v>43</v>
      </c>
      <c r="K416" s="33" t="s">
        <v>1306</v>
      </c>
      <c r="L416" s="48">
        <v>49337003090</v>
      </c>
      <c r="M416" s="48">
        <v>10000000</v>
      </c>
      <c r="N416" s="48">
        <v>15000000</v>
      </c>
      <c r="O416" s="43" t="s">
        <v>464</v>
      </c>
      <c r="P416" s="69">
        <v>144000000</v>
      </c>
      <c r="Q416" s="48">
        <f t="shared" si="397"/>
        <v>49506003090</v>
      </c>
      <c r="R416" s="48">
        <v>49337003090</v>
      </c>
      <c r="S416" s="48">
        <v>10000000</v>
      </c>
      <c r="T416" s="44">
        <v>15000000</v>
      </c>
      <c r="U416" s="48">
        <v>144000000</v>
      </c>
      <c r="V416" s="33"/>
      <c r="W416" s="52"/>
      <c r="X416" s="52">
        <f t="shared" ref="X416:Y416" si="410">M416-S416</f>
        <v>0</v>
      </c>
      <c r="Y416" s="52">
        <f t="shared" si="410"/>
        <v>0</v>
      </c>
      <c r="Z416" s="52">
        <f t="shared" si="259"/>
        <v>0</v>
      </c>
      <c r="AA416" s="54"/>
      <c r="AB416" s="68"/>
    </row>
    <row r="417" spans="1:45" ht="47.25" x14ac:dyDescent="0.25">
      <c r="A417" s="33" t="s">
        <v>35</v>
      </c>
      <c r="B417" s="42">
        <v>397</v>
      </c>
      <c r="C417" s="33" t="s">
        <v>163</v>
      </c>
      <c r="D417" s="33" t="s">
        <v>236</v>
      </c>
      <c r="E417" s="32"/>
      <c r="F417" s="33" t="s">
        <v>239</v>
      </c>
      <c r="G417" s="33" t="s">
        <v>240</v>
      </c>
      <c r="H417" s="32"/>
      <c r="I417" s="33" t="s">
        <v>241</v>
      </c>
      <c r="J417" s="33" t="s">
        <v>43</v>
      </c>
      <c r="K417" s="33" t="s">
        <v>242</v>
      </c>
      <c r="L417" s="48">
        <v>1599436369</v>
      </c>
      <c r="M417" s="32"/>
      <c r="N417" s="48">
        <v>15000000</v>
      </c>
      <c r="O417" s="43" t="s">
        <v>238</v>
      </c>
      <c r="P417" s="69">
        <v>48000000</v>
      </c>
      <c r="Q417" s="48">
        <f t="shared" si="397"/>
        <v>1662436369</v>
      </c>
      <c r="R417" s="48">
        <v>1599436369</v>
      </c>
      <c r="S417" s="33"/>
      <c r="T417" s="44">
        <v>15000000</v>
      </c>
      <c r="U417" s="48">
        <v>48000000</v>
      </c>
      <c r="V417" s="33"/>
      <c r="W417" s="52"/>
      <c r="X417" s="52">
        <f t="shared" ref="X417:Y417" si="411">M417-S417</f>
        <v>0</v>
      </c>
      <c r="Y417" s="52">
        <f t="shared" si="411"/>
        <v>0</v>
      </c>
      <c r="Z417" s="52">
        <f t="shared" si="259"/>
        <v>0</v>
      </c>
      <c r="AA417" s="54"/>
      <c r="AB417" s="68"/>
    </row>
    <row r="418" spans="1:45" ht="47.25" x14ac:dyDescent="0.25">
      <c r="A418" s="33" t="s">
        <v>35</v>
      </c>
      <c r="B418" s="42">
        <v>398</v>
      </c>
      <c r="C418" s="33" t="s">
        <v>163</v>
      </c>
      <c r="D418" s="33" t="s">
        <v>2521</v>
      </c>
      <c r="E418" s="32"/>
      <c r="F418" s="33" t="s">
        <v>2522</v>
      </c>
      <c r="G418" s="32"/>
      <c r="H418" s="32"/>
      <c r="I418" s="33" t="s">
        <v>2523</v>
      </c>
      <c r="J418" s="33" t="s">
        <v>43</v>
      </c>
      <c r="K418" s="33" t="s">
        <v>2524</v>
      </c>
      <c r="L418" s="48">
        <v>32537495820</v>
      </c>
      <c r="M418" s="32"/>
      <c r="N418" s="48">
        <v>15000000</v>
      </c>
      <c r="O418" s="43"/>
      <c r="P418" s="43"/>
      <c r="Q418" s="48">
        <f t="shared" si="397"/>
        <v>32552495820</v>
      </c>
      <c r="R418" s="48">
        <v>32537495820</v>
      </c>
      <c r="S418" s="33"/>
      <c r="T418" s="66"/>
      <c r="U418" s="33"/>
      <c r="V418" s="33"/>
      <c r="W418" s="52"/>
      <c r="X418" s="52">
        <f t="shared" ref="X418:Y418" si="412">M418-S418</f>
        <v>0</v>
      </c>
      <c r="Y418" s="52">
        <f t="shared" si="412"/>
        <v>15000000</v>
      </c>
      <c r="Z418" s="52">
        <f t="shared" si="259"/>
        <v>0</v>
      </c>
      <c r="AA418" s="54"/>
      <c r="AB418" s="68"/>
    </row>
    <row r="419" spans="1:45" ht="47.25" x14ac:dyDescent="0.25">
      <c r="A419" s="33" t="s">
        <v>46</v>
      </c>
      <c r="B419" s="42">
        <v>399</v>
      </c>
      <c r="C419" s="33" t="s">
        <v>163</v>
      </c>
      <c r="D419" s="33" t="s">
        <v>2525</v>
      </c>
      <c r="E419" s="33" t="s">
        <v>2526</v>
      </c>
      <c r="F419" s="33" t="s">
        <v>2527</v>
      </c>
      <c r="G419" s="32"/>
      <c r="H419" s="32"/>
      <c r="I419" s="33" t="s">
        <v>2528</v>
      </c>
      <c r="J419" s="33" t="s">
        <v>43</v>
      </c>
      <c r="K419" s="33" t="s">
        <v>713</v>
      </c>
      <c r="L419" s="48">
        <v>813568192</v>
      </c>
      <c r="M419" s="48">
        <v>98912520</v>
      </c>
      <c r="N419" s="48">
        <v>15000000</v>
      </c>
      <c r="O419" s="43"/>
      <c r="P419" s="43"/>
      <c r="Q419" s="48">
        <f t="shared" si="397"/>
        <v>927480712</v>
      </c>
      <c r="R419" s="48">
        <v>813568192</v>
      </c>
      <c r="S419" s="48">
        <v>98912520</v>
      </c>
      <c r="T419" s="66"/>
      <c r="U419" s="33"/>
      <c r="V419" s="33"/>
      <c r="W419" s="52"/>
      <c r="X419" s="52">
        <f t="shared" ref="X419:Y419" si="413">M419-S419</f>
        <v>0</v>
      </c>
      <c r="Y419" s="52">
        <f t="shared" si="413"/>
        <v>15000000</v>
      </c>
      <c r="Z419" s="52">
        <f t="shared" si="259"/>
        <v>0</v>
      </c>
      <c r="AA419" s="54"/>
      <c r="AB419" s="68"/>
    </row>
    <row r="420" spans="1:45" ht="47.25" x14ac:dyDescent="0.25">
      <c r="A420" s="88" t="s">
        <v>35</v>
      </c>
      <c r="B420" s="89">
        <v>400</v>
      </c>
      <c r="C420" s="88" t="s">
        <v>163</v>
      </c>
      <c r="D420" s="88" t="s">
        <v>805</v>
      </c>
      <c r="E420" s="88" t="s">
        <v>806</v>
      </c>
      <c r="F420" s="88" t="s">
        <v>808</v>
      </c>
      <c r="G420" s="88" t="s">
        <v>809</v>
      </c>
      <c r="H420" s="90"/>
      <c r="I420" s="88" t="s">
        <v>810</v>
      </c>
      <c r="J420" s="88" t="s">
        <v>43</v>
      </c>
      <c r="K420" s="88" t="s">
        <v>811</v>
      </c>
      <c r="L420" s="91">
        <v>10872345664</v>
      </c>
      <c r="M420" s="91">
        <v>425645424</v>
      </c>
      <c r="N420" s="91">
        <v>15000000</v>
      </c>
      <c r="O420" s="92" t="s">
        <v>807</v>
      </c>
      <c r="P420" s="84">
        <v>48000000</v>
      </c>
      <c r="Q420" s="91">
        <f t="shared" si="397"/>
        <v>11360991088</v>
      </c>
      <c r="R420" s="91">
        <v>10872345664</v>
      </c>
      <c r="S420" s="91">
        <v>425645424</v>
      </c>
      <c r="T420" s="93">
        <v>15000000</v>
      </c>
      <c r="U420" s="88"/>
      <c r="V420" s="88"/>
      <c r="W420" s="94"/>
      <c r="X420" s="94">
        <f t="shared" ref="X420:Y420" si="414">M420-S420</f>
        <v>0</v>
      </c>
      <c r="Y420" s="94">
        <f t="shared" si="414"/>
        <v>0</v>
      </c>
      <c r="Z420" s="94">
        <f t="shared" si="259"/>
        <v>48000000</v>
      </c>
      <c r="AA420" s="95"/>
      <c r="AB420" s="96" t="s">
        <v>1290</v>
      </c>
      <c r="AC420" s="97"/>
      <c r="AD420" s="97"/>
      <c r="AE420" s="97"/>
      <c r="AF420" s="97"/>
      <c r="AG420" s="97"/>
      <c r="AH420" s="97"/>
      <c r="AI420" s="97"/>
      <c r="AJ420" s="97"/>
      <c r="AK420" s="97"/>
      <c r="AL420" s="97"/>
      <c r="AM420" s="97"/>
      <c r="AN420" s="97"/>
      <c r="AO420" s="97"/>
      <c r="AP420" s="97"/>
      <c r="AQ420" s="97"/>
      <c r="AR420" s="97"/>
      <c r="AS420" s="97"/>
    </row>
    <row r="421" spans="1:45" ht="47.25" x14ac:dyDescent="0.25">
      <c r="A421" s="33" t="s">
        <v>35</v>
      </c>
      <c r="B421" s="42">
        <v>401</v>
      </c>
      <c r="C421" s="33" t="s">
        <v>163</v>
      </c>
      <c r="D421" s="33" t="s">
        <v>2529</v>
      </c>
      <c r="E421" s="32"/>
      <c r="F421" s="33" t="s">
        <v>2530</v>
      </c>
      <c r="G421" s="32"/>
      <c r="H421" s="32"/>
      <c r="I421" s="33" t="s">
        <v>2531</v>
      </c>
      <c r="J421" s="33" t="s">
        <v>43</v>
      </c>
      <c r="K421" s="33" t="s">
        <v>2532</v>
      </c>
      <c r="L421" s="48">
        <v>1621052482</v>
      </c>
      <c r="M421" s="32"/>
      <c r="N421" s="48">
        <v>7500000</v>
      </c>
      <c r="O421" s="43"/>
      <c r="P421" s="43"/>
      <c r="Q421" s="48">
        <f t="shared" si="397"/>
        <v>1628552482</v>
      </c>
      <c r="R421" s="48">
        <v>1621052482</v>
      </c>
      <c r="S421" s="33"/>
      <c r="T421" s="44">
        <v>7500000</v>
      </c>
      <c r="U421" s="33"/>
      <c r="V421" s="33"/>
      <c r="W421" s="52"/>
      <c r="X421" s="52">
        <f t="shared" ref="X421:Y421" si="415">M421-S421</f>
        <v>0</v>
      </c>
      <c r="Y421" s="52">
        <f t="shared" si="415"/>
        <v>0</v>
      </c>
      <c r="Z421" s="52">
        <f t="shared" si="259"/>
        <v>0</v>
      </c>
      <c r="AA421" s="54"/>
      <c r="AB421" s="68"/>
    </row>
    <row r="422" spans="1:45" ht="63" x14ac:dyDescent="0.25">
      <c r="A422" s="33" t="s">
        <v>46</v>
      </c>
      <c r="B422" s="42">
        <v>402</v>
      </c>
      <c r="C422" s="33" t="s">
        <v>163</v>
      </c>
      <c r="D422" s="33" t="s">
        <v>1502</v>
      </c>
      <c r="E422" s="32"/>
      <c r="F422" s="33" t="s">
        <v>1504</v>
      </c>
      <c r="G422" s="32"/>
      <c r="H422" s="32"/>
      <c r="I422" s="33" t="s">
        <v>1505</v>
      </c>
      <c r="J422" s="33" t="s">
        <v>43</v>
      </c>
      <c r="K422" s="33" t="s">
        <v>242</v>
      </c>
      <c r="L422" s="48">
        <v>1956750750</v>
      </c>
      <c r="M422" s="32"/>
      <c r="N422" s="48">
        <v>15000000</v>
      </c>
      <c r="O422" s="43" t="s">
        <v>1503</v>
      </c>
      <c r="P422" s="69">
        <v>144000000</v>
      </c>
      <c r="Q422" s="48">
        <f t="shared" si="397"/>
        <v>2115750750</v>
      </c>
      <c r="R422" s="48">
        <v>1956750750</v>
      </c>
      <c r="S422" s="33"/>
      <c r="T422" s="44">
        <v>15000000</v>
      </c>
      <c r="U422" s="48">
        <v>144000000</v>
      </c>
      <c r="V422" s="33"/>
      <c r="W422" s="52"/>
      <c r="X422" s="52">
        <f t="shared" ref="X422:Y422" si="416">M422-S422</f>
        <v>0</v>
      </c>
      <c r="Y422" s="52">
        <f t="shared" si="416"/>
        <v>0</v>
      </c>
      <c r="Z422" s="52">
        <f t="shared" si="259"/>
        <v>0</v>
      </c>
      <c r="AA422" s="54"/>
      <c r="AB422" s="68"/>
    </row>
    <row r="423" spans="1:45" ht="47.25" x14ac:dyDescent="0.25">
      <c r="A423" s="33" t="s">
        <v>46</v>
      </c>
      <c r="B423" s="42">
        <v>403</v>
      </c>
      <c r="C423" s="33" t="s">
        <v>163</v>
      </c>
      <c r="D423" s="33" t="s">
        <v>2533</v>
      </c>
      <c r="E423" s="32"/>
      <c r="F423" s="33" t="s">
        <v>2534</v>
      </c>
      <c r="G423" s="32"/>
      <c r="H423" s="32"/>
      <c r="I423" s="33" t="s">
        <v>2535</v>
      </c>
      <c r="J423" s="33" t="s">
        <v>43</v>
      </c>
      <c r="K423" s="33" t="s">
        <v>242</v>
      </c>
      <c r="L423" s="48">
        <v>1938637001</v>
      </c>
      <c r="M423" s="32"/>
      <c r="N423" s="48">
        <v>15000000</v>
      </c>
      <c r="O423" s="43"/>
      <c r="P423" s="43"/>
      <c r="Q423" s="48">
        <f t="shared" si="397"/>
        <v>1953637001</v>
      </c>
      <c r="R423" s="48">
        <v>1938637001</v>
      </c>
      <c r="S423" s="33"/>
      <c r="T423" s="44">
        <v>15000000</v>
      </c>
      <c r="U423" s="33"/>
      <c r="V423" s="33"/>
      <c r="W423" s="52"/>
      <c r="X423" s="52">
        <f t="shared" ref="X423:Y423" si="417">M423-S423</f>
        <v>0</v>
      </c>
      <c r="Y423" s="52">
        <f t="shared" si="417"/>
        <v>0</v>
      </c>
      <c r="Z423" s="52">
        <f t="shared" si="259"/>
        <v>0</v>
      </c>
      <c r="AA423" s="54"/>
      <c r="AB423" s="68"/>
    </row>
    <row r="424" spans="1:45" ht="47.25" x14ac:dyDescent="0.25">
      <c r="A424" s="33" t="s">
        <v>52</v>
      </c>
      <c r="B424" s="42">
        <v>404</v>
      </c>
      <c r="C424" s="33" t="s">
        <v>163</v>
      </c>
      <c r="D424" s="33" t="s">
        <v>2536</v>
      </c>
      <c r="E424" s="32"/>
      <c r="F424" s="33" t="s">
        <v>2537</v>
      </c>
      <c r="G424" s="32"/>
      <c r="H424" s="32"/>
      <c r="I424" s="33" t="s">
        <v>2538</v>
      </c>
      <c r="J424" s="33" t="s">
        <v>43</v>
      </c>
      <c r="K424" s="33" t="s">
        <v>2539</v>
      </c>
      <c r="L424" s="48">
        <v>1137670028</v>
      </c>
      <c r="M424" s="32"/>
      <c r="N424" s="48">
        <v>7500000</v>
      </c>
      <c r="O424" s="43"/>
      <c r="P424" s="43"/>
      <c r="Q424" s="48">
        <f t="shared" si="397"/>
        <v>1145170028</v>
      </c>
      <c r="R424" s="48">
        <v>1137670028</v>
      </c>
      <c r="S424" s="33"/>
      <c r="T424" s="44">
        <v>7500000</v>
      </c>
      <c r="U424" s="33"/>
      <c r="V424" s="33"/>
      <c r="W424" s="52"/>
      <c r="X424" s="52">
        <f t="shared" ref="X424:Y424" si="418">M424-S424</f>
        <v>0</v>
      </c>
      <c r="Y424" s="52">
        <f t="shared" si="418"/>
        <v>0</v>
      </c>
      <c r="Z424" s="52">
        <f t="shared" si="259"/>
        <v>0</v>
      </c>
      <c r="AA424" s="54"/>
      <c r="AB424" s="68"/>
    </row>
    <row r="425" spans="1:45" ht="47.25" x14ac:dyDescent="0.25">
      <c r="A425" s="33" t="s">
        <v>88</v>
      </c>
      <c r="B425" s="42">
        <v>405</v>
      </c>
      <c r="C425" s="33" t="s">
        <v>163</v>
      </c>
      <c r="D425" s="33" t="s">
        <v>243</v>
      </c>
      <c r="E425" s="32"/>
      <c r="F425" s="33" t="s">
        <v>244</v>
      </c>
      <c r="G425" s="32"/>
      <c r="H425" s="32"/>
      <c r="I425" s="33" t="s">
        <v>245</v>
      </c>
      <c r="J425" s="33" t="s">
        <v>43</v>
      </c>
      <c r="K425" s="33" t="s">
        <v>246</v>
      </c>
      <c r="L425" s="48">
        <v>4490379050</v>
      </c>
      <c r="M425" s="32"/>
      <c r="N425" s="48">
        <v>15000000</v>
      </c>
      <c r="O425" s="43" t="s">
        <v>238</v>
      </c>
      <c r="P425" s="69">
        <v>16000000</v>
      </c>
      <c r="Q425" s="48">
        <f t="shared" si="397"/>
        <v>4521379050</v>
      </c>
      <c r="R425" s="52">
        <v>4490379050</v>
      </c>
      <c r="S425" s="33"/>
      <c r="T425" s="44">
        <v>15000000</v>
      </c>
      <c r="U425" s="48">
        <v>16000000</v>
      </c>
      <c r="V425" s="33"/>
      <c r="W425" s="52"/>
      <c r="X425" s="52">
        <f t="shared" ref="X425:Y425" si="419">M425-S425</f>
        <v>0</v>
      </c>
      <c r="Y425" s="52">
        <f t="shared" si="419"/>
        <v>0</v>
      </c>
      <c r="Z425" s="52">
        <f t="shared" si="259"/>
        <v>0</v>
      </c>
      <c r="AA425" s="54"/>
      <c r="AB425" s="68"/>
    </row>
    <row r="426" spans="1:45" ht="47.25" x14ac:dyDescent="0.25">
      <c r="A426" s="33" t="s">
        <v>88</v>
      </c>
      <c r="B426" s="42">
        <v>406</v>
      </c>
      <c r="C426" s="33" t="s">
        <v>163</v>
      </c>
      <c r="D426" s="33" t="s">
        <v>2540</v>
      </c>
      <c r="E426" s="32"/>
      <c r="F426" s="33" t="s">
        <v>2541</v>
      </c>
      <c r="G426" s="32"/>
      <c r="H426" s="32"/>
      <c r="I426" s="33" t="s">
        <v>2542</v>
      </c>
      <c r="J426" s="33" t="s">
        <v>43</v>
      </c>
      <c r="K426" s="33" t="s">
        <v>2543</v>
      </c>
      <c r="L426" s="48">
        <v>4967225580</v>
      </c>
      <c r="M426" s="32"/>
      <c r="N426" s="48">
        <v>7500000</v>
      </c>
      <c r="O426" s="43"/>
      <c r="P426" s="43"/>
      <c r="Q426" s="48">
        <f t="shared" si="397"/>
        <v>4974725580</v>
      </c>
      <c r="R426" s="52">
        <v>4967225580</v>
      </c>
      <c r="S426" s="33"/>
      <c r="T426" s="44">
        <v>7500000</v>
      </c>
      <c r="U426" s="33"/>
      <c r="V426" s="33"/>
      <c r="W426" s="52"/>
      <c r="X426" s="52">
        <f t="shared" ref="X426:Y426" si="420">M426-S426</f>
        <v>0</v>
      </c>
      <c r="Y426" s="52">
        <f t="shared" si="420"/>
        <v>0</v>
      </c>
      <c r="Z426" s="52">
        <f t="shared" si="259"/>
        <v>0</v>
      </c>
      <c r="AA426" s="54"/>
      <c r="AB426" s="68"/>
    </row>
    <row r="427" spans="1:45" ht="47.25" x14ac:dyDescent="0.25">
      <c r="A427" s="33" t="s">
        <v>88</v>
      </c>
      <c r="B427" s="42">
        <v>407</v>
      </c>
      <c r="C427" s="33" t="s">
        <v>163</v>
      </c>
      <c r="D427" s="33" t="s">
        <v>2544</v>
      </c>
      <c r="E427" s="32"/>
      <c r="F427" s="33" t="s">
        <v>2545</v>
      </c>
      <c r="G427" s="32"/>
      <c r="H427" s="32"/>
      <c r="I427" s="33" t="s">
        <v>2546</v>
      </c>
      <c r="J427" s="33" t="s">
        <v>43</v>
      </c>
      <c r="K427" s="33" t="s">
        <v>2547</v>
      </c>
      <c r="L427" s="48">
        <v>10000000</v>
      </c>
      <c r="M427" s="32"/>
      <c r="N427" s="48">
        <v>15000000</v>
      </c>
      <c r="O427" s="43"/>
      <c r="P427" s="43"/>
      <c r="Q427" s="48">
        <f t="shared" si="397"/>
        <v>25000000</v>
      </c>
      <c r="R427" s="33"/>
      <c r="S427" s="33"/>
      <c r="T427" s="66"/>
      <c r="U427" s="33"/>
      <c r="V427" s="33"/>
      <c r="W427" s="52">
        <v>10000000</v>
      </c>
      <c r="X427" s="52">
        <f t="shared" ref="X427:Y427" si="421">M427-S427</f>
        <v>0</v>
      </c>
      <c r="Y427" s="52">
        <f t="shared" si="421"/>
        <v>15000000</v>
      </c>
      <c r="Z427" s="52">
        <f t="shared" si="259"/>
        <v>0</v>
      </c>
      <c r="AA427" s="73">
        <v>10000000</v>
      </c>
      <c r="AB427" s="68"/>
    </row>
    <row r="428" spans="1:45" ht="47.25" x14ac:dyDescent="0.25">
      <c r="A428" s="33" t="s">
        <v>52</v>
      </c>
      <c r="B428" s="42">
        <v>408</v>
      </c>
      <c r="C428" s="33" t="s">
        <v>163</v>
      </c>
      <c r="D428" s="33" t="s">
        <v>2548</v>
      </c>
      <c r="E428" s="32"/>
      <c r="F428" s="33" t="s">
        <v>2549</v>
      </c>
      <c r="G428" s="32"/>
      <c r="H428" s="32"/>
      <c r="I428" s="33" t="s">
        <v>2550</v>
      </c>
      <c r="J428" s="33" t="s">
        <v>43</v>
      </c>
      <c r="K428" s="33" t="s">
        <v>2551</v>
      </c>
      <c r="L428" s="48">
        <v>6525000</v>
      </c>
      <c r="M428" s="32"/>
      <c r="N428" s="48">
        <v>7500000</v>
      </c>
      <c r="O428" s="43"/>
      <c r="P428" s="43"/>
      <c r="Q428" s="48">
        <f t="shared" si="397"/>
        <v>14025000</v>
      </c>
      <c r="R428" s="33"/>
      <c r="S428" s="33"/>
      <c r="T428" s="66"/>
      <c r="U428" s="33"/>
      <c r="V428" s="33"/>
      <c r="W428" s="52">
        <v>6525000</v>
      </c>
      <c r="X428" s="52">
        <f t="shared" ref="X428:Y428" si="422">M428-S428</f>
        <v>0</v>
      </c>
      <c r="Y428" s="52">
        <f t="shared" si="422"/>
        <v>7500000</v>
      </c>
      <c r="Z428" s="52">
        <f t="shared" si="259"/>
        <v>0</v>
      </c>
      <c r="AA428" s="69">
        <v>6525000</v>
      </c>
      <c r="AB428" s="68"/>
    </row>
    <row r="429" spans="1:45" ht="47.25" x14ac:dyDescent="0.25">
      <c r="A429" s="33" t="s">
        <v>35</v>
      </c>
      <c r="B429" s="42">
        <v>409</v>
      </c>
      <c r="C429" s="33" t="s">
        <v>163</v>
      </c>
      <c r="D429" s="33" t="s">
        <v>2552</v>
      </c>
      <c r="E429" s="32"/>
      <c r="F429" s="33" t="s">
        <v>2553</v>
      </c>
      <c r="G429" s="32"/>
      <c r="H429" s="33" t="s">
        <v>969</v>
      </c>
      <c r="I429" s="33" t="s">
        <v>2554</v>
      </c>
      <c r="J429" s="33" t="s">
        <v>43</v>
      </c>
      <c r="K429" s="33" t="s">
        <v>2555</v>
      </c>
      <c r="L429" s="42">
        <v>0</v>
      </c>
      <c r="M429" s="32"/>
      <c r="N429" s="48">
        <v>7500000</v>
      </c>
      <c r="O429" s="43"/>
      <c r="P429" s="43"/>
      <c r="Q429" s="48">
        <f t="shared" si="397"/>
        <v>7500000</v>
      </c>
      <c r="R429" s="42">
        <v>0</v>
      </c>
      <c r="S429" s="33"/>
      <c r="T429" s="66"/>
      <c r="U429" s="33"/>
      <c r="V429" s="33"/>
      <c r="W429" s="52"/>
      <c r="X429" s="52">
        <f t="shared" ref="X429:Y429" si="423">M429-S429</f>
        <v>0</v>
      </c>
      <c r="Y429" s="52">
        <f t="shared" si="423"/>
        <v>7500000</v>
      </c>
      <c r="Z429" s="52">
        <f t="shared" si="259"/>
        <v>0</v>
      </c>
      <c r="AA429" s="54"/>
      <c r="AB429" s="68"/>
    </row>
    <row r="430" spans="1:45" ht="47.25" x14ac:dyDescent="0.25">
      <c r="A430" s="33" t="s">
        <v>35</v>
      </c>
      <c r="B430" s="42">
        <v>410</v>
      </c>
      <c r="C430" s="33" t="s">
        <v>163</v>
      </c>
      <c r="D430" s="33" t="s">
        <v>1042</v>
      </c>
      <c r="E430" s="33" t="s">
        <v>1043</v>
      </c>
      <c r="F430" s="33" t="s">
        <v>1044</v>
      </c>
      <c r="G430" s="33" t="s">
        <v>1045</v>
      </c>
      <c r="H430" s="32"/>
      <c r="I430" s="33" t="s">
        <v>1046</v>
      </c>
      <c r="J430" s="33" t="s">
        <v>43</v>
      </c>
      <c r="K430" s="33" t="s">
        <v>1047</v>
      </c>
      <c r="L430" s="48">
        <v>4152104400</v>
      </c>
      <c r="M430" s="48">
        <v>332999424</v>
      </c>
      <c r="N430" s="48">
        <v>15000000</v>
      </c>
      <c r="O430" s="43" t="s">
        <v>1012</v>
      </c>
      <c r="P430" s="69">
        <v>48000000</v>
      </c>
      <c r="Q430" s="48">
        <f t="shared" si="397"/>
        <v>4548103824</v>
      </c>
      <c r="R430" s="48">
        <v>4152104400</v>
      </c>
      <c r="S430" s="33"/>
      <c r="T430" s="44">
        <v>15000000</v>
      </c>
      <c r="U430" s="48">
        <v>48000000</v>
      </c>
      <c r="V430" s="33"/>
      <c r="W430" s="52"/>
      <c r="X430" s="52">
        <f t="shared" ref="X430:Y430" si="424">M430-S430</f>
        <v>332999424</v>
      </c>
      <c r="Y430" s="52">
        <f t="shared" si="424"/>
        <v>0</v>
      </c>
      <c r="Z430" s="52">
        <f t="shared" si="259"/>
        <v>0</v>
      </c>
      <c r="AA430" s="54"/>
      <c r="AB430" s="68"/>
    </row>
    <row r="431" spans="1:45" ht="63" x14ac:dyDescent="0.25">
      <c r="A431" s="33" t="s">
        <v>52</v>
      </c>
      <c r="B431" s="42">
        <v>411</v>
      </c>
      <c r="C431" s="33" t="s">
        <v>163</v>
      </c>
      <c r="D431" s="33" t="s">
        <v>1123</v>
      </c>
      <c r="E431" s="32"/>
      <c r="F431" s="33" t="s">
        <v>1125</v>
      </c>
      <c r="G431" s="32"/>
      <c r="H431" s="32"/>
      <c r="I431" s="33" t="s">
        <v>1126</v>
      </c>
      <c r="J431" s="33" t="s">
        <v>43</v>
      </c>
      <c r="K431" s="33" t="s">
        <v>1127</v>
      </c>
      <c r="L431" s="48">
        <v>1375587700</v>
      </c>
      <c r="M431" s="32"/>
      <c r="N431" s="48">
        <v>15000000</v>
      </c>
      <c r="O431" s="43" t="s">
        <v>1124</v>
      </c>
      <c r="P431" s="69">
        <v>88000000</v>
      </c>
      <c r="Q431" s="48">
        <f t="shared" si="397"/>
        <v>1478587700</v>
      </c>
      <c r="R431" s="48">
        <v>1375587700</v>
      </c>
      <c r="S431" s="33"/>
      <c r="T431" s="44">
        <v>15000000</v>
      </c>
      <c r="U431" s="48">
        <v>40000000</v>
      </c>
      <c r="V431" s="33"/>
      <c r="W431" s="52"/>
      <c r="X431" s="52">
        <f t="shared" ref="X431:Y431" si="425">M431-S431</f>
        <v>0</v>
      </c>
      <c r="Y431" s="52">
        <f t="shared" si="425"/>
        <v>0</v>
      </c>
      <c r="Z431" s="52">
        <f t="shared" si="259"/>
        <v>48000000</v>
      </c>
      <c r="AA431" s="54"/>
      <c r="AB431" s="74" t="s">
        <v>721</v>
      </c>
    </row>
    <row r="432" spans="1:45" ht="47.25" x14ac:dyDescent="0.25">
      <c r="A432" s="33" t="s">
        <v>88</v>
      </c>
      <c r="B432" s="42">
        <v>412</v>
      </c>
      <c r="C432" s="33" t="s">
        <v>163</v>
      </c>
      <c r="D432" s="33" t="s">
        <v>2556</v>
      </c>
      <c r="E432" s="32"/>
      <c r="F432" s="33" t="s">
        <v>2557</v>
      </c>
      <c r="G432" s="32"/>
      <c r="H432" s="32"/>
      <c r="I432" s="33" t="s">
        <v>2558</v>
      </c>
      <c r="J432" s="33" t="s">
        <v>43</v>
      </c>
      <c r="K432" s="33" t="s">
        <v>2559</v>
      </c>
      <c r="L432" s="48">
        <v>2422464300</v>
      </c>
      <c r="M432" s="32"/>
      <c r="N432" s="48">
        <v>7500000</v>
      </c>
      <c r="O432" s="43"/>
      <c r="P432" s="43"/>
      <c r="Q432" s="48">
        <f t="shared" si="397"/>
        <v>2429964300</v>
      </c>
      <c r="R432" s="52">
        <v>2422464300</v>
      </c>
      <c r="S432" s="33"/>
      <c r="T432" s="44">
        <v>7500000</v>
      </c>
      <c r="U432" s="33"/>
      <c r="V432" s="33"/>
      <c r="W432" s="52"/>
      <c r="X432" s="52">
        <f t="shared" ref="X432:Y432" si="426">M432-S432</f>
        <v>0</v>
      </c>
      <c r="Y432" s="52">
        <f t="shared" si="426"/>
        <v>0</v>
      </c>
      <c r="Z432" s="52">
        <f t="shared" si="259"/>
        <v>0</v>
      </c>
      <c r="AA432" s="54"/>
      <c r="AB432" s="68"/>
    </row>
    <row r="433" spans="1:28" ht="47.25" x14ac:dyDescent="0.25">
      <c r="A433" s="33" t="s">
        <v>46</v>
      </c>
      <c r="B433" s="42">
        <v>413</v>
      </c>
      <c r="C433" s="33" t="s">
        <v>163</v>
      </c>
      <c r="D433" s="33" t="s">
        <v>2561</v>
      </c>
      <c r="E433" s="32"/>
      <c r="F433" s="33" t="s">
        <v>2562</v>
      </c>
      <c r="G433" s="32"/>
      <c r="H433" s="32"/>
      <c r="I433" s="33" t="s">
        <v>2563</v>
      </c>
      <c r="J433" s="33" t="s">
        <v>43</v>
      </c>
      <c r="K433" s="33" t="s">
        <v>2564</v>
      </c>
      <c r="L433" s="48">
        <v>2392845896</v>
      </c>
      <c r="M433" s="32"/>
      <c r="N433" s="48">
        <v>7500000</v>
      </c>
      <c r="O433" s="43"/>
      <c r="P433" s="43"/>
      <c r="Q433" s="48">
        <f t="shared" si="397"/>
        <v>2400345896</v>
      </c>
      <c r="R433" s="48">
        <v>2392845896</v>
      </c>
      <c r="S433" s="33"/>
      <c r="T433" s="44">
        <v>7500000</v>
      </c>
      <c r="U433" s="33"/>
      <c r="V433" s="33"/>
      <c r="W433" s="52"/>
      <c r="X433" s="52">
        <f t="shared" ref="X433:Y433" si="427">M433-S433</f>
        <v>0</v>
      </c>
      <c r="Y433" s="52">
        <f t="shared" si="427"/>
        <v>0</v>
      </c>
      <c r="Z433" s="52">
        <f t="shared" si="259"/>
        <v>0</v>
      </c>
      <c r="AA433" s="54"/>
      <c r="AB433" s="68"/>
    </row>
    <row r="434" spans="1:28" ht="47.25" x14ac:dyDescent="0.25">
      <c r="A434" s="33" t="s">
        <v>52</v>
      </c>
      <c r="B434" s="42">
        <v>414</v>
      </c>
      <c r="C434" s="33" t="s">
        <v>163</v>
      </c>
      <c r="D434" s="33" t="s">
        <v>2565</v>
      </c>
      <c r="E434" s="32"/>
      <c r="F434" s="33" t="s">
        <v>2566</v>
      </c>
      <c r="G434" s="32"/>
      <c r="H434" s="32"/>
      <c r="I434" s="33" t="s">
        <v>2567</v>
      </c>
      <c r="J434" s="33" t="s">
        <v>43</v>
      </c>
      <c r="K434" s="33" t="s">
        <v>2568</v>
      </c>
      <c r="L434" s="48">
        <v>3732755792</v>
      </c>
      <c r="M434" s="32"/>
      <c r="N434" s="48">
        <v>15000000</v>
      </c>
      <c r="O434" s="43"/>
      <c r="P434" s="43"/>
      <c r="Q434" s="48">
        <f t="shared" si="397"/>
        <v>3747755792</v>
      </c>
      <c r="R434" s="48">
        <v>3732755792</v>
      </c>
      <c r="S434" s="33"/>
      <c r="T434" s="44">
        <v>15000000</v>
      </c>
      <c r="U434" s="33"/>
      <c r="V434" s="33"/>
      <c r="W434" s="52"/>
      <c r="X434" s="52">
        <f t="shared" ref="X434:Y434" si="428">M434-S434</f>
        <v>0</v>
      </c>
      <c r="Y434" s="52">
        <f t="shared" si="428"/>
        <v>0</v>
      </c>
      <c r="Z434" s="52">
        <f t="shared" si="259"/>
        <v>0</v>
      </c>
      <c r="AA434" s="54"/>
      <c r="AB434" s="68"/>
    </row>
    <row r="435" spans="1:28" ht="47.25" x14ac:dyDescent="0.25">
      <c r="A435" s="33" t="s">
        <v>88</v>
      </c>
      <c r="B435" s="42">
        <v>415</v>
      </c>
      <c r="C435" s="33" t="s">
        <v>163</v>
      </c>
      <c r="D435" s="33" t="s">
        <v>2569</v>
      </c>
      <c r="E435" s="32"/>
      <c r="F435" s="33" t="s">
        <v>2570</v>
      </c>
      <c r="G435" s="32"/>
      <c r="H435" s="32"/>
      <c r="I435" s="33" t="s">
        <v>2571</v>
      </c>
      <c r="J435" s="33" t="s">
        <v>43</v>
      </c>
      <c r="K435" s="33" t="s">
        <v>2572</v>
      </c>
      <c r="L435" s="48">
        <v>585805584</v>
      </c>
      <c r="M435" s="32"/>
      <c r="N435" s="48">
        <v>7500000</v>
      </c>
      <c r="O435" s="43"/>
      <c r="P435" s="43"/>
      <c r="Q435" s="48">
        <f t="shared" si="397"/>
        <v>593305584</v>
      </c>
      <c r="R435" s="52">
        <v>585805584</v>
      </c>
      <c r="S435" s="33"/>
      <c r="T435" s="44">
        <v>7500000</v>
      </c>
      <c r="U435" s="33"/>
      <c r="V435" s="33"/>
      <c r="W435" s="52"/>
      <c r="X435" s="52">
        <f t="shared" ref="X435:Y435" si="429">M435-S435</f>
        <v>0</v>
      </c>
      <c r="Y435" s="52">
        <f t="shared" si="429"/>
        <v>0</v>
      </c>
      <c r="Z435" s="52">
        <f t="shared" si="259"/>
        <v>0</v>
      </c>
      <c r="AA435" s="54"/>
      <c r="AB435" s="68"/>
    </row>
    <row r="436" spans="1:28" ht="47.25" x14ac:dyDescent="0.25">
      <c r="A436" s="33" t="s">
        <v>60</v>
      </c>
      <c r="B436" s="42">
        <v>416</v>
      </c>
      <c r="C436" s="33" t="s">
        <v>163</v>
      </c>
      <c r="D436" s="33" t="s">
        <v>2573</v>
      </c>
      <c r="E436" s="32"/>
      <c r="F436" s="33" t="s">
        <v>2574</v>
      </c>
      <c r="G436" s="32"/>
      <c r="H436" s="32"/>
      <c r="I436" s="33" t="s">
        <v>2575</v>
      </c>
      <c r="J436" s="33" t="s">
        <v>43</v>
      </c>
      <c r="K436" s="33" t="s">
        <v>2576</v>
      </c>
      <c r="L436" s="48">
        <v>2508309760</v>
      </c>
      <c r="M436" s="32"/>
      <c r="N436" s="48">
        <v>15000000</v>
      </c>
      <c r="O436" s="43"/>
      <c r="P436" s="43"/>
      <c r="Q436" s="48">
        <f t="shared" si="397"/>
        <v>2523309760</v>
      </c>
      <c r="R436" s="48">
        <v>2508309760</v>
      </c>
      <c r="S436" s="33"/>
      <c r="T436" s="44">
        <v>15000000</v>
      </c>
      <c r="U436" s="33"/>
      <c r="V436" s="33"/>
      <c r="W436" s="52"/>
      <c r="X436" s="52">
        <f t="shared" ref="X436:Y436" si="430">M436-S436</f>
        <v>0</v>
      </c>
      <c r="Y436" s="52">
        <f t="shared" si="430"/>
        <v>0</v>
      </c>
      <c r="Z436" s="52">
        <f t="shared" si="259"/>
        <v>0</v>
      </c>
      <c r="AA436" s="54"/>
      <c r="AB436" s="68"/>
    </row>
    <row r="437" spans="1:28" ht="47.25" x14ac:dyDescent="0.25">
      <c r="A437" s="33" t="s">
        <v>88</v>
      </c>
      <c r="B437" s="42">
        <v>417</v>
      </c>
      <c r="C437" s="33" t="s">
        <v>163</v>
      </c>
      <c r="D437" s="33" t="s">
        <v>2577</v>
      </c>
      <c r="E437" s="32"/>
      <c r="F437" s="33" t="s">
        <v>2578</v>
      </c>
      <c r="G437" s="32"/>
      <c r="H437" s="32"/>
      <c r="I437" s="33" t="s">
        <v>2579</v>
      </c>
      <c r="J437" s="33" t="s">
        <v>43</v>
      </c>
      <c r="K437" s="33" t="s">
        <v>2580</v>
      </c>
      <c r="L437" s="42">
        <v>0</v>
      </c>
      <c r="M437" s="32"/>
      <c r="N437" s="48">
        <v>7500000</v>
      </c>
      <c r="O437" s="43"/>
      <c r="P437" s="43"/>
      <c r="Q437" s="48">
        <f t="shared" si="397"/>
        <v>7500000</v>
      </c>
      <c r="R437" s="42">
        <v>0</v>
      </c>
      <c r="S437" s="33"/>
      <c r="T437" s="66"/>
      <c r="U437" s="33"/>
      <c r="V437" s="33"/>
      <c r="W437" s="52"/>
      <c r="X437" s="52">
        <f t="shared" ref="X437:Y437" si="431">M437-S437</f>
        <v>0</v>
      </c>
      <c r="Y437" s="52">
        <f t="shared" si="431"/>
        <v>7500000</v>
      </c>
      <c r="Z437" s="52">
        <f t="shared" si="259"/>
        <v>0</v>
      </c>
      <c r="AA437" s="54"/>
      <c r="AB437" s="68"/>
    </row>
    <row r="438" spans="1:28" ht="47.25" x14ac:dyDescent="0.25">
      <c r="A438" s="33" t="s">
        <v>60</v>
      </c>
      <c r="B438" s="42">
        <v>418</v>
      </c>
      <c r="C438" s="33" t="s">
        <v>163</v>
      </c>
      <c r="D438" s="33" t="s">
        <v>2581</v>
      </c>
      <c r="E438" s="32"/>
      <c r="F438" s="33" t="s">
        <v>2582</v>
      </c>
      <c r="G438" s="32"/>
      <c r="H438" s="32"/>
      <c r="I438" s="33" t="s">
        <v>2583</v>
      </c>
      <c r="J438" s="33" t="s">
        <v>43</v>
      </c>
      <c r="K438" s="33" t="s">
        <v>2584</v>
      </c>
      <c r="L438" s="48">
        <v>515507992</v>
      </c>
      <c r="M438" s="32"/>
      <c r="N438" s="48">
        <v>7500000</v>
      </c>
      <c r="O438" s="43"/>
      <c r="P438" s="43"/>
      <c r="Q438" s="48">
        <f t="shared" si="397"/>
        <v>523007992</v>
      </c>
      <c r="R438" s="79">
        <v>515507992</v>
      </c>
      <c r="S438" s="33"/>
      <c r="T438" s="44">
        <v>7500000</v>
      </c>
      <c r="U438" s="33"/>
      <c r="V438" s="33"/>
      <c r="W438" s="52"/>
      <c r="X438" s="52">
        <f t="shared" ref="X438:Y438" si="432">M438-S438</f>
        <v>0</v>
      </c>
      <c r="Y438" s="52">
        <f t="shared" si="432"/>
        <v>0</v>
      </c>
      <c r="Z438" s="52">
        <f t="shared" si="259"/>
        <v>0</v>
      </c>
      <c r="AA438" s="54"/>
      <c r="AB438" s="68"/>
    </row>
    <row r="439" spans="1:28" ht="47.25" x14ac:dyDescent="0.25">
      <c r="A439" s="33" t="s">
        <v>52</v>
      </c>
      <c r="B439" s="42">
        <v>419</v>
      </c>
      <c r="C439" s="33" t="s">
        <v>163</v>
      </c>
      <c r="D439" s="33" t="s">
        <v>2585</v>
      </c>
      <c r="E439" s="32"/>
      <c r="F439" s="33" t="s">
        <v>2586</v>
      </c>
      <c r="G439" s="32"/>
      <c r="H439" s="32"/>
      <c r="I439" s="33" t="s">
        <v>2587</v>
      </c>
      <c r="J439" s="33" t="s">
        <v>43</v>
      </c>
      <c r="K439" s="33" t="s">
        <v>2588</v>
      </c>
      <c r="L439" s="48">
        <v>1967943264</v>
      </c>
      <c r="M439" s="32"/>
      <c r="N439" s="48">
        <v>7500000</v>
      </c>
      <c r="O439" s="43"/>
      <c r="P439" s="43"/>
      <c r="Q439" s="48">
        <f t="shared" si="397"/>
        <v>1975443264</v>
      </c>
      <c r="R439" s="48">
        <v>1967943264</v>
      </c>
      <c r="S439" s="33"/>
      <c r="T439" s="44">
        <v>7500000</v>
      </c>
      <c r="U439" s="33"/>
      <c r="V439" s="33"/>
      <c r="W439" s="52"/>
      <c r="X439" s="52">
        <f t="shared" ref="X439:Y439" si="433">M439-S439</f>
        <v>0</v>
      </c>
      <c r="Y439" s="52">
        <f t="shared" si="433"/>
        <v>0</v>
      </c>
      <c r="Z439" s="52">
        <f t="shared" si="259"/>
        <v>0</v>
      </c>
      <c r="AA439" s="54"/>
      <c r="AB439" s="68"/>
    </row>
    <row r="440" spans="1:28" ht="47.25" x14ac:dyDescent="0.25">
      <c r="A440" s="33" t="s">
        <v>52</v>
      </c>
      <c r="B440" s="42">
        <v>420</v>
      </c>
      <c r="C440" s="33" t="s">
        <v>163</v>
      </c>
      <c r="D440" s="33" t="s">
        <v>2589</v>
      </c>
      <c r="E440" s="32"/>
      <c r="F440" s="33" t="s">
        <v>2590</v>
      </c>
      <c r="G440" s="32"/>
      <c r="H440" s="32"/>
      <c r="I440" s="33" t="s">
        <v>2591</v>
      </c>
      <c r="J440" s="33" t="s">
        <v>43</v>
      </c>
      <c r="K440" s="33" t="s">
        <v>2592</v>
      </c>
      <c r="L440" s="48">
        <v>3075917326</v>
      </c>
      <c r="M440" s="32"/>
      <c r="N440" s="48">
        <v>7500000</v>
      </c>
      <c r="O440" s="43"/>
      <c r="P440" s="43"/>
      <c r="Q440" s="48">
        <f t="shared" si="397"/>
        <v>3083417326</v>
      </c>
      <c r="R440" s="33"/>
      <c r="S440" s="33"/>
      <c r="T440" s="66"/>
      <c r="U440" s="33"/>
      <c r="V440" s="33"/>
      <c r="W440" s="52">
        <v>3075917326</v>
      </c>
      <c r="X440" s="52">
        <f t="shared" ref="X440:Y440" si="434">M440-S440</f>
        <v>0</v>
      </c>
      <c r="Y440" s="52">
        <f t="shared" si="434"/>
        <v>7500000</v>
      </c>
      <c r="Z440" s="52">
        <f t="shared" si="259"/>
        <v>0</v>
      </c>
      <c r="AA440" s="69">
        <v>3075917326</v>
      </c>
      <c r="AB440" s="68"/>
    </row>
    <row r="441" spans="1:28" ht="47.25" x14ac:dyDescent="0.25">
      <c r="A441" s="33" t="s">
        <v>60</v>
      </c>
      <c r="B441" s="42">
        <v>421</v>
      </c>
      <c r="C441" s="33" t="s">
        <v>163</v>
      </c>
      <c r="D441" s="33" t="s">
        <v>2593</v>
      </c>
      <c r="E441" s="32"/>
      <c r="F441" s="33" t="s">
        <v>2594</v>
      </c>
      <c r="G441" s="32"/>
      <c r="H441" s="32"/>
      <c r="I441" s="33" t="s">
        <v>2595</v>
      </c>
      <c r="J441" s="33" t="s">
        <v>43</v>
      </c>
      <c r="K441" s="33" t="s">
        <v>2596</v>
      </c>
      <c r="L441" s="48">
        <v>10850167780</v>
      </c>
      <c r="M441" s="32"/>
      <c r="N441" s="48">
        <v>15000000</v>
      </c>
      <c r="O441" s="43"/>
      <c r="P441" s="43"/>
      <c r="Q441" s="48">
        <f t="shared" si="397"/>
        <v>10865167780</v>
      </c>
      <c r="R441" s="48">
        <v>10850167780</v>
      </c>
      <c r="S441" s="33"/>
      <c r="T441" s="44">
        <v>15000000</v>
      </c>
      <c r="U441" s="33"/>
      <c r="V441" s="33"/>
      <c r="W441" s="52"/>
      <c r="X441" s="52">
        <f t="shared" ref="X441:Y441" si="435">M441-S441</f>
        <v>0</v>
      </c>
      <c r="Y441" s="52">
        <f t="shared" si="435"/>
        <v>0</v>
      </c>
      <c r="Z441" s="52">
        <f t="shared" si="259"/>
        <v>0</v>
      </c>
      <c r="AA441" s="54"/>
      <c r="AB441" s="68"/>
    </row>
    <row r="442" spans="1:28" ht="47.25" x14ac:dyDescent="0.25">
      <c r="A442" s="33" t="s">
        <v>46</v>
      </c>
      <c r="B442" s="42">
        <v>422</v>
      </c>
      <c r="C442" s="33" t="s">
        <v>163</v>
      </c>
      <c r="D442" s="33" t="s">
        <v>2597</v>
      </c>
      <c r="E442" s="32"/>
      <c r="F442" s="33" t="s">
        <v>2598</v>
      </c>
      <c r="G442" s="32"/>
      <c r="H442" s="32"/>
      <c r="I442" s="33" t="s">
        <v>2599</v>
      </c>
      <c r="J442" s="33" t="s">
        <v>43</v>
      </c>
      <c r="K442" s="33" t="s">
        <v>2600</v>
      </c>
      <c r="L442" s="48">
        <v>963584580</v>
      </c>
      <c r="M442" s="32"/>
      <c r="N442" s="48">
        <v>7500000</v>
      </c>
      <c r="O442" s="43"/>
      <c r="P442" s="43"/>
      <c r="Q442" s="48">
        <f t="shared" si="397"/>
        <v>971084580</v>
      </c>
      <c r="R442" s="48">
        <v>963584580</v>
      </c>
      <c r="S442" s="33"/>
      <c r="T442" s="44">
        <v>7500000</v>
      </c>
      <c r="U442" s="33"/>
      <c r="V442" s="33"/>
      <c r="W442" s="52"/>
      <c r="X442" s="52">
        <f t="shared" ref="X442:Y442" si="436">M442-S442</f>
        <v>0</v>
      </c>
      <c r="Y442" s="52">
        <f t="shared" si="436"/>
        <v>0</v>
      </c>
      <c r="Z442" s="52">
        <f t="shared" si="259"/>
        <v>0</v>
      </c>
      <c r="AA442" s="54"/>
      <c r="AB442" s="68"/>
    </row>
    <row r="443" spans="1:28" ht="63" x14ac:dyDescent="0.25">
      <c r="A443" s="33" t="s">
        <v>46</v>
      </c>
      <c r="B443" s="42">
        <v>423</v>
      </c>
      <c r="C443" s="33" t="s">
        <v>163</v>
      </c>
      <c r="D443" s="33" t="s">
        <v>2601</v>
      </c>
      <c r="E443" s="32"/>
      <c r="F443" s="33" t="s">
        <v>2602</v>
      </c>
      <c r="G443" s="32"/>
      <c r="H443" s="32"/>
      <c r="I443" s="33" t="s">
        <v>2603</v>
      </c>
      <c r="J443" s="33" t="s">
        <v>43</v>
      </c>
      <c r="K443" s="33" t="s">
        <v>2604</v>
      </c>
      <c r="L443" s="48">
        <v>7215729060</v>
      </c>
      <c r="M443" s="32"/>
      <c r="N443" s="48">
        <v>15000000</v>
      </c>
      <c r="O443" s="43"/>
      <c r="P443" s="43"/>
      <c r="Q443" s="48">
        <f t="shared" si="397"/>
        <v>7230729060</v>
      </c>
      <c r="R443" s="48">
        <v>7215729060</v>
      </c>
      <c r="S443" s="33"/>
      <c r="T443" s="44">
        <v>15000000</v>
      </c>
      <c r="U443" s="33"/>
      <c r="V443" s="33"/>
      <c r="W443" s="52"/>
      <c r="X443" s="52">
        <f t="shared" ref="X443:Y443" si="437">M443-S443</f>
        <v>0</v>
      </c>
      <c r="Y443" s="52">
        <f t="shared" si="437"/>
        <v>0</v>
      </c>
      <c r="Z443" s="52">
        <f t="shared" si="259"/>
        <v>0</v>
      </c>
      <c r="AA443" s="54"/>
      <c r="AB443" s="68"/>
    </row>
    <row r="444" spans="1:28" ht="47.25" x14ac:dyDescent="0.25">
      <c r="A444" s="33" t="s">
        <v>52</v>
      </c>
      <c r="B444" s="42">
        <v>424</v>
      </c>
      <c r="C444" s="33" t="s">
        <v>163</v>
      </c>
      <c r="D444" s="33" t="s">
        <v>2605</v>
      </c>
      <c r="E444" s="32"/>
      <c r="F444" s="33" t="s">
        <v>2606</v>
      </c>
      <c r="G444" s="32"/>
      <c r="H444" s="32"/>
      <c r="I444" s="33" t="s">
        <v>2607</v>
      </c>
      <c r="J444" s="33" t="s">
        <v>43</v>
      </c>
      <c r="K444" s="33" t="s">
        <v>2608</v>
      </c>
      <c r="L444" s="42">
        <v>0</v>
      </c>
      <c r="M444" s="32"/>
      <c r="N444" s="48">
        <v>7500000</v>
      </c>
      <c r="O444" s="43"/>
      <c r="P444" s="43"/>
      <c r="Q444" s="48">
        <f t="shared" si="397"/>
        <v>7500000</v>
      </c>
      <c r="R444" s="42">
        <v>0</v>
      </c>
      <c r="S444" s="33"/>
      <c r="T444" s="44">
        <v>7500000</v>
      </c>
      <c r="U444" s="33"/>
      <c r="V444" s="33"/>
      <c r="W444" s="52"/>
      <c r="X444" s="52">
        <f t="shared" ref="X444:Y444" si="438">M444-S444</f>
        <v>0</v>
      </c>
      <c r="Y444" s="52">
        <f t="shared" si="438"/>
        <v>0</v>
      </c>
      <c r="Z444" s="52">
        <f t="shared" si="259"/>
        <v>0</v>
      </c>
      <c r="AA444" s="54"/>
      <c r="AB444" s="68"/>
    </row>
    <row r="445" spans="1:28" ht="47.25" x14ac:dyDescent="0.25">
      <c r="A445" s="33" t="s">
        <v>60</v>
      </c>
      <c r="B445" s="42">
        <v>425</v>
      </c>
      <c r="C445" s="33" t="s">
        <v>163</v>
      </c>
      <c r="D445" s="33" t="s">
        <v>2609</v>
      </c>
      <c r="E445" s="32"/>
      <c r="F445" s="33" t="s">
        <v>2610</v>
      </c>
      <c r="G445" s="33" t="s">
        <v>2611</v>
      </c>
      <c r="H445" s="32"/>
      <c r="I445" s="33" t="s">
        <v>2612</v>
      </c>
      <c r="J445" s="33" t="s">
        <v>43</v>
      </c>
      <c r="K445" s="33" t="s">
        <v>2613</v>
      </c>
      <c r="L445" s="48">
        <v>803736494</v>
      </c>
      <c r="M445" s="32"/>
      <c r="N445" s="48">
        <v>7500000</v>
      </c>
      <c r="O445" s="43"/>
      <c r="P445" s="43"/>
      <c r="Q445" s="48">
        <f t="shared" si="397"/>
        <v>811236494</v>
      </c>
      <c r="R445" s="48">
        <v>803736494</v>
      </c>
      <c r="S445" s="33"/>
      <c r="T445" s="44">
        <v>7500000</v>
      </c>
      <c r="U445" s="33"/>
      <c r="V445" s="33"/>
      <c r="W445" s="52"/>
      <c r="X445" s="52">
        <f t="shared" ref="X445:Y445" si="439">M445-S445</f>
        <v>0</v>
      </c>
      <c r="Y445" s="52">
        <f t="shared" si="439"/>
        <v>0</v>
      </c>
      <c r="Z445" s="52">
        <f t="shared" si="259"/>
        <v>0</v>
      </c>
      <c r="AA445" s="54"/>
      <c r="AB445" s="68"/>
    </row>
    <row r="446" spans="1:28" ht="47.25" x14ac:dyDescent="0.25">
      <c r="A446" s="33" t="s">
        <v>88</v>
      </c>
      <c r="B446" s="42">
        <v>426</v>
      </c>
      <c r="C446" s="33" t="s">
        <v>163</v>
      </c>
      <c r="D446" s="33" t="s">
        <v>2614</v>
      </c>
      <c r="E446" s="32"/>
      <c r="F446" s="33" t="s">
        <v>2615</v>
      </c>
      <c r="G446" s="32"/>
      <c r="H446" s="32"/>
      <c r="I446" s="33" t="s">
        <v>2616</v>
      </c>
      <c r="J446" s="33" t="s">
        <v>43</v>
      </c>
      <c r="K446" s="33" t="s">
        <v>2617</v>
      </c>
      <c r="L446" s="48">
        <v>135006020</v>
      </c>
      <c r="M446" s="32"/>
      <c r="N446" s="48">
        <v>7500000</v>
      </c>
      <c r="O446" s="43"/>
      <c r="P446" s="43"/>
      <c r="Q446" s="48">
        <f t="shared" si="397"/>
        <v>142506020</v>
      </c>
      <c r="R446" s="48">
        <v>135006020</v>
      </c>
      <c r="S446" s="33"/>
      <c r="T446" s="44">
        <v>7500000</v>
      </c>
      <c r="U446" s="33"/>
      <c r="V446" s="33"/>
      <c r="W446" s="52"/>
      <c r="X446" s="52">
        <f t="shared" ref="X446:Y446" si="440">M446-S446</f>
        <v>0</v>
      </c>
      <c r="Y446" s="52">
        <f t="shared" si="440"/>
        <v>0</v>
      </c>
      <c r="Z446" s="52">
        <f t="shared" si="259"/>
        <v>0</v>
      </c>
      <c r="AA446" s="54"/>
      <c r="AB446" s="68"/>
    </row>
    <row r="447" spans="1:28" ht="47.25" x14ac:dyDescent="0.25">
      <c r="A447" s="33" t="s">
        <v>46</v>
      </c>
      <c r="B447" s="42">
        <v>427</v>
      </c>
      <c r="C447" s="33" t="s">
        <v>163</v>
      </c>
      <c r="D447" s="33" t="s">
        <v>1661</v>
      </c>
      <c r="E447" s="32"/>
      <c r="F447" s="33" t="s">
        <v>1663</v>
      </c>
      <c r="G447" s="32"/>
      <c r="H447" s="32"/>
      <c r="I447" s="33" t="s">
        <v>1664</v>
      </c>
      <c r="J447" s="33" t="s">
        <v>43</v>
      </c>
      <c r="K447" s="33" t="s">
        <v>1665</v>
      </c>
      <c r="L447" s="48">
        <v>2820833362</v>
      </c>
      <c r="M447" s="32"/>
      <c r="N447" s="48">
        <v>15000000</v>
      </c>
      <c r="O447" s="43" t="s">
        <v>397</v>
      </c>
      <c r="P447" s="69">
        <v>48000000</v>
      </c>
      <c r="Q447" s="48">
        <f t="shared" si="397"/>
        <v>2883833362</v>
      </c>
      <c r="R447" s="48">
        <v>2820833362</v>
      </c>
      <c r="S447" s="33"/>
      <c r="T447" s="44">
        <v>15000000</v>
      </c>
      <c r="U447" s="48">
        <v>48000000</v>
      </c>
      <c r="V447" s="33"/>
      <c r="W447" s="52"/>
      <c r="X447" s="52">
        <f t="shared" ref="X447:Y447" si="441">M447-S447</f>
        <v>0</v>
      </c>
      <c r="Y447" s="52">
        <f t="shared" si="441"/>
        <v>0</v>
      </c>
      <c r="Z447" s="52">
        <f t="shared" si="259"/>
        <v>0</v>
      </c>
      <c r="AA447" s="54"/>
      <c r="AB447" s="68"/>
    </row>
    <row r="448" spans="1:28" ht="31.5" x14ac:dyDescent="0.25">
      <c r="A448" s="33" t="s">
        <v>52</v>
      </c>
      <c r="B448" s="42">
        <v>428</v>
      </c>
      <c r="C448" s="33" t="s">
        <v>47</v>
      </c>
      <c r="D448" s="33" t="s">
        <v>2618</v>
      </c>
      <c r="E448" s="32"/>
      <c r="F448" s="33" t="s">
        <v>2619</v>
      </c>
      <c r="G448" s="32"/>
      <c r="H448" s="32"/>
      <c r="I448" s="33" t="s">
        <v>2620</v>
      </c>
      <c r="J448" s="33" t="s">
        <v>43</v>
      </c>
      <c r="K448" s="33" t="s">
        <v>2621</v>
      </c>
      <c r="L448" s="48">
        <v>356131600</v>
      </c>
      <c r="M448" s="32"/>
      <c r="N448" s="48">
        <v>7500000</v>
      </c>
      <c r="O448" s="43"/>
      <c r="P448" s="43"/>
      <c r="Q448" s="48">
        <f t="shared" si="397"/>
        <v>363631600</v>
      </c>
      <c r="R448" s="48">
        <v>356131600</v>
      </c>
      <c r="S448" s="33"/>
      <c r="T448" s="44">
        <v>7500000</v>
      </c>
      <c r="U448" s="33"/>
      <c r="V448" s="33"/>
      <c r="W448" s="52"/>
      <c r="X448" s="52">
        <f t="shared" ref="X448:Y448" si="442">M448-S448</f>
        <v>0</v>
      </c>
      <c r="Y448" s="52">
        <f t="shared" si="442"/>
        <v>0</v>
      </c>
      <c r="Z448" s="52">
        <f t="shared" si="259"/>
        <v>0</v>
      </c>
      <c r="AA448" s="54"/>
      <c r="AB448" s="68"/>
    </row>
    <row r="449" spans="1:28" ht="31.5" x14ac:dyDescent="0.25">
      <c r="A449" s="33" t="s">
        <v>88</v>
      </c>
      <c r="B449" s="42">
        <v>429</v>
      </c>
      <c r="C449" s="33" t="s">
        <v>47</v>
      </c>
      <c r="D449" s="33" t="s">
        <v>2622</v>
      </c>
      <c r="E449" s="32"/>
      <c r="F449" s="33" t="s">
        <v>2623</v>
      </c>
      <c r="G449" s="32"/>
      <c r="H449" s="32"/>
      <c r="I449" s="33" t="s">
        <v>2624</v>
      </c>
      <c r="J449" s="33" t="s">
        <v>43</v>
      </c>
      <c r="K449" s="33" t="s">
        <v>2625</v>
      </c>
      <c r="L449" s="48">
        <v>3113721600</v>
      </c>
      <c r="M449" s="32"/>
      <c r="N449" s="48">
        <v>15000000</v>
      </c>
      <c r="O449" s="43"/>
      <c r="P449" s="43"/>
      <c r="Q449" s="48">
        <f t="shared" si="397"/>
        <v>3128721600</v>
      </c>
      <c r="R449" s="52">
        <v>3113721600</v>
      </c>
      <c r="S449" s="33"/>
      <c r="T449" s="44">
        <v>15000000</v>
      </c>
      <c r="U449" s="33"/>
      <c r="V449" s="33"/>
      <c r="W449" s="52"/>
      <c r="X449" s="52">
        <f t="shared" ref="X449:Y449" si="443">M449-S449</f>
        <v>0</v>
      </c>
      <c r="Y449" s="52">
        <f t="shared" si="443"/>
        <v>0</v>
      </c>
      <c r="Z449" s="52">
        <f t="shared" si="259"/>
        <v>0</v>
      </c>
      <c r="AA449" s="54"/>
      <c r="AB449" s="68"/>
    </row>
    <row r="450" spans="1:28" ht="31.5" x14ac:dyDescent="0.25">
      <c r="A450" s="33" t="s">
        <v>60</v>
      </c>
      <c r="B450" s="42">
        <v>430</v>
      </c>
      <c r="C450" s="33" t="s">
        <v>47</v>
      </c>
      <c r="D450" s="33" t="s">
        <v>2626</v>
      </c>
      <c r="E450" s="32"/>
      <c r="F450" s="33" t="s">
        <v>2627</v>
      </c>
      <c r="G450" s="32"/>
      <c r="H450" s="32"/>
      <c r="I450" s="33" t="s">
        <v>2628</v>
      </c>
      <c r="J450" s="33" t="s">
        <v>43</v>
      </c>
      <c r="K450" s="33" t="s">
        <v>2629</v>
      </c>
      <c r="L450" s="48">
        <v>3291977680</v>
      </c>
      <c r="M450" s="32"/>
      <c r="N450" s="48">
        <v>15000000</v>
      </c>
      <c r="O450" s="43"/>
      <c r="P450" s="43"/>
      <c r="Q450" s="48">
        <f t="shared" si="397"/>
        <v>3306977680</v>
      </c>
      <c r="R450" s="79">
        <v>3291977680</v>
      </c>
      <c r="S450" s="33"/>
      <c r="T450" s="44">
        <v>15000000</v>
      </c>
      <c r="U450" s="33"/>
      <c r="V450" s="33"/>
      <c r="W450" s="52"/>
      <c r="X450" s="52">
        <f t="shared" ref="X450:Y450" si="444">M450-S450</f>
        <v>0</v>
      </c>
      <c r="Y450" s="52">
        <f t="shared" si="444"/>
        <v>0</v>
      </c>
      <c r="Z450" s="52">
        <f t="shared" si="259"/>
        <v>0</v>
      </c>
      <c r="AA450" s="54"/>
      <c r="AB450" s="68"/>
    </row>
    <row r="451" spans="1:28" ht="31.5" x14ac:dyDescent="0.25">
      <c r="A451" s="33" t="s">
        <v>60</v>
      </c>
      <c r="B451" s="42">
        <v>431</v>
      </c>
      <c r="C451" s="33" t="s">
        <v>47</v>
      </c>
      <c r="D451" s="33" t="s">
        <v>2630</v>
      </c>
      <c r="E451" s="32"/>
      <c r="F451" s="33" t="s">
        <v>2631</v>
      </c>
      <c r="G451" s="33" t="s">
        <v>2632</v>
      </c>
      <c r="H451" s="32"/>
      <c r="I451" s="33" t="s">
        <v>2633</v>
      </c>
      <c r="J451" s="33" t="s">
        <v>43</v>
      </c>
      <c r="K451" s="33" t="s">
        <v>2634</v>
      </c>
      <c r="L451" s="48">
        <v>1490425300</v>
      </c>
      <c r="M451" s="32"/>
      <c r="N451" s="48">
        <v>15000000</v>
      </c>
      <c r="O451" s="43"/>
      <c r="P451" s="43"/>
      <c r="Q451" s="48">
        <f t="shared" si="397"/>
        <v>1505425300</v>
      </c>
      <c r="R451" s="79">
        <v>1490425300</v>
      </c>
      <c r="S451" s="33"/>
      <c r="T451" s="44">
        <v>15000000</v>
      </c>
      <c r="U451" s="33"/>
      <c r="V451" s="33"/>
      <c r="W451" s="52"/>
      <c r="X451" s="52">
        <f t="shared" ref="X451:Y451" si="445">M451-S451</f>
        <v>0</v>
      </c>
      <c r="Y451" s="52">
        <f t="shared" si="445"/>
        <v>0</v>
      </c>
      <c r="Z451" s="52">
        <f t="shared" si="259"/>
        <v>0</v>
      </c>
      <c r="AA451" s="54"/>
      <c r="AB451" s="68"/>
    </row>
    <row r="452" spans="1:28" ht="31.5" x14ac:dyDescent="0.25">
      <c r="A452" s="33" t="s">
        <v>60</v>
      </c>
      <c r="B452" s="42">
        <v>432</v>
      </c>
      <c r="C452" s="33" t="s">
        <v>47</v>
      </c>
      <c r="D452" s="33" t="s">
        <v>2635</v>
      </c>
      <c r="E452" s="32"/>
      <c r="F452" s="33" t="s">
        <v>2636</v>
      </c>
      <c r="G452" s="32"/>
      <c r="H452" s="32"/>
      <c r="I452" s="33" t="s">
        <v>2637</v>
      </c>
      <c r="J452" s="33" t="s">
        <v>43</v>
      </c>
      <c r="K452" s="33" t="s">
        <v>2638</v>
      </c>
      <c r="L452" s="48">
        <v>938372032</v>
      </c>
      <c r="M452" s="32"/>
      <c r="N452" s="48">
        <v>15000000</v>
      </c>
      <c r="O452" s="43"/>
      <c r="P452" s="43"/>
      <c r="Q452" s="48">
        <f t="shared" si="397"/>
        <v>953372032</v>
      </c>
      <c r="R452" s="48">
        <v>938372032</v>
      </c>
      <c r="S452" s="33"/>
      <c r="T452" s="44">
        <v>15000000</v>
      </c>
      <c r="U452" s="33"/>
      <c r="V452" s="33"/>
      <c r="W452" s="52"/>
      <c r="X452" s="52">
        <f t="shared" ref="X452:Y452" si="446">M452-S452</f>
        <v>0</v>
      </c>
      <c r="Y452" s="52">
        <f t="shared" si="446"/>
        <v>0</v>
      </c>
      <c r="Z452" s="52">
        <f t="shared" si="259"/>
        <v>0</v>
      </c>
      <c r="AA452" s="54"/>
      <c r="AB452" s="68"/>
    </row>
    <row r="453" spans="1:28" ht="31.5" x14ac:dyDescent="0.25">
      <c r="A453" s="33" t="s">
        <v>35</v>
      </c>
      <c r="B453" s="42">
        <v>433</v>
      </c>
      <c r="C453" s="33" t="s">
        <v>47</v>
      </c>
      <c r="D453" s="33" t="s">
        <v>2639</v>
      </c>
      <c r="E453" s="33" t="s">
        <v>2640</v>
      </c>
      <c r="F453" s="33" t="s">
        <v>2641</v>
      </c>
      <c r="G453" s="33" t="s">
        <v>2642</v>
      </c>
      <c r="H453" s="32"/>
      <c r="I453" s="33" t="s">
        <v>2643</v>
      </c>
      <c r="J453" s="33" t="s">
        <v>43</v>
      </c>
      <c r="K453" s="33" t="s">
        <v>2644</v>
      </c>
      <c r="L453" s="48">
        <v>749331672</v>
      </c>
      <c r="M453" s="48">
        <v>37628928</v>
      </c>
      <c r="N453" s="48">
        <v>7500000</v>
      </c>
      <c r="O453" s="43"/>
      <c r="P453" s="43"/>
      <c r="Q453" s="48">
        <f t="shared" si="397"/>
        <v>794460600</v>
      </c>
      <c r="R453" s="48">
        <v>749331672</v>
      </c>
      <c r="S453" s="33"/>
      <c r="T453" s="44">
        <v>7500000</v>
      </c>
      <c r="U453" s="33"/>
      <c r="V453" s="33"/>
      <c r="W453" s="52"/>
      <c r="X453" s="52">
        <f t="shared" ref="X453:Y453" si="447">M453-S453</f>
        <v>37628928</v>
      </c>
      <c r="Y453" s="52">
        <f t="shared" si="447"/>
        <v>0</v>
      </c>
      <c r="Z453" s="52">
        <f t="shared" si="259"/>
        <v>0</v>
      </c>
      <c r="AA453" s="54"/>
      <c r="AB453" s="68"/>
    </row>
    <row r="454" spans="1:28" ht="31.5" x14ac:dyDescent="0.25">
      <c r="A454" s="33" t="s">
        <v>88</v>
      </c>
      <c r="B454" s="42">
        <v>434</v>
      </c>
      <c r="C454" s="33" t="s">
        <v>47</v>
      </c>
      <c r="D454" s="33" t="s">
        <v>1252</v>
      </c>
      <c r="E454" s="32"/>
      <c r="F454" s="33" t="s">
        <v>1253</v>
      </c>
      <c r="G454" s="32"/>
      <c r="H454" s="32"/>
      <c r="I454" s="33" t="s">
        <v>1254</v>
      </c>
      <c r="J454" s="33" t="s">
        <v>43</v>
      </c>
      <c r="K454" s="33" t="s">
        <v>1256</v>
      </c>
      <c r="L454" s="48">
        <v>4110860698</v>
      </c>
      <c r="M454" s="32"/>
      <c r="N454" s="48">
        <v>15000000</v>
      </c>
      <c r="O454" s="43" t="s">
        <v>1227</v>
      </c>
      <c r="P454" s="69">
        <v>72000000</v>
      </c>
      <c r="Q454" s="48">
        <f t="shared" si="397"/>
        <v>4197860698</v>
      </c>
      <c r="R454" s="48">
        <v>4110860698</v>
      </c>
      <c r="S454" s="33"/>
      <c r="T454" s="44">
        <v>15000000</v>
      </c>
      <c r="U454" s="48">
        <v>72000000</v>
      </c>
      <c r="V454" s="33"/>
      <c r="W454" s="52"/>
      <c r="X454" s="52">
        <f t="shared" ref="X454:Y454" si="448">M454-S454</f>
        <v>0</v>
      </c>
      <c r="Y454" s="52">
        <f t="shared" si="448"/>
        <v>0</v>
      </c>
      <c r="Z454" s="52">
        <f t="shared" si="259"/>
        <v>0</v>
      </c>
      <c r="AA454" s="54"/>
      <c r="AB454" s="68"/>
    </row>
    <row r="455" spans="1:28" ht="31.5" x14ac:dyDescent="0.25">
      <c r="A455" s="33" t="s">
        <v>52</v>
      </c>
      <c r="B455" s="42">
        <v>435</v>
      </c>
      <c r="C455" s="33" t="s">
        <v>47</v>
      </c>
      <c r="D455" s="33" t="s">
        <v>2646</v>
      </c>
      <c r="E455" s="33" t="s">
        <v>2647</v>
      </c>
      <c r="F455" s="33" t="s">
        <v>2648</v>
      </c>
      <c r="G455" s="33" t="s">
        <v>2649</v>
      </c>
      <c r="H455" s="32"/>
      <c r="I455" s="33" t="s">
        <v>2650</v>
      </c>
      <c r="J455" s="33" t="s">
        <v>43</v>
      </c>
      <c r="K455" s="33" t="s">
        <v>2651</v>
      </c>
      <c r="L455" s="48">
        <v>15629867106</v>
      </c>
      <c r="M455" s="48">
        <v>1473748861</v>
      </c>
      <c r="N455" s="48">
        <v>7500000</v>
      </c>
      <c r="O455" s="43"/>
      <c r="P455" s="43"/>
      <c r="Q455" s="48">
        <f t="shared" si="397"/>
        <v>17111115967</v>
      </c>
      <c r="R455" s="33"/>
      <c r="S455" s="33"/>
      <c r="T455" s="66"/>
      <c r="U455" s="33"/>
      <c r="V455" s="33"/>
      <c r="W455" s="52">
        <v>15629867106</v>
      </c>
      <c r="X455" s="52">
        <f t="shared" ref="X455:Y455" si="449">M455-S455</f>
        <v>1473748861</v>
      </c>
      <c r="Y455" s="52">
        <f t="shared" si="449"/>
        <v>7500000</v>
      </c>
      <c r="Z455" s="52">
        <f t="shared" si="259"/>
        <v>0</v>
      </c>
      <c r="AA455" s="69">
        <v>15629867106</v>
      </c>
      <c r="AB455" s="68"/>
    </row>
    <row r="456" spans="1:28" ht="31.5" x14ac:dyDescent="0.25">
      <c r="A456" s="33" t="s">
        <v>46</v>
      </c>
      <c r="B456" s="42">
        <v>436</v>
      </c>
      <c r="C456" s="33" t="s">
        <v>47</v>
      </c>
      <c r="D456" s="33" t="s">
        <v>2652</v>
      </c>
      <c r="E456" s="33" t="s">
        <v>1028</v>
      </c>
      <c r="F456" s="33" t="s">
        <v>2653</v>
      </c>
      <c r="G456" s="33" t="s">
        <v>2654</v>
      </c>
      <c r="H456" s="32"/>
      <c r="I456" s="33" t="s">
        <v>2655</v>
      </c>
      <c r="J456" s="33" t="s">
        <v>43</v>
      </c>
      <c r="K456" s="33" t="s">
        <v>2656</v>
      </c>
      <c r="L456" s="48">
        <v>2887795865</v>
      </c>
      <c r="M456" s="48">
        <v>38730048</v>
      </c>
      <c r="N456" s="48">
        <v>7500000</v>
      </c>
      <c r="O456" s="43"/>
      <c r="P456" s="43"/>
      <c r="Q456" s="48">
        <f t="shared" si="397"/>
        <v>2934025913</v>
      </c>
      <c r="R456" s="48">
        <v>2887795865</v>
      </c>
      <c r="S456" s="33"/>
      <c r="T456" s="66"/>
      <c r="U456" s="33"/>
      <c r="V456" s="33"/>
      <c r="W456" s="52"/>
      <c r="X456" s="52">
        <f t="shared" ref="X456:Y456" si="450">M456-S456</f>
        <v>38730048</v>
      </c>
      <c r="Y456" s="52">
        <f t="shared" si="450"/>
        <v>7500000</v>
      </c>
      <c r="Z456" s="52">
        <f t="shared" si="259"/>
        <v>0</v>
      </c>
      <c r="AA456" s="54"/>
      <c r="AB456" s="68"/>
    </row>
    <row r="457" spans="1:28" ht="31.5" x14ac:dyDescent="0.25">
      <c r="A457" s="33" t="s">
        <v>35</v>
      </c>
      <c r="B457" s="42">
        <v>437</v>
      </c>
      <c r="C457" s="33" t="s">
        <v>47</v>
      </c>
      <c r="D457" s="33" t="s">
        <v>2657</v>
      </c>
      <c r="E457" s="32"/>
      <c r="F457" s="33" t="s">
        <v>2658</v>
      </c>
      <c r="G457" s="32"/>
      <c r="H457" s="32"/>
      <c r="I457" s="33" t="s">
        <v>2659</v>
      </c>
      <c r="J457" s="33" t="s">
        <v>43</v>
      </c>
      <c r="K457" s="33" t="s">
        <v>2660</v>
      </c>
      <c r="L457" s="48">
        <v>51726960</v>
      </c>
      <c r="M457" s="32"/>
      <c r="N457" s="48">
        <v>7500000</v>
      </c>
      <c r="O457" s="43"/>
      <c r="P457" s="43"/>
      <c r="Q457" s="48">
        <f t="shared" si="397"/>
        <v>59226960</v>
      </c>
      <c r="R457" s="48">
        <v>51726960</v>
      </c>
      <c r="S457" s="33"/>
      <c r="T457" s="66"/>
      <c r="U457" s="33"/>
      <c r="V457" s="33"/>
      <c r="W457" s="52"/>
      <c r="X457" s="52">
        <f t="shared" ref="X457:Y457" si="451">M457-S457</f>
        <v>0</v>
      </c>
      <c r="Y457" s="52">
        <f t="shared" si="451"/>
        <v>7500000</v>
      </c>
      <c r="Z457" s="52">
        <f t="shared" si="259"/>
        <v>0</v>
      </c>
      <c r="AA457" s="54"/>
      <c r="AB457" s="68"/>
    </row>
    <row r="458" spans="1:28" ht="31.5" x14ac:dyDescent="0.25">
      <c r="A458" s="33" t="s">
        <v>46</v>
      </c>
      <c r="B458" s="42">
        <v>438</v>
      </c>
      <c r="C458" s="33" t="s">
        <v>47</v>
      </c>
      <c r="D458" s="33" t="s">
        <v>2661</v>
      </c>
      <c r="E458" s="32"/>
      <c r="F458" s="33" t="s">
        <v>2662</v>
      </c>
      <c r="G458" s="32"/>
      <c r="H458" s="32"/>
      <c r="I458" s="33" t="s">
        <v>2663</v>
      </c>
      <c r="J458" s="33" t="s">
        <v>43</v>
      </c>
      <c r="K458" s="33" t="s">
        <v>2664</v>
      </c>
      <c r="L458" s="48">
        <v>2988121529</v>
      </c>
      <c r="M458" s="32"/>
      <c r="N458" s="48">
        <v>7500000</v>
      </c>
      <c r="O458" s="43"/>
      <c r="P458" s="43"/>
      <c r="Q458" s="48">
        <f t="shared" si="397"/>
        <v>2995621529</v>
      </c>
      <c r="R458" s="48">
        <v>2988121529</v>
      </c>
      <c r="S458" s="33"/>
      <c r="T458" s="66"/>
      <c r="U458" s="33"/>
      <c r="V458" s="33"/>
      <c r="W458" s="52"/>
      <c r="X458" s="52">
        <f t="shared" ref="X458:Y458" si="452">M458-S458</f>
        <v>0</v>
      </c>
      <c r="Y458" s="52">
        <f t="shared" si="452"/>
        <v>7500000</v>
      </c>
      <c r="Z458" s="52">
        <f t="shared" si="259"/>
        <v>0</v>
      </c>
      <c r="AA458" s="54"/>
      <c r="AB458" s="68"/>
    </row>
    <row r="459" spans="1:28" ht="31.5" x14ac:dyDescent="0.25">
      <c r="A459" s="33" t="s">
        <v>46</v>
      </c>
      <c r="B459" s="42">
        <v>439</v>
      </c>
      <c r="C459" s="33" t="s">
        <v>47</v>
      </c>
      <c r="D459" s="33" t="s">
        <v>2665</v>
      </c>
      <c r="E459" s="32"/>
      <c r="F459" s="33" t="s">
        <v>2666</v>
      </c>
      <c r="G459" s="32"/>
      <c r="H459" s="32"/>
      <c r="I459" s="33" t="s">
        <v>2667</v>
      </c>
      <c r="J459" s="33" t="s">
        <v>43</v>
      </c>
      <c r="K459" s="33" t="s">
        <v>2668</v>
      </c>
      <c r="L459" s="48">
        <v>2121301600</v>
      </c>
      <c r="M459" s="32"/>
      <c r="N459" s="48">
        <v>7500000</v>
      </c>
      <c r="O459" s="43"/>
      <c r="P459" s="43"/>
      <c r="Q459" s="48">
        <f t="shared" si="397"/>
        <v>2128801600</v>
      </c>
      <c r="R459" s="48">
        <v>2121301600</v>
      </c>
      <c r="S459" s="33"/>
      <c r="T459" s="44">
        <v>7500000</v>
      </c>
      <c r="U459" s="33"/>
      <c r="V459" s="33"/>
      <c r="W459" s="52"/>
      <c r="X459" s="52">
        <f t="shared" ref="X459:Y459" si="453">M459-S459</f>
        <v>0</v>
      </c>
      <c r="Y459" s="52">
        <f t="shared" si="453"/>
        <v>0</v>
      </c>
      <c r="Z459" s="52">
        <f t="shared" si="259"/>
        <v>0</v>
      </c>
      <c r="AA459" s="54"/>
      <c r="AB459" s="68"/>
    </row>
    <row r="460" spans="1:28" ht="31.5" x14ac:dyDescent="0.25">
      <c r="A460" s="33" t="s">
        <v>46</v>
      </c>
      <c r="B460" s="42">
        <v>440</v>
      </c>
      <c r="C460" s="33" t="s">
        <v>47</v>
      </c>
      <c r="D460" s="33" t="s">
        <v>48</v>
      </c>
      <c r="E460" s="32"/>
      <c r="F460" s="33" t="s">
        <v>49</v>
      </c>
      <c r="G460" s="32"/>
      <c r="H460" s="32"/>
      <c r="I460" s="33" t="s">
        <v>50</v>
      </c>
      <c r="J460" s="33" t="s">
        <v>43</v>
      </c>
      <c r="K460" s="33" t="s">
        <v>51</v>
      </c>
      <c r="L460" s="48">
        <v>1804834020</v>
      </c>
      <c r="M460" s="32"/>
      <c r="N460" s="48">
        <v>15000000</v>
      </c>
      <c r="O460" s="43" t="s">
        <v>39</v>
      </c>
      <c r="P460" s="69">
        <v>72000000</v>
      </c>
      <c r="Q460" s="48">
        <f t="shared" si="397"/>
        <v>1891834020</v>
      </c>
      <c r="R460" s="48">
        <v>1804834020</v>
      </c>
      <c r="S460" s="33"/>
      <c r="T460" s="44">
        <v>15000000</v>
      </c>
      <c r="U460" s="48">
        <v>72000000</v>
      </c>
      <c r="V460" s="33"/>
      <c r="W460" s="52"/>
      <c r="X460" s="52">
        <f t="shared" ref="X460:Y460" si="454">M460-S460</f>
        <v>0</v>
      </c>
      <c r="Y460" s="52">
        <f t="shared" si="454"/>
        <v>0</v>
      </c>
      <c r="Z460" s="52">
        <f t="shared" si="259"/>
        <v>0</v>
      </c>
      <c r="AA460" s="54"/>
      <c r="AB460" s="68"/>
    </row>
    <row r="461" spans="1:28" ht="31.5" x14ac:dyDescent="0.25">
      <c r="A461" s="33" t="s">
        <v>35</v>
      </c>
      <c r="B461" s="42">
        <v>441</v>
      </c>
      <c r="C461" s="33" t="s">
        <v>47</v>
      </c>
      <c r="D461" s="33" t="s">
        <v>2670</v>
      </c>
      <c r="E461" s="32"/>
      <c r="F461" s="33" t="s">
        <v>2671</v>
      </c>
      <c r="G461" s="32"/>
      <c r="H461" s="32"/>
      <c r="I461" s="33" t="s">
        <v>2672</v>
      </c>
      <c r="J461" s="33" t="s">
        <v>43</v>
      </c>
      <c r="K461" s="33" t="s">
        <v>2673</v>
      </c>
      <c r="L461" s="48">
        <v>4606383064</v>
      </c>
      <c r="M461" s="32"/>
      <c r="N461" s="48">
        <v>15000000</v>
      </c>
      <c r="O461" s="43"/>
      <c r="P461" s="43"/>
      <c r="Q461" s="48">
        <f t="shared" si="397"/>
        <v>4621383064</v>
      </c>
      <c r="R461" s="48">
        <v>4606383064</v>
      </c>
      <c r="S461" s="33"/>
      <c r="T461" s="44">
        <v>15000000</v>
      </c>
      <c r="U461" s="33"/>
      <c r="V461" s="33"/>
      <c r="W461" s="52"/>
      <c r="X461" s="52">
        <f t="shared" ref="X461:Y461" si="455">M461-S461</f>
        <v>0</v>
      </c>
      <c r="Y461" s="52">
        <f t="shared" si="455"/>
        <v>0</v>
      </c>
      <c r="Z461" s="52">
        <f t="shared" si="259"/>
        <v>0</v>
      </c>
      <c r="AA461" s="54"/>
      <c r="AB461" s="68"/>
    </row>
    <row r="462" spans="1:28" ht="47.25" x14ac:dyDescent="0.25">
      <c r="A462" s="33" t="s">
        <v>52</v>
      </c>
      <c r="B462" s="42">
        <v>442</v>
      </c>
      <c r="C462" s="33" t="s">
        <v>47</v>
      </c>
      <c r="D462" s="33" t="s">
        <v>105</v>
      </c>
      <c r="E462" s="33" t="s">
        <v>106</v>
      </c>
      <c r="F462" s="33" t="s">
        <v>108</v>
      </c>
      <c r="G462" s="33" t="s">
        <v>109</v>
      </c>
      <c r="H462" s="32"/>
      <c r="I462" s="33" t="s">
        <v>110</v>
      </c>
      <c r="J462" s="33" t="s">
        <v>43</v>
      </c>
      <c r="K462" s="33" t="s">
        <v>111</v>
      </c>
      <c r="L462" s="48">
        <v>1155653236</v>
      </c>
      <c r="M462" s="48">
        <v>1188367986</v>
      </c>
      <c r="N462" s="48">
        <v>15000000</v>
      </c>
      <c r="O462" s="43" t="s">
        <v>107</v>
      </c>
      <c r="P462" s="69">
        <v>24000000</v>
      </c>
      <c r="Q462" s="48">
        <f t="shared" si="397"/>
        <v>2383021222</v>
      </c>
      <c r="R462" s="48">
        <v>1155653236</v>
      </c>
      <c r="S462" s="48">
        <v>1188367986</v>
      </c>
      <c r="T462" s="44">
        <v>15000000</v>
      </c>
      <c r="U462" s="48">
        <v>24000000</v>
      </c>
      <c r="V462" s="33"/>
      <c r="W462" s="52"/>
      <c r="X462" s="52">
        <f t="shared" ref="X462:Y462" si="456">M462-S462</f>
        <v>0</v>
      </c>
      <c r="Y462" s="52">
        <f t="shared" si="456"/>
        <v>0</v>
      </c>
      <c r="Z462" s="52">
        <f t="shared" si="259"/>
        <v>0</v>
      </c>
      <c r="AA462" s="54"/>
      <c r="AB462" s="68"/>
    </row>
    <row r="463" spans="1:28" ht="31.5" x14ac:dyDescent="0.25">
      <c r="A463" s="33" t="s">
        <v>88</v>
      </c>
      <c r="B463" s="42">
        <v>443</v>
      </c>
      <c r="C463" s="33" t="s">
        <v>47</v>
      </c>
      <c r="D463" s="33" t="s">
        <v>2675</v>
      </c>
      <c r="E463" s="32"/>
      <c r="F463" s="33" t="s">
        <v>2676</v>
      </c>
      <c r="G463" s="32"/>
      <c r="H463" s="32"/>
      <c r="I463" s="33" t="s">
        <v>2677</v>
      </c>
      <c r="J463" s="33" t="s">
        <v>43</v>
      </c>
      <c r="K463" s="33" t="s">
        <v>2678</v>
      </c>
      <c r="L463" s="48">
        <v>11944033780</v>
      </c>
      <c r="M463" s="32"/>
      <c r="N463" s="48">
        <v>15000000</v>
      </c>
      <c r="O463" s="43"/>
      <c r="P463" s="43"/>
      <c r="Q463" s="48">
        <f t="shared" si="397"/>
        <v>11959033780</v>
      </c>
      <c r="R463" s="48">
        <v>11944033780</v>
      </c>
      <c r="S463" s="33"/>
      <c r="T463" s="44">
        <v>15000000</v>
      </c>
      <c r="U463" s="33"/>
      <c r="V463" s="33"/>
      <c r="W463" s="52"/>
      <c r="X463" s="52">
        <f t="shared" ref="X463:Y463" si="457">M463-S463</f>
        <v>0</v>
      </c>
      <c r="Y463" s="52">
        <f t="shared" si="457"/>
        <v>0</v>
      </c>
      <c r="Z463" s="52">
        <f t="shared" si="259"/>
        <v>0</v>
      </c>
      <c r="AA463" s="54"/>
      <c r="AB463" s="68"/>
    </row>
    <row r="464" spans="1:28" ht="31.5" x14ac:dyDescent="0.25">
      <c r="A464" s="33" t="s">
        <v>46</v>
      </c>
      <c r="B464" s="42">
        <v>444</v>
      </c>
      <c r="C464" s="33" t="s">
        <v>47</v>
      </c>
      <c r="D464" s="33" t="s">
        <v>2679</v>
      </c>
      <c r="E464" s="32"/>
      <c r="F464" s="33" t="s">
        <v>2680</v>
      </c>
      <c r="G464" s="32"/>
      <c r="H464" s="32"/>
      <c r="I464" s="33" t="s">
        <v>2681</v>
      </c>
      <c r="J464" s="33" t="s">
        <v>43</v>
      </c>
      <c r="K464" s="33" t="s">
        <v>2682</v>
      </c>
      <c r="L464" s="48">
        <v>672852940</v>
      </c>
      <c r="M464" s="32"/>
      <c r="N464" s="48">
        <v>7500000</v>
      </c>
      <c r="O464" s="43"/>
      <c r="P464" s="43"/>
      <c r="Q464" s="48">
        <f t="shared" si="397"/>
        <v>680352940</v>
      </c>
      <c r="R464" s="33"/>
      <c r="S464" s="33"/>
      <c r="T464" s="44">
        <v>7500000</v>
      </c>
      <c r="U464" s="33"/>
      <c r="V464" s="33"/>
      <c r="W464" s="52">
        <v>672852940</v>
      </c>
      <c r="X464" s="52">
        <f t="shared" ref="X464:Y464" si="458">M464-S464</f>
        <v>0</v>
      </c>
      <c r="Y464" s="52">
        <f t="shared" si="458"/>
        <v>0</v>
      </c>
      <c r="Z464" s="52">
        <f t="shared" si="259"/>
        <v>0</v>
      </c>
      <c r="AA464" s="69">
        <v>672852940</v>
      </c>
      <c r="AB464" s="68"/>
    </row>
    <row r="465" spans="1:28" ht="31.5" x14ac:dyDescent="0.25">
      <c r="A465" s="33" t="s">
        <v>35</v>
      </c>
      <c r="B465" s="42">
        <v>445</v>
      </c>
      <c r="C465" s="33" t="s">
        <v>47</v>
      </c>
      <c r="D465" s="33" t="s">
        <v>2683</v>
      </c>
      <c r="E465" s="32"/>
      <c r="F465" s="33" t="s">
        <v>2684</v>
      </c>
      <c r="G465" s="32"/>
      <c r="H465" s="32"/>
      <c r="I465" s="33" t="s">
        <v>2685</v>
      </c>
      <c r="J465" s="33" t="s">
        <v>43</v>
      </c>
      <c r="K465" s="33" t="s">
        <v>2686</v>
      </c>
      <c r="L465" s="48">
        <v>2508309760</v>
      </c>
      <c r="M465" s="32"/>
      <c r="N465" s="48">
        <v>15000000</v>
      </c>
      <c r="O465" s="43"/>
      <c r="P465" s="43"/>
      <c r="Q465" s="48">
        <f t="shared" si="397"/>
        <v>2523309760</v>
      </c>
      <c r="R465" s="48">
        <v>2508309760</v>
      </c>
      <c r="S465" s="33"/>
      <c r="T465" s="44">
        <v>15000000</v>
      </c>
      <c r="U465" s="33"/>
      <c r="V465" s="33"/>
      <c r="W465" s="52"/>
      <c r="X465" s="52">
        <f t="shared" ref="X465:Y465" si="459">M465-S465</f>
        <v>0</v>
      </c>
      <c r="Y465" s="52">
        <f t="shared" si="459"/>
        <v>0</v>
      </c>
      <c r="Z465" s="52">
        <f t="shared" si="259"/>
        <v>0</v>
      </c>
      <c r="AA465" s="54"/>
      <c r="AB465" s="68"/>
    </row>
    <row r="466" spans="1:28" ht="31.5" x14ac:dyDescent="0.25">
      <c r="A466" s="33" t="s">
        <v>60</v>
      </c>
      <c r="B466" s="42">
        <v>446</v>
      </c>
      <c r="C466" s="33" t="s">
        <v>47</v>
      </c>
      <c r="D466" s="33" t="s">
        <v>2687</v>
      </c>
      <c r="E466" s="32"/>
      <c r="F466" s="33" t="s">
        <v>2688</v>
      </c>
      <c r="G466" s="32"/>
      <c r="H466" s="32"/>
      <c r="I466" s="33" t="s">
        <v>2689</v>
      </c>
      <c r="J466" s="33" t="s">
        <v>43</v>
      </c>
      <c r="K466" s="33" t="s">
        <v>2690</v>
      </c>
      <c r="L466" s="48">
        <v>696677520</v>
      </c>
      <c r="M466" s="32"/>
      <c r="N466" s="48">
        <v>7500000</v>
      </c>
      <c r="O466" s="43"/>
      <c r="P466" s="43"/>
      <c r="Q466" s="48">
        <f t="shared" si="397"/>
        <v>704177520</v>
      </c>
      <c r="R466" s="79">
        <v>696677520</v>
      </c>
      <c r="S466" s="33"/>
      <c r="T466" s="44">
        <v>7500000</v>
      </c>
      <c r="U466" s="33"/>
      <c r="V466" s="33"/>
      <c r="W466" s="52"/>
      <c r="X466" s="52">
        <f t="shared" ref="X466:Y466" si="460">M466-S466</f>
        <v>0</v>
      </c>
      <c r="Y466" s="52">
        <f t="shared" si="460"/>
        <v>0</v>
      </c>
      <c r="Z466" s="52">
        <f t="shared" si="259"/>
        <v>0</v>
      </c>
      <c r="AA466" s="54"/>
      <c r="AB466" s="68"/>
    </row>
    <row r="467" spans="1:28" ht="78.75" x14ac:dyDescent="0.25">
      <c r="A467" s="33" t="s">
        <v>35</v>
      </c>
      <c r="B467" s="42">
        <v>447</v>
      </c>
      <c r="C467" s="33" t="s">
        <v>47</v>
      </c>
      <c r="D467" s="33" t="s">
        <v>455</v>
      </c>
      <c r="E467" s="32"/>
      <c r="F467" s="33" t="s">
        <v>457</v>
      </c>
      <c r="G467" s="32"/>
      <c r="H467" s="32"/>
      <c r="I467" s="33" t="s">
        <v>458</v>
      </c>
      <c r="J467" s="33" t="s">
        <v>43</v>
      </c>
      <c r="K467" s="33" t="s">
        <v>459</v>
      </c>
      <c r="L467" s="48">
        <v>1371254860</v>
      </c>
      <c r="M467" s="32"/>
      <c r="N467" s="48">
        <v>15000000</v>
      </c>
      <c r="O467" s="43" t="s">
        <v>456</v>
      </c>
      <c r="P467" s="69">
        <v>192000000</v>
      </c>
      <c r="Q467" s="48">
        <f t="shared" si="397"/>
        <v>1578254860</v>
      </c>
      <c r="R467" s="48">
        <v>1371254860</v>
      </c>
      <c r="S467" s="33"/>
      <c r="T467" s="44">
        <v>15000000</v>
      </c>
      <c r="U467" s="48">
        <v>96000000</v>
      </c>
      <c r="V467" s="33"/>
      <c r="W467" s="52"/>
      <c r="X467" s="52">
        <f t="shared" ref="X467:Y467" si="461">M467-S467</f>
        <v>0</v>
      </c>
      <c r="Y467" s="52">
        <f t="shared" si="461"/>
        <v>0</v>
      </c>
      <c r="Z467" s="52">
        <f t="shared" si="259"/>
        <v>96000000</v>
      </c>
      <c r="AA467" s="54"/>
      <c r="AB467" s="74" t="s">
        <v>1290</v>
      </c>
    </row>
    <row r="468" spans="1:28" ht="47.25" x14ac:dyDescent="0.25">
      <c r="A468" s="33" t="s">
        <v>52</v>
      </c>
      <c r="B468" s="42">
        <v>448</v>
      </c>
      <c r="C468" s="33" t="s">
        <v>47</v>
      </c>
      <c r="D468" s="33" t="s">
        <v>340</v>
      </c>
      <c r="E468" s="32"/>
      <c r="F468" s="33" t="s">
        <v>342</v>
      </c>
      <c r="G468" s="32"/>
      <c r="H468" s="32"/>
      <c r="I468" s="33" t="s">
        <v>343</v>
      </c>
      <c r="J468" s="33" t="s">
        <v>43</v>
      </c>
      <c r="K468" s="33" t="s">
        <v>344</v>
      </c>
      <c r="L468" s="48">
        <v>1330580934</v>
      </c>
      <c r="M468" s="32"/>
      <c r="N468" s="48">
        <v>15000000</v>
      </c>
      <c r="O468" s="43" t="s">
        <v>2691</v>
      </c>
      <c r="P468" s="69">
        <v>48000000</v>
      </c>
      <c r="Q468" s="48">
        <f t="shared" si="397"/>
        <v>1393580934</v>
      </c>
      <c r="R468" s="48">
        <v>1330580934</v>
      </c>
      <c r="S468" s="33"/>
      <c r="T468" s="44">
        <v>15000000</v>
      </c>
      <c r="U468" s="48">
        <v>48000000</v>
      </c>
      <c r="V468" s="33"/>
      <c r="W468" s="52"/>
      <c r="X468" s="52">
        <f t="shared" ref="X468:Y468" si="462">M468-S468</f>
        <v>0</v>
      </c>
      <c r="Y468" s="52">
        <f t="shared" si="462"/>
        <v>0</v>
      </c>
      <c r="Z468" s="52">
        <f t="shared" si="259"/>
        <v>0</v>
      </c>
      <c r="AA468" s="54"/>
      <c r="AB468" s="68"/>
    </row>
    <row r="469" spans="1:28" ht="31.5" x14ac:dyDescent="0.25">
      <c r="A469" s="33" t="s">
        <v>46</v>
      </c>
      <c r="B469" s="42">
        <v>449</v>
      </c>
      <c r="C469" s="33" t="s">
        <v>47</v>
      </c>
      <c r="D469" s="33" t="s">
        <v>2692</v>
      </c>
      <c r="E469" s="32"/>
      <c r="F469" s="33" t="s">
        <v>2693</v>
      </c>
      <c r="G469" s="32"/>
      <c r="H469" s="32"/>
      <c r="I469" s="33" t="s">
        <v>2694</v>
      </c>
      <c r="J469" s="33" t="s">
        <v>43</v>
      </c>
      <c r="K469" s="33" t="s">
        <v>2695</v>
      </c>
      <c r="L469" s="48">
        <v>1491958086</v>
      </c>
      <c r="M469" s="32"/>
      <c r="N469" s="48">
        <v>7500000</v>
      </c>
      <c r="O469" s="43"/>
      <c r="P469" s="43"/>
      <c r="Q469" s="48">
        <f t="shared" si="397"/>
        <v>1499458086</v>
      </c>
      <c r="R469" s="48">
        <v>1491958086</v>
      </c>
      <c r="S469" s="33"/>
      <c r="T469" s="44">
        <v>7500000</v>
      </c>
      <c r="U469" s="33"/>
      <c r="V469" s="33"/>
      <c r="W469" s="52"/>
      <c r="X469" s="52">
        <f t="shared" ref="X469:Y469" si="463">M469-S469</f>
        <v>0</v>
      </c>
      <c r="Y469" s="52">
        <f t="shared" si="463"/>
        <v>0</v>
      </c>
      <c r="Z469" s="52">
        <f t="shared" si="259"/>
        <v>0</v>
      </c>
      <c r="AA469" s="54"/>
      <c r="AB469" s="68"/>
    </row>
    <row r="470" spans="1:28" ht="31.5" x14ac:dyDescent="0.25">
      <c r="A470" s="33" t="s">
        <v>35</v>
      </c>
      <c r="B470" s="42">
        <v>450</v>
      </c>
      <c r="C470" s="33" t="s">
        <v>47</v>
      </c>
      <c r="D470" s="33" t="s">
        <v>2696</v>
      </c>
      <c r="E470" s="33" t="s">
        <v>2697</v>
      </c>
      <c r="F470" s="33" t="s">
        <v>2698</v>
      </c>
      <c r="G470" s="32"/>
      <c r="H470" s="32"/>
      <c r="I470" s="33" t="s">
        <v>2699</v>
      </c>
      <c r="J470" s="33" t="s">
        <v>43</v>
      </c>
      <c r="K470" s="33" t="s">
        <v>2700</v>
      </c>
      <c r="L470" s="48">
        <v>2330983840</v>
      </c>
      <c r="M470" s="48">
        <v>316785560</v>
      </c>
      <c r="N470" s="48">
        <v>15000000</v>
      </c>
      <c r="O470" s="43"/>
      <c r="P470" s="43"/>
      <c r="Q470" s="48">
        <f t="shared" si="397"/>
        <v>2662769400</v>
      </c>
      <c r="R470" s="48">
        <v>2330983840</v>
      </c>
      <c r="S470" s="48">
        <v>316785560</v>
      </c>
      <c r="T470" s="44">
        <v>15000000</v>
      </c>
      <c r="U470" s="33"/>
      <c r="V470" s="33"/>
      <c r="W470" s="52"/>
      <c r="X470" s="52">
        <f t="shared" ref="X470:Y470" si="464">M470-S470</f>
        <v>0</v>
      </c>
      <c r="Y470" s="52">
        <f t="shared" si="464"/>
        <v>0</v>
      </c>
      <c r="Z470" s="52">
        <f t="shared" si="259"/>
        <v>0</v>
      </c>
      <c r="AA470" s="54"/>
      <c r="AB470" s="68"/>
    </row>
    <row r="471" spans="1:28" ht="31.5" x14ac:dyDescent="0.25">
      <c r="A471" s="33" t="s">
        <v>60</v>
      </c>
      <c r="B471" s="42">
        <v>451</v>
      </c>
      <c r="C471" s="33" t="s">
        <v>47</v>
      </c>
      <c r="D471" s="33" t="s">
        <v>2701</v>
      </c>
      <c r="E471" s="32"/>
      <c r="F471" s="33" t="s">
        <v>2702</v>
      </c>
      <c r="G471" s="32"/>
      <c r="H471" s="32"/>
      <c r="I471" s="33" t="s">
        <v>2703</v>
      </c>
      <c r="J471" s="33" t="s">
        <v>43</v>
      </c>
      <c r="K471" s="33" t="s">
        <v>2704</v>
      </c>
      <c r="L471" s="48">
        <v>6729310220</v>
      </c>
      <c r="M471" s="32"/>
      <c r="N471" s="48">
        <v>15000000</v>
      </c>
      <c r="O471" s="43"/>
      <c r="P471" s="43"/>
      <c r="Q471" s="48">
        <f t="shared" si="397"/>
        <v>6744310220</v>
      </c>
      <c r="R471" s="79">
        <v>6729310220</v>
      </c>
      <c r="S471" s="33"/>
      <c r="T471" s="44">
        <v>15000000</v>
      </c>
      <c r="U471" s="33"/>
      <c r="V471" s="33"/>
      <c r="W471" s="52"/>
      <c r="X471" s="52">
        <f t="shared" ref="X471:Y471" si="465">M471-S471</f>
        <v>0</v>
      </c>
      <c r="Y471" s="52">
        <f t="shared" si="465"/>
        <v>0</v>
      </c>
      <c r="Z471" s="52">
        <f t="shared" si="259"/>
        <v>0</v>
      </c>
      <c r="AA471" s="54"/>
      <c r="AB471" s="68"/>
    </row>
    <row r="472" spans="1:28" ht="31.5" x14ac:dyDescent="0.25">
      <c r="A472" s="33" t="s">
        <v>35</v>
      </c>
      <c r="B472" s="42">
        <v>452</v>
      </c>
      <c r="C472" s="33" t="s">
        <v>47</v>
      </c>
      <c r="D472" s="33" t="s">
        <v>2705</v>
      </c>
      <c r="E472" s="32"/>
      <c r="F472" s="33" t="s">
        <v>2706</v>
      </c>
      <c r="G472" s="32"/>
      <c r="H472" s="32"/>
      <c r="I472" s="33" t="s">
        <v>2707</v>
      </c>
      <c r="J472" s="33" t="s">
        <v>43</v>
      </c>
      <c r="K472" s="33" t="s">
        <v>2708</v>
      </c>
      <c r="L472" s="48">
        <v>1850880899</v>
      </c>
      <c r="M472" s="32"/>
      <c r="N472" s="48">
        <v>7500000</v>
      </c>
      <c r="O472" s="43"/>
      <c r="P472" s="43"/>
      <c r="Q472" s="48">
        <f t="shared" si="397"/>
        <v>1858380899</v>
      </c>
      <c r="R472" s="48">
        <v>1850880899</v>
      </c>
      <c r="S472" s="33"/>
      <c r="T472" s="44">
        <v>7500000</v>
      </c>
      <c r="U472" s="33"/>
      <c r="V472" s="33"/>
      <c r="W472" s="52"/>
      <c r="X472" s="52">
        <f t="shared" ref="X472:Y472" si="466">M472-S472</f>
        <v>0</v>
      </c>
      <c r="Y472" s="52">
        <f t="shared" si="466"/>
        <v>0</v>
      </c>
      <c r="Z472" s="52">
        <f t="shared" si="259"/>
        <v>0</v>
      </c>
      <c r="AA472" s="54"/>
      <c r="AB472" s="68"/>
    </row>
    <row r="473" spans="1:28" ht="31.5" x14ac:dyDescent="0.25">
      <c r="A473" s="33" t="s">
        <v>60</v>
      </c>
      <c r="B473" s="42">
        <v>453</v>
      </c>
      <c r="C473" s="33" t="s">
        <v>47</v>
      </c>
      <c r="D473" s="33" t="s">
        <v>2709</v>
      </c>
      <c r="E473" s="32"/>
      <c r="F473" s="33" t="s">
        <v>2710</v>
      </c>
      <c r="G473" s="32"/>
      <c r="H473" s="33" t="s">
        <v>85</v>
      </c>
      <c r="I473" s="33" t="s">
        <v>2711</v>
      </c>
      <c r="J473" s="33" t="s">
        <v>43</v>
      </c>
      <c r="K473" s="33" t="s">
        <v>2712</v>
      </c>
      <c r="L473" s="48">
        <v>634835870</v>
      </c>
      <c r="M473" s="32"/>
      <c r="N473" s="48">
        <v>3750000</v>
      </c>
      <c r="O473" s="43"/>
      <c r="P473" s="43"/>
      <c r="Q473" s="48">
        <f t="shared" si="397"/>
        <v>638585870</v>
      </c>
      <c r="R473" s="33"/>
      <c r="S473" s="33"/>
      <c r="T473" s="66"/>
      <c r="U473" s="33"/>
      <c r="V473" s="33"/>
      <c r="W473" s="52">
        <v>634835870</v>
      </c>
      <c r="X473" s="52">
        <f t="shared" ref="X473:Y473" si="467">M473-S473</f>
        <v>0</v>
      </c>
      <c r="Y473" s="52">
        <f t="shared" si="467"/>
        <v>3750000</v>
      </c>
      <c r="Z473" s="52">
        <f t="shared" si="259"/>
        <v>0</v>
      </c>
      <c r="AA473" s="69">
        <v>634835870</v>
      </c>
      <c r="AB473" s="68"/>
    </row>
    <row r="474" spans="1:28" ht="31.5" x14ac:dyDescent="0.25">
      <c r="A474" s="33" t="s">
        <v>88</v>
      </c>
      <c r="B474" s="42">
        <v>454</v>
      </c>
      <c r="C474" s="33" t="s">
        <v>47</v>
      </c>
      <c r="D474" s="33" t="s">
        <v>2713</v>
      </c>
      <c r="E474" s="32"/>
      <c r="F474" s="33" t="s">
        <v>2714</v>
      </c>
      <c r="G474" s="32"/>
      <c r="H474" s="32"/>
      <c r="I474" s="33" t="s">
        <v>2715</v>
      </c>
      <c r="J474" s="33" t="s">
        <v>43</v>
      </c>
      <c r="K474" s="33" t="s">
        <v>2716</v>
      </c>
      <c r="L474" s="42">
        <v>0</v>
      </c>
      <c r="M474" s="32"/>
      <c r="N474" s="48">
        <v>7500000</v>
      </c>
      <c r="O474" s="43"/>
      <c r="P474" s="43"/>
      <c r="Q474" s="48">
        <f t="shared" si="397"/>
        <v>7500000</v>
      </c>
      <c r="R474" s="42">
        <v>0</v>
      </c>
      <c r="S474" s="33"/>
      <c r="T474" s="66"/>
      <c r="U474" s="33"/>
      <c r="V474" s="33"/>
      <c r="W474" s="52"/>
      <c r="X474" s="52">
        <f t="shared" ref="X474:Y474" si="468">M474-S474</f>
        <v>0</v>
      </c>
      <c r="Y474" s="52">
        <f t="shared" si="468"/>
        <v>7500000</v>
      </c>
      <c r="Z474" s="52">
        <f t="shared" si="259"/>
        <v>0</v>
      </c>
      <c r="AA474" s="54"/>
      <c r="AB474" s="68"/>
    </row>
    <row r="475" spans="1:28" ht="31.5" x14ac:dyDescent="0.25">
      <c r="A475" s="33" t="s">
        <v>60</v>
      </c>
      <c r="B475" s="42">
        <v>455</v>
      </c>
      <c r="C475" s="33" t="s">
        <v>47</v>
      </c>
      <c r="D475" s="33" t="s">
        <v>2717</v>
      </c>
      <c r="E475" s="32"/>
      <c r="F475" s="33" t="s">
        <v>2718</v>
      </c>
      <c r="G475" s="32"/>
      <c r="H475" s="32"/>
      <c r="I475" s="33" t="s">
        <v>2719</v>
      </c>
      <c r="J475" s="33" t="s">
        <v>43</v>
      </c>
      <c r="K475" s="33" t="s">
        <v>1162</v>
      </c>
      <c r="L475" s="48">
        <v>1786505570</v>
      </c>
      <c r="M475" s="32"/>
      <c r="N475" s="48">
        <v>15000000</v>
      </c>
      <c r="O475" s="43"/>
      <c r="P475" s="43"/>
      <c r="Q475" s="48">
        <f t="shared" si="397"/>
        <v>1801505570</v>
      </c>
      <c r="R475" s="48">
        <v>1786505570</v>
      </c>
      <c r="S475" s="33"/>
      <c r="T475" s="44">
        <v>15000000</v>
      </c>
      <c r="U475" s="33"/>
      <c r="V475" s="33"/>
      <c r="W475" s="52"/>
      <c r="X475" s="52">
        <f t="shared" ref="X475:Y475" si="469">M475-S475</f>
        <v>0</v>
      </c>
      <c r="Y475" s="52">
        <f t="shared" si="469"/>
        <v>0</v>
      </c>
      <c r="Z475" s="52">
        <f t="shared" si="259"/>
        <v>0</v>
      </c>
      <c r="AA475" s="54"/>
      <c r="AB475" s="68"/>
    </row>
    <row r="476" spans="1:28" ht="31.5" x14ac:dyDescent="0.25">
      <c r="A476" s="33" t="s">
        <v>46</v>
      </c>
      <c r="B476" s="42">
        <v>456</v>
      </c>
      <c r="C476" s="33" t="s">
        <v>47</v>
      </c>
      <c r="D476" s="33" t="s">
        <v>1206</v>
      </c>
      <c r="E476" s="32"/>
      <c r="F476" s="33" t="s">
        <v>1207</v>
      </c>
      <c r="G476" s="32"/>
      <c r="H476" s="32"/>
      <c r="I476" s="33" t="s">
        <v>1208</v>
      </c>
      <c r="J476" s="33" t="s">
        <v>43</v>
      </c>
      <c r="K476" s="33" t="s">
        <v>1209</v>
      </c>
      <c r="L476" s="48">
        <v>5179078192</v>
      </c>
      <c r="M476" s="32"/>
      <c r="N476" s="48">
        <v>15000000</v>
      </c>
      <c r="O476" s="33" t="s">
        <v>1199</v>
      </c>
      <c r="P476" s="48">
        <v>54000000</v>
      </c>
      <c r="Q476" s="48">
        <f t="shared" si="397"/>
        <v>5248078192</v>
      </c>
      <c r="R476" s="48">
        <v>5179078192</v>
      </c>
      <c r="S476" s="33"/>
      <c r="T476" s="66"/>
      <c r="U476" s="33"/>
      <c r="V476" s="33"/>
      <c r="W476" s="52"/>
      <c r="X476" s="52">
        <f t="shared" ref="X476:Y476" si="470">M476-S476</f>
        <v>0</v>
      </c>
      <c r="Y476" s="52">
        <f t="shared" si="470"/>
        <v>15000000</v>
      </c>
      <c r="Z476" s="52">
        <f t="shared" si="259"/>
        <v>54000000</v>
      </c>
      <c r="AA476" s="54"/>
      <c r="AB476" s="75"/>
    </row>
    <row r="477" spans="1:28" ht="31.5" x14ac:dyDescent="0.25">
      <c r="A477" s="33" t="s">
        <v>88</v>
      </c>
      <c r="B477" s="42">
        <v>457</v>
      </c>
      <c r="C477" s="33" t="s">
        <v>47</v>
      </c>
      <c r="D477" s="33" t="s">
        <v>2720</v>
      </c>
      <c r="E477" s="32"/>
      <c r="F477" s="33" t="s">
        <v>2721</v>
      </c>
      <c r="G477" s="32"/>
      <c r="H477" s="32"/>
      <c r="I477" s="33" t="s">
        <v>2722</v>
      </c>
      <c r="J477" s="33" t="s">
        <v>43</v>
      </c>
      <c r="K477" s="33" t="s">
        <v>2723</v>
      </c>
      <c r="L477" s="48">
        <v>3193648512</v>
      </c>
      <c r="M477" s="32"/>
      <c r="N477" s="48">
        <v>15000000</v>
      </c>
      <c r="O477" s="43"/>
      <c r="P477" s="43"/>
      <c r="Q477" s="48">
        <f t="shared" si="397"/>
        <v>3208648512</v>
      </c>
      <c r="R477" s="48">
        <v>3193648512</v>
      </c>
      <c r="S477" s="33"/>
      <c r="T477" s="44">
        <v>15000000</v>
      </c>
      <c r="U477" s="33"/>
      <c r="V477" s="33"/>
      <c r="W477" s="52"/>
      <c r="X477" s="52">
        <f t="shared" ref="X477:Y477" si="471">M477-S477</f>
        <v>0</v>
      </c>
      <c r="Y477" s="52">
        <f t="shared" si="471"/>
        <v>0</v>
      </c>
      <c r="Z477" s="52">
        <f t="shared" si="259"/>
        <v>0</v>
      </c>
      <c r="AA477" s="54"/>
      <c r="AB477" s="68"/>
    </row>
    <row r="478" spans="1:28" ht="31.5" x14ac:dyDescent="0.25">
      <c r="A478" s="33" t="s">
        <v>88</v>
      </c>
      <c r="B478" s="42">
        <v>458</v>
      </c>
      <c r="C478" s="33" t="s">
        <v>47</v>
      </c>
      <c r="D478" s="33" t="s">
        <v>2724</v>
      </c>
      <c r="E478" s="32"/>
      <c r="F478" s="33" t="s">
        <v>2725</v>
      </c>
      <c r="G478" s="32"/>
      <c r="H478" s="32"/>
      <c r="I478" s="33" t="s">
        <v>2726</v>
      </c>
      <c r="J478" s="33" t="s">
        <v>43</v>
      </c>
      <c r="K478" s="33" t="s">
        <v>2727</v>
      </c>
      <c r="L478" s="48">
        <v>1952469640</v>
      </c>
      <c r="M478" s="32"/>
      <c r="N478" s="48">
        <v>7500000</v>
      </c>
      <c r="O478" s="43"/>
      <c r="P478" s="43"/>
      <c r="Q478" s="48">
        <f t="shared" si="397"/>
        <v>1959969640</v>
      </c>
      <c r="R478" s="52">
        <v>1952469640</v>
      </c>
      <c r="S478" s="33"/>
      <c r="T478" s="44">
        <v>7500000</v>
      </c>
      <c r="U478" s="33"/>
      <c r="V478" s="33"/>
      <c r="W478" s="52"/>
      <c r="X478" s="52">
        <f t="shared" ref="X478:Y478" si="472">M478-S478</f>
        <v>0</v>
      </c>
      <c r="Y478" s="52">
        <f t="shared" si="472"/>
        <v>0</v>
      </c>
      <c r="Z478" s="52">
        <f t="shared" si="259"/>
        <v>0</v>
      </c>
      <c r="AA478" s="54"/>
      <c r="AB478" s="68"/>
    </row>
    <row r="479" spans="1:28" ht="31.5" x14ac:dyDescent="0.25">
      <c r="A479" s="33" t="s">
        <v>88</v>
      </c>
      <c r="B479" s="42">
        <v>459</v>
      </c>
      <c r="C479" s="33" t="s">
        <v>47</v>
      </c>
      <c r="D479" s="33" t="s">
        <v>2728</v>
      </c>
      <c r="E479" s="33" t="s">
        <v>377</v>
      </c>
      <c r="F479" s="33" t="s">
        <v>2729</v>
      </c>
      <c r="G479" s="33" t="s">
        <v>2730</v>
      </c>
      <c r="H479" s="32"/>
      <c r="I479" s="33" t="s">
        <v>2731</v>
      </c>
      <c r="J479" s="33" t="s">
        <v>43</v>
      </c>
      <c r="K479" s="33" t="s">
        <v>2732</v>
      </c>
      <c r="L479" s="48">
        <v>42946103602</v>
      </c>
      <c r="M479" s="48">
        <v>1821979150</v>
      </c>
      <c r="N479" s="48">
        <v>7500000</v>
      </c>
      <c r="O479" s="43"/>
      <c r="P479" s="43"/>
      <c r="Q479" s="48">
        <f t="shared" si="397"/>
        <v>44775582752</v>
      </c>
      <c r="R479" s="52">
        <v>42946103602</v>
      </c>
      <c r="S479" s="48">
        <v>1821979150</v>
      </c>
      <c r="T479" s="66"/>
      <c r="U479" s="33"/>
      <c r="V479" s="33"/>
      <c r="W479" s="52"/>
      <c r="X479" s="52">
        <f t="shared" ref="X479:Y479" si="473">M479-S479</f>
        <v>0</v>
      </c>
      <c r="Y479" s="52">
        <f t="shared" si="473"/>
        <v>7500000</v>
      </c>
      <c r="Z479" s="52">
        <f t="shared" si="259"/>
        <v>0</v>
      </c>
      <c r="AA479" s="54"/>
      <c r="AB479" s="68"/>
    </row>
    <row r="480" spans="1:28" ht="31.5" x14ac:dyDescent="0.25">
      <c r="A480" s="33" t="s">
        <v>60</v>
      </c>
      <c r="B480" s="42">
        <v>460</v>
      </c>
      <c r="C480" s="33" t="s">
        <v>47</v>
      </c>
      <c r="D480" s="33" t="s">
        <v>2733</v>
      </c>
      <c r="E480" s="32"/>
      <c r="F480" s="33" t="s">
        <v>2734</v>
      </c>
      <c r="G480" s="32"/>
      <c r="H480" s="32"/>
      <c r="I480" s="33" t="s">
        <v>2735</v>
      </c>
      <c r="J480" s="33" t="s">
        <v>43</v>
      </c>
      <c r="K480" s="33" t="s">
        <v>2736</v>
      </c>
      <c r="L480" s="48">
        <v>25138264737</v>
      </c>
      <c r="M480" s="32"/>
      <c r="N480" s="48">
        <v>15000000</v>
      </c>
      <c r="O480" s="43"/>
      <c r="P480" s="43"/>
      <c r="Q480" s="48">
        <f t="shared" si="397"/>
        <v>25153264737</v>
      </c>
      <c r="R480" s="48">
        <v>25138264737</v>
      </c>
      <c r="S480" s="33"/>
      <c r="T480" s="44">
        <v>15000000</v>
      </c>
      <c r="U480" s="33"/>
      <c r="V480" s="33"/>
      <c r="W480" s="52"/>
      <c r="X480" s="52">
        <f t="shared" ref="X480:Y480" si="474">M480-S480</f>
        <v>0</v>
      </c>
      <c r="Y480" s="52">
        <f t="shared" si="474"/>
        <v>0</v>
      </c>
      <c r="Z480" s="52">
        <f t="shared" si="259"/>
        <v>0</v>
      </c>
      <c r="AA480" s="54"/>
      <c r="AB480" s="68"/>
    </row>
    <row r="481" spans="1:28" ht="31.5" x14ac:dyDescent="0.25">
      <c r="A481" s="33" t="s">
        <v>88</v>
      </c>
      <c r="B481" s="42">
        <v>461</v>
      </c>
      <c r="C481" s="33" t="s">
        <v>47</v>
      </c>
      <c r="D481" s="33" t="s">
        <v>2737</v>
      </c>
      <c r="E481" s="32"/>
      <c r="F481" s="33" t="s">
        <v>2738</v>
      </c>
      <c r="G481" s="32"/>
      <c r="H481" s="32"/>
      <c r="I481" s="33" t="s">
        <v>2739</v>
      </c>
      <c r="J481" s="33" t="s">
        <v>43</v>
      </c>
      <c r="K481" s="33" t="s">
        <v>2740</v>
      </c>
      <c r="L481" s="48">
        <v>1315436172</v>
      </c>
      <c r="M481" s="32"/>
      <c r="N481" s="48">
        <v>15000000</v>
      </c>
      <c r="O481" s="43"/>
      <c r="P481" s="43"/>
      <c r="Q481" s="48">
        <f t="shared" si="397"/>
        <v>1330436172</v>
      </c>
      <c r="R481" s="52">
        <v>1315436172</v>
      </c>
      <c r="S481" s="33"/>
      <c r="T481" s="44">
        <v>15000000</v>
      </c>
      <c r="U481" s="33"/>
      <c r="V481" s="33"/>
      <c r="W481" s="52"/>
      <c r="X481" s="52">
        <f t="shared" ref="X481:Y481" si="475">M481-S481</f>
        <v>0</v>
      </c>
      <c r="Y481" s="52">
        <f t="shared" si="475"/>
        <v>0</v>
      </c>
      <c r="Z481" s="52">
        <f t="shared" si="259"/>
        <v>0</v>
      </c>
      <c r="AA481" s="54"/>
      <c r="AB481" s="68"/>
    </row>
    <row r="482" spans="1:28" ht="31.5" x14ac:dyDescent="0.25">
      <c r="A482" s="33" t="s">
        <v>35</v>
      </c>
      <c r="B482" s="42">
        <v>462</v>
      </c>
      <c r="C482" s="33" t="s">
        <v>47</v>
      </c>
      <c r="D482" s="33" t="s">
        <v>2741</v>
      </c>
      <c r="E482" s="32"/>
      <c r="F482" s="33" t="s">
        <v>2742</v>
      </c>
      <c r="G482" s="32"/>
      <c r="H482" s="32"/>
      <c r="I482" s="33" t="s">
        <v>2743</v>
      </c>
      <c r="J482" s="33" t="s">
        <v>43</v>
      </c>
      <c r="K482" s="33" t="s">
        <v>2744</v>
      </c>
      <c r="L482" s="48">
        <v>456882641</v>
      </c>
      <c r="M482" s="32"/>
      <c r="N482" s="48">
        <v>7500000</v>
      </c>
      <c r="O482" s="43"/>
      <c r="P482" s="43"/>
      <c r="Q482" s="48">
        <f t="shared" si="397"/>
        <v>464382641</v>
      </c>
      <c r="R482" s="48">
        <v>456882641</v>
      </c>
      <c r="S482" s="33"/>
      <c r="T482" s="44">
        <v>7500000</v>
      </c>
      <c r="U482" s="33"/>
      <c r="V482" s="33"/>
      <c r="W482" s="52"/>
      <c r="X482" s="52">
        <f t="shared" ref="X482:Y482" si="476">M482-S482</f>
        <v>0</v>
      </c>
      <c r="Y482" s="52">
        <f t="shared" si="476"/>
        <v>0</v>
      </c>
      <c r="Z482" s="52">
        <f t="shared" si="259"/>
        <v>0</v>
      </c>
      <c r="AA482" s="54"/>
      <c r="AB482" s="68"/>
    </row>
    <row r="483" spans="1:28" ht="31.5" x14ac:dyDescent="0.25">
      <c r="A483" s="33" t="s">
        <v>52</v>
      </c>
      <c r="B483" s="42">
        <v>463</v>
      </c>
      <c r="C483" s="33" t="s">
        <v>47</v>
      </c>
      <c r="D483" s="33" t="s">
        <v>2746</v>
      </c>
      <c r="E483" s="32"/>
      <c r="F483" s="33" t="s">
        <v>2747</v>
      </c>
      <c r="G483" s="32"/>
      <c r="H483" s="32"/>
      <c r="I483" s="33" t="s">
        <v>2748</v>
      </c>
      <c r="J483" s="33" t="s">
        <v>43</v>
      </c>
      <c r="K483" s="33" t="s">
        <v>2749</v>
      </c>
      <c r="L483" s="48">
        <v>2133943076</v>
      </c>
      <c r="M483" s="32"/>
      <c r="N483" s="48">
        <v>15000000</v>
      </c>
      <c r="O483" s="43"/>
      <c r="P483" s="43"/>
      <c r="Q483" s="48">
        <f t="shared" si="397"/>
        <v>2148943076</v>
      </c>
      <c r="R483" s="48">
        <v>2133943076</v>
      </c>
      <c r="S483" s="33"/>
      <c r="T483" s="44">
        <v>15000000</v>
      </c>
      <c r="U483" s="33"/>
      <c r="V483" s="33"/>
      <c r="W483" s="52"/>
      <c r="X483" s="52">
        <f t="shared" ref="X483:Y483" si="477">M483-S483</f>
        <v>0</v>
      </c>
      <c r="Y483" s="52">
        <f t="shared" si="477"/>
        <v>0</v>
      </c>
      <c r="Z483" s="52">
        <f t="shared" si="259"/>
        <v>0</v>
      </c>
      <c r="AA483" s="54"/>
      <c r="AB483" s="68"/>
    </row>
    <row r="484" spans="1:28" ht="31.5" x14ac:dyDescent="0.25">
      <c r="A484" s="33" t="s">
        <v>46</v>
      </c>
      <c r="B484" s="42">
        <v>464</v>
      </c>
      <c r="C484" s="33" t="s">
        <v>47</v>
      </c>
      <c r="D484" s="33" t="s">
        <v>2753</v>
      </c>
      <c r="E484" s="32"/>
      <c r="F484" s="33" t="s">
        <v>2754</v>
      </c>
      <c r="G484" s="32"/>
      <c r="H484" s="32"/>
      <c r="I484" s="33" t="s">
        <v>2755</v>
      </c>
      <c r="J484" s="33" t="s">
        <v>43</v>
      </c>
      <c r="K484" s="33" t="s">
        <v>2756</v>
      </c>
      <c r="L484" s="48">
        <v>212669251</v>
      </c>
      <c r="M484" s="32"/>
      <c r="N484" s="48">
        <v>7500000</v>
      </c>
      <c r="O484" s="43"/>
      <c r="P484" s="43"/>
      <c r="Q484" s="48">
        <f t="shared" si="397"/>
        <v>220169251</v>
      </c>
      <c r="R484" s="48">
        <v>212669251</v>
      </c>
      <c r="S484" s="33"/>
      <c r="T484" s="44">
        <v>7500000</v>
      </c>
      <c r="U484" s="33"/>
      <c r="V484" s="33"/>
      <c r="W484" s="52"/>
      <c r="X484" s="52">
        <f t="shared" ref="X484:Y484" si="478">M484-S484</f>
        <v>0</v>
      </c>
      <c r="Y484" s="52">
        <f t="shared" si="478"/>
        <v>0</v>
      </c>
      <c r="Z484" s="52">
        <f t="shared" si="259"/>
        <v>0</v>
      </c>
      <c r="AA484" s="54"/>
      <c r="AB484" s="68"/>
    </row>
    <row r="485" spans="1:28" ht="31.5" x14ac:dyDescent="0.25">
      <c r="A485" s="33" t="s">
        <v>52</v>
      </c>
      <c r="B485" s="42">
        <v>465</v>
      </c>
      <c r="C485" s="33" t="s">
        <v>47</v>
      </c>
      <c r="D485" s="33" t="s">
        <v>2757</v>
      </c>
      <c r="E485" s="32"/>
      <c r="F485" s="33" t="s">
        <v>2758</v>
      </c>
      <c r="G485" s="32"/>
      <c r="H485" s="32"/>
      <c r="I485" s="33" t="s">
        <v>2759</v>
      </c>
      <c r="J485" s="33" t="s">
        <v>43</v>
      </c>
      <c r="K485" s="33" t="s">
        <v>2760</v>
      </c>
      <c r="L485" s="48">
        <v>1529398466</v>
      </c>
      <c r="M485" s="32"/>
      <c r="N485" s="48">
        <v>7500000</v>
      </c>
      <c r="O485" s="43"/>
      <c r="P485" s="43"/>
      <c r="Q485" s="48">
        <f t="shared" si="397"/>
        <v>1536898466</v>
      </c>
      <c r="R485" s="48">
        <v>1529398466</v>
      </c>
      <c r="S485" s="33"/>
      <c r="T485" s="44">
        <v>7500000</v>
      </c>
      <c r="U485" s="33"/>
      <c r="V485" s="33"/>
      <c r="W485" s="52"/>
      <c r="X485" s="52">
        <f t="shared" ref="X485:Y485" si="479">M485-S485</f>
        <v>0</v>
      </c>
      <c r="Y485" s="52">
        <f t="shared" si="479"/>
        <v>0</v>
      </c>
      <c r="Z485" s="52">
        <f t="shared" si="259"/>
        <v>0</v>
      </c>
      <c r="AA485" s="54"/>
      <c r="AB485" s="68"/>
    </row>
    <row r="486" spans="1:28" ht="31.5" x14ac:dyDescent="0.25">
      <c r="A486" s="33" t="s">
        <v>46</v>
      </c>
      <c r="B486" s="42">
        <v>466</v>
      </c>
      <c r="C486" s="33" t="s">
        <v>47</v>
      </c>
      <c r="D486" s="33" t="s">
        <v>925</v>
      </c>
      <c r="E486" s="32"/>
      <c r="F486" s="33" t="s">
        <v>927</v>
      </c>
      <c r="G486" s="32"/>
      <c r="H486" s="32"/>
      <c r="I486" s="33" t="s">
        <v>928</v>
      </c>
      <c r="J486" s="33" t="s">
        <v>43</v>
      </c>
      <c r="K486" s="33" t="s">
        <v>929</v>
      </c>
      <c r="L486" s="48">
        <v>9079262352</v>
      </c>
      <c r="M486" s="32"/>
      <c r="N486" s="48">
        <v>15000000</v>
      </c>
      <c r="O486" s="43"/>
      <c r="P486" s="43"/>
      <c r="Q486" s="48">
        <f t="shared" si="397"/>
        <v>9094262352</v>
      </c>
      <c r="R486" s="48">
        <v>9079262352</v>
      </c>
      <c r="S486" s="33"/>
      <c r="T486" s="44">
        <v>15000000</v>
      </c>
      <c r="U486" s="33"/>
      <c r="V486" s="33"/>
      <c r="W486" s="52"/>
      <c r="X486" s="52">
        <f t="shared" ref="X486:Y486" si="480">M486-S486</f>
        <v>0</v>
      </c>
      <c r="Y486" s="52">
        <f t="shared" si="480"/>
        <v>0</v>
      </c>
      <c r="Z486" s="52">
        <f t="shared" si="259"/>
        <v>0</v>
      </c>
      <c r="AA486" s="54"/>
      <c r="AB486" s="68"/>
    </row>
    <row r="487" spans="1:28" ht="31.5" x14ac:dyDescent="0.25">
      <c r="A487" s="33" t="s">
        <v>52</v>
      </c>
      <c r="B487" s="42">
        <v>467</v>
      </c>
      <c r="C487" s="33" t="s">
        <v>47</v>
      </c>
      <c r="D487" s="33" t="s">
        <v>2761</v>
      </c>
      <c r="E487" s="32"/>
      <c r="F487" s="33" t="s">
        <v>2762</v>
      </c>
      <c r="G487" s="32"/>
      <c r="H487" s="32"/>
      <c r="I487" s="33" t="s">
        <v>2763</v>
      </c>
      <c r="J487" s="33" t="s">
        <v>43</v>
      </c>
      <c r="K487" s="33" t="s">
        <v>2764</v>
      </c>
      <c r="L487" s="48">
        <v>693114964</v>
      </c>
      <c r="M487" s="32"/>
      <c r="N487" s="48">
        <v>15000000</v>
      </c>
      <c r="O487" s="43"/>
      <c r="P487" s="43"/>
      <c r="Q487" s="48">
        <f t="shared" si="397"/>
        <v>708114964</v>
      </c>
      <c r="R487" s="48">
        <v>693114964</v>
      </c>
      <c r="S487" s="33"/>
      <c r="T487" s="44">
        <v>15000000</v>
      </c>
      <c r="U487" s="33"/>
      <c r="V487" s="33"/>
      <c r="W487" s="52"/>
      <c r="X487" s="52">
        <f t="shared" ref="X487:Y487" si="481">M487-S487</f>
        <v>0</v>
      </c>
      <c r="Y487" s="52">
        <f t="shared" si="481"/>
        <v>0</v>
      </c>
      <c r="Z487" s="52">
        <f t="shared" si="259"/>
        <v>0</v>
      </c>
      <c r="AA487" s="54"/>
      <c r="AB487" s="68"/>
    </row>
    <row r="488" spans="1:28" ht="31.5" x14ac:dyDescent="0.25">
      <c r="A488" s="33" t="s">
        <v>88</v>
      </c>
      <c r="B488" s="42">
        <v>468</v>
      </c>
      <c r="C488" s="33" t="s">
        <v>47</v>
      </c>
      <c r="D488" s="33" t="s">
        <v>2765</v>
      </c>
      <c r="E488" s="32"/>
      <c r="F488" s="33" t="s">
        <v>2766</v>
      </c>
      <c r="G488" s="32"/>
      <c r="H488" s="32"/>
      <c r="I488" s="33" t="s">
        <v>2767</v>
      </c>
      <c r="J488" s="33" t="s">
        <v>43</v>
      </c>
      <c r="K488" s="33" t="s">
        <v>2768</v>
      </c>
      <c r="L488" s="48">
        <v>37588800</v>
      </c>
      <c r="M488" s="32"/>
      <c r="N488" s="48">
        <v>7500000</v>
      </c>
      <c r="O488" s="43"/>
      <c r="P488" s="43"/>
      <c r="Q488" s="48">
        <f t="shared" si="397"/>
        <v>45088800</v>
      </c>
      <c r="R488" s="52">
        <v>37588800</v>
      </c>
      <c r="S488" s="33"/>
      <c r="T488" s="44">
        <v>7500000</v>
      </c>
      <c r="U488" s="33"/>
      <c r="V488" s="33"/>
      <c r="W488" s="52"/>
      <c r="X488" s="52">
        <f t="shared" ref="X488:Y488" si="482">M488-S488</f>
        <v>0</v>
      </c>
      <c r="Y488" s="52">
        <f t="shared" si="482"/>
        <v>0</v>
      </c>
      <c r="Z488" s="52">
        <f t="shared" si="259"/>
        <v>0</v>
      </c>
      <c r="AA488" s="54"/>
      <c r="AB488" s="68"/>
    </row>
    <row r="489" spans="1:28" ht="31.5" x14ac:dyDescent="0.25">
      <c r="A489" s="33" t="s">
        <v>35</v>
      </c>
      <c r="B489" s="42">
        <v>469</v>
      </c>
      <c r="C489" s="33" t="s">
        <v>47</v>
      </c>
      <c r="D489" s="33" t="s">
        <v>2769</v>
      </c>
      <c r="E489" s="33" t="s">
        <v>2770</v>
      </c>
      <c r="F489" s="33" t="s">
        <v>2771</v>
      </c>
      <c r="G489" s="32"/>
      <c r="H489" s="32"/>
      <c r="I489" s="33" t="s">
        <v>2772</v>
      </c>
      <c r="J489" s="33" t="s">
        <v>43</v>
      </c>
      <c r="K489" s="33" t="s">
        <v>2773</v>
      </c>
      <c r="L489" s="48">
        <v>7705087400</v>
      </c>
      <c r="M489" s="48">
        <v>1014623280</v>
      </c>
      <c r="N489" s="48">
        <v>15000000</v>
      </c>
      <c r="O489" s="43"/>
      <c r="P489" s="43"/>
      <c r="Q489" s="48">
        <f t="shared" si="397"/>
        <v>8734710680</v>
      </c>
      <c r="R489" s="48">
        <v>7705087400</v>
      </c>
      <c r="S489" s="48">
        <v>1014623280</v>
      </c>
      <c r="T489" s="44">
        <v>15000000</v>
      </c>
      <c r="U489" s="33"/>
      <c r="V489" s="33"/>
      <c r="W489" s="52"/>
      <c r="X489" s="52">
        <f t="shared" ref="X489:Y489" si="483">M489-S489</f>
        <v>0</v>
      </c>
      <c r="Y489" s="52">
        <f t="shared" si="483"/>
        <v>0</v>
      </c>
      <c r="Z489" s="52">
        <f t="shared" si="259"/>
        <v>0</v>
      </c>
      <c r="AA489" s="54"/>
      <c r="AB489" s="68"/>
    </row>
    <row r="490" spans="1:28" ht="31.5" x14ac:dyDescent="0.25">
      <c r="A490" s="33" t="s">
        <v>52</v>
      </c>
      <c r="B490" s="42">
        <v>470</v>
      </c>
      <c r="C490" s="33" t="s">
        <v>47</v>
      </c>
      <c r="D490" s="33" t="s">
        <v>2774</v>
      </c>
      <c r="E490" s="33" t="s">
        <v>2775</v>
      </c>
      <c r="F490" s="33" t="s">
        <v>2776</v>
      </c>
      <c r="G490" s="33" t="s">
        <v>2777</v>
      </c>
      <c r="H490" s="32"/>
      <c r="I490" s="33" t="s">
        <v>2778</v>
      </c>
      <c r="J490" s="33" t="s">
        <v>43</v>
      </c>
      <c r="K490" s="33" t="s">
        <v>2779</v>
      </c>
      <c r="L490" s="48">
        <v>2275010156</v>
      </c>
      <c r="M490" s="48">
        <v>937174816</v>
      </c>
      <c r="N490" s="48">
        <v>7500000</v>
      </c>
      <c r="O490" s="43"/>
      <c r="P490" s="43"/>
      <c r="Q490" s="48">
        <f t="shared" si="397"/>
        <v>3219684972</v>
      </c>
      <c r="R490" s="48">
        <v>2275010156</v>
      </c>
      <c r="S490" s="48">
        <v>937174816</v>
      </c>
      <c r="T490" s="44">
        <v>7500000</v>
      </c>
      <c r="U490" s="33"/>
      <c r="V490" s="33"/>
      <c r="W490" s="52"/>
      <c r="X490" s="52">
        <f t="shared" ref="X490:Y490" si="484">M490-S490</f>
        <v>0</v>
      </c>
      <c r="Y490" s="52">
        <f t="shared" si="484"/>
        <v>0</v>
      </c>
      <c r="Z490" s="52">
        <f t="shared" si="259"/>
        <v>0</v>
      </c>
      <c r="AA490" s="54"/>
      <c r="AB490" s="68"/>
    </row>
    <row r="491" spans="1:28" ht="31.5" x14ac:dyDescent="0.25">
      <c r="A491" s="33" t="s">
        <v>52</v>
      </c>
      <c r="B491" s="42">
        <v>471</v>
      </c>
      <c r="C491" s="33" t="s">
        <v>47</v>
      </c>
      <c r="D491" s="33" t="s">
        <v>2780</v>
      </c>
      <c r="E491" s="32"/>
      <c r="F491" s="33" t="s">
        <v>2781</v>
      </c>
      <c r="G491" s="32"/>
      <c r="H491" s="32"/>
      <c r="I491" s="33" t="s">
        <v>2782</v>
      </c>
      <c r="J491" s="33" t="s">
        <v>43</v>
      </c>
      <c r="K491" s="33" t="s">
        <v>2783</v>
      </c>
      <c r="L491" s="48">
        <v>2904186194</v>
      </c>
      <c r="M491" s="32"/>
      <c r="N491" s="48">
        <v>7500000</v>
      </c>
      <c r="O491" s="43"/>
      <c r="P491" s="43"/>
      <c r="Q491" s="48">
        <f t="shared" si="397"/>
        <v>2911686194</v>
      </c>
      <c r="R491" s="48">
        <v>2904186194</v>
      </c>
      <c r="S491" s="33"/>
      <c r="T491" s="44">
        <v>7500000</v>
      </c>
      <c r="U491" s="33"/>
      <c r="V491" s="33"/>
      <c r="W491" s="52"/>
      <c r="X491" s="52">
        <f t="shared" ref="X491:Y491" si="485">M491-S491</f>
        <v>0</v>
      </c>
      <c r="Y491" s="52">
        <f t="shared" si="485"/>
        <v>0</v>
      </c>
      <c r="Z491" s="52">
        <f t="shared" si="259"/>
        <v>0</v>
      </c>
      <c r="AA491" s="54"/>
      <c r="AB491" s="68"/>
    </row>
    <row r="492" spans="1:28" ht="31.5" x14ac:dyDescent="0.25">
      <c r="A492" s="33" t="s">
        <v>52</v>
      </c>
      <c r="B492" s="42">
        <v>472</v>
      </c>
      <c r="C492" s="33" t="s">
        <v>47</v>
      </c>
      <c r="D492" s="33" t="s">
        <v>2784</v>
      </c>
      <c r="E492" s="32"/>
      <c r="F492" s="33" t="s">
        <v>2785</v>
      </c>
      <c r="G492" s="32"/>
      <c r="H492" s="32"/>
      <c r="I492" s="33" t="s">
        <v>2786</v>
      </c>
      <c r="J492" s="33" t="s">
        <v>43</v>
      </c>
      <c r="K492" s="33" t="s">
        <v>2787</v>
      </c>
      <c r="L492" s="48">
        <v>562558528</v>
      </c>
      <c r="M492" s="32"/>
      <c r="N492" s="48">
        <v>15000000</v>
      </c>
      <c r="O492" s="43"/>
      <c r="P492" s="43"/>
      <c r="Q492" s="48">
        <f t="shared" si="397"/>
        <v>577558528</v>
      </c>
      <c r="R492" s="48">
        <v>562558528</v>
      </c>
      <c r="S492" s="33"/>
      <c r="T492" s="44">
        <v>15000000</v>
      </c>
      <c r="U492" s="33"/>
      <c r="V492" s="33"/>
      <c r="W492" s="52"/>
      <c r="X492" s="52">
        <f t="shared" ref="X492:Y492" si="486">M492-S492</f>
        <v>0</v>
      </c>
      <c r="Y492" s="52">
        <f t="shared" si="486"/>
        <v>0</v>
      </c>
      <c r="Z492" s="52">
        <f t="shared" si="259"/>
        <v>0</v>
      </c>
      <c r="AA492" s="54"/>
      <c r="AB492" s="68"/>
    </row>
    <row r="493" spans="1:28" ht="31.5" x14ac:dyDescent="0.25">
      <c r="A493" s="33" t="s">
        <v>60</v>
      </c>
      <c r="B493" s="42">
        <v>473</v>
      </c>
      <c r="C493" s="33" t="s">
        <v>47</v>
      </c>
      <c r="D493" s="33" t="s">
        <v>2788</v>
      </c>
      <c r="E493" s="33" t="s">
        <v>2789</v>
      </c>
      <c r="F493" s="33" t="s">
        <v>2790</v>
      </c>
      <c r="G493" s="33" t="s">
        <v>2791</v>
      </c>
      <c r="H493" s="32"/>
      <c r="I493" s="33" t="s">
        <v>2792</v>
      </c>
      <c r="J493" s="33" t="s">
        <v>43</v>
      </c>
      <c r="K493" s="33" t="s">
        <v>2793</v>
      </c>
      <c r="L493" s="48">
        <v>7291876999</v>
      </c>
      <c r="M493" s="48">
        <v>7483383371</v>
      </c>
      <c r="N493" s="48">
        <v>7500000</v>
      </c>
      <c r="O493" s="43"/>
      <c r="P493" s="43"/>
      <c r="Q493" s="48">
        <f t="shared" si="397"/>
        <v>14782760370</v>
      </c>
      <c r="R493" s="48">
        <v>7291876999</v>
      </c>
      <c r="S493" s="48">
        <v>7483383371</v>
      </c>
      <c r="T493" s="44">
        <v>7500000</v>
      </c>
      <c r="U493" s="33"/>
      <c r="V493" s="33"/>
      <c r="W493" s="52"/>
      <c r="X493" s="52">
        <f t="shared" ref="X493:Y493" si="487">M493-S493</f>
        <v>0</v>
      </c>
      <c r="Y493" s="52">
        <f t="shared" si="487"/>
        <v>0</v>
      </c>
      <c r="Z493" s="52">
        <f t="shared" si="259"/>
        <v>0</v>
      </c>
      <c r="AA493" s="54"/>
      <c r="AB493" s="68"/>
    </row>
    <row r="494" spans="1:28" ht="31.5" x14ac:dyDescent="0.25">
      <c r="A494" s="33" t="s">
        <v>60</v>
      </c>
      <c r="B494" s="42">
        <v>474</v>
      </c>
      <c r="C494" s="33" t="s">
        <v>47</v>
      </c>
      <c r="D494" s="33" t="s">
        <v>2794</v>
      </c>
      <c r="E494" s="32"/>
      <c r="F494" s="33" t="s">
        <v>2795</v>
      </c>
      <c r="G494" s="32"/>
      <c r="H494" s="32"/>
      <c r="I494" s="33" t="s">
        <v>2796</v>
      </c>
      <c r="J494" s="33" t="s">
        <v>43</v>
      </c>
      <c r="K494" s="33" t="s">
        <v>242</v>
      </c>
      <c r="L494" s="48">
        <v>919227558</v>
      </c>
      <c r="M494" s="32"/>
      <c r="N494" s="48">
        <v>15000000</v>
      </c>
      <c r="O494" s="43"/>
      <c r="P494" s="43"/>
      <c r="Q494" s="48">
        <f t="shared" si="397"/>
        <v>934227558</v>
      </c>
      <c r="R494" s="48">
        <v>919227558</v>
      </c>
      <c r="S494" s="33"/>
      <c r="T494" s="44">
        <v>15000000</v>
      </c>
      <c r="U494" s="33"/>
      <c r="V494" s="33"/>
      <c r="W494" s="52"/>
      <c r="X494" s="52">
        <f t="shared" ref="X494:Y494" si="488">M494-S494</f>
        <v>0</v>
      </c>
      <c r="Y494" s="52">
        <f t="shared" si="488"/>
        <v>0</v>
      </c>
      <c r="Z494" s="52">
        <f t="shared" si="259"/>
        <v>0</v>
      </c>
      <c r="AA494" s="54"/>
      <c r="AB494" s="68"/>
    </row>
    <row r="495" spans="1:28" ht="31.5" x14ac:dyDescent="0.25">
      <c r="A495" s="33" t="s">
        <v>88</v>
      </c>
      <c r="B495" s="42">
        <v>475</v>
      </c>
      <c r="C495" s="33" t="s">
        <v>47</v>
      </c>
      <c r="D495" s="33" t="s">
        <v>2797</v>
      </c>
      <c r="E495" s="32"/>
      <c r="F495" s="33" t="s">
        <v>2798</v>
      </c>
      <c r="G495" s="32"/>
      <c r="H495" s="32"/>
      <c r="I495" s="33" t="s">
        <v>2799</v>
      </c>
      <c r="J495" s="33" t="s">
        <v>43</v>
      </c>
      <c r="K495" s="33" t="s">
        <v>2800</v>
      </c>
      <c r="L495" s="48">
        <v>8961548836</v>
      </c>
      <c r="M495" s="32"/>
      <c r="N495" s="48">
        <v>7500000</v>
      </c>
      <c r="O495" s="43"/>
      <c r="P495" s="43"/>
      <c r="Q495" s="48">
        <f t="shared" si="397"/>
        <v>8969048836</v>
      </c>
      <c r="R495" s="48">
        <v>8961548836</v>
      </c>
      <c r="S495" s="33"/>
      <c r="T495" s="44">
        <v>7500000</v>
      </c>
      <c r="U495" s="33"/>
      <c r="V495" s="33"/>
      <c r="W495" s="52"/>
      <c r="X495" s="52">
        <f t="shared" ref="X495:Y495" si="489">M495-S495</f>
        <v>0</v>
      </c>
      <c r="Y495" s="52">
        <f t="shared" si="489"/>
        <v>0</v>
      </c>
      <c r="Z495" s="52">
        <f t="shared" si="259"/>
        <v>0</v>
      </c>
      <c r="AA495" s="54"/>
      <c r="AB495" s="68"/>
    </row>
    <row r="496" spans="1:28" ht="47.25" x14ac:dyDescent="0.25">
      <c r="A496" s="33" t="s">
        <v>46</v>
      </c>
      <c r="B496" s="42">
        <v>476</v>
      </c>
      <c r="C496" s="33" t="s">
        <v>47</v>
      </c>
      <c r="D496" s="33" t="s">
        <v>1311</v>
      </c>
      <c r="E496" s="32"/>
      <c r="F496" s="33" t="s">
        <v>1312</v>
      </c>
      <c r="G496" s="32"/>
      <c r="H496" s="32"/>
      <c r="I496" s="33" t="s">
        <v>1313</v>
      </c>
      <c r="J496" s="33" t="s">
        <v>43</v>
      </c>
      <c r="K496" s="33" t="s">
        <v>1314</v>
      </c>
      <c r="L496" s="48">
        <v>20421915934</v>
      </c>
      <c r="M496" s="32"/>
      <c r="N496" s="48">
        <v>15000000</v>
      </c>
      <c r="O496" s="33" t="s">
        <v>464</v>
      </c>
      <c r="P496" s="48">
        <v>48000000</v>
      </c>
      <c r="Q496" s="48">
        <f t="shared" si="397"/>
        <v>20484915934</v>
      </c>
      <c r="R496" s="48">
        <v>20421915934</v>
      </c>
      <c r="S496" s="33"/>
      <c r="T496" s="66"/>
      <c r="U496" s="33"/>
      <c r="V496" s="33"/>
      <c r="W496" s="52"/>
      <c r="X496" s="52">
        <f t="shared" ref="X496:Y496" si="490">M496-S496</f>
        <v>0</v>
      </c>
      <c r="Y496" s="52">
        <f t="shared" si="490"/>
        <v>15000000</v>
      </c>
      <c r="Z496" s="52">
        <f t="shared" si="259"/>
        <v>48000000</v>
      </c>
      <c r="AA496" s="54"/>
      <c r="AB496" s="75" t="s">
        <v>2803</v>
      </c>
    </row>
    <row r="497" spans="1:28" ht="31.5" x14ac:dyDescent="0.25">
      <c r="A497" s="33" t="s">
        <v>88</v>
      </c>
      <c r="B497" s="42">
        <v>477</v>
      </c>
      <c r="C497" s="33" t="s">
        <v>47</v>
      </c>
      <c r="D497" s="33" t="s">
        <v>2804</v>
      </c>
      <c r="E497" s="32"/>
      <c r="F497" s="33" t="s">
        <v>2805</v>
      </c>
      <c r="G497" s="32"/>
      <c r="H497" s="32"/>
      <c r="I497" s="33" t="s">
        <v>2806</v>
      </c>
      <c r="J497" s="33" t="s">
        <v>43</v>
      </c>
      <c r="K497" s="33" t="s">
        <v>2807</v>
      </c>
      <c r="L497" s="48">
        <v>4075525074</v>
      </c>
      <c r="M497" s="32"/>
      <c r="N497" s="48">
        <v>15000000</v>
      </c>
      <c r="O497" s="43"/>
      <c r="P497" s="43"/>
      <c r="Q497" s="48">
        <f t="shared" si="397"/>
        <v>4090525074</v>
      </c>
      <c r="R497" s="52">
        <v>4075525074</v>
      </c>
      <c r="S497" s="33"/>
      <c r="T497" s="44">
        <v>15000000</v>
      </c>
      <c r="U497" s="33"/>
      <c r="V497" s="33"/>
      <c r="W497" s="52"/>
      <c r="X497" s="52">
        <f t="shared" ref="X497:Y497" si="491">M497-S497</f>
        <v>0</v>
      </c>
      <c r="Y497" s="52">
        <f t="shared" si="491"/>
        <v>0</v>
      </c>
      <c r="Z497" s="52">
        <f t="shared" si="259"/>
        <v>0</v>
      </c>
      <c r="AA497" s="54"/>
      <c r="AB497" s="68"/>
    </row>
    <row r="498" spans="1:28" ht="31.5" x14ac:dyDescent="0.25">
      <c r="A498" s="33" t="s">
        <v>35</v>
      </c>
      <c r="B498" s="42">
        <v>478</v>
      </c>
      <c r="C498" s="33" t="s">
        <v>47</v>
      </c>
      <c r="D498" s="33" t="s">
        <v>2809</v>
      </c>
      <c r="E498" s="32"/>
      <c r="F498" s="33" t="s">
        <v>2810</v>
      </c>
      <c r="G498" s="32"/>
      <c r="H498" s="32"/>
      <c r="I498" s="33" t="s">
        <v>2811</v>
      </c>
      <c r="J498" s="33" t="s">
        <v>43</v>
      </c>
      <c r="K498" s="33" t="s">
        <v>2783</v>
      </c>
      <c r="L498" s="48">
        <v>2187891160</v>
      </c>
      <c r="M498" s="32"/>
      <c r="N498" s="48">
        <v>7500000</v>
      </c>
      <c r="O498" s="43"/>
      <c r="P498" s="43"/>
      <c r="Q498" s="48">
        <f t="shared" si="397"/>
        <v>2195391160</v>
      </c>
      <c r="R498" s="48">
        <v>2187891160</v>
      </c>
      <c r="S498" s="33"/>
      <c r="T498" s="44">
        <v>7500000</v>
      </c>
      <c r="U498" s="33"/>
      <c r="V498" s="33"/>
      <c r="W498" s="52"/>
      <c r="X498" s="52">
        <f t="shared" ref="X498:Y498" si="492">M498-S498</f>
        <v>0</v>
      </c>
      <c r="Y498" s="52">
        <f t="shared" si="492"/>
        <v>0</v>
      </c>
      <c r="Z498" s="52">
        <f t="shared" si="259"/>
        <v>0</v>
      </c>
      <c r="AA498" s="54"/>
      <c r="AB498" s="68"/>
    </row>
    <row r="499" spans="1:28" ht="31.5" x14ac:dyDescent="0.25">
      <c r="A499" s="33" t="s">
        <v>52</v>
      </c>
      <c r="B499" s="42">
        <v>479</v>
      </c>
      <c r="C499" s="33" t="s">
        <v>47</v>
      </c>
      <c r="D499" s="33" t="s">
        <v>2812</v>
      </c>
      <c r="E499" s="32"/>
      <c r="F499" s="33" t="s">
        <v>2813</v>
      </c>
      <c r="G499" s="32"/>
      <c r="H499" s="32"/>
      <c r="I499" s="33" t="s">
        <v>2814</v>
      </c>
      <c r="J499" s="33" t="s">
        <v>43</v>
      </c>
      <c r="K499" s="33" t="s">
        <v>2815</v>
      </c>
      <c r="L499" s="48">
        <v>68947648</v>
      </c>
      <c r="M499" s="32"/>
      <c r="N499" s="48">
        <v>7500000</v>
      </c>
      <c r="O499" s="43"/>
      <c r="P499" s="43"/>
      <c r="Q499" s="48">
        <f t="shared" si="397"/>
        <v>76447648</v>
      </c>
      <c r="R499" s="33"/>
      <c r="S499" s="33"/>
      <c r="T499" s="66"/>
      <c r="U499" s="33"/>
      <c r="V499" s="33"/>
      <c r="W499" s="52">
        <v>68947648</v>
      </c>
      <c r="X499" s="52">
        <f t="shared" ref="X499:Y499" si="493">M499-S499</f>
        <v>0</v>
      </c>
      <c r="Y499" s="52">
        <f t="shared" si="493"/>
        <v>7500000</v>
      </c>
      <c r="Z499" s="52">
        <f t="shared" si="259"/>
        <v>0</v>
      </c>
      <c r="AA499" s="69">
        <v>68947648</v>
      </c>
      <c r="AB499" s="68"/>
    </row>
    <row r="500" spans="1:28" ht="31.5" x14ac:dyDescent="0.25">
      <c r="A500" s="33" t="s">
        <v>60</v>
      </c>
      <c r="B500" s="42">
        <v>480</v>
      </c>
      <c r="C500" s="33" t="s">
        <v>47</v>
      </c>
      <c r="D500" s="33" t="s">
        <v>2816</v>
      </c>
      <c r="E500" s="32"/>
      <c r="F500" s="33" t="s">
        <v>2817</v>
      </c>
      <c r="G500" s="32"/>
      <c r="H500" s="32"/>
      <c r="I500" s="33" t="s">
        <v>2818</v>
      </c>
      <c r="J500" s="33" t="s">
        <v>43</v>
      </c>
      <c r="K500" s="33" t="s">
        <v>2819</v>
      </c>
      <c r="L500" s="48">
        <v>1308108292</v>
      </c>
      <c r="M500" s="32"/>
      <c r="N500" s="48">
        <v>7500000</v>
      </c>
      <c r="O500" s="43"/>
      <c r="P500" s="43"/>
      <c r="Q500" s="48">
        <f t="shared" si="397"/>
        <v>1315608292</v>
      </c>
      <c r="R500" s="48">
        <v>1308108292</v>
      </c>
      <c r="S500" s="33"/>
      <c r="T500" s="44">
        <v>7500000</v>
      </c>
      <c r="U500" s="33"/>
      <c r="V500" s="33"/>
      <c r="W500" s="52"/>
      <c r="X500" s="52">
        <f t="shared" ref="X500:Y500" si="494">M500-S500</f>
        <v>0</v>
      </c>
      <c r="Y500" s="52">
        <f t="shared" si="494"/>
        <v>0</v>
      </c>
      <c r="Z500" s="52">
        <f t="shared" si="259"/>
        <v>0</v>
      </c>
      <c r="AA500" s="54"/>
      <c r="AB500" s="68"/>
    </row>
    <row r="501" spans="1:28" ht="63" x14ac:dyDescent="0.25">
      <c r="A501" s="33" t="s">
        <v>46</v>
      </c>
      <c r="B501" s="42">
        <v>481</v>
      </c>
      <c r="C501" s="33" t="s">
        <v>47</v>
      </c>
      <c r="D501" s="33" t="s">
        <v>2820</v>
      </c>
      <c r="E501" s="33" t="s">
        <v>2821</v>
      </c>
      <c r="F501" s="33" t="s">
        <v>2822</v>
      </c>
      <c r="G501" s="33" t="s">
        <v>2823</v>
      </c>
      <c r="H501" s="32"/>
      <c r="I501" s="33" t="s">
        <v>2824</v>
      </c>
      <c r="J501" s="33" t="s">
        <v>43</v>
      </c>
      <c r="K501" s="33" t="s">
        <v>2825</v>
      </c>
      <c r="L501" s="48">
        <v>2157190380</v>
      </c>
      <c r="M501" s="48">
        <v>64769833</v>
      </c>
      <c r="N501" s="48">
        <v>15000000</v>
      </c>
      <c r="O501" s="43"/>
      <c r="P501" s="43"/>
      <c r="Q501" s="48">
        <f t="shared" si="397"/>
        <v>2236960213</v>
      </c>
      <c r="R501" s="48">
        <v>2157190380</v>
      </c>
      <c r="S501" s="48">
        <v>64769833</v>
      </c>
      <c r="T501" s="44">
        <v>15000000</v>
      </c>
      <c r="U501" s="33"/>
      <c r="V501" s="33"/>
      <c r="W501" s="52"/>
      <c r="X501" s="52">
        <f t="shared" ref="X501:Y501" si="495">M501-S501</f>
        <v>0</v>
      </c>
      <c r="Y501" s="52">
        <f t="shared" si="495"/>
        <v>0</v>
      </c>
      <c r="Z501" s="52">
        <f t="shared" si="259"/>
        <v>0</v>
      </c>
      <c r="AA501" s="54"/>
      <c r="AB501" s="68"/>
    </row>
    <row r="502" spans="1:28" ht="31.5" x14ac:dyDescent="0.25">
      <c r="A502" s="33" t="s">
        <v>46</v>
      </c>
      <c r="B502" s="42">
        <v>482</v>
      </c>
      <c r="C502" s="33" t="s">
        <v>124</v>
      </c>
      <c r="D502" s="33" t="s">
        <v>2826</v>
      </c>
      <c r="E502" s="33" t="s">
        <v>2827</v>
      </c>
      <c r="F502" s="33" t="s">
        <v>2828</v>
      </c>
      <c r="G502" s="33" t="s">
        <v>2829</v>
      </c>
      <c r="H502" s="32"/>
      <c r="I502" s="33" t="s">
        <v>2830</v>
      </c>
      <c r="J502" s="33" t="s">
        <v>43</v>
      </c>
      <c r="K502" s="33" t="s">
        <v>2831</v>
      </c>
      <c r="L502" s="48">
        <v>1694829034</v>
      </c>
      <c r="M502" s="48">
        <v>89809650</v>
      </c>
      <c r="N502" s="48">
        <v>15000000</v>
      </c>
      <c r="O502" s="43"/>
      <c r="P502" s="43"/>
      <c r="Q502" s="48">
        <f t="shared" si="397"/>
        <v>1799638684</v>
      </c>
      <c r="R502" s="48">
        <v>1694829034</v>
      </c>
      <c r="S502" s="48">
        <v>89809650</v>
      </c>
      <c r="T502" s="44">
        <v>15000000</v>
      </c>
      <c r="U502" s="33"/>
      <c r="V502" s="33"/>
      <c r="W502" s="52"/>
      <c r="X502" s="52">
        <f t="shared" ref="X502:Y502" si="496">M502-S502</f>
        <v>0</v>
      </c>
      <c r="Y502" s="52">
        <f t="shared" si="496"/>
        <v>0</v>
      </c>
      <c r="Z502" s="52">
        <f t="shared" si="259"/>
        <v>0</v>
      </c>
      <c r="AA502" s="54"/>
      <c r="AB502" s="68"/>
    </row>
    <row r="503" spans="1:28" ht="63" x14ac:dyDescent="0.25">
      <c r="A503" s="33" t="s">
        <v>35</v>
      </c>
      <c r="B503" s="42">
        <v>483</v>
      </c>
      <c r="C503" s="33" t="s">
        <v>124</v>
      </c>
      <c r="D503" s="33" t="s">
        <v>1146</v>
      </c>
      <c r="E503" s="33" t="s">
        <v>1147</v>
      </c>
      <c r="F503" s="33" t="s">
        <v>1149</v>
      </c>
      <c r="G503" s="33" t="s">
        <v>1150</v>
      </c>
      <c r="H503" s="32"/>
      <c r="I503" s="33" t="s">
        <v>1151</v>
      </c>
      <c r="J503" s="33" t="s">
        <v>43</v>
      </c>
      <c r="K503" s="33" t="s">
        <v>1152</v>
      </c>
      <c r="L503" s="48">
        <v>2978570608</v>
      </c>
      <c r="M503" s="48">
        <v>191495014</v>
      </c>
      <c r="N503" s="48">
        <v>15000000</v>
      </c>
      <c r="O503" s="43" t="s">
        <v>1148</v>
      </c>
      <c r="P503" s="69">
        <v>144000000</v>
      </c>
      <c r="Q503" s="48">
        <f t="shared" si="397"/>
        <v>3329065622</v>
      </c>
      <c r="R503" s="48">
        <v>2978570608</v>
      </c>
      <c r="S503" s="48">
        <v>191495014</v>
      </c>
      <c r="T503" s="44">
        <v>15000000</v>
      </c>
      <c r="U503" s="48">
        <v>48000000</v>
      </c>
      <c r="V503" s="33"/>
      <c r="W503" s="52"/>
      <c r="X503" s="52">
        <f t="shared" ref="X503:Y503" si="497">M503-S503</f>
        <v>0</v>
      </c>
      <c r="Y503" s="52">
        <f t="shared" si="497"/>
        <v>0</v>
      </c>
      <c r="Z503" s="52">
        <f t="shared" si="259"/>
        <v>96000000</v>
      </c>
      <c r="AA503" s="54"/>
      <c r="AB503" s="74" t="s">
        <v>721</v>
      </c>
    </row>
    <row r="504" spans="1:28" ht="47.25" x14ac:dyDescent="0.25">
      <c r="A504" s="33" t="s">
        <v>35</v>
      </c>
      <c r="B504" s="42">
        <v>484</v>
      </c>
      <c r="C504" s="33" t="s">
        <v>124</v>
      </c>
      <c r="D504" s="33" t="s">
        <v>2833</v>
      </c>
      <c r="E504" s="33" t="s">
        <v>2834</v>
      </c>
      <c r="F504" s="33" t="s">
        <v>2835</v>
      </c>
      <c r="G504" s="33" t="s">
        <v>2836</v>
      </c>
      <c r="H504" s="103" t="s">
        <v>2837</v>
      </c>
      <c r="I504" s="33" t="s">
        <v>2840</v>
      </c>
      <c r="J504" s="33" t="s">
        <v>43</v>
      </c>
      <c r="K504" s="33" t="s">
        <v>2841</v>
      </c>
      <c r="L504" s="42">
        <v>0</v>
      </c>
      <c r="M504" s="48">
        <v>8678312412</v>
      </c>
      <c r="N504" s="48">
        <v>7500000</v>
      </c>
      <c r="O504" s="43"/>
      <c r="P504" s="43"/>
      <c r="Q504" s="48">
        <f t="shared" si="397"/>
        <v>8685812412</v>
      </c>
      <c r="R504" s="42">
        <v>0</v>
      </c>
      <c r="S504" s="33"/>
      <c r="T504" s="66"/>
      <c r="U504" s="33"/>
      <c r="V504" s="33"/>
      <c r="W504" s="52"/>
      <c r="X504" s="52">
        <f t="shared" ref="X504:Y504" si="498">M504-S504</f>
        <v>8678312412</v>
      </c>
      <c r="Y504" s="52">
        <f t="shared" si="498"/>
        <v>7500000</v>
      </c>
      <c r="Z504" s="52">
        <f t="shared" si="259"/>
        <v>0</v>
      </c>
      <c r="AA504" s="54"/>
      <c r="AB504" s="68"/>
    </row>
    <row r="505" spans="1:28" ht="31.5" x14ac:dyDescent="0.25">
      <c r="A505" s="33" t="s">
        <v>88</v>
      </c>
      <c r="B505" s="42">
        <v>485</v>
      </c>
      <c r="C505" s="33" t="s">
        <v>124</v>
      </c>
      <c r="D505" s="33" t="s">
        <v>549</v>
      </c>
      <c r="E505" s="32"/>
      <c r="F505" s="33" t="s">
        <v>551</v>
      </c>
      <c r="G505" s="32"/>
      <c r="H505" s="32"/>
      <c r="I505" s="33" t="s">
        <v>552</v>
      </c>
      <c r="J505" s="33" t="s">
        <v>43</v>
      </c>
      <c r="K505" s="33" t="s">
        <v>553</v>
      </c>
      <c r="L505" s="48">
        <v>10000000</v>
      </c>
      <c r="M505" s="32"/>
      <c r="N505" s="48">
        <v>15000000</v>
      </c>
      <c r="O505" s="43" t="s">
        <v>2843</v>
      </c>
      <c r="P505" s="69">
        <v>24000000</v>
      </c>
      <c r="Q505" s="48">
        <f t="shared" si="397"/>
        <v>49000000</v>
      </c>
      <c r="R505" s="52">
        <v>10000000</v>
      </c>
      <c r="S505" s="33"/>
      <c r="T505" s="44">
        <v>15000000</v>
      </c>
      <c r="U505" s="48">
        <v>24000000</v>
      </c>
      <c r="V505" s="33"/>
      <c r="W505" s="52"/>
      <c r="X505" s="52">
        <f t="shared" ref="X505:Y505" si="499">M505-S505</f>
        <v>0</v>
      </c>
      <c r="Y505" s="52">
        <f t="shared" si="499"/>
        <v>0</v>
      </c>
      <c r="Z505" s="52">
        <f t="shared" si="259"/>
        <v>0</v>
      </c>
      <c r="AA505" s="54"/>
      <c r="AB505" s="68"/>
    </row>
    <row r="506" spans="1:28" ht="31.5" x14ac:dyDescent="0.25">
      <c r="A506" s="33" t="s">
        <v>88</v>
      </c>
      <c r="B506" s="42">
        <v>486</v>
      </c>
      <c r="C506" s="33" t="s">
        <v>124</v>
      </c>
      <c r="D506" s="33" t="s">
        <v>2844</v>
      </c>
      <c r="E506" s="33" t="s">
        <v>2845</v>
      </c>
      <c r="F506" s="33" t="s">
        <v>2846</v>
      </c>
      <c r="G506" s="32"/>
      <c r="H506" s="32"/>
      <c r="I506" s="33" t="s">
        <v>2847</v>
      </c>
      <c r="J506" s="33" t="s">
        <v>43</v>
      </c>
      <c r="K506" s="33" t="s">
        <v>2848</v>
      </c>
      <c r="L506" s="48">
        <v>34664233908</v>
      </c>
      <c r="M506" s="48">
        <v>21702116352</v>
      </c>
      <c r="N506" s="48">
        <v>7500000</v>
      </c>
      <c r="O506" s="43"/>
      <c r="P506" s="43"/>
      <c r="Q506" s="48">
        <f t="shared" si="397"/>
        <v>56373850260</v>
      </c>
      <c r="R506" s="48">
        <v>34664233908</v>
      </c>
      <c r="S506" s="48">
        <v>21702116352</v>
      </c>
      <c r="T506" s="66"/>
      <c r="U506" s="33"/>
      <c r="V506" s="33"/>
      <c r="W506" s="52"/>
      <c r="X506" s="52">
        <f t="shared" ref="X506:Y506" si="500">M506-S506</f>
        <v>0</v>
      </c>
      <c r="Y506" s="52">
        <f t="shared" si="500"/>
        <v>7500000</v>
      </c>
      <c r="Z506" s="52">
        <f t="shared" si="259"/>
        <v>0</v>
      </c>
      <c r="AA506" s="54"/>
      <c r="AB506" s="68"/>
    </row>
    <row r="507" spans="1:28" ht="31.5" x14ac:dyDescent="0.25">
      <c r="A507" s="33" t="s">
        <v>46</v>
      </c>
      <c r="B507" s="42">
        <v>487</v>
      </c>
      <c r="C507" s="33" t="s">
        <v>124</v>
      </c>
      <c r="D507" s="33" t="s">
        <v>2849</v>
      </c>
      <c r="E507" s="33" t="s">
        <v>617</v>
      </c>
      <c r="F507" s="33" t="s">
        <v>2850</v>
      </c>
      <c r="G507" s="33" t="s">
        <v>2851</v>
      </c>
      <c r="H507" s="32"/>
      <c r="I507" s="33" t="s">
        <v>2852</v>
      </c>
      <c r="J507" s="33" t="s">
        <v>43</v>
      </c>
      <c r="K507" s="33" t="s">
        <v>2853</v>
      </c>
      <c r="L507" s="48">
        <v>7983138800</v>
      </c>
      <c r="M507" s="65">
        <v>4114228044</v>
      </c>
      <c r="N507" s="48">
        <v>7500000</v>
      </c>
      <c r="O507" s="43"/>
      <c r="P507" s="43"/>
      <c r="Q507" s="48">
        <f t="shared" si="397"/>
        <v>12104866844</v>
      </c>
      <c r="R507" s="48">
        <v>7983138800</v>
      </c>
      <c r="S507" s="48">
        <v>4114228044</v>
      </c>
      <c r="T507" s="44">
        <v>7500000</v>
      </c>
      <c r="U507" s="33"/>
      <c r="V507" s="33"/>
      <c r="W507" s="52"/>
      <c r="X507" s="52">
        <f t="shared" ref="X507:Y507" si="501">M507-S507</f>
        <v>0</v>
      </c>
      <c r="Y507" s="52">
        <f t="shared" si="501"/>
        <v>0</v>
      </c>
      <c r="Z507" s="52">
        <f t="shared" si="259"/>
        <v>0</v>
      </c>
      <c r="AA507" s="54"/>
      <c r="AB507" s="68"/>
    </row>
    <row r="508" spans="1:28" ht="31.5" x14ac:dyDescent="0.25">
      <c r="A508" s="33" t="s">
        <v>52</v>
      </c>
      <c r="B508" s="42">
        <v>488</v>
      </c>
      <c r="C508" s="33" t="s">
        <v>124</v>
      </c>
      <c r="D508" s="33" t="s">
        <v>1349</v>
      </c>
      <c r="E508" s="32"/>
      <c r="F508" s="33" t="s">
        <v>1351</v>
      </c>
      <c r="G508" s="32"/>
      <c r="H508" s="32"/>
      <c r="I508" s="33" t="s">
        <v>1352</v>
      </c>
      <c r="J508" s="33" t="s">
        <v>43</v>
      </c>
      <c r="K508" s="33" t="s">
        <v>1353</v>
      </c>
      <c r="L508" s="48">
        <v>24488585954</v>
      </c>
      <c r="M508" s="32"/>
      <c r="N508" s="48">
        <v>15000000</v>
      </c>
      <c r="O508" s="43" t="s">
        <v>1350</v>
      </c>
      <c r="P508" s="69">
        <v>96000000</v>
      </c>
      <c r="Q508" s="48">
        <f t="shared" si="397"/>
        <v>24599585954</v>
      </c>
      <c r="R508" s="48">
        <v>24488585954</v>
      </c>
      <c r="S508" s="33"/>
      <c r="T508" s="44">
        <v>15000000</v>
      </c>
      <c r="U508" s="48">
        <v>96000000</v>
      </c>
      <c r="V508" s="33"/>
      <c r="W508" s="52"/>
      <c r="X508" s="52">
        <f t="shared" ref="X508:Y508" si="502">M508-S508</f>
        <v>0</v>
      </c>
      <c r="Y508" s="52">
        <f t="shared" si="502"/>
        <v>0</v>
      </c>
      <c r="Z508" s="52">
        <f t="shared" si="259"/>
        <v>0</v>
      </c>
      <c r="AA508" s="54"/>
      <c r="AB508" s="68"/>
    </row>
    <row r="509" spans="1:28" ht="31.5" x14ac:dyDescent="0.25">
      <c r="A509" s="33" t="s">
        <v>52</v>
      </c>
      <c r="B509" s="42">
        <v>489</v>
      </c>
      <c r="C509" s="33" t="s">
        <v>124</v>
      </c>
      <c r="D509" s="33" t="s">
        <v>1492</v>
      </c>
      <c r="E509" s="33" t="s">
        <v>1493</v>
      </c>
      <c r="F509" s="33" t="s">
        <v>1495</v>
      </c>
      <c r="G509" s="32"/>
      <c r="H509" s="32"/>
      <c r="I509" s="33" t="s">
        <v>1496</v>
      </c>
      <c r="J509" s="33" t="s">
        <v>43</v>
      </c>
      <c r="K509" s="33" t="s">
        <v>1497</v>
      </c>
      <c r="L509" s="48">
        <v>8321720844</v>
      </c>
      <c r="M509" s="48">
        <v>606267120</v>
      </c>
      <c r="N509" s="48">
        <v>15000000</v>
      </c>
      <c r="O509" s="43" t="s">
        <v>1494</v>
      </c>
      <c r="P509" s="69">
        <v>30000000</v>
      </c>
      <c r="Q509" s="48">
        <f t="shared" si="397"/>
        <v>8972987964</v>
      </c>
      <c r="R509" s="48">
        <v>8321720844</v>
      </c>
      <c r="S509" s="48">
        <v>606267120</v>
      </c>
      <c r="T509" s="44">
        <v>15000000</v>
      </c>
      <c r="U509" s="48">
        <v>30000000</v>
      </c>
      <c r="V509" s="33"/>
      <c r="W509" s="52"/>
      <c r="X509" s="52">
        <f t="shared" ref="X509:Y509" si="503">M509-S509</f>
        <v>0</v>
      </c>
      <c r="Y509" s="52">
        <f t="shared" si="503"/>
        <v>0</v>
      </c>
      <c r="Z509" s="52">
        <f t="shared" si="259"/>
        <v>0</v>
      </c>
      <c r="AA509" s="54"/>
      <c r="AB509" s="68"/>
    </row>
    <row r="510" spans="1:28" ht="31.5" x14ac:dyDescent="0.25">
      <c r="A510" s="33" t="s">
        <v>35</v>
      </c>
      <c r="B510" s="42">
        <v>490</v>
      </c>
      <c r="C510" s="33" t="s">
        <v>124</v>
      </c>
      <c r="D510" s="33" t="s">
        <v>2854</v>
      </c>
      <c r="E510" s="32"/>
      <c r="F510" s="33" t="s">
        <v>2855</v>
      </c>
      <c r="G510" s="32"/>
      <c r="H510" s="32"/>
      <c r="I510" s="33" t="s">
        <v>2856</v>
      </c>
      <c r="J510" s="33" t="s">
        <v>43</v>
      </c>
      <c r="K510" s="33" t="s">
        <v>2857</v>
      </c>
      <c r="L510" s="48">
        <v>75048522880</v>
      </c>
      <c r="M510" s="32"/>
      <c r="N510" s="48">
        <v>7500000</v>
      </c>
      <c r="O510" s="43"/>
      <c r="P510" s="43"/>
      <c r="Q510" s="48">
        <f t="shared" si="397"/>
        <v>75056022880</v>
      </c>
      <c r="R510" s="48">
        <v>75048522880</v>
      </c>
      <c r="S510" s="33"/>
      <c r="T510" s="44">
        <v>7500000</v>
      </c>
      <c r="U510" s="33"/>
      <c r="V510" s="33"/>
      <c r="W510" s="52"/>
      <c r="X510" s="52">
        <f t="shared" ref="X510:Y510" si="504">M510-S510</f>
        <v>0</v>
      </c>
      <c r="Y510" s="52">
        <f t="shared" si="504"/>
        <v>0</v>
      </c>
      <c r="Z510" s="52">
        <f t="shared" si="259"/>
        <v>0</v>
      </c>
      <c r="AA510" s="54"/>
      <c r="AB510" s="68"/>
    </row>
    <row r="511" spans="1:28" ht="31.5" x14ac:dyDescent="0.25">
      <c r="A511" s="33" t="s">
        <v>35</v>
      </c>
      <c r="B511" s="42">
        <v>491</v>
      </c>
      <c r="C511" s="33" t="s">
        <v>124</v>
      </c>
      <c r="D511" s="33" t="s">
        <v>605</v>
      </c>
      <c r="E511" s="33" t="s">
        <v>607</v>
      </c>
      <c r="F511" s="33" t="s">
        <v>610</v>
      </c>
      <c r="G511" s="33" t="s">
        <v>611</v>
      </c>
      <c r="H511" s="32"/>
      <c r="I511" s="33" t="s">
        <v>613</v>
      </c>
      <c r="J511" s="33" t="s">
        <v>43</v>
      </c>
      <c r="K511" s="33" t="s">
        <v>615</v>
      </c>
      <c r="L511" s="48">
        <v>1336260530</v>
      </c>
      <c r="M511" s="48">
        <v>1211633920</v>
      </c>
      <c r="N511" s="48">
        <v>15000000</v>
      </c>
      <c r="O511" s="43" t="s">
        <v>609</v>
      </c>
      <c r="P511" s="69">
        <v>42000000</v>
      </c>
      <c r="Q511" s="48">
        <f t="shared" si="397"/>
        <v>2604894450</v>
      </c>
      <c r="R511" s="52">
        <v>1336260530</v>
      </c>
      <c r="S511" s="48">
        <v>1211633920</v>
      </c>
      <c r="T511" s="44">
        <v>15000000</v>
      </c>
      <c r="U511" s="48">
        <v>42000000</v>
      </c>
      <c r="V511" s="33"/>
      <c r="W511" s="52"/>
      <c r="X511" s="52">
        <f t="shared" ref="X511:Y511" si="505">M511-S511</f>
        <v>0</v>
      </c>
      <c r="Y511" s="52">
        <f t="shared" si="505"/>
        <v>0</v>
      </c>
      <c r="Z511" s="52">
        <f t="shared" si="259"/>
        <v>0</v>
      </c>
      <c r="AA511" s="54"/>
      <c r="AB511" s="68"/>
    </row>
    <row r="512" spans="1:28" ht="31.5" x14ac:dyDescent="0.25">
      <c r="A512" s="33" t="s">
        <v>88</v>
      </c>
      <c r="B512" s="42">
        <v>492</v>
      </c>
      <c r="C512" s="33" t="s">
        <v>124</v>
      </c>
      <c r="D512" s="33" t="s">
        <v>2858</v>
      </c>
      <c r="E512" s="33" t="s">
        <v>2859</v>
      </c>
      <c r="F512" s="33" t="s">
        <v>2860</v>
      </c>
      <c r="G512" s="33" t="s">
        <v>2861</v>
      </c>
      <c r="H512" s="33" t="s">
        <v>2266</v>
      </c>
      <c r="I512" s="33" t="s">
        <v>2862</v>
      </c>
      <c r="J512" s="33" t="s">
        <v>43</v>
      </c>
      <c r="K512" s="33" t="s">
        <v>2863</v>
      </c>
      <c r="L512" s="48">
        <v>4066555149</v>
      </c>
      <c r="M512" s="48">
        <v>385272600</v>
      </c>
      <c r="N512" s="48">
        <v>15000000</v>
      </c>
      <c r="O512" s="43"/>
      <c r="P512" s="43"/>
      <c r="Q512" s="48">
        <f t="shared" si="397"/>
        <v>4466827749</v>
      </c>
      <c r="R512" s="52">
        <v>4066555149</v>
      </c>
      <c r="S512" s="48">
        <v>385272600</v>
      </c>
      <c r="T512" s="44">
        <v>15000000</v>
      </c>
      <c r="U512" s="33"/>
      <c r="V512" s="33"/>
      <c r="W512" s="52"/>
      <c r="X512" s="52">
        <f t="shared" ref="X512:Y512" si="506">M512-S512</f>
        <v>0</v>
      </c>
      <c r="Y512" s="52">
        <f t="shared" si="506"/>
        <v>0</v>
      </c>
      <c r="Z512" s="52">
        <f t="shared" si="259"/>
        <v>0</v>
      </c>
      <c r="AA512" s="54"/>
      <c r="AB512" s="68"/>
    </row>
    <row r="513" spans="1:45" ht="31.5" x14ac:dyDescent="0.25">
      <c r="A513" s="33" t="s">
        <v>52</v>
      </c>
      <c r="B513" s="42">
        <v>493</v>
      </c>
      <c r="C513" s="33" t="s">
        <v>124</v>
      </c>
      <c r="D513" s="33" t="s">
        <v>1051</v>
      </c>
      <c r="E513" s="32"/>
      <c r="F513" s="33" t="s">
        <v>1052</v>
      </c>
      <c r="G513" s="32"/>
      <c r="H513" s="32"/>
      <c r="I513" s="33" t="s">
        <v>1053</v>
      </c>
      <c r="J513" s="33" t="s">
        <v>43</v>
      </c>
      <c r="K513" s="33" t="s">
        <v>1054</v>
      </c>
      <c r="L513" s="48">
        <v>3570553528</v>
      </c>
      <c r="M513" s="32"/>
      <c r="N513" s="48">
        <v>15000000</v>
      </c>
      <c r="O513" s="43" t="s">
        <v>1012</v>
      </c>
      <c r="P513" s="69">
        <v>30000000</v>
      </c>
      <c r="Q513" s="48">
        <f t="shared" si="397"/>
        <v>3615553528</v>
      </c>
      <c r="R513" s="33"/>
      <c r="S513" s="33"/>
      <c r="T513" s="66"/>
      <c r="U513" s="66">
        <v>30000000</v>
      </c>
      <c r="V513" s="33"/>
      <c r="W513" s="52">
        <v>3570553528</v>
      </c>
      <c r="X513" s="52">
        <f t="shared" ref="X513:Y513" si="507">M513-S513</f>
        <v>0</v>
      </c>
      <c r="Y513" s="52">
        <f t="shared" si="507"/>
        <v>15000000</v>
      </c>
      <c r="Z513" s="52">
        <f t="shared" si="259"/>
        <v>0</v>
      </c>
      <c r="AA513" s="69">
        <v>3570553528</v>
      </c>
      <c r="AB513" s="74" t="s">
        <v>2864</v>
      </c>
    </row>
    <row r="514" spans="1:45" ht="47.25" x14ac:dyDescent="0.25">
      <c r="A514" s="88" t="s">
        <v>60</v>
      </c>
      <c r="B514" s="89">
        <v>494</v>
      </c>
      <c r="C514" s="88" t="s">
        <v>124</v>
      </c>
      <c r="D514" s="88" t="s">
        <v>172</v>
      </c>
      <c r="E514" s="90"/>
      <c r="F514" s="88" t="s">
        <v>173</v>
      </c>
      <c r="G514" s="90"/>
      <c r="H514" s="90"/>
      <c r="I514" s="88" t="s">
        <v>174</v>
      </c>
      <c r="J514" s="88" t="s">
        <v>43</v>
      </c>
      <c r="K514" s="88" t="s">
        <v>175</v>
      </c>
      <c r="L514" s="91">
        <v>10000000</v>
      </c>
      <c r="M514" s="90"/>
      <c r="N514" s="91">
        <v>15000000</v>
      </c>
      <c r="O514" s="92" t="s">
        <v>2475</v>
      </c>
      <c r="P514" s="84">
        <v>24000000</v>
      </c>
      <c r="Q514" s="91">
        <f t="shared" si="397"/>
        <v>49000000</v>
      </c>
      <c r="R514" s="88"/>
      <c r="S514" s="88"/>
      <c r="T514" s="104"/>
      <c r="U514" s="88"/>
      <c r="V514" s="88"/>
      <c r="W514" s="94">
        <v>10000000</v>
      </c>
      <c r="X514" s="94">
        <f t="shared" ref="X514:Y514" si="508">M514-S514</f>
        <v>0</v>
      </c>
      <c r="Y514" s="94">
        <f t="shared" si="508"/>
        <v>15000000</v>
      </c>
      <c r="Z514" s="94">
        <f t="shared" si="259"/>
        <v>24000000</v>
      </c>
      <c r="AA514" s="105">
        <v>10000000</v>
      </c>
      <c r="AB514" s="96" t="s">
        <v>2866</v>
      </c>
      <c r="AC514" s="97"/>
      <c r="AD514" s="97"/>
      <c r="AE514" s="97"/>
      <c r="AF514" s="97"/>
      <c r="AG514" s="97"/>
      <c r="AH514" s="97"/>
      <c r="AI514" s="97"/>
      <c r="AJ514" s="97"/>
      <c r="AK514" s="97"/>
      <c r="AL514" s="97"/>
      <c r="AM514" s="97"/>
      <c r="AN514" s="97"/>
      <c r="AO514" s="97"/>
      <c r="AP514" s="97"/>
      <c r="AQ514" s="97"/>
      <c r="AR514" s="97"/>
      <c r="AS514" s="97"/>
    </row>
    <row r="515" spans="1:45" ht="47.25" x14ac:dyDescent="0.25">
      <c r="A515" s="88" t="s">
        <v>60</v>
      </c>
      <c r="B515" s="89">
        <v>494</v>
      </c>
      <c r="C515" s="88" t="s">
        <v>124</v>
      </c>
      <c r="D515" s="88" t="s">
        <v>172</v>
      </c>
      <c r="E515" s="90"/>
      <c r="F515" s="88" t="s">
        <v>173</v>
      </c>
      <c r="G515" s="90"/>
      <c r="H515" s="90"/>
      <c r="I515" s="88" t="s">
        <v>174</v>
      </c>
      <c r="J515" s="88" t="s">
        <v>43</v>
      </c>
      <c r="K515" s="88" t="s">
        <v>175</v>
      </c>
      <c r="L515" s="91">
        <v>10000000</v>
      </c>
      <c r="M515" s="90"/>
      <c r="N515" s="91">
        <v>15000000</v>
      </c>
      <c r="O515" s="92" t="s">
        <v>1965</v>
      </c>
      <c r="P515" s="84">
        <v>48000000</v>
      </c>
      <c r="Q515" s="91">
        <f t="shared" si="397"/>
        <v>73000000</v>
      </c>
      <c r="R515" s="88"/>
      <c r="S515" s="88"/>
      <c r="T515" s="104"/>
      <c r="U515" s="88"/>
      <c r="V515" s="88"/>
      <c r="W515" s="94">
        <v>10000000</v>
      </c>
      <c r="X515" s="94">
        <f t="shared" ref="X515:Y515" si="509">M515-S515</f>
        <v>0</v>
      </c>
      <c r="Y515" s="94">
        <f t="shared" si="509"/>
        <v>15000000</v>
      </c>
      <c r="Z515" s="94">
        <f t="shared" si="259"/>
        <v>48000000</v>
      </c>
      <c r="AA515" s="105">
        <v>10000000</v>
      </c>
      <c r="AB515" s="96" t="s">
        <v>2866</v>
      </c>
      <c r="AC515" s="97"/>
      <c r="AD515" s="97"/>
      <c r="AE515" s="97"/>
      <c r="AF515" s="97"/>
      <c r="AG515" s="97"/>
      <c r="AH515" s="97"/>
      <c r="AI515" s="97"/>
      <c r="AJ515" s="97"/>
      <c r="AK515" s="97"/>
      <c r="AL515" s="97"/>
      <c r="AM515" s="97"/>
      <c r="AN515" s="97"/>
      <c r="AO515" s="97"/>
      <c r="AP515" s="97"/>
      <c r="AQ515" s="97"/>
      <c r="AR515" s="97"/>
      <c r="AS515" s="97"/>
    </row>
    <row r="516" spans="1:45" ht="47.25" x14ac:dyDescent="0.25">
      <c r="A516" s="33" t="s">
        <v>60</v>
      </c>
      <c r="B516" s="42">
        <v>495</v>
      </c>
      <c r="C516" s="33" t="s">
        <v>124</v>
      </c>
      <c r="D516" s="33" t="s">
        <v>616</v>
      </c>
      <c r="E516" s="81" t="s">
        <v>617</v>
      </c>
      <c r="F516" s="33" t="s">
        <v>619</v>
      </c>
      <c r="G516" s="33" t="s">
        <v>620</v>
      </c>
      <c r="H516" s="32"/>
      <c r="I516" s="33" t="s">
        <v>621</v>
      </c>
      <c r="J516" s="33" t="s">
        <v>43</v>
      </c>
      <c r="K516" s="33" t="s">
        <v>622</v>
      </c>
      <c r="L516" s="48">
        <v>6407680720</v>
      </c>
      <c r="M516" s="106">
        <v>2970696540</v>
      </c>
      <c r="N516" s="48">
        <v>15000000</v>
      </c>
      <c r="O516" s="43" t="s">
        <v>618</v>
      </c>
      <c r="P516" s="69">
        <v>54000000</v>
      </c>
      <c r="Q516" s="48">
        <f t="shared" si="397"/>
        <v>9447377260</v>
      </c>
      <c r="R516" s="79">
        <v>6407680720</v>
      </c>
      <c r="S516" s="48">
        <v>2970696540</v>
      </c>
      <c r="T516" s="44">
        <v>15000000</v>
      </c>
      <c r="U516" s="48">
        <v>54000000</v>
      </c>
      <c r="V516" s="33"/>
      <c r="W516" s="52"/>
      <c r="X516" s="52">
        <f t="shared" ref="X516:Y516" si="510">M516-S516</f>
        <v>0</v>
      </c>
      <c r="Y516" s="52">
        <f t="shared" si="510"/>
        <v>0</v>
      </c>
      <c r="Z516" s="52">
        <f t="shared" si="259"/>
        <v>0</v>
      </c>
      <c r="AA516" s="54"/>
      <c r="AB516" s="68"/>
    </row>
    <row r="517" spans="1:45" ht="47.25" x14ac:dyDescent="0.25">
      <c r="A517" s="33" t="s">
        <v>35</v>
      </c>
      <c r="B517" s="42">
        <v>496</v>
      </c>
      <c r="C517" s="33" t="s">
        <v>124</v>
      </c>
      <c r="D517" s="33" t="s">
        <v>2868</v>
      </c>
      <c r="E517" s="32"/>
      <c r="F517" s="33" t="s">
        <v>2869</v>
      </c>
      <c r="G517" s="32"/>
      <c r="H517" s="32"/>
      <c r="I517" s="33" t="s">
        <v>2018</v>
      </c>
      <c r="J517" s="33" t="s">
        <v>43</v>
      </c>
      <c r="K517" s="33" t="s">
        <v>2870</v>
      </c>
      <c r="L517" s="48">
        <v>537732800</v>
      </c>
      <c r="M517" s="32"/>
      <c r="N517" s="48">
        <v>7500000</v>
      </c>
      <c r="O517" s="43"/>
      <c r="P517" s="43"/>
      <c r="Q517" s="48">
        <f t="shared" si="397"/>
        <v>545232800</v>
      </c>
      <c r="R517" s="48">
        <v>537732800</v>
      </c>
      <c r="S517" s="33"/>
      <c r="T517" s="66"/>
      <c r="U517" s="33"/>
      <c r="V517" s="33"/>
      <c r="W517" s="52"/>
      <c r="X517" s="52">
        <f t="shared" ref="X517:Y517" si="511">M517-S517</f>
        <v>0</v>
      </c>
      <c r="Y517" s="52">
        <f t="shared" si="511"/>
        <v>7500000</v>
      </c>
      <c r="Z517" s="52">
        <f t="shared" si="259"/>
        <v>0</v>
      </c>
      <c r="AA517" s="54"/>
      <c r="AB517" s="68"/>
    </row>
    <row r="518" spans="1:45" ht="47.25" x14ac:dyDescent="0.25">
      <c r="A518" s="33" t="s">
        <v>60</v>
      </c>
      <c r="B518" s="42">
        <v>497</v>
      </c>
      <c r="C518" s="33" t="s">
        <v>124</v>
      </c>
      <c r="D518" s="33" t="s">
        <v>2871</v>
      </c>
      <c r="E518" s="32"/>
      <c r="F518" s="33" t="s">
        <v>2872</v>
      </c>
      <c r="G518" s="32"/>
      <c r="H518" s="32"/>
      <c r="I518" s="33" t="s">
        <v>2873</v>
      </c>
      <c r="J518" s="33" t="s">
        <v>43</v>
      </c>
      <c r="K518" s="33" t="s">
        <v>2874</v>
      </c>
      <c r="L518" s="48">
        <v>642104448</v>
      </c>
      <c r="M518" s="32"/>
      <c r="N518" s="48">
        <v>7500000</v>
      </c>
      <c r="O518" s="43"/>
      <c r="P518" s="43"/>
      <c r="Q518" s="48">
        <f t="shared" si="397"/>
        <v>649604448</v>
      </c>
      <c r="R518" s="48">
        <v>642104448</v>
      </c>
      <c r="S518" s="33"/>
      <c r="T518" s="44">
        <v>7500000</v>
      </c>
      <c r="U518" s="33"/>
      <c r="V518" s="33"/>
      <c r="W518" s="52"/>
      <c r="X518" s="52">
        <f t="shared" ref="X518:Y518" si="512">M518-S518</f>
        <v>0</v>
      </c>
      <c r="Y518" s="52">
        <f t="shared" si="512"/>
        <v>0</v>
      </c>
      <c r="Z518" s="52">
        <f t="shared" si="259"/>
        <v>0</v>
      </c>
      <c r="AA518" s="54"/>
      <c r="AB518" s="68"/>
    </row>
    <row r="519" spans="1:45" ht="47.25" x14ac:dyDescent="0.25">
      <c r="A519" s="33" t="s">
        <v>35</v>
      </c>
      <c r="B519" s="42">
        <v>498</v>
      </c>
      <c r="C519" s="33" t="s">
        <v>124</v>
      </c>
      <c r="D519" s="33" t="s">
        <v>2875</v>
      </c>
      <c r="E519" s="32"/>
      <c r="F519" s="33" t="s">
        <v>2876</v>
      </c>
      <c r="G519" s="32"/>
      <c r="H519" s="32"/>
      <c r="I519" s="33" t="s">
        <v>2877</v>
      </c>
      <c r="J519" s="33" t="s">
        <v>43</v>
      </c>
      <c r="K519" s="33" t="s">
        <v>2878</v>
      </c>
      <c r="L519" s="48">
        <v>3193098044</v>
      </c>
      <c r="M519" s="32"/>
      <c r="N519" s="48">
        <v>15000000</v>
      </c>
      <c r="O519" s="43"/>
      <c r="P519" s="43"/>
      <c r="Q519" s="48">
        <f t="shared" si="397"/>
        <v>3208098044</v>
      </c>
      <c r="R519" s="48">
        <v>3193098044</v>
      </c>
      <c r="S519" s="33"/>
      <c r="T519" s="44">
        <v>15000000</v>
      </c>
      <c r="U519" s="33"/>
      <c r="V519" s="33"/>
      <c r="W519" s="52"/>
      <c r="X519" s="52">
        <f t="shared" ref="X519:Y519" si="513">M519-S519</f>
        <v>0</v>
      </c>
      <c r="Y519" s="52">
        <f t="shared" si="513"/>
        <v>0</v>
      </c>
      <c r="Z519" s="52">
        <f t="shared" si="259"/>
        <v>0</v>
      </c>
      <c r="AA519" s="54"/>
      <c r="AB519" s="68"/>
    </row>
    <row r="520" spans="1:45" ht="31.5" x14ac:dyDescent="0.25">
      <c r="A520" s="33" t="s">
        <v>52</v>
      </c>
      <c r="B520" s="42">
        <v>499</v>
      </c>
      <c r="C520" s="33" t="s">
        <v>124</v>
      </c>
      <c r="D520" s="33" t="s">
        <v>2879</v>
      </c>
      <c r="E520" s="32"/>
      <c r="F520" s="33" t="s">
        <v>2880</v>
      </c>
      <c r="G520" s="32"/>
      <c r="H520" s="32"/>
      <c r="I520" s="33" t="s">
        <v>2881</v>
      </c>
      <c r="J520" s="33" t="s">
        <v>43</v>
      </c>
      <c r="K520" s="33" t="s">
        <v>2882</v>
      </c>
      <c r="L520" s="48">
        <v>1244988472</v>
      </c>
      <c r="M520" s="32"/>
      <c r="N520" s="48">
        <v>7500000</v>
      </c>
      <c r="O520" s="43"/>
      <c r="P520" s="43"/>
      <c r="Q520" s="48">
        <f t="shared" si="397"/>
        <v>1252488472</v>
      </c>
      <c r="R520" s="48">
        <v>1244988472</v>
      </c>
      <c r="S520" s="33"/>
      <c r="T520" s="44">
        <v>7500000</v>
      </c>
      <c r="U520" s="33"/>
      <c r="V520" s="33"/>
      <c r="W520" s="52"/>
      <c r="X520" s="52">
        <f t="shared" ref="X520:Y520" si="514">M520-S520</f>
        <v>0</v>
      </c>
      <c r="Y520" s="52">
        <f t="shared" si="514"/>
        <v>0</v>
      </c>
      <c r="Z520" s="52">
        <f t="shared" ref="Z520:Z774" si="515">P520-U520</f>
        <v>0</v>
      </c>
      <c r="AA520" s="54"/>
      <c r="AB520" s="68"/>
    </row>
    <row r="521" spans="1:45" ht="47.25" x14ac:dyDescent="0.25">
      <c r="A521" s="33" t="s">
        <v>46</v>
      </c>
      <c r="B521" s="42">
        <v>500</v>
      </c>
      <c r="C521" s="33" t="s">
        <v>124</v>
      </c>
      <c r="D521" s="33" t="s">
        <v>2883</v>
      </c>
      <c r="E521" s="32"/>
      <c r="F521" s="33" t="s">
        <v>2884</v>
      </c>
      <c r="G521" s="32"/>
      <c r="H521" s="32"/>
      <c r="I521" s="33" t="s">
        <v>2885</v>
      </c>
      <c r="J521" s="33" t="s">
        <v>43</v>
      </c>
      <c r="K521" s="33" t="s">
        <v>2886</v>
      </c>
      <c r="L521" s="48">
        <v>2224532404</v>
      </c>
      <c r="M521" s="32"/>
      <c r="N521" s="48">
        <v>15000000</v>
      </c>
      <c r="O521" s="43"/>
      <c r="P521" s="43"/>
      <c r="Q521" s="48">
        <f t="shared" si="397"/>
        <v>2239532404</v>
      </c>
      <c r="R521" s="48">
        <v>2224532404</v>
      </c>
      <c r="S521" s="33"/>
      <c r="T521" s="44">
        <v>15000000</v>
      </c>
      <c r="U521" s="33"/>
      <c r="V521" s="33"/>
      <c r="W521" s="52"/>
      <c r="X521" s="52">
        <f t="shared" ref="X521:Y521" si="516">M521-S521</f>
        <v>0</v>
      </c>
      <c r="Y521" s="52">
        <f t="shared" si="516"/>
        <v>0</v>
      </c>
      <c r="Z521" s="52">
        <f t="shared" si="515"/>
        <v>0</v>
      </c>
      <c r="AA521" s="54"/>
      <c r="AB521" s="68"/>
    </row>
    <row r="522" spans="1:45" ht="31.5" x14ac:dyDescent="0.25">
      <c r="A522" s="33" t="s">
        <v>46</v>
      </c>
      <c r="B522" s="42">
        <v>501</v>
      </c>
      <c r="C522" s="33" t="s">
        <v>124</v>
      </c>
      <c r="D522" s="33" t="s">
        <v>2887</v>
      </c>
      <c r="E522" s="32"/>
      <c r="F522" s="33" t="s">
        <v>2888</v>
      </c>
      <c r="G522" s="32"/>
      <c r="H522" s="32"/>
      <c r="I522" s="33" t="s">
        <v>2889</v>
      </c>
      <c r="J522" s="33" t="s">
        <v>43</v>
      </c>
      <c r="K522" s="33" t="s">
        <v>2890</v>
      </c>
      <c r="L522" s="48">
        <v>3356354008</v>
      </c>
      <c r="M522" s="32"/>
      <c r="N522" s="48">
        <v>15000000</v>
      </c>
      <c r="O522" s="43"/>
      <c r="P522" s="43"/>
      <c r="Q522" s="48">
        <f t="shared" si="397"/>
        <v>3371354008</v>
      </c>
      <c r="R522" s="48">
        <v>3356354008</v>
      </c>
      <c r="S522" s="33"/>
      <c r="T522" s="44">
        <v>15000000</v>
      </c>
      <c r="U522" s="33"/>
      <c r="V522" s="33"/>
      <c r="W522" s="52"/>
      <c r="X522" s="52">
        <f t="shared" ref="X522:Y522" si="517">M522-S522</f>
        <v>0</v>
      </c>
      <c r="Y522" s="52">
        <f t="shared" si="517"/>
        <v>0</v>
      </c>
      <c r="Z522" s="52">
        <f t="shared" si="515"/>
        <v>0</v>
      </c>
      <c r="AA522" s="54"/>
      <c r="AB522" s="68"/>
    </row>
    <row r="523" spans="1:45" ht="31.5" x14ac:dyDescent="0.25">
      <c r="A523" s="33" t="s">
        <v>88</v>
      </c>
      <c r="B523" s="42">
        <v>502</v>
      </c>
      <c r="C523" s="33" t="s">
        <v>124</v>
      </c>
      <c r="D523" s="33" t="s">
        <v>2891</v>
      </c>
      <c r="E523" s="33" t="s">
        <v>1821</v>
      </c>
      <c r="F523" s="33" t="s">
        <v>2892</v>
      </c>
      <c r="G523" s="33" t="s">
        <v>2893</v>
      </c>
      <c r="H523" s="32"/>
      <c r="I523" s="33" t="s">
        <v>2894</v>
      </c>
      <c r="J523" s="33" t="s">
        <v>43</v>
      </c>
      <c r="K523" s="33" t="s">
        <v>2895</v>
      </c>
      <c r="L523" s="48">
        <v>5266510920</v>
      </c>
      <c r="M523" s="48">
        <v>737485460</v>
      </c>
      <c r="N523" s="48">
        <v>7500000</v>
      </c>
      <c r="O523" s="43"/>
      <c r="P523" s="43"/>
      <c r="Q523" s="48">
        <f t="shared" si="397"/>
        <v>6011496380</v>
      </c>
      <c r="R523" s="48">
        <v>5266510920</v>
      </c>
      <c r="S523" s="48">
        <v>737485460</v>
      </c>
      <c r="T523" s="44">
        <v>7500000</v>
      </c>
      <c r="U523" s="33"/>
      <c r="V523" s="33"/>
      <c r="W523" s="52"/>
      <c r="X523" s="52">
        <f t="shared" ref="X523:Y523" si="518">M523-S523</f>
        <v>0</v>
      </c>
      <c r="Y523" s="52">
        <f t="shared" si="518"/>
        <v>0</v>
      </c>
      <c r="Z523" s="52">
        <f t="shared" si="515"/>
        <v>0</v>
      </c>
      <c r="AA523" s="54"/>
      <c r="AB523" s="68"/>
    </row>
    <row r="524" spans="1:45" ht="47.25" x14ac:dyDescent="0.25">
      <c r="A524" s="33" t="s">
        <v>35</v>
      </c>
      <c r="B524" s="42">
        <v>503</v>
      </c>
      <c r="C524" s="33" t="s">
        <v>124</v>
      </c>
      <c r="D524" s="33" t="s">
        <v>771</v>
      </c>
      <c r="E524" s="32"/>
      <c r="F524" s="33" t="s">
        <v>773</v>
      </c>
      <c r="G524" s="32"/>
      <c r="H524" s="32"/>
      <c r="I524" s="33" t="s">
        <v>775</v>
      </c>
      <c r="J524" s="33" t="s">
        <v>43</v>
      </c>
      <c r="K524" s="33" t="s">
        <v>776</v>
      </c>
      <c r="L524" s="48">
        <v>6096414328</v>
      </c>
      <c r="M524" s="32"/>
      <c r="N524" s="48">
        <v>15000000</v>
      </c>
      <c r="O524" s="33" t="s">
        <v>757</v>
      </c>
      <c r="P524" s="48">
        <v>48000000</v>
      </c>
      <c r="Q524" s="48">
        <f t="shared" si="397"/>
        <v>6159414328</v>
      </c>
      <c r="R524" s="33"/>
      <c r="S524" s="33"/>
      <c r="T524" s="66"/>
      <c r="U524" s="33"/>
      <c r="V524" s="33"/>
      <c r="W524" s="52">
        <v>6096414328</v>
      </c>
      <c r="X524" s="52">
        <f t="shared" ref="X524:Y524" si="519">M524-S524</f>
        <v>0</v>
      </c>
      <c r="Y524" s="52">
        <f t="shared" si="519"/>
        <v>15000000</v>
      </c>
      <c r="Z524" s="52">
        <f t="shared" si="515"/>
        <v>48000000</v>
      </c>
      <c r="AA524" s="69">
        <v>6096414328</v>
      </c>
      <c r="AB524" s="75"/>
    </row>
    <row r="525" spans="1:45" ht="31.5" x14ac:dyDescent="0.25">
      <c r="A525" s="33" t="s">
        <v>60</v>
      </c>
      <c r="B525" s="42">
        <v>504</v>
      </c>
      <c r="C525" s="33" t="s">
        <v>124</v>
      </c>
      <c r="D525" s="33" t="s">
        <v>2896</v>
      </c>
      <c r="E525" s="32"/>
      <c r="F525" s="33" t="s">
        <v>2897</v>
      </c>
      <c r="G525" s="32"/>
      <c r="H525" s="32"/>
      <c r="I525" s="33" t="s">
        <v>2898</v>
      </c>
      <c r="J525" s="33" t="s">
        <v>43</v>
      </c>
      <c r="K525" s="33" t="s">
        <v>2899</v>
      </c>
      <c r="L525" s="48">
        <v>754321600</v>
      </c>
      <c r="M525" s="32"/>
      <c r="N525" s="48">
        <v>15000000</v>
      </c>
      <c r="O525" s="43"/>
      <c r="P525" s="43"/>
      <c r="Q525" s="48">
        <f t="shared" si="397"/>
        <v>769321600</v>
      </c>
      <c r="R525" s="48">
        <v>754321600</v>
      </c>
      <c r="S525" s="33"/>
      <c r="T525" s="66"/>
      <c r="U525" s="33"/>
      <c r="V525" s="33"/>
      <c r="W525" s="52"/>
      <c r="X525" s="52">
        <f t="shared" ref="X525:Y525" si="520">M525-S525</f>
        <v>0</v>
      </c>
      <c r="Y525" s="52">
        <f t="shared" si="520"/>
        <v>15000000</v>
      </c>
      <c r="Z525" s="52">
        <f t="shared" si="515"/>
        <v>0</v>
      </c>
      <c r="AA525" s="54"/>
      <c r="AB525" s="68"/>
    </row>
    <row r="526" spans="1:45" ht="31.5" x14ac:dyDescent="0.25">
      <c r="A526" s="33" t="s">
        <v>88</v>
      </c>
      <c r="B526" s="42">
        <v>505</v>
      </c>
      <c r="C526" s="33" t="s">
        <v>124</v>
      </c>
      <c r="D526" s="33" t="s">
        <v>2900</v>
      </c>
      <c r="E526" s="32"/>
      <c r="F526" s="33" t="s">
        <v>2901</v>
      </c>
      <c r="G526" s="32"/>
      <c r="H526" s="32"/>
      <c r="I526" s="33" t="s">
        <v>2902</v>
      </c>
      <c r="J526" s="33" t="s">
        <v>43</v>
      </c>
      <c r="K526" s="33" t="s">
        <v>2903</v>
      </c>
      <c r="L526" s="48">
        <v>1084083840</v>
      </c>
      <c r="M526" s="32"/>
      <c r="N526" s="48">
        <v>7500000</v>
      </c>
      <c r="O526" s="43"/>
      <c r="P526" s="43"/>
      <c r="Q526" s="48">
        <f t="shared" si="397"/>
        <v>1091583840</v>
      </c>
      <c r="R526" s="48">
        <v>1084083840</v>
      </c>
      <c r="S526" s="33"/>
      <c r="T526" s="44">
        <v>7500000</v>
      </c>
      <c r="U526" s="33"/>
      <c r="V526" s="33"/>
      <c r="W526" s="52"/>
      <c r="X526" s="52">
        <f t="shared" ref="X526:Y526" si="521">M526-S526</f>
        <v>0</v>
      </c>
      <c r="Y526" s="52">
        <f t="shared" si="521"/>
        <v>0</v>
      </c>
      <c r="Z526" s="52">
        <f t="shared" si="515"/>
        <v>0</v>
      </c>
      <c r="AA526" s="54"/>
      <c r="AB526" s="68"/>
    </row>
    <row r="527" spans="1:45" ht="31.5" x14ac:dyDescent="0.25">
      <c r="A527" s="33" t="s">
        <v>46</v>
      </c>
      <c r="B527" s="42">
        <v>506</v>
      </c>
      <c r="C527" s="33" t="s">
        <v>124</v>
      </c>
      <c r="D527" s="33" t="s">
        <v>125</v>
      </c>
      <c r="E527" s="32"/>
      <c r="F527" s="33" t="s">
        <v>127</v>
      </c>
      <c r="G527" s="32"/>
      <c r="H527" s="32"/>
      <c r="I527" s="33" t="s">
        <v>128</v>
      </c>
      <c r="J527" s="33" t="s">
        <v>43</v>
      </c>
      <c r="K527" s="33" t="s">
        <v>129</v>
      </c>
      <c r="L527" s="48">
        <v>3890846788</v>
      </c>
      <c r="M527" s="32"/>
      <c r="N527" s="48">
        <v>15000000</v>
      </c>
      <c r="O527" s="43" t="s">
        <v>117</v>
      </c>
      <c r="P527" s="69">
        <v>24000000</v>
      </c>
      <c r="Q527" s="48">
        <f t="shared" si="397"/>
        <v>3929846788</v>
      </c>
      <c r="R527" s="48">
        <v>3890846788</v>
      </c>
      <c r="S527" s="33"/>
      <c r="T527" s="44">
        <v>15000000</v>
      </c>
      <c r="U527" s="48">
        <v>24000000</v>
      </c>
      <c r="V527" s="33"/>
      <c r="W527" s="52"/>
      <c r="X527" s="52">
        <f t="shared" ref="X527:Y527" si="522">M527-S527</f>
        <v>0</v>
      </c>
      <c r="Y527" s="52">
        <f t="shared" si="522"/>
        <v>0</v>
      </c>
      <c r="Z527" s="52">
        <f t="shared" si="515"/>
        <v>0</v>
      </c>
      <c r="AA527" s="54"/>
      <c r="AB527" s="68"/>
    </row>
    <row r="528" spans="1:45" ht="31.5" x14ac:dyDescent="0.25">
      <c r="A528" s="33" t="s">
        <v>46</v>
      </c>
      <c r="B528" s="42">
        <v>507</v>
      </c>
      <c r="C528" s="33" t="s">
        <v>124</v>
      </c>
      <c r="D528" s="33" t="s">
        <v>2904</v>
      </c>
      <c r="E528" s="32"/>
      <c r="F528" s="33" t="s">
        <v>2905</v>
      </c>
      <c r="G528" s="32"/>
      <c r="H528" s="32"/>
      <c r="I528" s="33" t="s">
        <v>2906</v>
      </c>
      <c r="J528" s="33" t="s">
        <v>43</v>
      </c>
      <c r="K528" s="33" t="s">
        <v>2907</v>
      </c>
      <c r="L528" s="48">
        <v>4157817700</v>
      </c>
      <c r="M528" s="32"/>
      <c r="N528" s="48">
        <v>15000000</v>
      </c>
      <c r="O528" s="43"/>
      <c r="P528" s="43"/>
      <c r="Q528" s="48">
        <f t="shared" si="397"/>
        <v>4172817700</v>
      </c>
      <c r="R528" s="48">
        <v>4157817700</v>
      </c>
      <c r="S528" s="33"/>
      <c r="T528" s="44">
        <v>15000000</v>
      </c>
      <c r="U528" s="33"/>
      <c r="V528" s="33"/>
      <c r="W528" s="52"/>
      <c r="X528" s="52">
        <f t="shared" ref="X528:Y528" si="523">M528-S528</f>
        <v>0</v>
      </c>
      <c r="Y528" s="52">
        <f t="shared" si="523"/>
        <v>0</v>
      </c>
      <c r="Z528" s="52">
        <f t="shared" si="515"/>
        <v>0</v>
      </c>
      <c r="AA528" s="54"/>
      <c r="AB528" s="68"/>
    </row>
    <row r="529" spans="1:28" ht="31.5" x14ac:dyDescent="0.25">
      <c r="A529" s="33" t="s">
        <v>60</v>
      </c>
      <c r="B529" s="42">
        <v>508</v>
      </c>
      <c r="C529" s="33" t="s">
        <v>124</v>
      </c>
      <c r="D529" s="33" t="s">
        <v>2908</v>
      </c>
      <c r="E529" s="32"/>
      <c r="F529" s="33" t="s">
        <v>2909</v>
      </c>
      <c r="G529" s="32"/>
      <c r="H529" s="32"/>
      <c r="I529" s="33" t="s">
        <v>2910</v>
      </c>
      <c r="J529" s="33" t="s">
        <v>43</v>
      </c>
      <c r="K529" s="33" t="s">
        <v>2911</v>
      </c>
      <c r="L529" s="48">
        <v>2456562500</v>
      </c>
      <c r="M529" s="32"/>
      <c r="N529" s="48">
        <v>15000000</v>
      </c>
      <c r="O529" s="43"/>
      <c r="P529" s="43"/>
      <c r="Q529" s="48">
        <f t="shared" si="397"/>
        <v>2471562500</v>
      </c>
      <c r="R529" s="48">
        <v>2456562500</v>
      </c>
      <c r="S529" s="33"/>
      <c r="T529" s="44">
        <v>15000000</v>
      </c>
      <c r="U529" s="33"/>
      <c r="V529" s="33"/>
      <c r="W529" s="52"/>
      <c r="X529" s="52">
        <f t="shared" ref="X529:Y529" si="524">M529-S529</f>
        <v>0</v>
      </c>
      <c r="Y529" s="52">
        <f t="shared" si="524"/>
        <v>0</v>
      </c>
      <c r="Z529" s="52">
        <f t="shared" si="515"/>
        <v>0</v>
      </c>
      <c r="AA529" s="54"/>
      <c r="AB529" s="68"/>
    </row>
    <row r="530" spans="1:28" ht="31.5" x14ac:dyDescent="0.25">
      <c r="A530" s="33" t="s">
        <v>60</v>
      </c>
      <c r="B530" s="42">
        <v>509</v>
      </c>
      <c r="C530" s="33" t="s">
        <v>124</v>
      </c>
      <c r="D530" s="33" t="s">
        <v>2912</v>
      </c>
      <c r="E530" s="32"/>
      <c r="F530" s="33" t="s">
        <v>2913</v>
      </c>
      <c r="G530" s="32"/>
      <c r="H530" s="32"/>
      <c r="I530" s="33" t="s">
        <v>2914</v>
      </c>
      <c r="J530" s="33" t="s">
        <v>43</v>
      </c>
      <c r="K530" s="33" t="s">
        <v>2915</v>
      </c>
      <c r="L530" s="48">
        <v>6601856928</v>
      </c>
      <c r="M530" s="32"/>
      <c r="N530" s="48">
        <v>7500000</v>
      </c>
      <c r="O530" s="43"/>
      <c r="P530" s="43"/>
      <c r="Q530" s="48">
        <f t="shared" si="397"/>
        <v>6609356928</v>
      </c>
      <c r="R530" s="48">
        <v>6601856928</v>
      </c>
      <c r="S530" s="33"/>
      <c r="T530" s="44">
        <v>7500000</v>
      </c>
      <c r="U530" s="33"/>
      <c r="V530" s="33"/>
      <c r="W530" s="52"/>
      <c r="X530" s="52">
        <f t="shared" ref="X530:Y530" si="525">M530-S530</f>
        <v>0</v>
      </c>
      <c r="Y530" s="52">
        <f t="shared" si="525"/>
        <v>0</v>
      </c>
      <c r="Z530" s="52">
        <f t="shared" si="515"/>
        <v>0</v>
      </c>
      <c r="AA530" s="54"/>
      <c r="AB530" s="68"/>
    </row>
    <row r="531" spans="1:28" ht="31.5" x14ac:dyDescent="0.25">
      <c r="A531" s="33" t="s">
        <v>35</v>
      </c>
      <c r="B531" s="42">
        <v>510</v>
      </c>
      <c r="C531" s="33" t="s">
        <v>124</v>
      </c>
      <c r="D531" s="33" t="s">
        <v>2916</v>
      </c>
      <c r="E531" s="33" t="s">
        <v>2917</v>
      </c>
      <c r="F531" s="33" t="s">
        <v>2918</v>
      </c>
      <c r="G531" s="33" t="s">
        <v>2919</v>
      </c>
      <c r="H531" s="33" t="s">
        <v>85</v>
      </c>
      <c r="I531" s="33" t="s">
        <v>2920</v>
      </c>
      <c r="J531" s="33" t="s">
        <v>43</v>
      </c>
      <c r="K531" s="33" t="s">
        <v>2921</v>
      </c>
      <c r="L531" s="42">
        <v>0</v>
      </c>
      <c r="M531" s="48">
        <v>14059528830</v>
      </c>
      <c r="N531" s="48">
        <v>3750000</v>
      </c>
      <c r="O531" s="43"/>
      <c r="P531" s="43"/>
      <c r="Q531" s="48">
        <f t="shared" si="397"/>
        <v>14063278830</v>
      </c>
      <c r="R531" s="42">
        <v>0</v>
      </c>
      <c r="S531" s="48">
        <v>14059528830</v>
      </c>
      <c r="T531" s="66"/>
      <c r="U531" s="33"/>
      <c r="V531" s="33"/>
      <c r="W531" s="52"/>
      <c r="X531" s="52">
        <f t="shared" ref="X531:Y531" si="526">M531-S531</f>
        <v>0</v>
      </c>
      <c r="Y531" s="52">
        <f t="shared" si="526"/>
        <v>3750000</v>
      </c>
      <c r="Z531" s="52">
        <f t="shared" si="515"/>
        <v>0</v>
      </c>
      <c r="AA531" s="54"/>
      <c r="AB531" s="68"/>
    </row>
    <row r="532" spans="1:28" ht="31.5" x14ac:dyDescent="0.25">
      <c r="A532" s="33" t="s">
        <v>46</v>
      </c>
      <c r="B532" s="42">
        <v>511</v>
      </c>
      <c r="C532" s="33" t="s">
        <v>124</v>
      </c>
      <c r="D532" s="33" t="s">
        <v>347</v>
      </c>
      <c r="E532" s="32"/>
      <c r="F532" s="33" t="s">
        <v>349</v>
      </c>
      <c r="G532" s="32"/>
      <c r="H532" s="32"/>
      <c r="I532" s="33" t="s">
        <v>350</v>
      </c>
      <c r="J532" s="33" t="s">
        <v>43</v>
      </c>
      <c r="K532" s="33" t="s">
        <v>351</v>
      </c>
      <c r="L532" s="48">
        <v>1160551680</v>
      </c>
      <c r="M532" s="32"/>
      <c r="N532" s="48">
        <v>15000000</v>
      </c>
      <c r="O532" s="43" t="s">
        <v>348</v>
      </c>
      <c r="P532" s="69">
        <v>24000000</v>
      </c>
      <c r="Q532" s="48">
        <f t="shared" si="397"/>
        <v>1199551680</v>
      </c>
      <c r="R532" s="48">
        <v>1160551680</v>
      </c>
      <c r="S532" s="33"/>
      <c r="T532" s="44">
        <v>15000000</v>
      </c>
      <c r="U532" s="48">
        <v>24000000</v>
      </c>
      <c r="V532" s="33"/>
      <c r="W532" s="52"/>
      <c r="X532" s="52">
        <f t="shared" ref="X532:Y532" si="527">M532-S532</f>
        <v>0</v>
      </c>
      <c r="Y532" s="52">
        <f t="shared" si="527"/>
        <v>0</v>
      </c>
      <c r="Z532" s="52">
        <f t="shared" si="515"/>
        <v>0</v>
      </c>
      <c r="AA532" s="54"/>
      <c r="AB532" s="68"/>
    </row>
    <row r="533" spans="1:28" ht="47.25" x14ac:dyDescent="0.25">
      <c r="A533" s="33" t="s">
        <v>46</v>
      </c>
      <c r="B533" s="42">
        <v>512</v>
      </c>
      <c r="C533" s="33" t="s">
        <v>124</v>
      </c>
      <c r="D533" s="33" t="s">
        <v>1319</v>
      </c>
      <c r="E533" s="32"/>
      <c r="F533" s="33" t="s">
        <v>1320</v>
      </c>
      <c r="G533" s="32"/>
      <c r="H533" s="32"/>
      <c r="I533" s="33" t="s">
        <v>1321</v>
      </c>
      <c r="J533" s="33" t="s">
        <v>43</v>
      </c>
      <c r="K533" s="33" t="s">
        <v>1322</v>
      </c>
      <c r="L533" s="48">
        <v>15083899760</v>
      </c>
      <c r="M533" s="32"/>
      <c r="N533" s="48">
        <v>15000000</v>
      </c>
      <c r="O533" s="33" t="s">
        <v>464</v>
      </c>
      <c r="P533" s="48">
        <v>60000000</v>
      </c>
      <c r="Q533" s="48">
        <f t="shared" si="397"/>
        <v>15158899760</v>
      </c>
      <c r="R533" s="48">
        <v>15083899760</v>
      </c>
      <c r="S533" s="33"/>
      <c r="T533" s="66"/>
      <c r="U533" s="33"/>
      <c r="V533" s="33"/>
      <c r="W533" s="52"/>
      <c r="X533" s="52">
        <f t="shared" ref="X533:Y533" si="528">M533-S533</f>
        <v>0</v>
      </c>
      <c r="Y533" s="52">
        <f t="shared" si="528"/>
        <v>15000000</v>
      </c>
      <c r="Z533" s="52">
        <f t="shared" si="515"/>
        <v>60000000</v>
      </c>
      <c r="AA533" s="54"/>
      <c r="AB533" s="75" t="s">
        <v>2803</v>
      </c>
    </row>
    <row r="534" spans="1:28" ht="31.5" x14ac:dyDescent="0.25">
      <c r="A534" s="33" t="s">
        <v>88</v>
      </c>
      <c r="B534" s="42">
        <v>513</v>
      </c>
      <c r="C534" s="33" t="s">
        <v>124</v>
      </c>
      <c r="D534" s="33" t="s">
        <v>2922</v>
      </c>
      <c r="E534" s="32"/>
      <c r="F534" s="33" t="s">
        <v>2923</v>
      </c>
      <c r="G534" s="32"/>
      <c r="H534" s="32"/>
      <c r="I534" s="33" t="s">
        <v>2924</v>
      </c>
      <c r="J534" s="33" t="s">
        <v>43</v>
      </c>
      <c r="K534" s="33" t="s">
        <v>2925</v>
      </c>
      <c r="L534" s="48">
        <v>8035637053</v>
      </c>
      <c r="M534" s="32"/>
      <c r="N534" s="48">
        <v>15000000</v>
      </c>
      <c r="O534" s="43"/>
      <c r="P534" s="43"/>
      <c r="Q534" s="48">
        <f t="shared" si="397"/>
        <v>8050637053</v>
      </c>
      <c r="R534" s="33"/>
      <c r="S534" s="33"/>
      <c r="T534" s="66"/>
      <c r="U534" s="33"/>
      <c r="V534" s="33"/>
      <c r="W534" s="52">
        <v>8035637053</v>
      </c>
      <c r="X534" s="52">
        <f t="shared" ref="X534:Y534" si="529">M534-S534</f>
        <v>0</v>
      </c>
      <c r="Y534" s="52">
        <f t="shared" si="529"/>
        <v>15000000</v>
      </c>
      <c r="Z534" s="52">
        <f t="shared" si="515"/>
        <v>0</v>
      </c>
      <c r="AA534" s="73">
        <v>8035637053</v>
      </c>
      <c r="AB534" s="68"/>
    </row>
    <row r="535" spans="1:28" ht="31.5" x14ac:dyDescent="0.25">
      <c r="A535" s="33" t="s">
        <v>60</v>
      </c>
      <c r="B535" s="42">
        <v>514</v>
      </c>
      <c r="C535" s="33" t="s">
        <v>124</v>
      </c>
      <c r="D535" s="33" t="s">
        <v>2927</v>
      </c>
      <c r="E535" s="32"/>
      <c r="F535" s="33" t="s">
        <v>2928</v>
      </c>
      <c r="G535" s="32"/>
      <c r="H535" s="32"/>
      <c r="I535" s="33" t="s">
        <v>2929</v>
      </c>
      <c r="J535" s="33" t="s">
        <v>43</v>
      </c>
      <c r="K535" s="33" t="s">
        <v>2911</v>
      </c>
      <c r="L535" s="48">
        <v>3779809872</v>
      </c>
      <c r="M535" s="32"/>
      <c r="N535" s="48">
        <v>15000000</v>
      </c>
      <c r="O535" s="43"/>
      <c r="P535" s="43"/>
      <c r="Q535" s="48">
        <f t="shared" si="397"/>
        <v>3794809872</v>
      </c>
      <c r="R535" s="48">
        <v>3779809872</v>
      </c>
      <c r="S535" s="33"/>
      <c r="T535" s="44">
        <v>15000000</v>
      </c>
      <c r="U535" s="33"/>
      <c r="V535" s="33"/>
      <c r="W535" s="52"/>
      <c r="X535" s="52">
        <f t="shared" ref="X535:Y535" si="530">M535-S535</f>
        <v>0</v>
      </c>
      <c r="Y535" s="52">
        <f t="shared" si="530"/>
        <v>0</v>
      </c>
      <c r="Z535" s="52">
        <f t="shared" si="515"/>
        <v>0</v>
      </c>
      <c r="AA535" s="54"/>
      <c r="AB535" s="68"/>
    </row>
    <row r="536" spans="1:28" ht="31.5" x14ac:dyDescent="0.25">
      <c r="A536" s="33" t="s">
        <v>52</v>
      </c>
      <c r="B536" s="42">
        <v>515</v>
      </c>
      <c r="C536" s="33" t="s">
        <v>124</v>
      </c>
      <c r="D536" s="33" t="s">
        <v>2930</v>
      </c>
      <c r="E536" s="33" t="s">
        <v>2931</v>
      </c>
      <c r="F536" s="33" t="s">
        <v>2932</v>
      </c>
      <c r="G536" s="33" t="s">
        <v>2933</v>
      </c>
      <c r="H536" s="32"/>
      <c r="I536" s="33" t="s">
        <v>2934</v>
      </c>
      <c r="J536" s="33" t="s">
        <v>43</v>
      </c>
      <c r="K536" s="33" t="s">
        <v>2935</v>
      </c>
      <c r="L536" s="48">
        <v>8381892826</v>
      </c>
      <c r="M536" s="48">
        <v>2048106900</v>
      </c>
      <c r="N536" s="48">
        <v>15000000</v>
      </c>
      <c r="O536" s="43"/>
      <c r="P536" s="43"/>
      <c r="Q536" s="48">
        <f t="shared" si="397"/>
        <v>10444999726</v>
      </c>
      <c r="R536" s="48">
        <v>8381892826</v>
      </c>
      <c r="S536" s="48">
        <v>2048106900</v>
      </c>
      <c r="T536" s="44">
        <v>15000000</v>
      </c>
      <c r="U536" s="33"/>
      <c r="V536" s="33"/>
      <c r="W536" s="52"/>
      <c r="X536" s="52">
        <f t="shared" ref="X536:Y536" si="531">M536-S536</f>
        <v>0</v>
      </c>
      <c r="Y536" s="52">
        <f t="shared" si="531"/>
        <v>0</v>
      </c>
      <c r="Z536" s="52">
        <f t="shared" si="515"/>
        <v>0</v>
      </c>
      <c r="AA536" s="54"/>
      <c r="AB536" s="68"/>
    </row>
    <row r="537" spans="1:28" ht="31.5" x14ac:dyDescent="0.25">
      <c r="A537" s="33" t="s">
        <v>52</v>
      </c>
      <c r="B537" s="42">
        <v>516</v>
      </c>
      <c r="C537" s="33" t="s">
        <v>124</v>
      </c>
      <c r="D537" s="33" t="s">
        <v>2936</v>
      </c>
      <c r="E537" s="32"/>
      <c r="F537" s="33" t="s">
        <v>2937</v>
      </c>
      <c r="G537" s="32"/>
      <c r="H537" s="32"/>
      <c r="I537" s="33" t="s">
        <v>2938</v>
      </c>
      <c r="J537" s="33" t="s">
        <v>43</v>
      </c>
      <c r="K537" s="33" t="s">
        <v>2939</v>
      </c>
      <c r="L537" s="48">
        <v>2219205004</v>
      </c>
      <c r="M537" s="32"/>
      <c r="N537" s="48">
        <v>7500000</v>
      </c>
      <c r="O537" s="43"/>
      <c r="P537" s="43"/>
      <c r="Q537" s="48">
        <f t="shared" si="397"/>
        <v>2226705004</v>
      </c>
      <c r="R537" s="48">
        <v>2219205004</v>
      </c>
      <c r="S537" s="33"/>
      <c r="T537" s="44">
        <v>7500000</v>
      </c>
      <c r="U537" s="33"/>
      <c r="V537" s="33"/>
      <c r="W537" s="52"/>
      <c r="X537" s="52">
        <f t="shared" ref="X537:Y537" si="532">M537-S537</f>
        <v>0</v>
      </c>
      <c r="Y537" s="52">
        <f t="shared" si="532"/>
        <v>0</v>
      </c>
      <c r="Z537" s="52">
        <f t="shared" si="515"/>
        <v>0</v>
      </c>
      <c r="AA537" s="54"/>
      <c r="AB537" s="68"/>
    </row>
    <row r="538" spans="1:28" ht="31.5" x14ac:dyDescent="0.25">
      <c r="A538" s="33" t="s">
        <v>46</v>
      </c>
      <c r="B538" s="42">
        <v>517</v>
      </c>
      <c r="C538" s="33" t="s">
        <v>124</v>
      </c>
      <c r="D538" s="33" t="s">
        <v>2940</v>
      </c>
      <c r="E538" s="33" t="s">
        <v>2941</v>
      </c>
      <c r="F538" s="33" t="s">
        <v>2942</v>
      </c>
      <c r="G538" s="33" t="s">
        <v>2943</v>
      </c>
      <c r="H538" s="32"/>
      <c r="I538" s="33" t="s">
        <v>2944</v>
      </c>
      <c r="J538" s="33" t="s">
        <v>43</v>
      </c>
      <c r="K538" s="33" t="s">
        <v>2945</v>
      </c>
      <c r="L538" s="48">
        <v>2003285520</v>
      </c>
      <c r="M538" s="48">
        <v>13015264</v>
      </c>
      <c r="N538" s="48">
        <v>7500000</v>
      </c>
      <c r="O538" s="43"/>
      <c r="P538" s="43"/>
      <c r="Q538" s="48">
        <f t="shared" si="397"/>
        <v>2023800784</v>
      </c>
      <c r="R538" s="48">
        <v>2003285520</v>
      </c>
      <c r="S538" s="33"/>
      <c r="T538" s="44">
        <v>7500000</v>
      </c>
      <c r="U538" s="33"/>
      <c r="V538" s="33"/>
      <c r="W538" s="52"/>
      <c r="X538" s="52">
        <f t="shared" ref="X538:Y538" si="533">M538-S538</f>
        <v>13015264</v>
      </c>
      <c r="Y538" s="52">
        <f t="shared" si="533"/>
        <v>0</v>
      </c>
      <c r="Z538" s="52">
        <f t="shared" si="515"/>
        <v>0</v>
      </c>
      <c r="AA538" s="54"/>
      <c r="AB538" s="68"/>
    </row>
    <row r="539" spans="1:28" ht="31.5" x14ac:dyDescent="0.25">
      <c r="A539" s="33" t="s">
        <v>35</v>
      </c>
      <c r="B539" s="42">
        <v>518</v>
      </c>
      <c r="C539" s="33" t="s">
        <v>124</v>
      </c>
      <c r="D539" s="33" t="s">
        <v>398</v>
      </c>
      <c r="E539" s="32"/>
      <c r="F539" s="33" t="s">
        <v>399</v>
      </c>
      <c r="G539" s="32"/>
      <c r="H539" s="32"/>
      <c r="I539" s="33" t="s">
        <v>400</v>
      </c>
      <c r="J539" s="33" t="s">
        <v>43</v>
      </c>
      <c r="K539" s="33" t="s">
        <v>401</v>
      </c>
      <c r="L539" s="48">
        <v>6145577620</v>
      </c>
      <c r="M539" s="32"/>
      <c r="N539" s="48">
        <v>15000000</v>
      </c>
      <c r="O539" s="43" t="s">
        <v>388</v>
      </c>
      <c r="P539" s="69">
        <v>38666675</v>
      </c>
      <c r="Q539" s="48">
        <f t="shared" si="397"/>
        <v>6199244295</v>
      </c>
      <c r="R539" s="48">
        <v>6145577620</v>
      </c>
      <c r="S539" s="33"/>
      <c r="T539" s="44">
        <v>15000000</v>
      </c>
      <c r="U539" s="48">
        <v>38666675</v>
      </c>
      <c r="V539" s="33"/>
      <c r="W539" s="52"/>
      <c r="X539" s="52">
        <f t="shared" ref="X539:Y539" si="534">M539-S539</f>
        <v>0</v>
      </c>
      <c r="Y539" s="52">
        <f t="shared" si="534"/>
        <v>0</v>
      </c>
      <c r="Z539" s="52">
        <f t="shared" si="515"/>
        <v>0</v>
      </c>
      <c r="AA539" s="54"/>
      <c r="AB539" s="68"/>
    </row>
    <row r="540" spans="1:28" ht="31.5" x14ac:dyDescent="0.25">
      <c r="A540" s="33" t="s">
        <v>88</v>
      </c>
      <c r="B540" s="42">
        <v>519</v>
      </c>
      <c r="C540" s="33" t="s">
        <v>124</v>
      </c>
      <c r="D540" s="33" t="s">
        <v>2946</v>
      </c>
      <c r="E540" s="32"/>
      <c r="F540" s="33" t="s">
        <v>2947</v>
      </c>
      <c r="G540" s="32"/>
      <c r="H540" s="32"/>
      <c r="I540" s="33" t="s">
        <v>2948</v>
      </c>
      <c r="J540" s="33" t="s">
        <v>43</v>
      </c>
      <c r="K540" s="33" t="s">
        <v>2949</v>
      </c>
      <c r="L540" s="48">
        <v>3246566830</v>
      </c>
      <c r="M540" s="32"/>
      <c r="N540" s="48">
        <v>15000000</v>
      </c>
      <c r="O540" s="43"/>
      <c r="P540" s="43"/>
      <c r="Q540" s="48">
        <f t="shared" si="397"/>
        <v>3261566830</v>
      </c>
      <c r="R540" s="52">
        <v>3246566830</v>
      </c>
      <c r="S540" s="33"/>
      <c r="T540" s="44">
        <v>15000000</v>
      </c>
      <c r="U540" s="33"/>
      <c r="V540" s="33"/>
      <c r="W540" s="52"/>
      <c r="X540" s="52">
        <f t="shared" ref="X540:Y540" si="535">M540-S540</f>
        <v>0</v>
      </c>
      <c r="Y540" s="52">
        <f t="shared" si="535"/>
        <v>0</v>
      </c>
      <c r="Z540" s="52">
        <f t="shared" si="515"/>
        <v>0</v>
      </c>
      <c r="AA540" s="54"/>
      <c r="AB540" s="68"/>
    </row>
    <row r="541" spans="1:28" ht="31.5" x14ac:dyDescent="0.25">
      <c r="A541" s="33" t="s">
        <v>60</v>
      </c>
      <c r="B541" s="42">
        <v>520</v>
      </c>
      <c r="C541" s="33" t="s">
        <v>124</v>
      </c>
      <c r="D541" s="33" t="s">
        <v>2950</v>
      </c>
      <c r="E541" s="32"/>
      <c r="F541" s="33" t="s">
        <v>2951</v>
      </c>
      <c r="G541" s="32"/>
      <c r="H541" s="32"/>
      <c r="I541" s="33" t="s">
        <v>2952</v>
      </c>
      <c r="J541" s="33" t="s">
        <v>43</v>
      </c>
      <c r="K541" s="33" t="s">
        <v>2953</v>
      </c>
      <c r="L541" s="48">
        <v>223729420</v>
      </c>
      <c r="M541" s="32"/>
      <c r="N541" s="48">
        <v>7500000</v>
      </c>
      <c r="O541" s="43"/>
      <c r="P541" s="43"/>
      <c r="Q541" s="48">
        <f t="shared" si="397"/>
        <v>231229420</v>
      </c>
      <c r="R541" s="79">
        <v>223729420</v>
      </c>
      <c r="S541" s="33"/>
      <c r="T541" s="44">
        <v>7500000</v>
      </c>
      <c r="U541" s="33"/>
      <c r="V541" s="33"/>
      <c r="W541" s="52"/>
      <c r="X541" s="52">
        <f t="shared" ref="X541:Y541" si="536">M541-S541</f>
        <v>0</v>
      </c>
      <c r="Y541" s="52">
        <f t="shared" si="536"/>
        <v>0</v>
      </c>
      <c r="Z541" s="52">
        <f t="shared" si="515"/>
        <v>0</v>
      </c>
      <c r="AA541" s="54"/>
      <c r="AB541" s="68"/>
    </row>
    <row r="542" spans="1:28" ht="31.5" x14ac:dyDescent="0.25">
      <c r="A542" s="33" t="s">
        <v>60</v>
      </c>
      <c r="B542" s="42">
        <v>521</v>
      </c>
      <c r="C542" s="33" t="s">
        <v>124</v>
      </c>
      <c r="D542" s="33" t="s">
        <v>2954</v>
      </c>
      <c r="E542" s="32"/>
      <c r="F542" s="33" t="s">
        <v>2955</v>
      </c>
      <c r="G542" s="32"/>
      <c r="H542" s="32"/>
      <c r="I542" s="33" t="s">
        <v>2956</v>
      </c>
      <c r="J542" s="33" t="s">
        <v>43</v>
      </c>
      <c r="K542" s="33" t="s">
        <v>2957</v>
      </c>
      <c r="L542" s="48">
        <v>1285007664</v>
      </c>
      <c r="M542" s="32"/>
      <c r="N542" s="48">
        <v>7500000</v>
      </c>
      <c r="O542" s="43"/>
      <c r="P542" s="43"/>
      <c r="Q542" s="48">
        <f t="shared" si="397"/>
        <v>1292507664</v>
      </c>
      <c r="R542" s="48">
        <v>1285007664</v>
      </c>
      <c r="S542" s="33"/>
      <c r="T542" s="44">
        <v>7500000</v>
      </c>
      <c r="U542" s="33"/>
      <c r="V542" s="33"/>
      <c r="W542" s="52"/>
      <c r="X542" s="52">
        <f t="shared" ref="X542:Y542" si="537">M542-S542</f>
        <v>0</v>
      </c>
      <c r="Y542" s="52">
        <f t="shared" si="537"/>
        <v>0</v>
      </c>
      <c r="Z542" s="52">
        <f t="shared" si="515"/>
        <v>0</v>
      </c>
      <c r="AA542" s="54"/>
      <c r="AB542" s="68"/>
    </row>
    <row r="543" spans="1:28" ht="31.5" x14ac:dyDescent="0.25">
      <c r="A543" s="33" t="s">
        <v>88</v>
      </c>
      <c r="B543" s="42">
        <v>522</v>
      </c>
      <c r="C543" s="33" t="s">
        <v>124</v>
      </c>
      <c r="D543" s="33" t="s">
        <v>2958</v>
      </c>
      <c r="E543" s="32"/>
      <c r="F543" s="33" t="s">
        <v>2959</v>
      </c>
      <c r="G543" s="32"/>
      <c r="H543" s="32"/>
      <c r="I543" s="33" t="s">
        <v>1692</v>
      </c>
      <c r="J543" s="33" t="s">
        <v>43</v>
      </c>
      <c r="K543" s="33" t="s">
        <v>2960</v>
      </c>
      <c r="L543" s="48">
        <v>5627434044</v>
      </c>
      <c r="M543" s="32"/>
      <c r="N543" s="48">
        <v>7500000</v>
      </c>
      <c r="O543" s="43"/>
      <c r="P543" s="43"/>
      <c r="Q543" s="48">
        <f t="shared" si="397"/>
        <v>5634934044</v>
      </c>
      <c r="R543" s="52">
        <v>5627434044</v>
      </c>
      <c r="S543" s="33"/>
      <c r="T543" s="44">
        <v>7500000</v>
      </c>
      <c r="U543" s="33"/>
      <c r="V543" s="33"/>
      <c r="W543" s="52"/>
      <c r="X543" s="52">
        <f t="shared" ref="X543:Y543" si="538">M543-S543</f>
        <v>0</v>
      </c>
      <c r="Y543" s="52">
        <f t="shared" si="538"/>
        <v>0</v>
      </c>
      <c r="Z543" s="52">
        <f t="shared" si="515"/>
        <v>0</v>
      </c>
      <c r="AA543" s="54"/>
      <c r="AB543" s="68"/>
    </row>
    <row r="544" spans="1:28" ht="31.5" x14ac:dyDescent="0.25">
      <c r="A544" s="33" t="s">
        <v>60</v>
      </c>
      <c r="B544" s="42">
        <v>523</v>
      </c>
      <c r="C544" s="33" t="s">
        <v>124</v>
      </c>
      <c r="D544" s="33" t="s">
        <v>2961</v>
      </c>
      <c r="E544" s="32"/>
      <c r="F544" s="33" t="s">
        <v>2962</v>
      </c>
      <c r="G544" s="32"/>
      <c r="H544" s="32"/>
      <c r="I544" s="33" t="s">
        <v>2963</v>
      </c>
      <c r="J544" s="33" t="s">
        <v>43</v>
      </c>
      <c r="K544" s="33" t="s">
        <v>2964</v>
      </c>
      <c r="L544" s="48">
        <v>538201300</v>
      </c>
      <c r="M544" s="32"/>
      <c r="N544" s="48">
        <v>7500000</v>
      </c>
      <c r="O544" s="43"/>
      <c r="P544" s="43"/>
      <c r="Q544" s="48">
        <f t="shared" si="397"/>
        <v>545701300</v>
      </c>
      <c r="R544" s="48">
        <v>538201300</v>
      </c>
      <c r="S544" s="33"/>
      <c r="T544" s="44">
        <v>7500000</v>
      </c>
      <c r="U544" s="33"/>
      <c r="V544" s="33"/>
      <c r="W544" s="52"/>
      <c r="X544" s="52">
        <f t="shared" ref="X544:Y544" si="539">M544-S544</f>
        <v>0</v>
      </c>
      <c r="Y544" s="52">
        <f t="shared" si="539"/>
        <v>0</v>
      </c>
      <c r="Z544" s="52">
        <f t="shared" si="515"/>
        <v>0</v>
      </c>
      <c r="AA544" s="54"/>
      <c r="AB544" s="68"/>
    </row>
    <row r="545" spans="1:28" ht="31.5" x14ac:dyDescent="0.25">
      <c r="A545" s="33" t="s">
        <v>46</v>
      </c>
      <c r="B545" s="42">
        <v>524</v>
      </c>
      <c r="C545" s="33" t="s">
        <v>124</v>
      </c>
      <c r="D545" s="33" t="s">
        <v>2966</v>
      </c>
      <c r="E545" s="32"/>
      <c r="F545" s="33" t="s">
        <v>2967</v>
      </c>
      <c r="G545" s="32"/>
      <c r="H545" s="32"/>
      <c r="I545" s="33" t="s">
        <v>2968</v>
      </c>
      <c r="J545" s="33" t="s">
        <v>43</v>
      </c>
      <c r="K545" s="33" t="s">
        <v>2969</v>
      </c>
      <c r="L545" s="48">
        <v>10000000</v>
      </c>
      <c r="M545" s="32"/>
      <c r="N545" s="48">
        <v>15000000</v>
      </c>
      <c r="O545" s="43"/>
      <c r="P545" s="43"/>
      <c r="Q545" s="48">
        <f t="shared" si="397"/>
        <v>25000000</v>
      </c>
      <c r="R545" s="33"/>
      <c r="S545" s="33"/>
      <c r="T545" s="66"/>
      <c r="U545" s="33"/>
      <c r="V545" s="33"/>
      <c r="W545" s="52">
        <v>10000000</v>
      </c>
      <c r="X545" s="52">
        <f t="shared" ref="X545:Y545" si="540">M545-S545</f>
        <v>0</v>
      </c>
      <c r="Y545" s="52">
        <f t="shared" si="540"/>
        <v>15000000</v>
      </c>
      <c r="Z545" s="52">
        <f t="shared" si="515"/>
        <v>0</v>
      </c>
      <c r="AA545" s="69">
        <v>10000000</v>
      </c>
      <c r="AB545" s="68"/>
    </row>
    <row r="546" spans="1:28" ht="31.5" x14ac:dyDescent="0.25">
      <c r="A546" s="33" t="s">
        <v>52</v>
      </c>
      <c r="B546" s="42">
        <v>525</v>
      </c>
      <c r="C546" s="33" t="s">
        <v>124</v>
      </c>
      <c r="D546" s="33" t="s">
        <v>2970</v>
      </c>
      <c r="E546" s="32"/>
      <c r="F546" s="33" t="s">
        <v>2971</v>
      </c>
      <c r="G546" s="32"/>
      <c r="H546" s="32"/>
      <c r="I546" s="33" t="s">
        <v>2973</v>
      </c>
      <c r="J546" s="33" t="s">
        <v>43</v>
      </c>
      <c r="K546" s="33" t="s">
        <v>2974</v>
      </c>
      <c r="L546" s="48">
        <v>4378292398</v>
      </c>
      <c r="M546" s="32"/>
      <c r="N546" s="48">
        <v>15000000</v>
      </c>
      <c r="O546" s="43"/>
      <c r="P546" s="43"/>
      <c r="Q546" s="48">
        <f t="shared" si="397"/>
        <v>4393292398</v>
      </c>
      <c r="R546" s="48">
        <v>4378292398</v>
      </c>
      <c r="S546" s="33"/>
      <c r="T546" s="44">
        <v>15000000</v>
      </c>
      <c r="U546" s="33"/>
      <c r="V546" s="33"/>
      <c r="W546" s="52"/>
      <c r="X546" s="52">
        <f t="shared" ref="X546:Y546" si="541">M546-S546</f>
        <v>0</v>
      </c>
      <c r="Y546" s="52">
        <f t="shared" si="541"/>
        <v>0</v>
      </c>
      <c r="Z546" s="52">
        <f t="shared" si="515"/>
        <v>0</v>
      </c>
      <c r="AA546" s="54"/>
      <c r="AB546" s="68"/>
    </row>
    <row r="547" spans="1:28" ht="31.5" x14ac:dyDescent="0.25">
      <c r="A547" s="33" t="s">
        <v>52</v>
      </c>
      <c r="B547" s="42">
        <v>526</v>
      </c>
      <c r="C547" s="33" t="s">
        <v>124</v>
      </c>
      <c r="D547" s="33" t="s">
        <v>2975</v>
      </c>
      <c r="E547" s="33" t="s">
        <v>2976</v>
      </c>
      <c r="F547" s="33" t="s">
        <v>2977</v>
      </c>
      <c r="G547" s="33" t="s">
        <v>2978</v>
      </c>
      <c r="H547" s="32"/>
      <c r="I547" s="33" t="s">
        <v>2979</v>
      </c>
      <c r="J547" s="33" t="s">
        <v>43</v>
      </c>
      <c r="K547" s="33" t="s">
        <v>2980</v>
      </c>
      <c r="L547" s="48">
        <v>2656684480</v>
      </c>
      <c r="M547" s="48">
        <v>485244740</v>
      </c>
      <c r="N547" s="48">
        <v>15000000</v>
      </c>
      <c r="O547" s="43"/>
      <c r="P547" s="43"/>
      <c r="Q547" s="48">
        <f t="shared" si="397"/>
        <v>3156929220</v>
      </c>
      <c r="R547" s="48">
        <v>2656684480</v>
      </c>
      <c r="S547" s="48">
        <v>485244740</v>
      </c>
      <c r="T547" s="44">
        <v>15000000</v>
      </c>
      <c r="U547" s="33"/>
      <c r="V547" s="33"/>
      <c r="W547" s="52"/>
      <c r="X547" s="52">
        <f t="shared" ref="X547:Y547" si="542">M547-S547</f>
        <v>0</v>
      </c>
      <c r="Y547" s="52">
        <f t="shared" si="542"/>
        <v>0</v>
      </c>
      <c r="Z547" s="52">
        <f t="shared" si="515"/>
        <v>0</v>
      </c>
      <c r="AA547" s="54"/>
      <c r="AB547" s="68"/>
    </row>
    <row r="548" spans="1:28" ht="31.5" x14ac:dyDescent="0.25">
      <c r="A548" s="33" t="s">
        <v>52</v>
      </c>
      <c r="B548" s="42">
        <v>527</v>
      </c>
      <c r="C548" s="33" t="s">
        <v>124</v>
      </c>
      <c r="D548" s="33" t="s">
        <v>2981</v>
      </c>
      <c r="E548" s="32"/>
      <c r="F548" s="33" t="s">
        <v>2982</v>
      </c>
      <c r="G548" s="32"/>
      <c r="H548" s="32"/>
      <c r="I548" s="33" t="s">
        <v>2983</v>
      </c>
      <c r="J548" s="33" t="s">
        <v>43</v>
      </c>
      <c r="K548" s="33" t="s">
        <v>2984</v>
      </c>
      <c r="L548" s="48">
        <v>4868496144</v>
      </c>
      <c r="M548" s="32"/>
      <c r="N548" s="48">
        <v>15000000</v>
      </c>
      <c r="O548" s="43"/>
      <c r="P548" s="43"/>
      <c r="Q548" s="48">
        <f t="shared" si="397"/>
        <v>4883496144</v>
      </c>
      <c r="R548" s="48">
        <v>4868496144</v>
      </c>
      <c r="S548" s="33"/>
      <c r="T548" s="44">
        <v>15000000</v>
      </c>
      <c r="U548" s="33"/>
      <c r="V548" s="33"/>
      <c r="W548" s="52"/>
      <c r="X548" s="52">
        <f t="shared" ref="X548:Y548" si="543">M548-S548</f>
        <v>0</v>
      </c>
      <c r="Y548" s="52">
        <f t="shared" si="543"/>
        <v>0</v>
      </c>
      <c r="Z548" s="52">
        <f t="shared" si="515"/>
        <v>0</v>
      </c>
      <c r="AA548" s="54"/>
      <c r="AB548" s="68"/>
    </row>
    <row r="549" spans="1:28" ht="31.5" x14ac:dyDescent="0.25">
      <c r="A549" s="33" t="s">
        <v>35</v>
      </c>
      <c r="B549" s="42">
        <v>528</v>
      </c>
      <c r="C549" s="33" t="s">
        <v>124</v>
      </c>
      <c r="D549" s="33" t="s">
        <v>954</v>
      </c>
      <c r="E549" s="54"/>
      <c r="F549" s="33" t="s">
        <v>955</v>
      </c>
      <c r="G549" s="32"/>
      <c r="H549" s="32"/>
      <c r="I549" s="33" t="s">
        <v>956</v>
      </c>
      <c r="J549" s="33" t="s">
        <v>43</v>
      </c>
      <c r="K549" s="33" t="s">
        <v>957</v>
      </c>
      <c r="L549" s="48">
        <v>4199771950</v>
      </c>
      <c r="M549" s="32"/>
      <c r="N549" s="48">
        <v>15000000</v>
      </c>
      <c r="O549" s="43" t="s">
        <v>872</v>
      </c>
      <c r="P549" s="69">
        <v>144000000</v>
      </c>
      <c r="Q549" s="48">
        <f t="shared" si="397"/>
        <v>4358771950</v>
      </c>
      <c r="R549" s="48">
        <v>4199771950</v>
      </c>
      <c r="S549" s="33"/>
      <c r="T549" s="44">
        <v>15000000</v>
      </c>
      <c r="U549" s="48">
        <v>144000000</v>
      </c>
      <c r="V549" s="33"/>
      <c r="W549" s="52"/>
      <c r="X549" s="52">
        <f t="shared" ref="X549:Y549" si="544">M549-S549</f>
        <v>0</v>
      </c>
      <c r="Y549" s="52">
        <f t="shared" si="544"/>
        <v>0</v>
      </c>
      <c r="Z549" s="52">
        <f t="shared" si="515"/>
        <v>0</v>
      </c>
      <c r="AA549" s="54"/>
      <c r="AB549" s="68"/>
    </row>
    <row r="550" spans="1:28" ht="31.5" x14ac:dyDescent="0.25">
      <c r="A550" s="33" t="s">
        <v>88</v>
      </c>
      <c r="B550" s="42">
        <v>529</v>
      </c>
      <c r="C550" s="33" t="s">
        <v>124</v>
      </c>
      <c r="D550" s="33" t="s">
        <v>2985</v>
      </c>
      <c r="E550" s="54"/>
      <c r="F550" s="33" t="s">
        <v>2986</v>
      </c>
      <c r="G550" s="32"/>
      <c r="H550" s="32"/>
      <c r="I550" s="33" t="s">
        <v>2987</v>
      </c>
      <c r="J550" s="33" t="s">
        <v>43</v>
      </c>
      <c r="K550" s="33" t="s">
        <v>2988</v>
      </c>
      <c r="L550" s="48">
        <v>4858859695</v>
      </c>
      <c r="M550" s="32"/>
      <c r="N550" s="48">
        <v>15000000</v>
      </c>
      <c r="O550" s="43"/>
      <c r="P550" s="43"/>
      <c r="Q550" s="48">
        <f t="shared" si="397"/>
        <v>4873859695</v>
      </c>
      <c r="R550" s="52">
        <v>4858859695</v>
      </c>
      <c r="S550" s="33"/>
      <c r="T550" s="44">
        <v>15000000</v>
      </c>
      <c r="U550" s="33"/>
      <c r="V550" s="33"/>
      <c r="W550" s="52"/>
      <c r="X550" s="52">
        <f t="shared" ref="X550:Y550" si="545">M550-S550</f>
        <v>0</v>
      </c>
      <c r="Y550" s="52">
        <f t="shared" si="545"/>
        <v>0</v>
      </c>
      <c r="Z550" s="52">
        <f t="shared" si="515"/>
        <v>0</v>
      </c>
      <c r="AA550" s="54"/>
      <c r="AB550" s="68"/>
    </row>
    <row r="551" spans="1:28" ht="31.5" x14ac:dyDescent="0.25">
      <c r="A551" s="33" t="s">
        <v>35</v>
      </c>
      <c r="B551" s="42">
        <v>530</v>
      </c>
      <c r="C551" s="33" t="s">
        <v>124</v>
      </c>
      <c r="D551" s="33" t="s">
        <v>959</v>
      </c>
      <c r="E551" s="54"/>
      <c r="F551" s="33" t="s">
        <v>961</v>
      </c>
      <c r="G551" s="32"/>
      <c r="H551" s="32"/>
      <c r="I551" s="33" t="s">
        <v>963</v>
      </c>
      <c r="J551" s="33" t="s">
        <v>43</v>
      </c>
      <c r="K551" s="33" t="s">
        <v>964</v>
      </c>
      <c r="L551" s="48">
        <v>4879415244</v>
      </c>
      <c r="M551" s="32"/>
      <c r="N551" s="48">
        <v>15000000</v>
      </c>
      <c r="O551" s="43" t="s">
        <v>872</v>
      </c>
      <c r="P551" s="69">
        <v>72000000</v>
      </c>
      <c r="Q551" s="48">
        <f t="shared" si="397"/>
        <v>4966415244</v>
      </c>
      <c r="R551" s="48">
        <v>4879415244</v>
      </c>
      <c r="S551" s="33"/>
      <c r="T551" s="44">
        <v>15000000</v>
      </c>
      <c r="U551" s="48">
        <v>72000000</v>
      </c>
      <c r="V551" s="33"/>
      <c r="W551" s="52"/>
      <c r="X551" s="52">
        <f t="shared" ref="X551:Y551" si="546">M551-S551</f>
        <v>0</v>
      </c>
      <c r="Y551" s="52">
        <f t="shared" si="546"/>
        <v>0</v>
      </c>
      <c r="Z551" s="52">
        <f t="shared" si="515"/>
        <v>0</v>
      </c>
      <c r="AA551" s="54"/>
      <c r="AB551" s="68"/>
    </row>
    <row r="552" spans="1:28" ht="31.5" x14ac:dyDescent="0.25">
      <c r="A552" s="33" t="s">
        <v>52</v>
      </c>
      <c r="B552" s="42">
        <v>531</v>
      </c>
      <c r="C552" s="33" t="s">
        <v>124</v>
      </c>
      <c r="D552" s="33" t="s">
        <v>2989</v>
      </c>
      <c r="E552" s="32"/>
      <c r="F552" s="33" t="s">
        <v>2990</v>
      </c>
      <c r="G552" s="32"/>
      <c r="H552" s="32"/>
      <c r="I552" s="33" t="s">
        <v>2991</v>
      </c>
      <c r="J552" s="33" t="s">
        <v>43</v>
      </c>
      <c r="K552" s="33" t="s">
        <v>2992</v>
      </c>
      <c r="L552" s="48">
        <v>31202908807</v>
      </c>
      <c r="M552" s="32"/>
      <c r="N552" s="48">
        <v>15000000</v>
      </c>
      <c r="O552" s="43"/>
      <c r="P552" s="43"/>
      <c r="Q552" s="48">
        <f t="shared" si="397"/>
        <v>31217908807</v>
      </c>
      <c r="R552" s="48">
        <v>31202908807</v>
      </c>
      <c r="S552" s="33"/>
      <c r="T552" s="44">
        <v>15000000</v>
      </c>
      <c r="U552" s="33"/>
      <c r="V552" s="33"/>
      <c r="W552" s="52"/>
      <c r="X552" s="52">
        <f t="shared" ref="X552:Y552" si="547">M552-S552</f>
        <v>0</v>
      </c>
      <c r="Y552" s="52">
        <f t="shared" si="547"/>
        <v>0</v>
      </c>
      <c r="Z552" s="52">
        <f t="shared" si="515"/>
        <v>0</v>
      </c>
      <c r="AA552" s="54"/>
      <c r="AB552" s="68"/>
    </row>
    <row r="553" spans="1:28" ht="31.5" x14ac:dyDescent="0.25">
      <c r="A553" s="33" t="s">
        <v>52</v>
      </c>
      <c r="B553" s="42">
        <v>532</v>
      </c>
      <c r="C553" s="33" t="s">
        <v>966</v>
      </c>
      <c r="D553" s="33" t="s">
        <v>2993</v>
      </c>
      <c r="E553" s="32"/>
      <c r="F553" s="33" t="s">
        <v>2994</v>
      </c>
      <c r="G553" s="32"/>
      <c r="H553" s="33" t="s">
        <v>969</v>
      </c>
      <c r="I553" s="33" t="s">
        <v>2995</v>
      </c>
      <c r="J553" s="33" t="s">
        <v>43</v>
      </c>
      <c r="K553" s="33" t="s">
        <v>2996</v>
      </c>
      <c r="L553" s="65">
        <v>8812588488</v>
      </c>
      <c r="M553" s="32"/>
      <c r="N553" s="65">
        <v>15000000</v>
      </c>
      <c r="O553" s="43"/>
      <c r="P553" s="43"/>
      <c r="Q553" s="48">
        <f t="shared" si="397"/>
        <v>8827588488</v>
      </c>
      <c r="R553" s="48">
        <v>8812588488</v>
      </c>
      <c r="S553" s="33"/>
      <c r="T553" s="44">
        <v>15000000</v>
      </c>
      <c r="U553" s="33"/>
      <c r="V553" s="33"/>
      <c r="W553" s="52"/>
      <c r="X553" s="52">
        <f t="shared" ref="X553:Y553" si="548">M553-S553</f>
        <v>0</v>
      </c>
      <c r="Y553" s="52">
        <f t="shared" si="548"/>
        <v>0</v>
      </c>
      <c r="Z553" s="52">
        <f t="shared" si="515"/>
        <v>0</v>
      </c>
      <c r="AA553" s="54"/>
      <c r="AB553" s="68"/>
    </row>
    <row r="554" spans="1:28" ht="31.5" x14ac:dyDescent="0.25">
      <c r="A554" s="33" t="s">
        <v>88</v>
      </c>
      <c r="B554" s="42">
        <v>533</v>
      </c>
      <c r="C554" s="33" t="s">
        <v>966</v>
      </c>
      <c r="D554" s="33" t="s">
        <v>2997</v>
      </c>
      <c r="E554" s="32"/>
      <c r="F554" s="33" t="s">
        <v>2998</v>
      </c>
      <c r="G554" s="32"/>
      <c r="H554" s="33" t="s">
        <v>969</v>
      </c>
      <c r="I554" s="33" t="s">
        <v>2999</v>
      </c>
      <c r="J554" s="33" t="s">
        <v>43</v>
      </c>
      <c r="K554" s="33" t="s">
        <v>3000</v>
      </c>
      <c r="L554" s="65">
        <v>4149891920</v>
      </c>
      <c r="M554" s="32"/>
      <c r="N554" s="65">
        <v>15000000</v>
      </c>
      <c r="O554" s="43"/>
      <c r="P554" s="43"/>
      <c r="Q554" s="48">
        <f t="shared" si="397"/>
        <v>4164891920</v>
      </c>
      <c r="R554" s="52">
        <v>4149891920</v>
      </c>
      <c r="S554" s="33"/>
      <c r="T554" s="44">
        <v>15000000</v>
      </c>
      <c r="U554" s="33"/>
      <c r="V554" s="33"/>
      <c r="W554" s="52"/>
      <c r="X554" s="52">
        <f t="shared" ref="X554:Y554" si="549">M554-S554</f>
        <v>0</v>
      </c>
      <c r="Y554" s="52">
        <f t="shared" si="549"/>
        <v>0</v>
      </c>
      <c r="Z554" s="52">
        <f t="shared" si="515"/>
        <v>0</v>
      </c>
      <c r="AA554" s="54"/>
      <c r="AB554" s="68"/>
    </row>
    <row r="555" spans="1:28" ht="31.5" x14ac:dyDescent="0.3">
      <c r="A555" s="33" t="s">
        <v>35</v>
      </c>
      <c r="B555" s="42">
        <v>534</v>
      </c>
      <c r="C555" s="33" t="s">
        <v>966</v>
      </c>
      <c r="D555" s="33" t="s">
        <v>3001</v>
      </c>
      <c r="E555" s="32"/>
      <c r="F555" s="33" t="s">
        <v>3002</v>
      </c>
      <c r="G555" s="32"/>
      <c r="H555" s="33" t="s">
        <v>969</v>
      </c>
      <c r="I555" s="33" t="s">
        <v>3003</v>
      </c>
      <c r="J555" s="33" t="s">
        <v>43</v>
      </c>
      <c r="K555" s="33" t="s">
        <v>2969</v>
      </c>
      <c r="L555" s="65">
        <v>10000000</v>
      </c>
      <c r="M555" s="32"/>
      <c r="N555" s="65">
        <v>7500000</v>
      </c>
      <c r="O555" s="43"/>
      <c r="P555" s="43"/>
      <c r="Q555" s="48">
        <f t="shared" si="397"/>
        <v>17500000</v>
      </c>
      <c r="R555" s="33"/>
      <c r="S555" s="33"/>
      <c r="T555" s="66"/>
      <c r="U555" s="33"/>
      <c r="V555" s="33"/>
      <c r="W555" s="52">
        <v>10000000</v>
      </c>
      <c r="X555" s="52">
        <f t="shared" ref="X555:Y555" si="550">M555-S555</f>
        <v>0</v>
      </c>
      <c r="Y555" s="52">
        <f t="shared" si="550"/>
        <v>7500000</v>
      </c>
      <c r="Z555" s="52">
        <f t="shared" si="515"/>
        <v>0</v>
      </c>
      <c r="AA555" s="98">
        <v>10000000</v>
      </c>
      <c r="AB555" s="68"/>
    </row>
    <row r="556" spans="1:28" ht="31.5" x14ac:dyDescent="0.25">
      <c r="A556" s="33" t="s">
        <v>35</v>
      </c>
      <c r="B556" s="42">
        <v>535</v>
      </c>
      <c r="C556" s="33" t="s">
        <v>966</v>
      </c>
      <c r="D556" s="33" t="s">
        <v>3004</v>
      </c>
      <c r="E556" s="33" t="s">
        <v>2941</v>
      </c>
      <c r="F556" s="33" t="s">
        <v>3005</v>
      </c>
      <c r="G556" s="33" t="s">
        <v>3006</v>
      </c>
      <c r="H556" s="33" t="s">
        <v>969</v>
      </c>
      <c r="I556" s="33" t="s">
        <v>3007</v>
      </c>
      <c r="J556" s="33" t="s">
        <v>43</v>
      </c>
      <c r="K556" s="33" t="s">
        <v>3008</v>
      </c>
      <c r="L556" s="65">
        <v>1379679648</v>
      </c>
      <c r="M556" s="48">
        <v>3820831</v>
      </c>
      <c r="N556" s="65">
        <v>7500000</v>
      </c>
      <c r="O556" s="43"/>
      <c r="P556" s="43"/>
      <c r="Q556" s="48">
        <f t="shared" si="397"/>
        <v>1391000479</v>
      </c>
      <c r="R556" s="48">
        <v>1379679648</v>
      </c>
      <c r="S556" s="48">
        <v>3820831</v>
      </c>
      <c r="T556" s="44">
        <v>7500000</v>
      </c>
      <c r="U556" s="33"/>
      <c r="V556" s="33"/>
      <c r="W556" s="52"/>
      <c r="X556" s="52">
        <f t="shared" ref="X556:Y556" si="551">M556-S556</f>
        <v>0</v>
      </c>
      <c r="Y556" s="52">
        <f t="shared" si="551"/>
        <v>0</v>
      </c>
      <c r="Z556" s="52">
        <f t="shared" si="515"/>
        <v>0</v>
      </c>
      <c r="AA556" s="54"/>
      <c r="AB556" s="68"/>
    </row>
    <row r="557" spans="1:28" ht="31.5" x14ac:dyDescent="0.25">
      <c r="A557" s="33" t="s">
        <v>35</v>
      </c>
      <c r="B557" s="42">
        <v>536</v>
      </c>
      <c r="C557" s="33" t="s">
        <v>966</v>
      </c>
      <c r="D557" s="33" t="s">
        <v>3010</v>
      </c>
      <c r="E557" s="33" t="s">
        <v>3011</v>
      </c>
      <c r="F557" s="33" t="s">
        <v>3012</v>
      </c>
      <c r="G557" s="33" t="s">
        <v>3013</v>
      </c>
      <c r="H557" s="33" t="s">
        <v>969</v>
      </c>
      <c r="I557" s="33" t="s">
        <v>3014</v>
      </c>
      <c r="J557" s="33" t="s">
        <v>43</v>
      </c>
      <c r="K557" s="33" t="s">
        <v>3015</v>
      </c>
      <c r="L557" s="65">
        <v>5979511743</v>
      </c>
      <c r="M557" s="48">
        <v>745875</v>
      </c>
      <c r="N557" s="65">
        <v>7500000</v>
      </c>
      <c r="O557" s="43"/>
      <c r="P557" s="43"/>
      <c r="Q557" s="48">
        <f t="shared" si="397"/>
        <v>5987757618</v>
      </c>
      <c r="R557" s="48">
        <v>5979511743</v>
      </c>
      <c r="S557" s="33"/>
      <c r="T557" s="44">
        <v>7500000</v>
      </c>
      <c r="U557" s="33"/>
      <c r="V557" s="33"/>
      <c r="W557" s="52"/>
      <c r="X557" s="52">
        <f t="shared" ref="X557:Y557" si="552">M557-S557</f>
        <v>745875</v>
      </c>
      <c r="Y557" s="52">
        <f t="shared" si="552"/>
        <v>0</v>
      </c>
      <c r="Z557" s="52">
        <f t="shared" si="515"/>
        <v>0</v>
      </c>
      <c r="AA557" s="54"/>
      <c r="AB557" s="68"/>
    </row>
    <row r="558" spans="1:28" ht="31.5" x14ac:dyDescent="0.25">
      <c r="A558" s="33" t="s">
        <v>52</v>
      </c>
      <c r="B558" s="42">
        <v>537</v>
      </c>
      <c r="C558" s="33" t="s">
        <v>966</v>
      </c>
      <c r="D558" s="33" t="s">
        <v>3016</v>
      </c>
      <c r="E558" s="32"/>
      <c r="F558" s="33" t="s">
        <v>3017</v>
      </c>
      <c r="G558" s="32"/>
      <c r="H558" s="33" t="s">
        <v>969</v>
      </c>
      <c r="I558" s="33" t="s">
        <v>3018</v>
      </c>
      <c r="J558" s="33" t="s">
        <v>43</v>
      </c>
      <c r="K558" s="33" t="s">
        <v>3019</v>
      </c>
      <c r="L558" s="65">
        <v>5710253116</v>
      </c>
      <c r="M558" s="32"/>
      <c r="N558" s="65">
        <v>15000000</v>
      </c>
      <c r="O558" s="43"/>
      <c r="P558" s="43"/>
      <c r="Q558" s="48">
        <f t="shared" si="397"/>
        <v>5725253116</v>
      </c>
      <c r="R558" s="48">
        <v>5710253116</v>
      </c>
      <c r="S558" s="33"/>
      <c r="T558" s="44">
        <v>15000000</v>
      </c>
      <c r="U558" s="33"/>
      <c r="V558" s="33"/>
      <c r="W558" s="52"/>
      <c r="X558" s="52">
        <f t="shared" ref="X558:Y558" si="553">M558-S558</f>
        <v>0</v>
      </c>
      <c r="Y558" s="52">
        <f t="shared" si="553"/>
        <v>0</v>
      </c>
      <c r="Z558" s="52">
        <f t="shared" si="515"/>
        <v>0</v>
      </c>
      <c r="AA558" s="54"/>
      <c r="AB558" s="68"/>
    </row>
    <row r="559" spans="1:28" ht="31.5" x14ac:dyDescent="0.25">
      <c r="A559" s="33" t="s">
        <v>88</v>
      </c>
      <c r="B559" s="42">
        <v>538</v>
      </c>
      <c r="C559" s="33" t="s">
        <v>966</v>
      </c>
      <c r="D559" s="33" t="s">
        <v>3020</v>
      </c>
      <c r="E559" s="32"/>
      <c r="F559" s="33" t="s">
        <v>3021</v>
      </c>
      <c r="G559" s="32"/>
      <c r="H559" s="32"/>
      <c r="I559" s="33" t="s">
        <v>2554</v>
      </c>
      <c r="J559" s="33" t="s">
        <v>43</v>
      </c>
      <c r="K559" s="33" t="s">
        <v>3022</v>
      </c>
      <c r="L559" s="65">
        <v>1184198060</v>
      </c>
      <c r="M559" s="32"/>
      <c r="N559" s="65">
        <v>7500000</v>
      </c>
      <c r="O559" s="43"/>
      <c r="P559" s="43"/>
      <c r="Q559" s="48">
        <f t="shared" si="397"/>
        <v>1191698060</v>
      </c>
      <c r="R559" s="52">
        <v>1184198060</v>
      </c>
      <c r="S559" s="33"/>
      <c r="T559" s="66"/>
      <c r="U559" s="33"/>
      <c r="V559" s="33"/>
      <c r="W559" s="52"/>
      <c r="X559" s="52">
        <f t="shared" ref="X559:Y559" si="554">M559-S559</f>
        <v>0</v>
      </c>
      <c r="Y559" s="52">
        <f t="shared" si="554"/>
        <v>7500000</v>
      </c>
      <c r="Z559" s="52">
        <f t="shared" si="515"/>
        <v>0</v>
      </c>
      <c r="AA559" s="54"/>
      <c r="AB559" s="68"/>
    </row>
    <row r="560" spans="1:28" ht="31.5" x14ac:dyDescent="0.25">
      <c r="A560" s="33" t="s">
        <v>88</v>
      </c>
      <c r="B560" s="42">
        <v>539</v>
      </c>
      <c r="C560" s="33" t="s">
        <v>966</v>
      </c>
      <c r="D560" s="33" t="s">
        <v>3024</v>
      </c>
      <c r="E560" s="32"/>
      <c r="F560" s="33" t="s">
        <v>3025</v>
      </c>
      <c r="G560" s="32"/>
      <c r="H560" s="33" t="s">
        <v>969</v>
      </c>
      <c r="I560" s="33" t="s">
        <v>3026</v>
      </c>
      <c r="J560" s="33" t="s">
        <v>43</v>
      </c>
      <c r="K560" s="33" t="s">
        <v>3027</v>
      </c>
      <c r="L560" s="65">
        <v>124624714</v>
      </c>
      <c r="M560" s="32"/>
      <c r="N560" s="65">
        <v>7500000</v>
      </c>
      <c r="O560" s="43"/>
      <c r="P560" s="43"/>
      <c r="Q560" s="48">
        <f t="shared" si="397"/>
        <v>132124714</v>
      </c>
      <c r="R560" s="52">
        <v>124624714</v>
      </c>
      <c r="S560" s="33"/>
      <c r="T560" s="44">
        <v>7500000</v>
      </c>
      <c r="U560" s="33"/>
      <c r="V560" s="33"/>
      <c r="W560" s="52"/>
      <c r="X560" s="52">
        <f t="shared" ref="X560:Y560" si="555">M560-S560</f>
        <v>0</v>
      </c>
      <c r="Y560" s="52">
        <f t="shared" si="555"/>
        <v>0</v>
      </c>
      <c r="Z560" s="52">
        <f t="shared" si="515"/>
        <v>0</v>
      </c>
      <c r="AA560" s="54"/>
      <c r="AB560" s="68"/>
    </row>
    <row r="561" spans="1:45" ht="31.5" x14ac:dyDescent="0.25">
      <c r="A561" s="33" t="s">
        <v>35</v>
      </c>
      <c r="B561" s="42">
        <v>540</v>
      </c>
      <c r="C561" s="33" t="s">
        <v>966</v>
      </c>
      <c r="D561" s="33" t="s">
        <v>3028</v>
      </c>
      <c r="E561" s="33" t="s">
        <v>3029</v>
      </c>
      <c r="F561" s="33" t="s">
        <v>3030</v>
      </c>
      <c r="G561" s="33" t="s">
        <v>3031</v>
      </c>
      <c r="H561" s="33" t="s">
        <v>969</v>
      </c>
      <c r="I561" s="62" t="s">
        <v>3032</v>
      </c>
      <c r="J561" s="33" t="s">
        <v>43</v>
      </c>
      <c r="K561" s="33" t="s">
        <v>3033</v>
      </c>
      <c r="L561" s="65">
        <v>11205643442</v>
      </c>
      <c r="M561" s="65">
        <v>412168376</v>
      </c>
      <c r="N561" s="65">
        <v>15000000</v>
      </c>
      <c r="O561" s="43"/>
      <c r="P561" s="43"/>
      <c r="Q561" s="48">
        <f t="shared" si="397"/>
        <v>11632811818</v>
      </c>
      <c r="R561" s="48">
        <v>11205643442</v>
      </c>
      <c r="S561" s="48">
        <v>412168376</v>
      </c>
      <c r="T561" s="44">
        <v>15000000</v>
      </c>
      <c r="U561" s="33"/>
      <c r="V561" s="33"/>
      <c r="W561" s="52"/>
      <c r="X561" s="52">
        <f t="shared" ref="X561:Y561" si="556">M561-S561</f>
        <v>0</v>
      </c>
      <c r="Y561" s="52">
        <f t="shared" si="556"/>
        <v>0</v>
      </c>
      <c r="Z561" s="52">
        <f t="shared" si="515"/>
        <v>0</v>
      </c>
      <c r="AA561" s="54"/>
      <c r="AB561" s="68"/>
    </row>
    <row r="562" spans="1:45" ht="40.5" x14ac:dyDescent="0.25">
      <c r="A562" s="33" t="s">
        <v>275</v>
      </c>
      <c r="B562" s="42">
        <v>541</v>
      </c>
      <c r="C562" s="33" t="s">
        <v>966</v>
      </c>
      <c r="D562" s="33" t="s">
        <v>3034</v>
      </c>
      <c r="E562" s="33" t="s">
        <v>2099</v>
      </c>
      <c r="F562" s="33" t="s">
        <v>3035</v>
      </c>
      <c r="G562" s="33" t="s">
        <v>592</v>
      </c>
      <c r="H562" s="32"/>
      <c r="I562" s="62" t="s">
        <v>3036</v>
      </c>
      <c r="J562" s="33" t="s">
        <v>43</v>
      </c>
      <c r="K562" s="33" t="s">
        <v>3037</v>
      </c>
      <c r="L562" s="65">
        <v>3903175140</v>
      </c>
      <c r="M562" s="65">
        <v>752143200</v>
      </c>
      <c r="N562" s="65">
        <v>7500000</v>
      </c>
      <c r="O562" s="43"/>
      <c r="P562" s="43"/>
      <c r="Q562" s="48">
        <f t="shared" si="397"/>
        <v>4662818340</v>
      </c>
      <c r="R562" s="48">
        <v>3903175140</v>
      </c>
      <c r="S562" s="48">
        <v>752143200</v>
      </c>
      <c r="T562" s="44">
        <v>7500000</v>
      </c>
      <c r="U562" s="33"/>
      <c r="V562" s="33"/>
      <c r="W562" s="52"/>
      <c r="X562" s="52">
        <f t="shared" ref="X562:Y562" si="557">M562-S562</f>
        <v>0</v>
      </c>
      <c r="Y562" s="52">
        <f t="shared" si="557"/>
        <v>0</v>
      </c>
      <c r="Z562" s="52">
        <f t="shared" si="515"/>
        <v>0</v>
      </c>
      <c r="AA562" s="54"/>
      <c r="AB562" s="68"/>
    </row>
    <row r="563" spans="1:45" ht="31.5" x14ac:dyDescent="0.25">
      <c r="A563" s="33" t="s">
        <v>60</v>
      </c>
      <c r="B563" s="42">
        <v>542</v>
      </c>
      <c r="C563" s="33" t="s">
        <v>966</v>
      </c>
      <c r="D563" s="33" t="s">
        <v>3038</v>
      </c>
      <c r="E563" s="32"/>
      <c r="F563" s="33" t="s">
        <v>3039</v>
      </c>
      <c r="G563" s="32"/>
      <c r="H563" s="32"/>
      <c r="I563" s="62" t="s">
        <v>3040</v>
      </c>
      <c r="J563" s="33" t="s">
        <v>43</v>
      </c>
      <c r="K563" s="33" t="s">
        <v>3041</v>
      </c>
      <c r="L563" s="65">
        <v>32247210000</v>
      </c>
      <c r="M563" s="32"/>
      <c r="N563" s="65">
        <v>15000000</v>
      </c>
      <c r="O563" s="43"/>
      <c r="P563" s="43"/>
      <c r="Q563" s="48">
        <f t="shared" si="397"/>
        <v>32262210000</v>
      </c>
      <c r="R563" s="48">
        <v>32247210000</v>
      </c>
      <c r="S563" s="33"/>
      <c r="T563" s="66"/>
      <c r="U563" s="33"/>
      <c r="V563" s="33"/>
      <c r="W563" s="52"/>
      <c r="X563" s="52">
        <f t="shared" ref="X563:Y563" si="558">M563-S563</f>
        <v>0</v>
      </c>
      <c r="Y563" s="52">
        <f t="shared" si="558"/>
        <v>15000000</v>
      </c>
      <c r="Z563" s="52">
        <f t="shared" si="515"/>
        <v>0</v>
      </c>
      <c r="AA563" s="54"/>
      <c r="AB563" s="68"/>
    </row>
    <row r="564" spans="1:45" ht="32.25" customHeight="1" x14ac:dyDescent="0.25">
      <c r="A564" s="33"/>
      <c r="B564" s="299">
        <v>543</v>
      </c>
      <c r="C564" s="299" t="s">
        <v>966</v>
      </c>
      <c r="D564" s="33"/>
      <c r="E564" s="32"/>
      <c r="F564" s="299" t="s">
        <v>1473</v>
      </c>
      <c r="G564" s="32"/>
      <c r="H564" s="32"/>
      <c r="I564" s="310" t="s">
        <v>1475</v>
      </c>
      <c r="J564" s="299" t="s">
        <v>43</v>
      </c>
      <c r="K564" s="299" t="s">
        <v>1477</v>
      </c>
      <c r="L564" s="65"/>
      <c r="M564" s="32"/>
      <c r="N564" s="65"/>
      <c r="O564" s="43" t="s">
        <v>1443</v>
      </c>
      <c r="P564" s="69">
        <v>120000000</v>
      </c>
      <c r="Q564" s="48"/>
      <c r="R564" s="48"/>
      <c r="S564" s="33"/>
      <c r="T564" s="66"/>
      <c r="U564" s="48">
        <v>120000000</v>
      </c>
      <c r="V564" s="33"/>
      <c r="W564" s="52"/>
      <c r="X564" s="52"/>
      <c r="Y564" s="52"/>
      <c r="Z564" s="52">
        <f t="shared" si="515"/>
        <v>0</v>
      </c>
      <c r="AA564" s="54"/>
      <c r="AB564" s="68"/>
    </row>
    <row r="565" spans="1:45" ht="31.5" x14ac:dyDescent="0.25">
      <c r="A565" s="33" t="s">
        <v>60</v>
      </c>
      <c r="B565" s="290"/>
      <c r="C565" s="290"/>
      <c r="D565" s="33" t="s">
        <v>1471</v>
      </c>
      <c r="E565" s="32"/>
      <c r="F565" s="290"/>
      <c r="G565" s="32"/>
      <c r="H565" s="32"/>
      <c r="I565" s="290"/>
      <c r="J565" s="290"/>
      <c r="K565" s="290"/>
      <c r="L565" s="65">
        <v>3019503424</v>
      </c>
      <c r="M565" s="32"/>
      <c r="N565" s="65">
        <v>15000000</v>
      </c>
      <c r="O565" s="33" t="s">
        <v>1965</v>
      </c>
      <c r="P565" s="48">
        <v>120000000</v>
      </c>
      <c r="Q565" s="48">
        <f t="shared" ref="Q565:Q637" si="559">L565+M565+N565+P565</f>
        <v>3154503424</v>
      </c>
      <c r="R565" s="48">
        <v>3019503424</v>
      </c>
      <c r="S565" s="33"/>
      <c r="T565" s="44">
        <v>15000000</v>
      </c>
      <c r="U565" s="48"/>
      <c r="V565" s="33"/>
      <c r="W565" s="52"/>
      <c r="X565" s="52">
        <f t="shared" ref="X565:Y565" si="560">M565-S565</f>
        <v>0</v>
      </c>
      <c r="Y565" s="52">
        <f t="shared" si="560"/>
        <v>0</v>
      </c>
      <c r="Z565" s="52">
        <f t="shared" si="515"/>
        <v>120000000</v>
      </c>
      <c r="AA565" s="54"/>
      <c r="AB565" s="75" t="s">
        <v>2081</v>
      </c>
    </row>
    <row r="566" spans="1:45" ht="63" x14ac:dyDescent="0.25">
      <c r="A566" s="88" t="s">
        <v>60</v>
      </c>
      <c r="B566" s="89">
        <v>544</v>
      </c>
      <c r="C566" s="88" t="s">
        <v>966</v>
      </c>
      <c r="D566" s="88" t="s">
        <v>1131</v>
      </c>
      <c r="E566" s="88" t="s">
        <v>1132</v>
      </c>
      <c r="F566" s="88" t="s">
        <v>1133</v>
      </c>
      <c r="G566" s="90"/>
      <c r="H566" s="90"/>
      <c r="I566" s="107" t="s">
        <v>1134</v>
      </c>
      <c r="J566" s="88" t="s">
        <v>43</v>
      </c>
      <c r="K566" s="88" t="s">
        <v>1135</v>
      </c>
      <c r="L566" s="108">
        <v>4492043428</v>
      </c>
      <c r="M566" s="109">
        <v>1612138368</v>
      </c>
      <c r="N566" s="108">
        <v>15000000</v>
      </c>
      <c r="O566" s="92" t="s">
        <v>1124</v>
      </c>
      <c r="P566" s="84">
        <v>72000000</v>
      </c>
      <c r="Q566" s="91">
        <f t="shared" si="559"/>
        <v>6191181796</v>
      </c>
      <c r="R566" s="91">
        <v>4492043428</v>
      </c>
      <c r="S566" s="91">
        <v>1612138368</v>
      </c>
      <c r="T566" s="93">
        <v>15000000</v>
      </c>
      <c r="U566" s="91">
        <v>24000000</v>
      </c>
      <c r="V566" s="88"/>
      <c r="W566" s="94"/>
      <c r="X566" s="94">
        <f t="shared" ref="X566:Y566" si="561">M566-S566</f>
        <v>0</v>
      </c>
      <c r="Y566" s="94">
        <f t="shared" si="561"/>
        <v>0</v>
      </c>
      <c r="Z566" s="94">
        <f t="shared" si="515"/>
        <v>48000000</v>
      </c>
      <c r="AA566" s="95"/>
      <c r="AB566" s="96" t="s">
        <v>2866</v>
      </c>
      <c r="AC566" s="97"/>
      <c r="AD566" s="97"/>
      <c r="AE566" s="97"/>
      <c r="AF566" s="97"/>
      <c r="AG566" s="97"/>
      <c r="AH566" s="97"/>
      <c r="AI566" s="97"/>
      <c r="AJ566" s="97"/>
      <c r="AK566" s="97"/>
      <c r="AL566" s="97"/>
      <c r="AM566" s="97"/>
      <c r="AN566" s="97"/>
      <c r="AO566" s="97"/>
      <c r="AP566" s="97"/>
      <c r="AQ566" s="97"/>
      <c r="AR566" s="97"/>
      <c r="AS566" s="97"/>
    </row>
    <row r="567" spans="1:45" ht="40.5" x14ac:dyDescent="0.25">
      <c r="A567" s="33" t="s">
        <v>35</v>
      </c>
      <c r="B567" s="42">
        <v>545</v>
      </c>
      <c r="C567" s="33" t="s">
        <v>966</v>
      </c>
      <c r="D567" s="33" t="s">
        <v>3042</v>
      </c>
      <c r="E567" s="32"/>
      <c r="F567" s="33" t="s">
        <v>3043</v>
      </c>
      <c r="G567" s="32"/>
      <c r="H567" s="33" t="s">
        <v>969</v>
      </c>
      <c r="I567" s="62" t="s">
        <v>3044</v>
      </c>
      <c r="J567" s="33" t="s">
        <v>43</v>
      </c>
      <c r="K567" s="33" t="s">
        <v>2882</v>
      </c>
      <c r="L567" s="65">
        <v>4323287659</v>
      </c>
      <c r="M567" s="32"/>
      <c r="N567" s="65">
        <v>7500000</v>
      </c>
      <c r="O567" s="43"/>
      <c r="P567" s="43"/>
      <c r="Q567" s="48">
        <f t="shared" si="559"/>
        <v>4330787659</v>
      </c>
      <c r="R567" s="48">
        <v>4323287659</v>
      </c>
      <c r="S567" s="33"/>
      <c r="T567" s="44">
        <v>7500000</v>
      </c>
      <c r="U567" s="33"/>
      <c r="V567" s="33"/>
      <c r="W567" s="52"/>
      <c r="X567" s="52">
        <f t="shared" ref="X567:Y567" si="562">M567-S567</f>
        <v>0</v>
      </c>
      <c r="Y567" s="52">
        <f t="shared" si="562"/>
        <v>0</v>
      </c>
      <c r="Z567" s="52">
        <f t="shared" si="515"/>
        <v>0</v>
      </c>
      <c r="AA567" s="54"/>
      <c r="AB567" s="68"/>
    </row>
    <row r="568" spans="1:45" ht="60.75" x14ac:dyDescent="0.25">
      <c r="A568" s="33" t="s">
        <v>52</v>
      </c>
      <c r="B568" s="42">
        <v>546</v>
      </c>
      <c r="C568" s="33" t="s">
        <v>966</v>
      </c>
      <c r="D568" s="33" t="s">
        <v>967</v>
      </c>
      <c r="E568" s="32"/>
      <c r="F568" s="33" t="s">
        <v>968</v>
      </c>
      <c r="G568" s="32"/>
      <c r="H568" s="33" t="s">
        <v>969</v>
      </c>
      <c r="I568" s="62" t="s">
        <v>970</v>
      </c>
      <c r="J568" s="33" t="s">
        <v>43</v>
      </c>
      <c r="K568" s="33" t="s">
        <v>971</v>
      </c>
      <c r="L568" s="65">
        <v>5670213620</v>
      </c>
      <c r="M568" s="32"/>
      <c r="N568" s="65">
        <v>15000000</v>
      </c>
      <c r="O568" s="43" t="s">
        <v>872</v>
      </c>
      <c r="P568" s="69">
        <v>42000000</v>
      </c>
      <c r="Q568" s="48">
        <f t="shared" si="559"/>
        <v>5727213620</v>
      </c>
      <c r="R568" s="48">
        <v>5670213620</v>
      </c>
      <c r="S568" s="33"/>
      <c r="T568" s="66"/>
      <c r="U568" s="33"/>
      <c r="V568" s="33"/>
      <c r="W568" s="52"/>
      <c r="X568" s="52">
        <f t="shared" ref="X568:Y568" si="563">M568-S568</f>
        <v>0</v>
      </c>
      <c r="Y568" s="52">
        <f t="shared" si="563"/>
        <v>15000000</v>
      </c>
      <c r="Z568" s="52">
        <f t="shared" si="515"/>
        <v>42000000</v>
      </c>
      <c r="AA568" s="54"/>
      <c r="AB568" s="74" t="s">
        <v>1222</v>
      </c>
    </row>
    <row r="569" spans="1:45" ht="31.5" x14ac:dyDescent="0.25">
      <c r="A569" s="33" t="s">
        <v>35</v>
      </c>
      <c r="B569" s="42">
        <v>547</v>
      </c>
      <c r="C569" s="33" t="s">
        <v>966</v>
      </c>
      <c r="D569" s="33" t="s">
        <v>3045</v>
      </c>
      <c r="E569" s="32"/>
      <c r="F569" s="33" t="s">
        <v>3046</v>
      </c>
      <c r="G569" s="32"/>
      <c r="H569" s="33" t="s">
        <v>969</v>
      </c>
      <c r="I569" s="62" t="s">
        <v>3047</v>
      </c>
      <c r="J569" s="33" t="s">
        <v>43</v>
      </c>
      <c r="K569" s="33" t="s">
        <v>3048</v>
      </c>
      <c r="L569" s="65">
        <v>2859676109</v>
      </c>
      <c r="M569" s="32"/>
      <c r="N569" s="65">
        <v>7500000</v>
      </c>
      <c r="O569" s="43"/>
      <c r="P569" s="43"/>
      <c r="Q569" s="48">
        <f t="shared" si="559"/>
        <v>2867176109</v>
      </c>
      <c r="R569" s="48">
        <v>2859676109</v>
      </c>
      <c r="S569" s="33"/>
      <c r="T569" s="44">
        <v>7500000</v>
      </c>
      <c r="U569" s="33"/>
      <c r="V569" s="33"/>
      <c r="W569" s="52"/>
      <c r="X569" s="52">
        <f t="shared" ref="X569:Y569" si="564">M569-S569</f>
        <v>0</v>
      </c>
      <c r="Y569" s="52">
        <f t="shared" si="564"/>
        <v>0</v>
      </c>
      <c r="Z569" s="52">
        <f t="shared" si="515"/>
        <v>0</v>
      </c>
      <c r="AA569" s="54"/>
      <c r="AB569" s="68"/>
    </row>
    <row r="570" spans="1:45" ht="31.5" x14ac:dyDescent="0.25">
      <c r="A570" s="33" t="s">
        <v>1327</v>
      </c>
      <c r="B570" s="42">
        <v>548</v>
      </c>
      <c r="C570" s="33" t="s">
        <v>966</v>
      </c>
      <c r="D570" s="33" t="s">
        <v>1328</v>
      </c>
      <c r="E570" s="32"/>
      <c r="F570" s="33" t="s">
        <v>1329</v>
      </c>
      <c r="G570" s="32"/>
      <c r="H570" s="32"/>
      <c r="I570" s="62" t="s">
        <v>1330</v>
      </c>
      <c r="J570" s="33" t="s">
        <v>43</v>
      </c>
      <c r="K570" s="33" t="s">
        <v>1331</v>
      </c>
      <c r="L570" s="65">
        <v>8344894680</v>
      </c>
      <c r="M570" s="32"/>
      <c r="N570" s="65">
        <v>15000000</v>
      </c>
      <c r="O570" s="43" t="s">
        <v>464</v>
      </c>
      <c r="P570" s="69">
        <v>120000000</v>
      </c>
      <c r="Q570" s="48">
        <f t="shared" si="559"/>
        <v>8479894680</v>
      </c>
      <c r="R570" s="48">
        <v>8344894680</v>
      </c>
      <c r="S570" s="33"/>
      <c r="T570" s="44">
        <v>15000000</v>
      </c>
      <c r="U570" s="48">
        <v>120000000</v>
      </c>
      <c r="V570" s="33"/>
      <c r="W570" s="52"/>
      <c r="X570" s="52">
        <f t="shared" ref="X570:Y570" si="565">M570-S570</f>
        <v>0</v>
      </c>
      <c r="Y570" s="52">
        <f t="shared" si="565"/>
        <v>0</v>
      </c>
      <c r="Z570" s="52">
        <f t="shared" si="515"/>
        <v>0</v>
      </c>
      <c r="AA570" s="54"/>
      <c r="AB570" s="68"/>
    </row>
    <row r="571" spans="1:45" ht="121.5" x14ac:dyDescent="0.25">
      <c r="A571" s="33" t="s">
        <v>35</v>
      </c>
      <c r="B571" s="42">
        <v>549</v>
      </c>
      <c r="C571" s="33" t="s">
        <v>498</v>
      </c>
      <c r="D571" s="33" t="s">
        <v>3049</v>
      </c>
      <c r="E571" s="33" t="s">
        <v>3050</v>
      </c>
      <c r="F571" s="33" t="s">
        <v>3051</v>
      </c>
      <c r="G571" s="33" t="s">
        <v>3052</v>
      </c>
      <c r="H571" s="32"/>
      <c r="I571" s="62" t="s">
        <v>3053</v>
      </c>
      <c r="J571" s="33" t="s">
        <v>43</v>
      </c>
      <c r="K571" s="33" t="s">
        <v>3054</v>
      </c>
      <c r="L571" s="65">
        <v>3029579080</v>
      </c>
      <c r="M571" s="65">
        <v>1093270920</v>
      </c>
      <c r="N571" s="65">
        <v>15000000</v>
      </c>
      <c r="O571" s="43"/>
      <c r="P571" s="43"/>
      <c r="Q571" s="48">
        <f t="shared" si="559"/>
        <v>4137850000</v>
      </c>
      <c r="R571" s="48">
        <v>3029579080</v>
      </c>
      <c r="S571" s="48">
        <v>1093270920</v>
      </c>
      <c r="T571" s="44">
        <v>15000000</v>
      </c>
      <c r="U571" s="33"/>
      <c r="V571" s="33"/>
      <c r="W571" s="52"/>
      <c r="X571" s="52">
        <f t="shared" ref="X571:Y571" si="566">M571-S571</f>
        <v>0</v>
      </c>
      <c r="Y571" s="52">
        <f t="shared" si="566"/>
        <v>0</v>
      </c>
      <c r="Z571" s="52">
        <f t="shared" si="515"/>
        <v>0</v>
      </c>
      <c r="AA571" s="54"/>
      <c r="AB571" s="68"/>
    </row>
    <row r="572" spans="1:45" ht="31.5" x14ac:dyDescent="0.25">
      <c r="A572" s="33" t="s">
        <v>275</v>
      </c>
      <c r="B572" s="42">
        <v>550</v>
      </c>
      <c r="C572" s="33" t="s">
        <v>498</v>
      </c>
      <c r="D572" s="33" t="s">
        <v>3055</v>
      </c>
      <c r="E572" s="32"/>
      <c r="F572" s="33" t="s">
        <v>3056</v>
      </c>
      <c r="G572" s="32"/>
      <c r="H572" s="32"/>
      <c r="I572" s="62" t="s">
        <v>3057</v>
      </c>
      <c r="J572" s="33" t="s">
        <v>43</v>
      </c>
      <c r="K572" s="33" t="s">
        <v>3058</v>
      </c>
      <c r="L572" s="65">
        <v>3126839264</v>
      </c>
      <c r="M572" s="32"/>
      <c r="N572" s="65">
        <v>15000000</v>
      </c>
      <c r="O572" s="43"/>
      <c r="P572" s="43"/>
      <c r="Q572" s="48">
        <f t="shared" si="559"/>
        <v>3141839264</v>
      </c>
      <c r="R572" s="48">
        <v>3126839264</v>
      </c>
      <c r="S572" s="33"/>
      <c r="T572" s="44">
        <v>15000000</v>
      </c>
      <c r="U572" s="33"/>
      <c r="V572" s="33"/>
      <c r="W572" s="52"/>
      <c r="X572" s="52">
        <f t="shared" ref="X572:Y572" si="567">M572-S572</f>
        <v>0</v>
      </c>
      <c r="Y572" s="52">
        <f t="shared" si="567"/>
        <v>0</v>
      </c>
      <c r="Z572" s="52">
        <f t="shared" si="515"/>
        <v>0</v>
      </c>
      <c r="AA572" s="54"/>
      <c r="AB572" s="68"/>
    </row>
    <row r="573" spans="1:45" ht="40.5" x14ac:dyDescent="0.25">
      <c r="A573" s="33" t="s">
        <v>275</v>
      </c>
      <c r="B573" s="42">
        <v>551</v>
      </c>
      <c r="C573" s="33" t="s">
        <v>498</v>
      </c>
      <c r="D573" s="33" t="s">
        <v>3059</v>
      </c>
      <c r="E573" s="32"/>
      <c r="F573" s="33" t="s">
        <v>3060</v>
      </c>
      <c r="G573" s="32"/>
      <c r="H573" s="32"/>
      <c r="I573" s="62" t="s">
        <v>3061</v>
      </c>
      <c r="J573" s="33" t="s">
        <v>43</v>
      </c>
      <c r="K573" s="33" t="s">
        <v>3062</v>
      </c>
      <c r="L573" s="65">
        <v>4445642144</v>
      </c>
      <c r="M573" s="32"/>
      <c r="N573" s="65">
        <v>15000000</v>
      </c>
      <c r="O573" s="43"/>
      <c r="P573" s="43"/>
      <c r="Q573" s="48">
        <f t="shared" si="559"/>
        <v>4460642144</v>
      </c>
      <c r="R573" s="48">
        <v>4445642144</v>
      </c>
      <c r="S573" s="33"/>
      <c r="T573" s="44">
        <v>15000000</v>
      </c>
      <c r="U573" s="33"/>
      <c r="V573" s="33"/>
      <c r="W573" s="52"/>
      <c r="X573" s="52">
        <f t="shared" ref="X573:Y573" si="568">M573-S573</f>
        <v>0</v>
      </c>
      <c r="Y573" s="52">
        <f t="shared" si="568"/>
        <v>0</v>
      </c>
      <c r="Z573" s="52">
        <f t="shared" si="515"/>
        <v>0</v>
      </c>
      <c r="AA573" s="54"/>
      <c r="AB573" s="68"/>
    </row>
    <row r="574" spans="1:45" ht="60.75" x14ac:dyDescent="0.25">
      <c r="A574" s="33" t="s">
        <v>35</v>
      </c>
      <c r="B574" s="42">
        <v>552</v>
      </c>
      <c r="C574" s="33" t="s">
        <v>498</v>
      </c>
      <c r="D574" s="33" t="s">
        <v>3063</v>
      </c>
      <c r="E574" s="32"/>
      <c r="F574" s="33" t="s">
        <v>3064</v>
      </c>
      <c r="G574" s="32"/>
      <c r="H574" s="32"/>
      <c r="I574" s="62" t="s">
        <v>3065</v>
      </c>
      <c r="J574" s="33" t="s">
        <v>43</v>
      </c>
      <c r="K574" s="33" t="s">
        <v>3066</v>
      </c>
      <c r="L574" s="65">
        <v>1583134434</v>
      </c>
      <c r="M574" s="32"/>
      <c r="N574" s="65">
        <v>7500000</v>
      </c>
      <c r="O574" s="43"/>
      <c r="P574" s="43"/>
      <c r="Q574" s="48">
        <f t="shared" si="559"/>
        <v>1590634434</v>
      </c>
      <c r="R574" s="48">
        <v>1583134434</v>
      </c>
      <c r="S574" s="33"/>
      <c r="T574" s="44">
        <v>7500000</v>
      </c>
      <c r="U574" s="33"/>
      <c r="V574" s="33"/>
      <c r="W574" s="52"/>
      <c r="X574" s="52">
        <f t="shared" ref="X574:Y574" si="569">M574-S574</f>
        <v>0</v>
      </c>
      <c r="Y574" s="52">
        <f t="shared" si="569"/>
        <v>0</v>
      </c>
      <c r="Z574" s="52">
        <f t="shared" si="515"/>
        <v>0</v>
      </c>
      <c r="AA574" s="54"/>
      <c r="AB574" s="68"/>
    </row>
    <row r="575" spans="1:45" ht="40.5" x14ac:dyDescent="0.25">
      <c r="A575" s="33" t="s">
        <v>275</v>
      </c>
      <c r="B575" s="42">
        <v>553</v>
      </c>
      <c r="C575" s="33" t="s">
        <v>498</v>
      </c>
      <c r="D575" s="33" t="s">
        <v>3067</v>
      </c>
      <c r="E575" s="33" t="s">
        <v>625</v>
      </c>
      <c r="F575" s="33" t="s">
        <v>3068</v>
      </c>
      <c r="G575" s="33" t="s">
        <v>3069</v>
      </c>
      <c r="H575" s="32"/>
      <c r="I575" s="62" t="s">
        <v>3070</v>
      </c>
      <c r="J575" s="33" t="s">
        <v>43</v>
      </c>
      <c r="K575" s="33" t="s">
        <v>3071</v>
      </c>
      <c r="L575" s="65">
        <v>4323930590</v>
      </c>
      <c r="M575" s="65">
        <v>575679508</v>
      </c>
      <c r="N575" s="65">
        <v>7500000</v>
      </c>
      <c r="O575" s="43"/>
      <c r="P575" s="43"/>
      <c r="Q575" s="48">
        <f t="shared" si="559"/>
        <v>4907110098</v>
      </c>
      <c r="R575" s="48">
        <v>4323930590</v>
      </c>
      <c r="S575" s="48">
        <v>575679508</v>
      </c>
      <c r="T575" s="66"/>
      <c r="U575" s="33"/>
      <c r="V575" s="33"/>
      <c r="W575" s="52"/>
      <c r="X575" s="52">
        <f t="shared" ref="X575:Y575" si="570">M575-S575</f>
        <v>0</v>
      </c>
      <c r="Y575" s="52">
        <f t="shared" si="570"/>
        <v>7500000</v>
      </c>
      <c r="Z575" s="52">
        <f t="shared" si="515"/>
        <v>0</v>
      </c>
      <c r="AA575" s="54"/>
      <c r="AB575" s="68"/>
    </row>
    <row r="576" spans="1:45" ht="40.5" x14ac:dyDescent="0.25">
      <c r="A576" s="33" t="s">
        <v>60</v>
      </c>
      <c r="B576" s="42">
        <v>554</v>
      </c>
      <c r="C576" s="33" t="s">
        <v>498</v>
      </c>
      <c r="D576" s="33" t="s">
        <v>1332</v>
      </c>
      <c r="E576" s="32"/>
      <c r="F576" s="33" t="s">
        <v>1333</v>
      </c>
      <c r="G576" s="32"/>
      <c r="H576" s="32"/>
      <c r="I576" s="62" t="s">
        <v>1334</v>
      </c>
      <c r="J576" s="33" t="s">
        <v>43</v>
      </c>
      <c r="K576" s="33" t="s">
        <v>1335</v>
      </c>
      <c r="L576" s="65">
        <v>13618798440</v>
      </c>
      <c r="M576" s="32"/>
      <c r="N576" s="65">
        <v>15000000</v>
      </c>
      <c r="O576" s="43" t="s">
        <v>464</v>
      </c>
      <c r="P576" s="69">
        <v>144000000</v>
      </c>
      <c r="Q576" s="48">
        <f t="shared" si="559"/>
        <v>13777798440</v>
      </c>
      <c r="R576" s="48">
        <v>13618798440</v>
      </c>
      <c r="S576" s="33"/>
      <c r="T576" s="44">
        <v>15000000</v>
      </c>
      <c r="U576" s="48">
        <v>144000000</v>
      </c>
      <c r="V576" s="33"/>
      <c r="W576" s="52"/>
      <c r="X576" s="52">
        <f t="shared" ref="X576:Y576" si="571">M576-S576</f>
        <v>0</v>
      </c>
      <c r="Y576" s="52">
        <f t="shared" si="571"/>
        <v>0</v>
      </c>
      <c r="Z576" s="52">
        <f t="shared" si="515"/>
        <v>0</v>
      </c>
      <c r="AA576" s="54"/>
      <c r="AB576" s="68"/>
    </row>
    <row r="577" spans="1:45" ht="60.75" x14ac:dyDescent="0.25">
      <c r="A577" s="33" t="s">
        <v>60</v>
      </c>
      <c r="B577" s="42">
        <v>555</v>
      </c>
      <c r="C577" s="33" t="s">
        <v>498</v>
      </c>
      <c r="D577" s="33" t="s">
        <v>3072</v>
      </c>
      <c r="E577" s="32"/>
      <c r="F577" s="33" t="s">
        <v>3073</v>
      </c>
      <c r="G577" s="32"/>
      <c r="H577" s="32"/>
      <c r="I577" s="62" t="s">
        <v>3074</v>
      </c>
      <c r="J577" s="33" t="s">
        <v>43</v>
      </c>
      <c r="K577" s="33" t="s">
        <v>3075</v>
      </c>
      <c r="L577" s="65">
        <v>7567136540</v>
      </c>
      <c r="M577" s="32"/>
      <c r="N577" s="65">
        <v>15000000</v>
      </c>
      <c r="O577" s="43"/>
      <c r="P577" s="43"/>
      <c r="Q577" s="48">
        <f t="shared" si="559"/>
        <v>7582136540</v>
      </c>
      <c r="R577" s="48">
        <v>7567136540</v>
      </c>
      <c r="S577" s="33"/>
      <c r="T577" s="44">
        <v>15000000</v>
      </c>
      <c r="U577" s="33"/>
      <c r="V577" s="33"/>
      <c r="W577" s="52"/>
      <c r="X577" s="52">
        <f t="shared" ref="X577:Y577" si="572">M577-S577</f>
        <v>0</v>
      </c>
      <c r="Y577" s="52">
        <f t="shared" si="572"/>
        <v>0</v>
      </c>
      <c r="Z577" s="52">
        <f t="shared" si="515"/>
        <v>0</v>
      </c>
      <c r="AA577" s="54"/>
      <c r="AB577" s="68"/>
    </row>
    <row r="578" spans="1:45" ht="40.5" x14ac:dyDescent="0.25">
      <c r="A578" s="33" t="s">
        <v>35</v>
      </c>
      <c r="B578" s="42">
        <v>556</v>
      </c>
      <c r="C578" s="33" t="s">
        <v>498</v>
      </c>
      <c r="D578" s="33" t="s">
        <v>3076</v>
      </c>
      <c r="E578" s="32"/>
      <c r="F578" s="33" t="s">
        <v>3077</v>
      </c>
      <c r="G578" s="32"/>
      <c r="H578" s="32"/>
      <c r="I578" s="62" t="s">
        <v>3078</v>
      </c>
      <c r="J578" s="33" t="s">
        <v>43</v>
      </c>
      <c r="K578" s="33" t="s">
        <v>2543</v>
      </c>
      <c r="L578" s="65">
        <v>5507929500</v>
      </c>
      <c r="M578" s="32"/>
      <c r="N578" s="65">
        <v>7500000</v>
      </c>
      <c r="O578" s="43"/>
      <c r="P578" s="43"/>
      <c r="Q578" s="48">
        <f t="shared" si="559"/>
        <v>5515429500</v>
      </c>
      <c r="R578" s="48">
        <v>5507929500</v>
      </c>
      <c r="S578" s="33"/>
      <c r="T578" s="44">
        <v>7500000</v>
      </c>
      <c r="U578" s="33"/>
      <c r="V578" s="33"/>
      <c r="W578" s="52"/>
      <c r="X578" s="52">
        <f t="shared" ref="X578:Y578" si="573">M578-S578</f>
        <v>0</v>
      </c>
      <c r="Y578" s="52">
        <f t="shared" si="573"/>
        <v>0</v>
      </c>
      <c r="Z578" s="52">
        <f t="shared" si="515"/>
        <v>0</v>
      </c>
      <c r="AA578" s="54"/>
      <c r="AB578" s="68"/>
    </row>
    <row r="579" spans="1:45" ht="31.5" x14ac:dyDescent="0.25">
      <c r="A579" s="33" t="s">
        <v>52</v>
      </c>
      <c r="B579" s="42">
        <v>557</v>
      </c>
      <c r="C579" s="33" t="s">
        <v>498</v>
      </c>
      <c r="D579" s="33" t="s">
        <v>3079</v>
      </c>
      <c r="E579" s="33" t="s">
        <v>3080</v>
      </c>
      <c r="F579" s="33" t="s">
        <v>3081</v>
      </c>
      <c r="G579" s="33" t="s">
        <v>3082</v>
      </c>
      <c r="H579" s="32"/>
      <c r="I579" s="62" t="s">
        <v>3083</v>
      </c>
      <c r="J579" s="33" t="s">
        <v>43</v>
      </c>
      <c r="K579" s="33" t="s">
        <v>3084</v>
      </c>
      <c r="L579" s="65">
        <v>3526135072</v>
      </c>
      <c r="M579" s="65">
        <v>192607800</v>
      </c>
      <c r="N579" s="65">
        <v>15000000</v>
      </c>
      <c r="O579" s="43"/>
      <c r="P579" s="43"/>
      <c r="Q579" s="48">
        <f t="shared" si="559"/>
        <v>3733742872</v>
      </c>
      <c r="R579" s="48">
        <v>3526135072</v>
      </c>
      <c r="S579" s="48">
        <v>192607800</v>
      </c>
      <c r="T579" s="44">
        <v>15000000</v>
      </c>
      <c r="U579" s="33"/>
      <c r="V579" s="33"/>
      <c r="W579" s="52"/>
      <c r="X579" s="52">
        <f t="shared" ref="X579:Y579" si="574">M579-S579</f>
        <v>0</v>
      </c>
      <c r="Y579" s="52">
        <f t="shared" si="574"/>
        <v>0</v>
      </c>
      <c r="Z579" s="52">
        <f t="shared" si="515"/>
        <v>0</v>
      </c>
      <c r="AA579" s="54"/>
      <c r="AB579" s="68"/>
    </row>
    <row r="580" spans="1:45" ht="31.5" x14ac:dyDescent="0.25">
      <c r="A580" s="33" t="s">
        <v>52</v>
      </c>
      <c r="B580" s="42">
        <v>558</v>
      </c>
      <c r="C580" s="33" t="s">
        <v>498</v>
      </c>
      <c r="D580" s="33" t="s">
        <v>3085</v>
      </c>
      <c r="E580" s="32"/>
      <c r="F580" s="33" t="s">
        <v>3086</v>
      </c>
      <c r="G580" s="32"/>
      <c r="H580" s="32"/>
      <c r="I580" s="62" t="s">
        <v>3087</v>
      </c>
      <c r="J580" s="33" t="s">
        <v>43</v>
      </c>
      <c r="K580" s="33" t="s">
        <v>3088</v>
      </c>
      <c r="L580" s="65">
        <v>3090219698</v>
      </c>
      <c r="M580" s="32"/>
      <c r="N580" s="65">
        <v>15000000</v>
      </c>
      <c r="O580" s="43"/>
      <c r="P580" s="43"/>
      <c r="Q580" s="48">
        <f t="shared" si="559"/>
        <v>3105219698</v>
      </c>
      <c r="R580" s="48">
        <v>3090219698</v>
      </c>
      <c r="S580" s="33"/>
      <c r="T580" s="44">
        <v>15000000</v>
      </c>
      <c r="U580" s="33"/>
      <c r="V580" s="33"/>
      <c r="W580" s="52"/>
      <c r="X580" s="52">
        <f t="shared" ref="X580:Y580" si="575">M580-S580</f>
        <v>0</v>
      </c>
      <c r="Y580" s="52">
        <f t="shared" si="575"/>
        <v>0</v>
      </c>
      <c r="Z580" s="52">
        <f t="shared" si="515"/>
        <v>0</v>
      </c>
      <c r="AA580" s="54"/>
      <c r="AB580" s="68"/>
    </row>
    <row r="581" spans="1:45" ht="60.75" x14ac:dyDescent="0.25">
      <c r="A581" s="33" t="s">
        <v>52</v>
      </c>
      <c r="B581" s="42">
        <v>559</v>
      </c>
      <c r="C581" s="33" t="s">
        <v>498</v>
      </c>
      <c r="D581" s="33" t="s">
        <v>1745</v>
      </c>
      <c r="E581" s="32"/>
      <c r="F581" s="33" t="s">
        <v>1746</v>
      </c>
      <c r="G581" s="32"/>
      <c r="H581" s="32"/>
      <c r="I581" s="62" t="s">
        <v>1747</v>
      </c>
      <c r="J581" s="33" t="s">
        <v>43</v>
      </c>
      <c r="K581" s="33" t="s">
        <v>1748</v>
      </c>
      <c r="L581" s="65">
        <v>1153919632</v>
      </c>
      <c r="M581" s="32"/>
      <c r="N581" s="65">
        <v>15000000</v>
      </c>
      <c r="O581" s="43" t="s">
        <v>1736</v>
      </c>
      <c r="P581" s="69">
        <v>8000000</v>
      </c>
      <c r="Q581" s="48">
        <f t="shared" si="559"/>
        <v>1176919632</v>
      </c>
      <c r="R581" s="48">
        <v>1153919632</v>
      </c>
      <c r="S581" s="33"/>
      <c r="T581" s="44">
        <v>15000000</v>
      </c>
      <c r="U581" s="48">
        <v>8000000</v>
      </c>
      <c r="V581" s="33"/>
      <c r="W581" s="52"/>
      <c r="X581" s="52">
        <f t="shared" ref="X581:Y581" si="576">M581-S581</f>
        <v>0</v>
      </c>
      <c r="Y581" s="52">
        <f t="shared" si="576"/>
        <v>0</v>
      </c>
      <c r="Z581" s="52">
        <f t="shared" si="515"/>
        <v>0</v>
      </c>
      <c r="AA581" s="54"/>
      <c r="AB581" s="68"/>
    </row>
    <row r="582" spans="1:45" ht="40.5" x14ac:dyDescent="0.25">
      <c r="A582" s="33" t="s">
        <v>52</v>
      </c>
      <c r="B582" s="42">
        <v>560</v>
      </c>
      <c r="C582" s="33" t="s">
        <v>498</v>
      </c>
      <c r="D582" s="33" t="s">
        <v>3089</v>
      </c>
      <c r="E582" s="32"/>
      <c r="F582" s="33" t="s">
        <v>3090</v>
      </c>
      <c r="G582" s="32"/>
      <c r="H582" s="32"/>
      <c r="I582" s="62" t="s">
        <v>3091</v>
      </c>
      <c r="J582" s="33" t="s">
        <v>43</v>
      </c>
      <c r="K582" s="33" t="s">
        <v>3092</v>
      </c>
      <c r="L582" s="65">
        <v>8227078695</v>
      </c>
      <c r="M582" s="32"/>
      <c r="N582" s="65">
        <v>15000000</v>
      </c>
      <c r="O582" s="43"/>
      <c r="P582" s="43"/>
      <c r="Q582" s="48">
        <f t="shared" si="559"/>
        <v>8242078695</v>
      </c>
      <c r="R582" s="48">
        <v>8227078695</v>
      </c>
      <c r="S582" s="33"/>
      <c r="T582" s="44">
        <v>15000000</v>
      </c>
      <c r="U582" s="33"/>
      <c r="V582" s="33"/>
      <c r="W582" s="52"/>
      <c r="X582" s="52">
        <f t="shared" ref="X582:Y582" si="577">M582-S582</f>
        <v>0</v>
      </c>
      <c r="Y582" s="52">
        <f t="shared" si="577"/>
        <v>0</v>
      </c>
      <c r="Z582" s="52">
        <f t="shared" si="515"/>
        <v>0</v>
      </c>
      <c r="AA582" s="54"/>
      <c r="AB582" s="68"/>
    </row>
    <row r="583" spans="1:45" ht="31.5" x14ac:dyDescent="0.25">
      <c r="A583" s="33" t="s">
        <v>88</v>
      </c>
      <c r="B583" s="42">
        <v>561</v>
      </c>
      <c r="C583" s="33" t="s">
        <v>498</v>
      </c>
      <c r="D583" s="33" t="s">
        <v>3093</v>
      </c>
      <c r="E583" s="32"/>
      <c r="F583" s="33" t="s">
        <v>3094</v>
      </c>
      <c r="G583" s="32"/>
      <c r="H583" s="32"/>
      <c r="I583" s="62" t="s">
        <v>3095</v>
      </c>
      <c r="J583" s="33" t="s">
        <v>43</v>
      </c>
      <c r="K583" s="33" t="s">
        <v>3096</v>
      </c>
      <c r="L583" s="65">
        <v>5211174260</v>
      </c>
      <c r="M583" s="32"/>
      <c r="N583" s="65">
        <v>15000000</v>
      </c>
      <c r="O583" s="43"/>
      <c r="P583" s="43"/>
      <c r="Q583" s="48">
        <f t="shared" si="559"/>
        <v>5226174260</v>
      </c>
      <c r="R583" s="52">
        <v>5211174260</v>
      </c>
      <c r="S583" s="33"/>
      <c r="T583" s="44">
        <v>15000000</v>
      </c>
      <c r="U583" s="33"/>
      <c r="V583" s="33"/>
      <c r="W583" s="52"/>
      <c r="X583" s="52">
        <f t="shared" ref="X583:Y583" si="578">M583-S583</f>
        <v>0</v>
      </c>
      <c r="Y583" s="52">
        <f t="shared" si="578"/>
        <v>0</v>
      </c>
      <c r="Z583" s="52">
        <f t="shared" si="515"/>
        <v>0</v>
      </c>
      <c r="AA583" s="54"/>
      <c r="AB583" s="68"/>
    </row>
    <row r="584" spans="1:45" ht="81" x14ac:dyDescent="0.25">
      <c r="A584" s="33" t="s">
        <v>52</v>
      </c>
      <c r="B584" s="42">
        <v>562</v>
      </c>
      <c r="C584" s="33" t="s">
        <v>498</v>
      </c>
      <c r="D584" s="33" t="s">
        <v>875</v>
      </c>
      <c r="E584" s="32"/>
      <c r="F584" s="33" t="s">
        <v>879</v>
      </c>
      <c r="G584" s="32"/>
      <c r="H584" s="32"/>
      <c r="I584" s="62" t="s">
        <v>880</v>
      </c>
      <c r="J584" s="33" t="s">
        <v>43</v>
      </c>
      <c r="K584" s="33" t="s">
        <v>881</v>
      </c>
      <c r="L584" s="65">
        <v>1118352476</v>
      </c>
      <c r="M584" s="32"/>
      <c r="N584" s="65">
        <v>15000000</v>
      </c>
      <c r="O584" s="43" t="s">
        <v>877</v>
      </c>
      <c r="P584" s="69">
        <v>108000000</v>
      </c>
      <c r="Q584" s="48">
        <f t="shared" si="559"/>
        <v>1241352476</v>
      </c>
      <c r="R584" s="48">
        <v>1118352476</v>
      </c>
      <c r="S584" s="33"/>
      <c r="T584" s="44">
        <v>15000000</v>
      </c>
      <c r="U584" s="33"/>
      <c r="V584" s="33"/>
      <c r="W584" s="52"/>
      <c r="X584" s="52">
        <f t="shared" ref="X584:Y584" si="579">M584-S584</f>
        <v>0</v>
      </c>
      <c r="Y584" s="52">
        <f t="shared" si="579"/>
        <v>0</v>
      </c>
      <c r="Z584" s="52">
        <f t="shared" si="515"/>
        <v>108000000</v>
      </c>
      <c r="AA584" s="54"/>
      <c r="AB584" s="74" t="s">
        <v>3097</v>
      </c>
    </row>
    <row r="585" spans="1:45" ht="40.5" x14ac:dyDescent="0.25">
      <c r="A585" s="33" t="s">
        <v>52</v>
      </c>
      <c r="B585" s="42">
        <v>563</v>
      </c>
      <c r="C585" s="33" t="s">
        <v>498</v>
      </c>
      <c r="D585" s="33" t="s">
        <v>3098</v>
      </c>
      <c r="E585" s="32"/>
      <c r="F585" s="33" t="s">
        <v>3099</v>
      </c>
      <c r="G585" s="32"/>
      <c r="H585" s="32"/>
      <c r="I585" s="62" t="s">
        <v>3100</v>
      </c>
      <c r="J585" s="33" t="s">
        <v>43</v>
      </c>
      <c r="K585" s="33" t="s">
        <v>3101</v>
      </c>
      <c r="L585" s="65">
        <v>4009786804</v>
      </c>
      <c r="M585" s="32"/>
      <c r="N585" s="65">
        <v>7500000</v>
      </c>
      <c r="O585" s="43"/>
      <c r="P585" s="43"/>
      <c r="Q585" s="48">
        <f t="shared" si="559"/>
        <v>4017286804</v>
      </c>
      <c r="R585" s="48">
        <v>4009786804</v>
      </c>
      <c r="S585" s="33"/>
      <c r="T585" s="44">
        <v>7500000</v>
      </c>
      <c r="U585" s="33"/>
      <c r="V585" s="33"/>
      <c r="W585" s="52"/>
      <c r="X585" s="52">
        <f t="shared" ref="X585:Y585" si="580">M585-S585</f>
        <v>0</v>
      </c>
      <c r="Y585" s="52">
        <f t="shared" si="580"/>
        <v>0</v>
      </c>
      <c r="Z585" s="52">
        <f t="shared" si="515"/>
        <v>0</v>
      </c>
      <c r="AA585" s="54"/>
      <c r="AB585" s="68"/>
    </row>
    <row r="586" spans="1:45" ht="40.5" x14ac:dyDescent="0.25">
      <c r="A586" s="33" t="s">
        <v>52</v>
      </c>
      <c r="B586" s="42">
        <v>564</v>
      </c>
      <c r="C586" s="33" t="s">
        <v>498</v>
      </c>
      <c r="D586" s="33" t="s">
        <v>3102</v>
      </c>
      <c r="E586" s="32"/>
      <c r="F586" s="33" t="s">
        <v>3103</v>
      </c>
      <c r="G586" s="32"/>
      <c r="H586" s="32"/>
      <c r="I586" s="62" t="s">
        <v>3104</v>
      </c>
      <c r="J586" s="33" t="s">
        <v>43</v>
      </c>
      <c r="K586" s="33" t="s">
        <v>3105</v>
      </c>
      <c r="L586" s="65">
        <v>1650178250</v>
      </c>
      <c r="M586" s="32"/>
      <c r="N586" s="65">
        <v>7500000</v>
      </c>
      <c r="O586" s="43"/>
      <c r="P586" s="43"/>
      <c r="Q586" s="48">
        <f t="shared" si="559"/>
        <v>1657678250</v>
      </c>
      <c r="R586" s="48">
        <v>1650178250</v>
      </c>
      <c r="S586" s="33"/>
      <c r="T586" s="44">
        <v>7500000</v>
      </c>
      <c r="U586" s="33"/>
      <c r="V586" s="33"/>
      <c r="W586" s="52"/>
      <c r="X586" s="52">
        <f t="shared" ref="X586:Y586" si="581">M586-S586</f>
        <v>0</v>
      </c>
      <c r="Y586" s="52">
        <f t="shared" si="581"/>
        <v>0</v>
      </c>
      <c r="Z586" s="52">
        <f t="shared" si="515"/>
        <v>0</v>
      </c>
      <c r="AA586" s="54"/>
      <c r="AB586" s="68"/>
    </row>
    <row r="587" spans="1:45" ht="40.5" x14ac:dyDescent="0.25">
      <c r="A587" s="33" t="s">
        <v>35</v>
      </c>
      <c r="B587" s="42">
        <v>565</v>
      </c>
      <c r="C587" s="33" t="s">
        <v>498</v>
      </c>
      <c r="D587" s="33" t="s">
        <v>1265</v>
      </c>
      <c r="E587" s="32"/>
      <c r="F587" s="33" t="s">
        <v>1266</v>
      </c>
      <c r="G587" s="32"/>
      <c r="H587" s="32"/>
      <c r="I587" s="62" t="s">
        <v>1267</v>
      </c>
      <c r="J587" s="33" t="s">
        <v>43</v>
      </c>
      <c r="K587" s="33" t="s">
        <v>1268</v>
      </c>
      <c r="L587" s="65">
        <v>1871632320</v>
      </c>
      <c r="M587" s="32"/>
      <c r="N587" s="65">
        <v>15000000</v>
      </c>
      <c r="O587" s="43" t="s">
        <v>1227</v>
      </c>
      <c r="P587" s="69">
        <v>24000000</v>
      </c>
      <c r="Q587" s="48">
        <f t="shared" si="559"/>
        <v>1910632320</v>
      </c>
      <c r="R587" s="48">
        <v>1871632320</v>
      </c>
      <c r="S587" s="33"/>
      <c r="T587" s="44">
        <v>15000000</v>
      </c>
      <c r="U587" s="48">
        <v>24000000</v>
      </c>
      <c r="V587" s="33"/>
      <c r="W587" s="52"/>
      <c r="X587" s="52">
        <f t="shared" ref="X587:Y587" si="582">M587-S587</f>
        <v>0</v>
      </c>
      <c r="Y587" s="52">
        <f t="shared" si="582"/>
        <v>0</v>
      </c>
      <c r="Z587" s="52">
        <f t="shared" si="515"/>
        <v>0</v>
      </c>
      <c r="AA587" s="54"/>
      <c r="AB587" s="68"/>
    </row>
    <row r="588" spans="1:45" ht="60.75" x14ac:dyDescent="0.25">
      <c r="A588" s="33" t="s">
        <v>60</v>
      </c>
      <c r="B588" s="42">
        <v>566</v>
      </c>
      <c r="C588" s="33" t="s">
        <v>498</v>
      </c>
      <c r="D588" s="33" t="s">
        <v>3106</v>
      </c>
      <c r="E588" s="32"/>
      <c r="F588" s="33" t="s">
        <v>3107</v>
      </c>
      <c r="G588" s="32"/>
      <c r="H588" s="32"/>
      <c r="I588" s="62" t="s">
        <v>3108</v>
      </c>
      <c r="J588" s="33" t="s">
        <v>43</v>
      </c>
      <c r="K588" s="33" t="s">
        <v>3109</v>
      </c>
      <c r="L588" s="65">
        <v>41760857447</v>
      </c>
      <c r="M588" s="32"/>
      <c r="N588" s="65">
        <v>15000000</v>
      </c>
      <c r="O588" s="43"/>
      <c r="P588" s="43"/>
      <c r="Q588" s="48">
        <f t="shared" si="559"/>
        <v>41775857447</v>
      </c>
      <c r="R588" s="48">
        <v>41760857447</v>
      </c>
      <c r="S588" s="33"/>
      <c r="T588" s="66"/>
      <c r="U588" s="33"/>
      <c r="V588" s="33"/>
      <c r="W588" s="52"/>
      <c r="X588" s="52">
        <f t="shared" ref="X588:Y588" si="583">M588-S588</f>
        <v>0</v>
      </c>
      <c r="Y588" s="52">
        <f t="shared" si="583"/>
        <v>15000000</v>
      </c>
      <c r="Z588" s="52">
        <f t="shared" si="515"/>
        <v>0</v>
      </c>
      <c r="AA588" s="54"/>
      <c r="AB588" s="68"/>
    </row>
    <row r="589" spans="1:45" ht="63.75" customHeight="1" x14ac:dyDescent="0.25">
      <c r="A589" s="33" t="s">
        <v>275</v>
      </c>
      <c r="B589" s="42">
        <v>567</v>
      </c>
      <c r="C589" s="33" t="s">
        <v>498</v>
      </c>
      <c r="D589" s="33" t="s">
        <v>3110</v>
      </c>
      <c r="E589" s="33" t="s">
        <v>3111</v>
      </c>
      <c r="F589" s="33" t="s">
        <v>3112</v>
      </c>
      <c r="G589" s="32"/>
      <c r="H589" s="32"/>
      <c r="I589" s="62" t="s">
        <v>3113</v>
      </c>
      <c r="J589" s="33" t="s">
        <v>43</v>
      </c>
      <c r="K589" s="33" t="s">
        <v>3114</v>
      </c>
      <c r="L589" s="65">
        <v>2967127072</v>
      </c>
      <c r="M589" s="65">
        <v>394557580</v>
      </c>
      <c r="N589" s="65">
        <v>15000000</v>
      </c>
      <c r="O589" s="43"/>
      <c r="P589" s="43"/>
      <c r="Q589" s="48">
        <f t="shared" si="559"/>
        <v>3376684652</v>
      </c>
      <c r="R589" s="48">
        <v>2967127072</v>
      </c>
      <c r="S589" s="48">
        <v>394557580</v>
      </c>
      <c r="T589" s="44">
        <v>15000000</v>
      </c>
      <c r="U589" s="33"/>
      <c r="V589" s="33"/>
      <c r="W589" s="52"/>
      <c r="X589" s="52">
        <f t="shared" ref="X589:Y589" si="584">M589-S589</f>
        <v>0</v>
      </c>
      <c r="Y589" s="52">
        <f t="shared" si="584"/>
        <v>0</v>
      </c>
      <c r="Z589" s="52">
        <f t="shared" si="515"/>
        <v>0</v>
      </c>
      <c r="AA589" s="54"/>
      <c r="AB589" s="68"/>
    </row>
    <row r="590" spans="1:45" ht="40.5" x14ac:dyDescent="0.25">
      <c r="A590" s="33" t="s">
        <v>60</v>
      </c>
      <c r="B590" s="42">
        <v>568</v>
      </c>
      <c r="C590" s="33" t="s">
        <v>498</v>
      </c>
      <c r="D590" s="33" t="s">
        <v>1367</v>
      </c>
      <c r="E590" s="32"/>
      <c r="F590" s="33" t="s">
        <v>1371</v>
      </c>
      <c r="G590" s="32"/>
      <c r="H590" s="32"/>
      <c r="I590" s="62" t="s">
        <v>1373</v>
      </c>
      <c r="J590" s="33" t="s">
        <v>43</v>
      </c>
      <c r="K590" s="33" t="s">
        <v>1374</v>
      </c>
      <c r="L590" s="65">
        <v>3684148720</v>
      </c>
      <c r="M590" s="32"/>
      <c r="N590" s="65">
        <v>15000000</v>
      </c>
      <c r="O590" s="43" t="s">
        <v>3116</v>
      </c>
      <c r="P590" s="69">
        <v>24000000</v>
      </c>
      <c r="Q590" s="48">
        <f t="shared" si="559"/>
        <v>3723148720</v>
      </c>
      <c r="R590" s="48">
        <v>3684148720</v>
      </c>
      <c r="S590" s="33"/>
      <c r="T590" s="44">
        <v>15000000</v>
      </c>
      <c r="U590" s="48">
        <v>24000000</v>
      </c>
      <c r="V590" s="33"/>
      <c r="W590" s="52"/>
      <c r="X590" s="52">
        <f t="shared" ref="X590:Y590" si="585">M590-S590</f>
        <v>0</v>
      </c>
      <c r="Y590" s="52">
        <f t="shared" si="585"/>
        <v>0</v>
      </c>
      <c r="Z590" s="52">
        <f t="shared" si="515"/>
        <v>0</v>
      </c>
      <c r="AA590" s="54"/>
      <c r="AB590" s="74"/>
    </row>
    <row r="591" spans="1:45" ht="40.5" x14ac:dyDescent="0.25">
      <c r="A591" s="88" t="s">
        <v>60</v>
      </c>
      <c r="B591" s="89">
        <v>568</v>
      </c>
      <c r="C591" s="88" t="s">
        <v>498</v>
      </c>
      <c r="D591" s="88" t="s">
        <v>1367</v>
      </c>
      <c r="E591" s="90"/>
      <c r="F591" s="88" t="s">
        <v>1371</v>
      </c>
      <c r="G591" s="90"/>
      <c r="H591" s="90"/>
      <c r="I591" s="107" t="s">
        <v>1373</v>
      </c>
      <c r="J591" s="88" t="s">
        <v>43</v>
      </c>
      <c r="K591" s="88" t="s">
        <v>1374</v>
      </c>
      <c r="L591" s="108">
        <v>3684148720</v>
      </c>
      <c r="M591" s="90"/>
      <c r="N591" s="108">
        <v>15000000</v>
      </c>
      <c r="O591" s="92" t="s">
        <v>3117</v>
      </c>
      <c r="P591" s="84">
        <v>48000000</v>
      </c>
      <c r="Q591" s="91">
        <f t="shared" si="559"/>
        <v>3747148720</v>
      </c>
      <c r="R591" s="91">
        <v>3684148720</v>
      </c>
      <c r="S591" s="88"/>
      <c r="T591" s="93">
        <v>15000000</v>
      </c>
      <c r="U591" s="91"/>
      <c r="V591" s="88"/>
      <c r="W591" s="94"/>
      <c r="X591" s="94">
        <f t="shared" ref="X591:Y591" si="586">M591-S591</f>
        <v>0</v>
      </c>
      <c r="Y591" s="94">
        <f t="shared" si="586"/>
        <v>0</v>
      </c>
      <c r="Z591" s="94">
        <f t="shared" si="515"/>
        <v>48000000</v>
      </c>
      <c r="AA591" s="95"/>
      <c r="AB591" s="96" t="s">
        <v>3118</v>
      </c>
      <c r="AC591" s="97"/>
      <c r="AD591" s="97"/>
      <c r="AE591" s="97"/>
      <c r="AF591" s="97"/>
      <c r="AG591" s="97"/>
      <c r="AH591" s="97"/>
      <c r="AI591" s="97"/>
      <c r="AJ591" s="97"/>
      <c r="AK591" s="97"/>
      <c r="AL591" s="97"/>
      <c r="AM591" s="97"/>
      <c r="AN591" s="97"/>
      <c r="AO591" s="97"/>
      <c r="AP591" s="97"/>
      <c r="AQ591" s="97"/>
      <c r="AR591" s="97"/>
      <c r="AS591" s="97"/>
    </row>
    <row r="592" spans="1:45" ht="40.5" x14ac:dyDescent="0.25">
      <c r="A592" s="33" t="s">
        <v>60</v>
      </c>
      <c r="B592" s="42">
        <v>569</v>
      </c>
      <c r="C592" s="33" t="s">
        <v>498</v>
      </c>
      <c r="D592" s="33" t="s">
        <v>3119</v>
      </c>
      <c r="E592" s="32"/>
      <c r="F592" s="33" t="s">
        <v>3120</v>
      </c>
      <c r="G592" s="32"/>
      <c r="H592" s="32"/>
      <c r="I592" s="62" t="s">
        <v>3121</v>
      </c>
      <c r="J592" s="33" t="s">
        <v>43</v>
      </c>
      <c r="K592" s="33" t="s">
        <v>3122</v>
      </c>
      <c r="L592" s="65">
        <v>6823115420</v>
      </c>
      <c r="M592" s="32"/>
      <c r="N592" s="65">
        <v>15000000</v>
      </c>
      <c r="O592" s="43"/>
      <c r="P592" s="43"/>
      <c r="Q592" s="48">
        <f t="shared" si="559"/>
        <v>6838115420</v>
      </c>
      <c r="R592" s="48">
        <v>6823115420</v>
      </c>
      <c r="S592" s="33"/>
      <c r="T592" s="44">
        <v>15000000</v>
      </c>
      <c r="U592" s="33"/>
      <c r="V592" s="33"/>
      <c r="W592" s="52"/>
      <c r="X592" s="52">
        <f t="shared" ref="X592:Y592" si="587">M592-S592</f>
        <v>0</v>
      </c>
      <c r="Y592" s="52">
        <f t="shared" si="587"/>
        <v>0</v>
      </c>
      <c r="Z592" s="52">
        <f t="shared" si="515"/>
        <v>0</v>
      </c>
      <c r="AA592" s="54"/>
      <c r="AB592" s="68"/>
    </row>
    <row r="593" spans="1:28" ht="40.5" x14ac:dyDescent="0.25">
      <c r="A593" s="33" t="s">
        <v>88</v>
      </c>
      <c r="B593" s="42">
        <v>570</v>
      </c>
      <c r="C593" s="33" t="s">
        <v>498</v>
      </c>
      <c r="D593" s="33" t="s">
        <v>3125</v>
      </c>
      <c r="E593" s="32"/>
      <c r="F593" s="33" t="s">
        <v>3126</v>
      </c>
      <c r="G593" s="32"/>
      <c r="H593" s="32"/>
      <c r="I593" s="62" t="s">
        <v>3127</v>
      </c>
      <c r="J593" s="33" t="s">
        <v>43</v>
      </c>
      <c r="K593" s="33" t="s">
        <v>3128</v>
      </c>
      <c r="L593" s="65">
        <v>223003630</v>
      </c>
      <c r="M593" s="32"/>
      <c r="N593" s="65">
        <v>7500000</v>
      </c>
      <c r="O593" s="43"/>
      <c r="P593" s="43"/>
      <c r="Q593" s="48">
        <f t="shared" si="559"/>
        <v>230503630</v>
      </c>
      <c r="R593" s="48">
        <v>223003630</v>
      </c>
      <c r="S593" s="33"/>
      <c r="T593" s="44">
        <v>7500000</v>
      </c>
      <c r="U593" s="33"/>
      <c r="V593" s="33"/>
      <c r="W593" s="52"/>
      <c r="X593" s="52">
        <f t="shared" ref="X593:Y593" si="588">M593-S593</f>
        <v>0</v>
      </c>
      <c r="Y593" s="52">
        <f t="shared" si="588"/>
        <v>0</v>
      </c>
      <c r="Z593" s="52">
        <f t="shared" si="515"/>
        <v>0</v>
      </c>
      <c r="AA593" s="54"/>
      <c r="AB593" s="68"/>
    </row>
    <row r="594" spans="1:28" ht="40.5" x14ac:dyDescent="0.25">
      <c r="A594" s="33" t="s">
        <v>88</v>
      </c>
      <c r="B594" s="42">
        <v>571</v>
      </c>
      <c r="C594" s="33" t="s">
        <v>498</v>
      </c>
      <c r="D594" s="33" t="s">
        <v>3129</v>
      </c>
      <c r="E594" s="32"/>
      <c r="F594" s="33" t="s">
        <v>3130</v>
      </c>
      <c r="G594" s="32"/>
      <c r="H594" s="32"/>
      <c r="I594" s="62" t="s">
        <v>2362</v>
      </c>
      <c r="J594" s="33" t="s">
        <v>43</v>
      </c>
      <c r="K594" s="33" t="s">
        <v>3131</v>
      </c>
      <c r="L594" s="65">
        <v>4591185242</v>
      </c>
      <c r="M594" s="32"/>
      <c r="N594" s="65">
        <v>7500000</v>
      </c>
      <c r="O594" s="43"/>
      <c r="P594" s="43"/>
      <c r="Q594" s="48">
        <f t="shared" si="559"/>
        <v>4598685242</v>
      </c>
      <c r="R594" s="52">
        <v>4591185242</v>
      </c>
      <c r="S594" s="33"/>
      <c r="T594" s="44">
        <v>7500000</v>
      </c>
      <c r="U594" s="33"/>
      <c r="V594" s="33"/>
      <c r="W594" s="52"/>
      <c r="X594" s="52">
        <f t="shared" ref="X594:Y594" si="589">M594-S594</f>
        <v>0</v>
      </c>
      <c r="Y594" s="52">
        <f t="shared" si="589"/>
        <v>0</v>
      </c>
      <c r="Z594" s="52">
        <f t="shared" si="515"/>
        <v>0</v>
      </c>
      <c r="AA594" s="54"/>
      <c r="AB594" s="68"/>
    </row>
    <row r="595" spans="1:28" ht="31.5" x14ac:dyDescent="0.25">
      <c r="A595" s="33" t="s">
        <v>52</v>
      </c>
      <c r="B595" s="42">
        <v>572</v>
      </c>
      <c r="C595" s="33" t="s">
        <v>498</v>
      </c>
      <c r="D595" s="33" t="s">
        <v>3132</v>
      </c>
      <c r="E595" s="32"/>
      <c r="F595" s="33" t="s">
        <v>3133</v>
      </c>
      <c r="G595" s="32"/>
      <c r="H595" s="32"/>
      <c r="I595" s="62" t="s">
        <v>3134</v>
      </c>
      <c r="J595" s="33" t="s">
        <v>43</v>
      </c>
      <c r="K595" s="33" t="s">
        <v>3135</v>
      </c>
      <c r="L595" s="65">
        <v>1598877052</v>
      </c>
      <c r="M595" s="32"/>
      <c r="N595" s="65">
        <v>7500000</v>
      </c>
      <c r="O595" s="43"/>
      <c r="P595" s="43"/>
      <c r="Q595" s="48">
        <f t="shared" si="559"/>
        <v>1606377052</v>
      </c>
      <c r="R595" s="48">
        <v>1598877052</v>
      </c>
      <c r="S595" s="33"/>
      <c r="T595" s="44">
        <v>7500000</v>
      </c>
      <c r="U595" s="33"/>
      <c r="V595" s="33"/>
      <c r="W595" s="52"/>
      <c r="X595" s="52">
        <f t="shared" ref="X595:Y595" si="590">M595-S595</f>
        <v>0</v>
      </c>
      <c r="Y595" s="52">
        <f t="shared" si="590"/>
        <v>0</v>
      </c>
      <c r="Z595" s="52">
        <f t="shared" si="515"/>
        <v>0</v>
      </c>
      <c r="AA595" s="54"/>
      <c r="AB595" s="68"/>
    </row>
    <row r="596" spans="1:28" ht="60.75" x14ac:dyDescent="0.3">
      <c r="A596" s="33" t="s">
        <v>52</v>
      </c>
      <c r="B596" s="42">
        <v>573</v>
      </c>
      <c r="C596" s="33" t="s">
        <v>498</v>
      </c>
      <c r="D596" s="33" t="s">
        <v>3136</v>
      </c>
      <c r="E596" s="33" t="s">
        <v>3137</v>
      </c>
      <c r="F596" s="33" t="s">
        <v>3138</v>
      </c>
      <c r="G596" s="32"/>
      <c r="H596" s="32"/>
      <c r="I596" s="62" t="s">
        <v>3139</v>
      </c>
      <c r="J596" s="33" t="s">
        <v>43</v>
      </c>
      <c r="K596" s="33" t="s">
        <v>3140</v>
      </c>
      <c r="L596" s="65">
        <v>4657154105</v>
      </c>
      <c r="M596" s="32"/>
      <c r="N596" s="65">
        <v>15000000</v>
      </c>
      <c r="O596" s="43"/>
      <c r="P596" s="43"/>
      <c r="Q596" s="48">
        <f t="shared" si="559"/>
        <v>4672154105</v>
      </c>
      <c r="R596" s="33"/>
      <c r="S596" s="33"/>
      <c r="T596" s="66"/>
      <c r="U596" s="33"/>
      <c r="V596" s="33"/>
      <c r="W596" s="52">
        <v>4657154105</v>
      </c>
      <c r="X596" s="52">
        <f t="shared" ref="X596:Y596" si="591">M596-S596</f>
        <v>0</v>
      </c>
      <c r="Y596" s="52">
        <f t="shared" si="591"/>
        <v>15000000</v>
      </c>
      <c r="Z596" s="52">
        <f t="shared" si="515"/>
        <v>0</v>
      </c>
      <c r="AA596" s="98">
        <v>4657154105</v>
      </c>
      <c r="AB596" s="68"/>
    </row>
    <row r="597" spans="1:28" ht="40.5" x14ac:dyDescent="0.25">
      <c r="A597" s="33" t="s">
        <v>88</v>
      </c>
      <c r="B597" s="42">
        <v>574</v>
      </c>
      <c r="C597" s="33" t="s">
        <v>498</v>
      </c>
      <c r="D597" s="33" t="s">
        <v>3141</v>
      </c>
      <c r="E597" s="32"/>
      <c r="F597" s="33" t="s">
        <v>3142</v>
      </c>
      <c r="G597" s="32"/>
      <c r="H597" s="32"/>
      <c r="I597" s="62" t="s">
        <v>3143</v>
      </c>
      <c r="J597" s="33" t="s">
        <v>43</v>
      </c>
      <c r="K597" s="33" t="s">
        <v>3144</v>
      </c>
      <c r="L597" s="65">
        <v>2293726938</v>
      </c>
      <c r="M597" s="32"/>
      <c r="N597" s="65">
        <v>7500000</v>
      </c>
      <c r="O597" s="43"/>
      <c r="P597" s="43"/>
      <c r="Q597" s="48">
        <f t="shared" si="559"/>
        <v>2301226938</v>
      </c>
      <c r="R597" s="52">
        <v>2293726938</v>
      </c>
      <c r="S597" s="33"/>
      <c r="T597" s="44">
        <v>7500000</v>
      </c>
      <c r="U597" s="33"/>
      <c r="V597" s="33"/>
      <c r="W597" s="52"/>
      <c r="X597" s="52">
        <f t="shared" ref="X597:Y597" si="592">M597-S597</f>
        <v>0</v>
      </c>
      <c r="Y597" s="52">
        <f t="shared" si="592"/>
        <v>0</v>
      </c>
      <c r="Z597" s="52">
        <f t="shared" si="515"/>
        <v>0</v>
      </c>
      <c r="AA597" s="54"/>
      <c r="AB597" s="68"/>
    </row>
    <row r="598" spans="1:28" ht="31.5" x14ac:dyDescent="0.25">
      <c r="A598" s="33" t="s">
        <v>52</v>
      </c>
      <c r="B598" s="42">
        <v>575</v>
      </c>
      <c r="C598" s="33" t="s">
        <v>498</v>
      </c>
      <c r="D598" s="33" t="s">
        <v>934</v>
      </c>
      <c r="E598" s="33" t="s">
        <v>935</v>
      </c>
      <c r="F598" s="33" t="s">
        <v>936</v>
      </c>
      <c r="G598" s="33" t="s">
        <v>937</v>
      </c>
      <c r="H598" s="32"/>
      <c r="I598" s="62" t="s">
        <v>938</v>
      </c>
      <c r="J598" s="33" t="s">
        <v>43</v>
      </c>
      <c r="K598" s="33" t="s">
        <v>939</v>
      </c>
      <c r="L598" s="65">
        <v>2862700618</v>
      </c>
      <c r="M598" s="65">
        <v>122707142</v>
      </c>
      <c r="N598" s="65">
        <v>15000000</v>
      </c>
      <c r="O598" s="43"/>
      <c r="P598" s="43"/>
      <c r="Q598" s="48">
        <f t="shared" si="559"/>
        <v>3000407760</v>
      </c>
      <c r="R598" s="48">
        <v>2862700618</v>
      </c>
      <c r="S598" s="48">
        <v>122707142</v>
      </c>
      <c r="T598" s="44">
        <v>15000000</v>
      </c>
      <c r="U598" s="33"/>
      <c r="V598" s="33"/>
      <c r="W598" s="52"/>
      <c r="X598" s="52">
        <f t="shared" ref="X598:Y598" si="593">M598-S598</f>
        <v>0</v>
      </c>
      <c r="Y598" s="52">
        <f t="shared" si="593"/>
        <v>0</v>
      </c>
      <c r="Z598" s="52">
        <f t="shared" si="515"/>
        <v>0</v>
      </c>
      <c r="AA598" s="54"/>
      <c r="AB598" s="68"/>
    </row>
    <row r="599" spans="1:28" ht="40.5" x14ac:dyDescent="0.25">
      <c r="A599" s="33" t="s">
        <v>60</v>
      </c>
      <c r="B599" s="42">
        <v>576</v>
      </c>
      <c r="C599" s="33" t="s">
        <v>498</v>
      </c>
      <c r="D599" s="33" t="s">
        <v>1831</v>
      </c>
      <c r="E599" s="33" t="s">
        <v>784</v>
      </c>
      <c r="F599" s="33" t="s">
        <v>1832</v>
      </c>
      <c r="G599" s="32"/>
      <c r="H599" s="32"/>
      <c r="I599" s="62" t="s">
        <v>1833</v>
      </c>
      <c r="J599" s="33" t="s">
        <v>43</v>
      </c>
      <c r="K599" s="33" t="s">
        <v>1834</v>
      </c>
      <c r="L599" s="65">
        <v>490595850</v>
      </c>
      <c r="M599" s="65">
        <v>2336428122</v>
      </c>
      <c r="N599" s="65">
        <v>15000000</v>
      </c>
      <c r="O599" s="43" t="s">
        <v>1822</v>
      </c>
      <c r="P599" s="69">
        <v>42000000</v>
      </c>
      <c r="Q599" s="48">
        <f t="shared" si="559"/>
        <v>2884023972</v>
      </c>
      <c r="R599" s="48">
        <v>490595850</v>
      </c>
      <c r="S599" s="48">
        <v>2336428122</v>
      </c>
      <c r="T599" s="44">
        <v>15000000</v>
      </c>
      <c r="U599" s="48">
        <v>42000000</v>
      </c>
      <c r="V599" s="33"/>
      <c r="W599" s="52"/>
      <c r="X599" s="52">
        <f t="shared" ref="X599:Y599" si="594">M599-S599</f>
        <v>0</v>
      </c>
      <c r="Y599" s="52">
        <f t="shared" si="594"/>
        <v>0</v>
      </c>
      <c r="Z599" s="52">
        <f t="shared" si="515"/>
        <v>0</v>
      </c>
      <c r="AA599" s="54"/>
      <c r="AB599" s="68"/>
    </row>
    <row r="600" spans="1:28" ht="81" x14ac:dyDescent="0.25">
      <c r="A600" s="33" t="s">
        <v>60</v>
      </c>
      <c r="B600" s="42">
        <v>577</v>
      </c>
      <c r="C600" s="33" t="s">
        <v>498</v>
      </c>
      <c r="D600" s="33" t="s">
        <v>1278</v>
      </c>
      <c r="E600" s="33" t="s">
        <v>377</v>
      </c>
      <c r="F600" s="33" t="s">
        <v>1280</v>
      </c>
      <c r="G600" s="33" t="s">
        <v>1281</v>
      </c>
      <c r="H600" s="32"/>
      <c r="I600" s="62" t="s">
        <v>1282</v>
      </c>
      <c r="J600" s="33" t="s">
        <v>43</v>
      </c>
      <c r="K600" s="33" t="s">
        <v>1283</v>
      </c>
      <c r="L600" s="65">
        <v>3664901998</v>
      </c>
      <c r="M600" s="65">
        <v>306209442</v>
      </c>
      <c r="N600" s="65">
        <v>15000000</v>
      </c>
      <c r="O600" s="43" t="s">
        <v>1227</v>
      </c>
      <c r="P600" s="69">
        <v>54000000</v>
      </c>
      <c r="Q600" s="48">
        <f t="shared" si="559"/>
        <v>4040111440</v>
      </c>
      <c r="R600" s="48">
        <v>3664901998</v>
      </c>
      <c r="S600" s="48">
        <v>306209442</v>
      </c>
      <c r="T600" s="44">
        <v>15000000</v>
      </c>
      <c r="U600" s="48">
        <v>54000000</v>
      </c>
      <c r="V600" s="33"/>
      <c r="W600" s="52"/>
      <c r="X600" s="52">
        <f t="shared" ref="X600:Y600" si="595">M600-S600</f>
        <v>0</v>
      </c>
      <c r="Y600" s="52">
        <f t="shared" si="595"/>
        <v>0</v>
      </c>
      <c r="Z600" s="52">
        <f t="shared" si="515"/>
        <v>0</v>
      </c>
      <c r="AA600" s="54"/>
      <c r="AB600" s="68"/>
    </row>
    <row r="601" spans="1:28" ht="40.5" x14ac:dyDescent="0.25">
      <c r="A601" s="33" t="s">
        <v>88</v>
      </c>
      <c r="B601" s="42">
        <v>578</v>
      </c>
      <c r="C601" s="33" t="s">
        <v>498</v>
      </c>
      <c r="D601" s="33" t="s">
        <v>3147</v>
      </c>
      <c r="E601" s="32"/>
      <c r="F601" s="33" t="s">
        <v>3148</v>
      </c>
      <c r="G601" s="32"/>
      <c r="H601" s="32"/>
      <c r="I601" s="62" t="s">
        <v>3149</v>
      </c>
      <c r="J601" s="33" t="s">
        <v>43</v>
      </c>
      <c r="K601" s="33" t="s">
        <v>3150</v>
      </c>
      <c r="L601" s="65">
        <v>2671997320</v>
      </c>
      <c r="M601" s="32"/>
      <c r="N601" s="65">
        <v>15000000</v>
      </c>
      <c r="O601" s="43"/>
      <c r="P601" s="43"/>
      <c r="Q601" s="48">
        <f t="shared" si="559"/>
        <v>2686997320</v>
      </c>
      <c r="R601" s="52">
        <v>2671997320</v>
      </c>
      <c r="S601" s="33"/>
      <c r="T601" s="44">
        <v>15000000</v>
      </c>
      <c r="U601" s="33"/>
      <c r="V601" s="33"/>
      <c r="W601" s="52"/>
      <c r="X601" s="52">
        <f t="shared" ref="X601:Y601" si="596">M601-S601</f>
        <v>0</v>
      </c>
      <c r="Y601" s="52">
        <f t="shared" si="596"/>
        <v>0</v>
      </c>
      <c r="Z601" s="52">
        <f t="shared" si="515"/>
        <v>0</v>
      </c>
      <c r="AA601" s="54"/>
      <c r="AB601" s="68"/>
    </row>
    <row r="602" spans="1:28" ht="31.5" x14ac:dyDescent="0.25">
      <c r="A602" s="33" t="s">
        <v>88</v>
      </c>
      <c r="B602" s="42">
        <v>579</v>
      </c>
      <c r="C602" s="33" t="s">
        <v>498</v>
      </c>
      <c r="D602" s="33" t="s">
        <v>3151</v>
      </c>
      <c r="E602" s="33" t="s">
        <v>3152</v>
      </c>
      <c r="F602" s="33" t="s">
        <v>3153</v>
      </c>
      <c r="G602" s="33" t="s">
        <v>1125</v>
      </c>
      <c r="H602" s="32"/>
      <c r="I602" s="62" t="s">
        <v>3154</v>
      </c>
      <c r="J602" s="33" t="s">
        <v>43</v>
      </c>
      <c r="K602" s="33" t="s">
        <v>3155</v>
      </c>
      <c r="L602" s="65">
        <v>68554474200</v>
      </c>
      <c r="M602" s="65">
        <v>6111803210</v>
      </c>
      <c r="N602" s="65">
        <v>7500000</v>
      </c>
      <c r="O602" s="43"/>
      <c r="P602" s="43"/>
      <c r="Q602" s="48">
        <f t="shared" si="559"/>
        <v>74673777410</v>
      </c>
      <c r="R602" s="52">
        <v>68554474200</v>
      </c>
      <c r="S602" s="48">
        <v>6111803210</v>
      </c>
      <c r="T602" s="44">
        <v>7500000</v>
      </c>
      <c r="U602" s="33"/>
      <c r="V602" s="33"/>
      <c r="W602" s="52"/>
      <c r="X602" s="52">
        <f t="shared" ref="X602:Y602" si="597">M602-S602</f>
        <v>0</v>
      </c>
      <c r="Y602" s="52">
        <f t="shared" si="597"/>
        <v>0</v>
      </c>
      <c r="Z602" s="52">
        <f t="shared" si="515"/>
        <v>0</v>
      </c>
      <c r="AA602" s="54"/>
      <c r="AB602" s="68"/>
    </row>
    <row r="603" spans="1:28" ht="157.5" x14ac:dyDescent="0.25">
      <c r="A603" s="33" t="s">
        <v>275</v>
      </c>
      <c r="B603" s="42">
        <v>580</v>
      </c>
      <c r="C603" s="33" t="s">
        <v>498</v>
      </c>
      <c r="D603" s="33" t="s">
        <v>3156</v>
      </c>
      <c r="E603" s="32"/>
      <c r="F603" s="33" t="s">
        <v>3157</v>
      </c>
      <c r="G603" s="110" t="s">
        <v>3158</v>
      </c>
      <c r="H603" s="32"/>
      <c r="I603" s="62" t="s">
        <v>1704</v>
      </c>
      <c r="J603" s="33" t="s">
        <v>43</v>
      </c>
      <c r="K603" s="33" t="s">
        <v>3159</v>
      </c>
      <c r="L603" s="65">
        <v>1711695248</v>
      </c>
      <c r="M603" s="32"/>
      <c r="N603" s="65">
        <v>7500000</v>
      </c>
      <c r="O603" s="43"/>
      <c r="P603" s="43"/>
      <c r="Q603" s="48">
        <f t="shared" si="559"/>
        <v>1719195248</v>
      </c>
      <c r="R603" s="48">
        <v>1711695248</v>
      </c>
      <c r="S603" s="33"/>
      <c r="T603" s="66"/>
      <c r="U603" s="33"/>
      <c r="V603" s="33"/>
      <c r="W603" s="52"/>
      <c r="X603" s="52">
        <f t="shared" ref="X603:Y603" si="598">M603-S603</f>
        <v>0</v>
      </c>
      <c r="Y603" s="52">
        <f t="shared" si="598"/>
        <v>7500000</v>
      </c>
      <c r="Z603" s="52">
        <f t="shared" si="515"/>
        <v>0</v>
      </c>
      <c r="AA603" s="54"/>
      <c r="AB603" s="68"/>
    </row>
    <row r="604" spans="1:28" ht="31.5" x14ac:dyDescent="0.25">
      <c r="A604" s="33" t="s">
        <v>88</v>
      </c>
      <c r="B604" s="42">
        <v>581</v>
      </c>
      <c r="C604" s="33" t="s">
        <v>498</v>
      </c>
      <c r="D604" s="33" t="s">
        <v>3160</v>
      </c>
      <c r="E604" s="32"/>
      <c r="F604" s="33" t="s">
        <v>3161</v>
      </c>
      <c r="G604" s="32"/>
      <c r="H604" s="32"/>
      <c r="I604" s="62" t="s">
        <v>3162</v>
      </c>
      <c r="J604" s="33" t="s">
        <v>43</v>
      </c>
      <c r="K604" s="33" t="s">
        <v>3163</v>
      </c>
      <c r="L604" s="65">
        <v>7112339220</v>
      </c>
      <c r="M604" s="32"/>
      <c r="N604" s="65">
        <v>7500000</v>
      </c>
      <c r="O604" s="43"/>
      <c r="P604" s="43"/>
      <c r="Q604" s="48">
        <f t="shared" si="559"/>
        <v>7119839220</v>
      </c>
      <c r="R604" s="52">
        <v>7112339220</v>
      </c>
      <c r="S604" s="33"/>
      <c r="T604" s="66"/>
      <c r="U604" s="33"/>
      <c r="V604" s="33"/>
      <c r="W604" s="52"/>
      <c r="X604" s="52">
        <f t="shared" ref="X604:Y604" si="599">M604-S604</f>
        <v>0</v>
      </c>
      <c r="Y604" s="52">
        <f t="shared" si="599"/>
        <v>7500000</v>
      </c>
      <c r="Z604" s="52">
        <f t="shared" si="515"/>
        <v>0</v>
      </c>
      <c r="AA604" s="54"/>
      <c r="AB604" s="68"/>
    </row>
    <row r="605" spans="1:28" ht="40.5" x14ac:dyDescent="0.25">
      <c r="A605" s="33" t="s">
        <v>60</v>
      </c>
      <c r="B605" s="42">
        <v>582</v>
      </c>
      <c r="C605" s="33" t="s">
        <v>498</v>
      </c>
      <c r="D605" s="33" t="s">
        <v>566</v>
      </c>
      <c r="E605" s="33" t="s">
        <v>567</v>
      </c>
      <c r="F605" s="33" t="s">
        <v>569</v>
      </c>
      <c r="G605" s="32"/>
      <c r="H605" s="32"/>
      <c r="I605" s="62" t="s">
        <v>570</v>
      </c>
      <c r="J605" s="33" t="s">
        <v>43</v>
      </c>
      <c r="K605" s="33" t="s">
        <v>571</v>
      </c>
      <c r="L605" s="65">
        <v>9159919264</v>
      </c>
      <c r="M605" s="78">
        <v>705698588</v>
      </c>
      <c r="N605" s="65">
        <v>15000000</v>
      </c>
      <c r="O605" s="33" t="s">
        <v>568</v>
      </c>
      <c r="P605" s="69">
        <v>24000000</v>
      </c>
      <c r="Q605" s="48">
        <f t="shared" si="559"/>
        <v>9904617852</v>
      </c>
      <c r="R605" s="48">
        <v>9159919264</v>
      </c>
      <c r="S605" s="48">
        <v>705698588</v>
      </c>
      <c r="T605" s="66"/>
      <c r="U605" s="48">
        <v>24000000</v>
      </c>
      <c r="V605" s="33"/>
      <c r="W605" s="52"/>
      <c r="X605" s="52">
        <f t="shared" ref="X605:Y605" si="600">M605-S605</f>
        <v>0</v>
      </c>
      <c r="Y605" s="52">
        <f t="shared" si="600"/>
        <v>15000000</v>
      </c>
      <c r="Z605" s="52">
        <f t="shared" si="515"/>
        <v>0</v>
      </c>
      <c r="AA605" s="54"/>
      <c r="AB605" s="68"/>
    </row>
    <row r="606" spans="1:28" ht="47.25" x14ac:dyDescent="0.25">
      <c r="A606" s="33" t="s">
        <v>60</v>
      </c>
      <c r="B606" s="42">
        <v>583</v>
      </c>
      <c r="C606" s="33" t="s">
        <v>498</v>
      </c>
      <c r="D606" s="33" t="s">
        <v>3164</v>
      </c>
      <c r="E606" s="32"/>
      <c r="F606" s="33" t="s">
        <v>3165</v>
      </c>
      <c r="G606" s="32"/>
      <c r="H606" s="32"/>
      <c r="I606" s="62" t="s">
        <v>3166</v>
      </c>
      <c r="J606" s="33" t="s">
        <v>43</v>
      </c>
      <c r="K606" s="33" t="s">
        <v>3167</v>
      </c>
      <c r="L606" s="65">
        <v>10795952385</v>
      </c>
      <c r="M606" s="32"/>
      <c r="N606" s="65">
        <v>7500000</v>
      </c>
      <c r="O606" s="43"/>
      <c r="P606" s="43"/>
      <c r="Q606" s="48">
        <f t="shared" si="559"/>
        <v>10803452385</v>
      </c>
      <c r="R606" s="48">
        <v>10795952385</v>
      </c>
      <c r="S606" s="33"/>
      <c r="T606" s="66"/>
      <c r="U606" s="33"/>
      <c r="V606" s="33"/>
      <c r="W606" s="52"/>
      <c r="X606" s="52">
        <f t="shared" ref="X606:Y606" si="601">M606-S606</f>
        <v>0</v>
      </c>
      <c r="Y606" s="52">
        <f t="shared" si="601"/>
        <v>7500000</v>
      </c>
      <c r="Z606" s="52">
        <f t="shared" si="515"/>
        <v>0</v>
      </c>
      <c r="AA606" s="54"/>
      <c r="AB606" s="68"/>
    </row>
    <row r="607" spans="1:28" ht="40.5" x14ac:dyDescent="0.25">
      <c r="A607" s="33" t="s">
        <v>275</v>
      </c>
      <c r="B607" s="42">
        <v>584</v>
      </c>
      <c r="C607" s="33" t="s">
        <v>498</v>
      </c>
      <c r="D607" s="33" t="s">
        <v>3168</v>
      </c>
      <c r="E607" s="32"/>
      <c r="F607" s="33" t="s">
        <v>3169</v>
      </c>
      <c r="G607" s="32"/>
      <c r="H607" s="32"/>
      <c r="I607" s="62" t="s">
        <v>3170</v>
      </c>
      <c r="J607" s="33" t="s">
        <v>43</v>
      </c>
      <c r="K607" s="33" t="s">
        <v>3171</v>
      </c>
      <c r="L607" s="65">
        <v>2819871600</v>
      </c>
      <c r="M607" s="32"/>
      <c r="N607" s="65">
        <v>7500000</v>
      </c>
      <c r="O607" s="43"/>
      <c r="P607" s="43"/>
      <c r="Q607" s="48">
        <f t="shared" si="559"/>
        <v>2827371600</v>
      </c>
      <c r="R607" s="48">
        <v>2819871600</v>
      </c>
      <c r="S607" s="33"/>
      <c r="T607" s="66"/>
      <c r="U607" s="33"/>
      <c r="V607" s="33"/>
      <c r="W607" s="52"/>
      <c r="X607" s="52">
        <f t="shared" ref="X607:Y607" si="602">M607-S607</f>
        <v>0</v>
      </c>
      <c r="Y607" s="52">
        <f t="shared" si="602"/>
        <v>7500000</v>
      </c>
      <c r="Z607" s="52">
        <f t="shared" si="515"/>
        <v>0</v>
      </c>
      <c r="AA607" s="54"/>
      <c r="AB607" s="68"/>
    </row>
    <row r="608" spans="1:28" ht="60.75" x14ac:dyDescent="0.25">
      <c r="A608" s="33" t="s">
        <v>60</v>
      </c>
      <c r="B608" s="42">
        <v>585</v>
      </c>
      <c r="C608" s="33" t="s">
        <v>498</v>
      </c>
      <c r="D608" s="33" t="s">
        <v>3172</v>
      </c>
      <c r="E608" s="32"/>
      <c r="F608" s="33" t="s">
        <v>3173</v>
      </c>
      <c r="G608" s="32"/>
      <c r="H608" s="32"/>
      <c r="I608" s="62" t="s">
        <v>3174</v>
      </c>
      <c r="J608" s="33" t="s">
        <v>43</v>
      </c>
      <c r="K608" s="33" t="s">
        <v>3175</v>
      </c>
      <c r="L608" s="65">
        <v>22402051899</v>
      </c>
      <c r="M608" s="32"/>
      <c r="N608" s="65">
        <v>15000000</v>
      </c>
      <c r="O608" s="43"/>
      <c r="P608" s="43"/>
      <c r="Q608" s="48">
        <f t="shared" si="559"/>
        <v>22417051899</v>
      </c>
      <c r="R608" s="48">
        <v>22402051899</v>
      </c>
      <c r="S608" s="33"/>
      <c r="T608" s="44">
        <v>15000000</v>
      </c>
      <c r="U608" s="33"/>
      <c r="V608" s="33"/>
      <c r="W608" s="52"/>
      <c r="X608" s="52">
        <f t="shared" ref="X608:Y608" si="603">M608-S608</f>
        <v>0</v>
      </c>
      <c r="Y608" s="52">
        <f t="shared" si="603"/>
        <v>0</v>
      </c>
      <c r="Z608" s="52">
        <f t="shared" si="515"/>
        <v>0</v>
      </c>
      <c r="AA608" s="54"/>
      <c r="AB608" s="68"/>
    </row>
    <row r="609" spans="1:28" ht="63" x14ac:dyDescent="0.25">
      <c r="A609" s="33" t="s">
        <v>60</v>
      </c>
      <c r="B609" s="42">
        <v>586</v>
      </c>
      <c r="C609" s="33" t="s">
        <v>498</v>
      </c>
      <c r="D609" s="33" t="s">
        <v>1510</v>
      </c>
      <c r="E609" s="32"/>
      <c r="F609" s="33" t="s">
        <v>1511</v>
      </c>
      <c r="G609" s="32"/>
      <c r="H609" s="32"/>
      <c r="I609" s="62" t="s">
        <v>1512</v>
      </c>
      <c r="J609" s="33" t="s">
        <v>43</v>
      </c>
      <c r="K609" s="33" t="s">
        <v>1513</v>
      </c>
      <c r="L609" s="65">
        <v>3912494400</v>
      </c>
      <c r="M609" s="32"/>
      <c r="N609" s="65">
        <v>15000000</v>
      </c>
      <c r="O609" s="43" t="s">
        <v>1503</v>
      </c>
      <c r="P609" s="69">
        <v>48000000</v>
      </c>
      <c r="Q609" s="48">
        <f t="shared" si="559"/>
        <v>3975494400</v>
      </c>
      <c r="R609" s="48">
        <v>3912494400</v>
      </c>
      <c r="S609" s="33"/>
      <c r="T609" s="44">
        <v>15000000</v>
      </c>
      <c r="U609" s="48">
        <v>24000000</v>
      </c>
      <c r="V609" s="33"/>
      <c r="W609" s="52"/>
      <c r="X609" s="52">
        <f t="shared" ref="X609:Y609" si="604">M609-S609</f>
        <v>0</v>
      </c>
      <c r="Y609" s="52">
        <f t="shared" si="604"/>
        <v>0</v>
      </c>
      <c r="Z609" s="52">
        <f t="shared" si="515"/>
        <v>24000000</v>
      </c>
      <c r="AA609" s="54"/>
      <c r="AB609" s="74" t="s">
        <v>721</v>
      </c>
    </row>
    <row r="610" spans="1:28" ht="40.5" x14ac:dyDescent="0.25">
      <c r="A610" s="33" t="s">
        <v>275</v>
      </c>
      <c r="B610" s="42">
        <v>587</v>
      </c>
      <c r="C610" s="33" t="s">
        <v>498</v>
      </c>
      <c r="D610" s="33" t="s">
        <v>3176</v>
      </c>
      <c r="E610" s="33" t="s">
        <v>1993</v>
      </c>
      <c r="F610" s="33" t="s">
        <v>3177</v>
      </c>
      <c r="G610" s="32"/>
      <c r="H610" s="32"/>
      <c r="I610" s="62" t="s">
        <v>3178</v>
      </c>
      <c r="J610" s="33" t="s">
        <v>43</v>
      </c>
      <c r="K610" s="33" t="s">
        <v>3179</v>
      </c>
      <c r="L610" s="65">
        <v>1123628598</v>
      </c>
      <c r="M610" s="65">
        <v>258107850</v>
      </c>
      <c r="N610" s="65">
        <v>7500000</v>
      </c>
      <c r="O610" s="43"/>
      <c r="P610" s="43"/>
      <c r="Q610" s="48">
        <f t="shared" si="559"/>
        <v>1389236448</v>
      </c>
      <c r="R610" s="48">
        <v>1123628598</v>
      </c>
      <c r="S610" s="48">
        <v>258107850</v>
      </c>
      <c r="T610" s="44">
        <v>7500000</v>
      </c>
      <c r="U610" s="33"/>
      <c r="V610" s="33"/>
      <c r="W610" s="52"/>
      <c r="X610" s="52">
        <f t="shared" ref="X610:Y610" si="605">M610-S610</f>
        <v>0</v>
      </c>
      <c r="Y610" s="52">
        <f t="shared" si="605"/>
        <v>0</v>
      </c>
      <c r="Z610" s="52">
        <f t="shared" si="515"/>
        <v>0</v>
      </c>
      <c r="AA610" s="54"/>
      <c r="AB610" s="68"/>
    </row>
    <row r="611" spans="1:28" ht="40.5" x14ac:dyDescent="0.25">
      <c r="A611" s="33" t="s">
        <v>88</v>
      </c>
      <c r="B611" s="42">
        <v>588</v>
      </c>
      <c r="C611" s="33" t="s">
        <v>498</v>
      </c>
      <c r="D611" s="33" t="s">
        <v>3180</v>
      </c>
      <c r="E611" s="33" t="s">
        <v>1993</v>
      </c>
      <c r="F611" s="33" t="s">
        <v>3181</v>
      </c>
      <c r="G611" s="32"/>
      <c r="H611" s="32"/>
      <c r="I611" s="62" t="s">
        <v>3182</v>
      </c>
      <c r="J611" s="33" t="s">
        <v>43</v>
      </c>
      <c r="K611" s="33" t="s">
        <v>3183</v>
      </c>
      <c r="L611" s="65">
        <v>289367750</v>
      </c>
      <c r="M611" s="65">
        <v>66783150</v>
      </c>
      <c r="N611" s="65">
        <v>7500000</v>
      </c>
      <c r="O611" s="43"/>
      <c r="P611" s="43"/>
      <c r="Q611" s="48">
        <f t="shared" si="559"/>
        <v>363650900</v>
      </c>
      <c r="R611" s="48">
        <v>289367750</v>
      </c>
      <c r="S611" s="48">
        <v>66783150</v>
      </c>
      <c r="T611" s="44">
        <v>7500000</v>
      </c>
      <c r="U611" s="33"/>
      <c r="V611" s="33"/>
      <c r="W611" s="52"/>
      <c r="X611" s="52">
        <f t="shared" ref="X611:Y611" si="606">M611-S611</f>
        <v>0</v>
      </c>
      <c r="Y611" s="52">
        <f t="shared" si="606"/>
        <v>0</v>
      </c>
      <c r="Z611" s="52">
        <f t="shared" si="515"/>
        <v>0</v>
      </c>
      <c r="AA611" s="54"/>
      <c r="AB611" s="68"/>
    </row>
    <row r="612" spans="1:28" ht="40.5" x14ac:dyDescent="0.25">
      <c r="A612" s="33" t="s">
        <v>88</v>
      </c>
      <c r="B612" s="42">
        <v>589</v>
      </c>
      <c r="C612" s="33" t="s">
        <v>498</v>
      </c>
      <c r="D612" s="33" t="s">
        <v>1274</v>
      </c>
      <c r="E612" s="32"/>
      <c r="F612" s="33" t="s">
        <v>1275</v>
      </c>
      <c r="G612" s="32"/>
      <c r="H612" s="32"/>
      <c r="I612" s="62" t="s">
        <v>1276</v>
      </c>
      <c r="J612" s="33" t="s">
        <v>43</v>
      </c>
      <c r="K612" s="33" t="s">
        <v>1277</v>
      </c>
      <c r="L612" s="65">
        <v>1143797868</v>
      </c>
      <c r="M612" s="32"/>
      <c r="N612" s="65">
        <v>15000000</v>
      </c>
      <c r="O612" s="43" t="s">
        <v>1227</v>
      </c>
      <c r="P612" s="69">
        <v>24000000</v>
      </c>
      <c r="Q612" s="48">
        <f t="shared" si="559"/>
        <v>1182797868</v>
      </c>
      <c r="R612" s="52">
        <v>1143797868</v>
      </c>
      <c r="S612" s="33"/>
      <c r="T612" s="44">
        <v>15000000</v>
      </c>
      <c r="U612" s="48">
        <v>24000000</v>
      </c>
      <c r="V612" s="33"/>
      <c r="W612" s="52"/>
      <c r="X612" s="52">
        <f t="shared" ref="X612:Y612" si="607">M612-S612</f>
        <v>0</v>
      </c>
      <c r="Y612" s="52">
        <f t="shared" si="607"/>
        <v>0</v>
      </c>
      <c r="Z612" s="52">
        <f t="shared" si="515"/>
        <v>0</v>
      </c>
      <c r="AA612" s="54"/>
      <c r="AB612" s="68"/>
    </row>
    <row r="613" spans="1:28" ht="31.5" x14ac:dyDescent="0.25">
      <c r="A613" s="33" t="s">
        <v>52</v>
      </c>
      <c r="B613" s="42">
        <v>590</v>
      </c>
      <c r="C613" s="33" t="s">
        <v>498</v>
      </c>
      <c r="D613" s="33" t="s">
        <v>3185</v>
      </c>
      <c r="E613" s="32"/>
      <c r="F613" s="33" t="s">
        <v>3186</v>
      </c>
      <c r="G613" s="32"/>
      <c r="H613" s="32"/>
      <c r="I613" s="62" t="s">
        <v>3187</v>
      </c>
      <c r="J613" s="33" t="s">
        <v>43</v>
      </c>
      <c r="K613" s="33" t="s">
        <v>3188</v>
      </c>
      <c r="L613" s="65">
        <v>1667596776</v>
      </c>
      <c r="M613" s="32"/>
      <c r="N613" s="65">
        <v>7500000</v>
      </c>
      <c r="O613" s="43"/>
      <c r="P613" s="43"/>
      <c r="Q613" s="48">
        <f t="shared" si="559"/>
        <v>1675096776</v>
      </c>
      <c r="R613" s="48">
        <v>1667596776</v>
      </c>
      <c r="S613" s="33"/>
      <c r="T613" s="44">
        <v>7500000</v>
      </c>
      <c r="U613" s="33"/>
      <c r="V613" s="33"/>
      <c r="W613" s="52"/>
      <c r="X613" s="52">
        <f t="shared" ref="X613:Y613" si="608">M613-S613</f>
        <v>0</v>
      </c>
      <c r="Y613" s="52">
        <f t="shared" si="608"/>
        <v>0</v>
      </c>
      <c r="Z613" s="52">
        <f t="shared" si="515"/>
        <v>0</v>
      </c>
      <c r="AA613" s="54"/>
      <c r="AB613" s="68"/>
    </row>
    <row r="614" spans="1:28" ht="40.5" x14ac:dyDescent="0.3">
      <c r="A614" s="43" t="s">
        <v>60</v>
      </c>
      <c r="B614" s="42">
        <v>591</v>
      </c>
      <c r="C614" s="33" t="s">
        <v>498</v>
      </c>
      <c r="D614" s="33" t="s">
        <v>1393</v>
      </c>
      <c r="E614" s="33" t="s">
        <v>1395</v>
      </c>
      <c r="F614" s="33" t="s">
        <v>1396</v>
      </c>
      <c r="G614" s="33" t="s">
        <v>1397</v>
      </c>
      <c r="H614" s="32"/>
      <c r="I614" s="62" t="s">
        <v>1398</v>
      </c>
      <c r="J614" s="33" t="s">
        <v>43</v>
      </c>
      <c r="K614" s="33" t="s">
        <v>1399</v>
      </c>
      <c r="L614" s="65">
        <v>1856869939</v>
      </c>
      <c r="M614" s="65">
        <v>461717485</v>
      </c>
      <c r="N614" s="65">
        <v>15000000</v>
      </c>
      <c r="O614" s="33" t="s">
        <v>1186</v>
      </c>
      <c r="P614" s="48">
        <v>8000000</v>
      </c>
      <c r="Q614" s="48">
        <f t="shared" si="559"/>
        <v>2341587424</v>
      </c>
      <c r="R614" s="33"/>
      <c r="S614" s="33"/>
      <c r="T614" s="44">
        <v>15000000</v>
      </c>
      <c r="U614" s="33"/>
      <c r="V614" s="33"/>
      <c r="W614" s="52">
        <v>1856869939</v>
      </c>
      <c r="X614" s="52">
        <f t="shared" ref="X614:Y614" si="609">M614-S614</f>
        <v>461717485</v>
      </c>
      <c r="Y614" s="52">
        <f t="shared" si="609"/>
        <v>0</v>
      </c>
      <c r="Z614" s="52">
        <f t="shared" si="515"/>
        <v>8000000</v>
      </c>
      <c r="AA614" s="98">
        <v>1856869939</v>
      </c>
      <c r="AB614" s="75"/>
    </row>
    <row r="615" spans="1:28" ht="31.5" x14ac:dyDescent="0.25">
      <c r="A615" s="33" t="s">
        <v>88</v>
      </c>
      <c r="B615" s="42">
        <v>592</v>
      </c>
      <c r="C615" s="33" t="s">
        <v>498</v>
      </c>
      <c r="D615" s="33" t="s">
        <v>739</v>
      </c>
      <c r="E615" s="33" t="s">
        <v>3189</v>
      </c>
      <c r="F615" s="33" t="s">
        <v>742</v>
      </c>
      <c r="G615" s="33" t="s">
        <v>3190</v>
      </c>
      <c r="H615" s="32"/>
      <c r="I615" s="62" t="s">
        <v>744</v>
      </c>
      <c r="J615" s="33" t="s">
        <v>43</v>
      </c>
      <c r="K615" s="33" t="s">
        <v>745</v>
      </c>
      <c r="L615" s="65">
        <v>9029596830</v>
      </c>
      <c r="M615" s="65">
        <v>1111289520</v>
      </c>
      <c r="N615" s="65">
        <v>7500000</v>
      </c>
      <c r="O615" s="43" t="s">
        <v>741</v>
      </c>
      <c r="P615" s="69">
        <v>48000000</v>
      </c>
      <c r="Q615" s="48">
        <f t="shared" si="559"/>
        <v>10196386350</v>
      </c>
      <c r="R615" s="52">
        <v>9029596830</v>
      </c>
      <c r="S615" s="48">
        <v>1111289520</v>
      </c>
      <c r="T615" s="66"/>
      <c r="U615" s="48">
        <v>48000000</v>
      </c>
      <c r="V615" s="33"/>
      <c r="W615" s="52"/>
      <c r="X615" s="52">
        <f t="shared" ref="X615:Y615" si="610">M615-S615</f>
        <v>0</v>
      </c>
      <c r="Y615" s="52">
        <f t="shared" si="610"/>
        <v>7500000</v>
      </c>
      <c r="Z615" s="52">
        <f t="shared" si="515"/>
        <v>0</v>
      </c>
      <c r="AA615" s="54"/>
      <c r="AB615" s="68"/>
    </row>
    <row r="616" spans="1:28" ht="31.5" x14ac:dyDescent="0.25">
      <c r="A616" s="33" t="s">
        <v>88</v>
      </c>
      <c r="B616" s="42">
        <v>593</v>
      </c>
      <c r="C616" s="33" t="s">
        <v>498</v>
      </c>
      <c r="D616" s="33" t="s">
        <v>3191</v>
      </c>
      <c r="E616" s="32"/>
      <c r="F616" s="33" t="s">
        <v>3192</v>
      </c>
      <c r="G616" s="32"/>
      <c r="H616" s="32"/>
      <c r="I616" s="62" t="s">
        <v>3193</v>
      </c>
      <c r="J616" s="33" t="s">
        <v>43</v>
      </c>
      <c r="K616" s="33" t="s">
        <v>3194</v>
      </c>
      <c r="L616" s="65">
        <v>4657447500</v>
      </c>
      <c r="M616" s="32"/>
      <c r="N616" s="65">
        <v>7500000</v>
      </c>
      <c r="O616" s="43"/>
      <c r="P616" s="43"/>
      <c r="Q616" s="48">
        <f t="shared" si="559"/>
        <v>4664947500</v>
      </c>
      <c r="R616" s="48">
        <v>4657447500</v>
      </c>
      <c r="S616" s="33"/>
      <c r="T616" s="44">
        <v>7500000</v>
      </c>
      <c r="U616" s="33"/>
      <c r="V616" s="33"/>
      <c r="W616" s="52"/>
      <c r="X616" s="52">
        <f t="shared" ref="X616:Y616" si="611">M616-S616</f>
        <v>0</v>
      </c>
      <c r="Y616" s="52">
        <f t="shared" si="611"/>
        <v>0</v>
      </c>
      <c r="Z616" s="52">
        <f t="shared" si="515"/>
        <v>0</v>
      </c>
      <c r="AA616" s="54"/>
      <c r="AB616" s="68"/>
    </row>
    <row r="617" spans="1:28" ht="40.5" x14ac:dyDescent="0.25">
      <c r="A617" s="33" t="s">
        <v>88</v>
      </c>
      <c r="B617" s="42">
        <v>594</v>
      </c>
      <c r="C617" s="33" t="s">
        <v>498</v>
      </c>
      <c r="D617" s="33" t="s">
        <v>3195</v>
      </c>
      <c r="E617" s="32"/>
      <c r="F617" s="33" t="s">
        <v>3196</v>
      </c>
      <c r="G617" s="32"/>
      <c r="H617" s="32"/>
      <c r="I617" s="62" t="s">
        <v>1064</v>
      </c>
      <c r="J617" s="33" t="s">
        <v>43</v>
      </c>
      <c r="K617" s="33" t="s">
        <v>3197</v>
      </c>
      <c r="L617" s="65">
        <v>3031671576</v>
      </c>
      <c r="M617" s="32"/>
      <c r="N617" s="65">
        <v>15000000</v>
      </c>
      <c r="O617" s="43"/>
      <c r="P617" s="43"/>
      <c r="Q617" s="48">
        <f t="shared" si="559"/>
        <v>3046671576</v>
      </c>
      <c r="R617" s="52">
        <v>3031671576</v>
      </c>
      <c r="S617" s="33"/>
      <c r="T617" s="44">
        <v>15000000</v>
      </c>
      <c r="U617" s="33"/>
      <c r="V617" s="33"/>
      <c r="W617" s="52"/>
      <c r="X617" s="52">
        <f t="shared" ref="X617:Y617" si="612">M617-S617</f>
        <v>0</v>
      </c>
      <c r="Y617" s="52">
        <f t="shared" si="612"/>
        <v>0</v>
      </c>
      <c r="Z617" s="52">
        <f t="shared" si="515"/>
        <v>0</v>
      </c>
      <c r="AA617" s="54"/>
      <c r="AB617" s="68"/>
    </row>
    <row r="618" spans="1:28" ht="31.5" x14ac:dyDescent="0.25">
      <c r="A618" s="33" t="s">
        <v>35</v>
      </c>
      <c r="B618" s="42">
        <v>595</v>
      </c>
      <c r="C618" s="33" t="s">
        <v>498</v>
      </c>
      <c r="D618" s="33" t="s">
        <v>3198</v>
      </c>
      <c r="E618" s="32"/>
      <c r="F618" s="33" t="s">
        <v>3199</v>
      </c>
      <c r="G618" s="32"/>
      <c r="H618" s="32"/>
      <c r="I618" s="62" t="s">
        <v>3200</v>
      </c>
      <c r="J618" s="33" t="s">
        <v>43</v>
      </c>
      <c r="K618" s="33" t="s">
        <v>3201</v>
      </c>
      <c r="L618" s="65">
        <v>3664053620</v>
      </c>
      <c r="M618" s="32"/>
      <c r="N618" s="65">
        <v>15000000</v>
      </c>
      <c r="O618" s="43"/>
      <c r="P618" s="43"/>
      <c r="Q618" s="48">
        <f t="shared" si="559"/>
        <v>3679053620</v>
      </c>
      <c r="R618" s="48">
        <v>3664053620</v>
      </c>
      <c r="S618" s="33"/>
      <c r="T618" s="44">
        <v>15000000</v>
      </c>
      <c r="U618" s="33"/>
      <c r="V618" s="33"/>
      <c r="W618" s="52"/>
      <c r="X618" s="52">
        <f t="shared" ref="X618:Y618" si="613">M618-S618</f>
        <v>0</v>
      </c>
      <c r="Y618" s="52">
        <f t="shared" si="613"/>
        <v>0</v>
      </c>
      <c r="Z618" s="52">
        <f t="shared" si="515"/>
        <v>0</v>
      </c>
      <c r="AA618" s="54"/>
      <c r="AB618" s="68"/>
    </row>
    <row r="619" spans="1:28" ht="31.5" x14ac:dyDescent="0.25">
      <c r="A619" s="33" t="s">
        <v>60</v>
      </c>
      <c r="B619" s="42">
        <v>596</v>
      </c>
      <c r="C619" s="33" t="s">
        <v>498</v>
      </c>
      <c r="D619" s="33" t="s">
        <v>3202</v>
      </c>
      <c r="E619" s="32"/>
      <c r="F619" s="33" t="s">
        <v>3203</v>
      </c>
      <c r="G619" s="32"/>
      <c r="H619" s="32"/>
      <c r="I619" s="62" t="s">
        <v>3204</v>
      </c>
      <c r="J619" s="33" t="s">
        <v>43</v>
      </c>
      <c r="K619" s="33" t="s">
        <v>3206</v>
      </c>
      <c r="L619" s="65">
        <v>4539694518</v>
      </c>
      <c r="M619" s="32"/>
      <c r="N619" s="65">
        <v>15000000</v>
      </c>
      <c r="O619" s="43"/>
      <c r="P619" s="43"/>
      <c r="Q619" s="48">
        <f t="shared" si="559"/>
        <v>4554694518</v>
      </c>
      <c r="R619" s="48">
        <v>4539694518</v>
      </c>
      <c r="S619" s="33"/>
      <c r="T619" s="44">
        <v>15000000</v>
      </c>
      <c r="U619" s="33"/>
      <c r="V619" s="33"/>
      <c r="W619" s="52"/>
      <c r="X619" s="52">
        <f t="shared" ref="X619:Y619" si="614">M619-S619</f>
        <v>0</v>
      </c>
      <c r="Y619" s="52">
        <f t="shared" si="614"/>
        <v>0</v>
      </c>
      <c r="Z619" s="52">
        <f t="shared" si="515"/>
        <v>0</v>
      </c>
      <c r="AA619" s="54"/>
      <c r="AB619" s="68"/>
    </row>
    <row r="620" spans="1:28" ht="47.25" x14ac:dyDescent="0.25">
      <c r="A620" s="33" t="s">
        <v>60</v>
      </c>
      <c r="B620" s="42">
        <v>597</v>
      </c>
      <c r="C620" s="33" t="s">
        <v>498</v>
      </c>
      <c r="D620" s="33" t="s">
        <v>1835</v>
      </c>
      <c r="E620" s="32"/>
      <c r="F620" s="33" t="s">
        <v>1836</v>
      </c>
      <c r="G620" s="32"/>
      <c r="H620" s="32"/>
      <c r="I620" s="62" t="s">
        <v>1837</v>
      </c>
      <c r="J620" s="33" t="s">
        <v>43</v>
      </c>
      <c r="K620" s="33" t="s">
        <v>1838</v>
      </c>
      <c r="L620" s="65">
        <v>594243660</v>
      </c>
      <c r="M620" s="32"/>
      <c r="N620" s="65">
        <v>15000000</v>
      </c>
      <c r="O620" s="43" t="s">
        <v>1822</v>
      </c>
      <c r="P620" s="69">
        <v>60000000</v>
      </c>
      <c r="Q620" s="48">
        <f t="shared" si="559"/>
        <v>669243660</v>
      </c>
      <c r="R620" s="48">
        <v>594243660</v>
      </c>
      <c r="S620" s="33"/>
      <c r="T620" s="44">
        <v>15000000</v>
      </c>
      <c r="U620" s="48">
        <v>60000000</v>
      </c>
      <c r="V620" s="33"/>
      <c r="W620" s="52"/>
      <c r="X620" s="52">
        <f t="shared" ref="X620:Y620" si="615">M620-S620</f>
        <v>0</v>
      </c>
      <c r="Y620" s="52">
        <f t="shared" si="615"/>
        <v>0</v>
      </c>
      <c r="Z620" s="52">
        <f t="shared" si="515"/>
        <v>0</v>
      </c>
      <c r="AA620" s="54"/>
      <c r="AB620" s="68"/>
    </row>
    <row r="621" spans="1:28" ht="40.5" x14ac:dyDescent="0.25">
      <c r="A621" s="33" t="s">
        <v>60</v>
      </c>
      <c r="B621" s="42">
        <v>598</v>
      </c>
      <c r="C621" s="33" t="s">
        <v>498</v>
      </c>
      <c r="D621" s="33" t="s">
        <v>3207</v>
      </c>
      <c r="E621" s="32"/>
      <c r="F621" s="33" t="s">
        <v>3208</v>
      </c>
      <c r="G621" s="32"/>
      <c r="H621" s="32"/>
      <c r="I621" s="62" t="s">
        <v>3209</v>
      </c>
      <c r="J621" s="33" t="s">
        <v>43</v>
      </c>
      <c r="K621" s="33" t="s">
        <v>242</v>
      </c>
      <c r="L621" s="65">
        <v>1167043337</v>
      </c>
      <c r="M621" s="32"/>
      <c r="N621" s="65">
        <v>15000000</v>
      </c>
      <c r="O621" s="43"/>
      <c r="P621" s="43"/>
      <c r="Q621" s="48">
        <f t="shared" si="559"/>
        <v>1182043337</v>
      </c>
      <c r="R621" s="48">
        <v>1167043337</v>
      </c>
      <c r="S621" s="33"/>
      <c r="T621" s="44">
        <v>15000000</v>
      </c>
      <c r="U621" s="33"/>
      <c r="V621" s="33"/>
      <c r="W621" s="52"/>
      <c r="X621" s="52">
        <f t="shared" ref="X621:Y621" si="616">M621-S621</f>
        <v>0</v>
      </c>
      <c r="Y621" s="52">
        <f t="shared" si="616"/>
        <v>0</v>
      </c>
      <c r="Z621" s="52">
        <f t="shared" si="515"/>
        <v>0</v>
      </c>
      <c r="AA621" s="54"/>
      <c r="AB621" s="68"/>
    </row>
    <row r="622" spans="1:28" ht="81" x14ac:dyDescent="0.25">
      <c r="A622" s="33" t="s">
        <v>35</v>
      </c>
      <c r="B622" s="42">
        <v>599</v>
      </c>
      <c r="C622" s="33" t="s">
        <v>498</v>
      </c>
      <c r="D622" s="33" t="s">
        <v>499</v>
      </c>
      <c r="E622" s="33" t="s">
        <v>500</v>
      </c>
      <c r="F622" s="33" t="s">
        <v>502</v>
      </c>
      <c r="G622" s="32"/>
      <c r="H622" s="32"/>
      <c r="I622" s="62" t="s">
        <v>504</v>
      </c>
      <c r="J622" s="33" t="s">
        <v>43</v>
      </c>
      <c r="K622" s="33" t="s">
        <v>507</v>
      </c>
      <c r="L622" s="65">
        <v>1021855390</v>
      </c>
      <c r="M622" s="65">
        <v>627822258</v>
      </c>
      <c r="N622" s="65">
        <v>15000000</v>
      </c>
      <c r="O622" s="43" t="s">
        <v>501</v>
      </c>
      <c r="P622" s="69">
        <v>24000000</v>
      </c>
      <c r="Q622" s="48">
        <f t="shared" si="559"/>
        <v>1688677648</v>
      </c>
      <c r="R622" s="48">
        <v>1021855390</v>
      </c>
      <c r="S622" s="48">
        <v>627822258</v>
      </c>
      <c r="T622" s="44">
        <v>15000000</v>
      </c>
      <c r="U622" s="48">
        <v>24000000</v>
      </c>
      <c r="V622" s="33"/>
      <c r="W622" s="52"/>
      <c r="X622" s="52">
        <f t="shared" ref="X622:Y622" si="617">M622-S622</f>
        <v>0</v>
      </c>
      <c r="Y622" s="52">
        <f t="shared" si="617"/>
        <v>0</v>
      </c>
      <c r="Z622" s="52">
        <f t="shared" si="515"/>
        <v>0</v>
      </c>
      <c r="AA622" s="54"/>
      <c r="AB622" s="68"/>
    </row>
    <row r="623" spans="1:28" ht="40.5" x14ac:dyDescent="0.25">
      <c r="A623" s="33" t="s">
        <v>52</v>
      </c>
      <c r="B623" s="42">
        <v>600</v>
      </c>
      <c r="C623" s="33" t="s">
        <v>498</v>
      </c>
      <c r="D623" s="33" t="s">
        <v>3210</v>
      </c>
      <c r="E623" s="33" t="s">
        <v>3211</v>
      </c>
      <c r="F623" s="33" t="s">
        <v>3212</v>
      </c>
      <c r="G623" s="33" t="s">
        <v>3213</v>
      </c>
      <c r="H623" s="32"/>
      <c r="I623" s="62" t="s">
        <v>3214</v>
      </c>
      <c r="J623" s="33" t="s">
        <v>43</v>
      </c>
      <c r="K623" s="33" t="s">
        <v>3215</v>
      </c>
      <c r="L623" s="65">
        <v>1144818850</v>
      </c>
      <c r="M623" s="65">
        <v>312256350</v>
      </c>
      <c r="N623" s="65">
        <v>7500000</v>
      </c>
      <c r="O623" s="43"/>
      <c r="P623" s="43"/>
      <c r="Q623" s="48">
        <f t="shared" si="559"/>
        <v>1464575200</v>
      </c>
      <c r="R623" s="48">
        <v>1144818850</v>
      </c>
      <c r="S623" s="48">
        <v>312256350</v>
      </c>
      <c r="T623" s="44">
        <v>7500000</v>
      </c>
      <c r="U623" s="33"/>
      <c r="V623" s="33"/>
      <c r="W623" s="52"/>
      <c r="X623" s="52">
        <f t="shared" ref="X623:Y623" si="618">M623-S623</f>
        <v>0</v>
      </c>
      <c r="Y623" s="52">
        <f t="shared" si="618"/>
        <v>0</v>
      </c>
      <c r="Z623" s="52">
        <f t="shared" si="515"/>
        <v>0</v>
      </c>
      <c r="AA623" s="54"/>
      <c r="AB623" s="68"/>
    </row>
    <row r="624" spans="1:28" ht="63" x14ac:dyDescent="0.25">
      <c r="A624" s="33" t="s">
        <v>60</v>
      </c>
      <c r="B624" s="42">
        <v>601</v>
      </c>
      <c r="C624" s="33" t="s">
        <v>498</v>
      </c>
      <c r="D624" s="33" t="s">
        <v>539</v>
      </c>
      <c r="E624" s="33" t="s">
        <v>540</v>
      </c>
      <c r="F624" s="33" t="s">
        <v>542</v>
      </c>
      <c r="G624" s="32"/>
      <c r="H624" s="32"/>
      <c r="I624" s="62" t="s">
        <v>543</v>
      </c>
      <c r="J624" s="33" t="s">
        <v>43</v>
      </c>
      <c r="K624" s="33" t="s">
        <v>544</v>
      </c>
      <c r="L624" s="65">
        <v>9937143048</v>
      </c>
      <c r="M624" s="65">
        <v>11165154312</v>
      </c>
      <c r="N624" s="65">
        <v>15000000</v>
      </c>
      <c r="O624" s="43" t="s">
        <v>541</v>
      </c>
      <c r="P624" s="69">
        <v>216000000</v>
      </c>
      <c r="Q624" s="48">
        <f t="shared" si="559"/>
        <v>21333297360</v>
      </c>
      <c r="R624" s="48">
        <v>9937143048</v>
      </c>
      <c r="S624" s="48">
        <v>11165154312</v>
      </c>
      <c r="T624" s="44">
        <v>15000000</v>
      </c>
      <c r="U624" s="48">
        <v>72000000</v>
      </c>
      <c r="V624" s="33"/>
      <c r="W624" s="52"/>
      <c r="X624" s="52">
        <f t="shared" ref="X624:Y624" si="619">M624-S624</f>
        <v>0</v>
      </c>
      <c r="Y624" s="52">
        <f t="shared" si="619"/>
        <v>0</v>
      </c>
      <c r="Z624" s="52">
        <f t="shared" si="515"/>
        <v>144000000</v>
      </c>
      <c r="AA624" s="54"/>
      <c r="AB624" s="74" t="s">
        <v>1222</v>
      </c>
    </row>
    <row r="625" spans="1:45" ht="60.75" x14ac:dyDescent="0.25">
      <c r="A625" s="33" t="s">
        <v>88</v>
      </c>
      <c r="B625" s="42">
        <v>602</v>
      </c>
      <c r="C625" s="33" t="s">
        <v>498</v>
      </c>
      <c r="D625" s="33" t="s">
        <v>3216</v>
      </c>
      <c r="E625" s="32"/>
      <c r="F625" s="33" t="s">
        <v>3217</v>
      </c>
      <c r="G625" s="32"/>
      <c r="H625" s="32"/>
      <c r="I625" s="62" t="s">
        <v>3218</v>
      </c>
      <c r="J625" s="33" t="s">
        <v>43</v>
      </c>
      <c r="K625" s="33" t="s">
        <v>3219</v>
      </c>
      <c r="L625" s="65">
        <v>3859546610</v>
      </c>
      <c r="M625" s="32"/>
      <c r="N625" s="65">
        <v>15000000</v>
      </c>
      <c r="O625" s="43"/>
      <c r="P625" s="43"/>
      <c r="Q625" s="48">
        <f t="shared" si="559"/>
        <v>3874546610</v>
      </c>
      <c r="R625" s="33"/>
      <c r="S625" s="33"/>
      <c r="T625" s="66"/>
      <c r="U625" s="33"/>
      <c r="V625" s="33"/>
      <c r="W625" s="52">
        <v>3859546610</v>
      </c>
      <c r="X625" s="52">
        <f t="shared" ref="X625:Y625" si="620">M625-S625</f>
        <v>0</v>
      </c>
      <c r="Y625" s="52">
        <f t="shared" si="620"/>
        <v>15000000</v>
      </c>
      <c r="Z625" s="52">
        <f t="shared" si="515"/>
        <v>0</v>
      </c>
      <c r="AA625" s="73">
        <v>3859546610</v>
      </c>
      <c r="AB625" s="68"/>
    </row>
    <row r="626" spans="1:45" ht="60.75" x14ac:dyDescent="0.25">
      <c r="A626" s="33" t="s">
        <v>46</v>
      </c>
      <c r="B626" s="42">
        <v>603</v>
      </c>
      <c r="C626" s="33" t="s">
        <v>53</v>
      </c>
      <c r="D626" s="33" t="s">
        <v>3220</v>
      </c>
      <c r="E626" s="32"/>
      <c r="F626" s="33" t="s">
        <v>3221</v>
      </c>
      <c r="G626" s="32"/>
      <c r="H626" s="33" t="s">
        <v>261</v>
      </c>
      <c r="I626" s="62" t="s">
        <v>3222</v>
      </c>
      <c r="J626" s="33" t="s">
        <v>43</v>
      </c>
      <c r="K626" s="33" t="s">
        <v>3223</v>
      </c>
      <c r="L626" s="65">
        <v>8125156619</v>
      </c>
      <c r="M626" s="32"/>
      <c r="N626" s="65">
        <v>15000000</v>
      </c>
      <c r="O626" s="43"/>
      <c r="P626" s="43"/>
      <c r="Q626" s="48">
        <f t="shared" si="559"/>
        <v>8140156619</v>
      </c>
      <c r="R626" s="48">
        <v>8125156619</v>
      </c>
      <c r="S626" s="33"/>
      <c r="T626" s="44">
        <v>15000000</v>
      </c>
      <c r="U626" s="33"/>
      <c r="V626" s="33"/>
      <c r="W626" s="52"/>
      <c r="X626" s="52">
        <f t="shared" ref="X626:Y626" si="621">M626-S626</f>
        <v>0</v>
      </c>
      <c r="Y626" s="52">
        <f t="shared" si="621"/>
        <v>0</v>
      </c>
      <c r="Z626" s="52">
        <f t="shared" si="515"/>
        <v>0</v>
      </c>
      <c r="AA626" s="54"/>
      <c r="AB626" s="68"/>
    </row>
    <row r="627" spans="1:45" ht="63" x14ac:dyDescent="0.25">
      <c r="A627" s="33" t="s">
        <v>35</v>
      </c>
      <c r="B627" s="42">
        <v>604</v>
      </c>
      <c r="C627" s="33" t="s">
        <v>53</v>
      </c>
      <c r="D627" s="33" t="s">
        <v>258</v>
      </c>
      <c r="E627" s="32"/>
      <c r="F627" s="33" t="s">
        <v>260</v>
      </c>
      <c r="G627" s="32"/>
      <c r="H627" s="33" t="s">
        <v>261</v>
      </c>
      <c r="I627" s="62" t="s">
        <v>262</v>
      </c>
      <c r="J627" s="33" t="s">
        <v>43</v>
      </c>
      <c r="K627" s="33" t="s">
        <v>263</v>
      </c>
      <c r="L627" s="65">
        <v>1552944130</v>
      </c>
      <c r="M627" s="32"/>
      <c r="N627" s="65">
        <v>15000000</v>
      </c>
      <c r="O627" s="43" t="s">
        <v>259</v>
      </c>
      <c r="P627" s="69">
        <v>96000000</v>
      </c>
      <c r="Q627" s="48">
        <f t="shared" si="559"/>
        <v>1663944130</v>
      </c>
      <c r="R627" s="48">
        <v>1552944130</v>
      </c>
      <c r="S627" s="33"/>
      <c r="T627" s="44">
        <v>15000000</v>
      </c>
      <c r="U627" s="48">
        <v>48000000</v>
      </c>
      <c r="V627" s="33"/>
      <c r="W627" s="52"/>
      <c r="X627" s="52">
        <f t="shared" ref="X627:Y627" si="622">M627-S627</f>
        <v>0</v>
      </c>
      <c r="Y627" s="52">
        <f t="shared" si="622"/>
        <v>0</v>
      </c>
      <c r="Z627" s="52">
        <f t="shared" si="515"/>
        <v>48000000</v>
      </c>
      <c r="AA627" s="54"/>
      <c r="AB627" s="74" t="s">
        <v>2866</v>
      </c>
    </row>
    <row r="628" spans="1:45" ht="40.5" x14ac:dyDescent="0.25">
      <c r="A628" s="33" t="s">
        <v>52</v>
      </c>
      <c r="B628" s="42">
        <v>605</v>
      </c>
      <c r="C628" s="33" t="s">
        <v>53</v>
      </c>
      <c r="D628" s="33" t="s">
        <v>3224</v>
      </c>
      <c r="E628" s="33" t="s">
        <v>3225</v>
      </c>
      <c r="F628" s="33" t="s">
        <v>3226</v>
      </c>
      <c r="G628" s="33" t="s">
        <v>3227</v>
      </c>
      <c r="H628" s="32"/>
      <c r="I628" s="62" t="s">
        <v>3228</v>
      </c>
      <c r="J628" s="33" t="s">
        <v>43</v>
      </c>
      <c r="K628" s="33" t="s">
        <v>3229</v>
      </c>
      <c r="L628" s="65">
        <v>1671793805</v>
      </c>
      <c r="M628" s="65">
        <v>397954999</v>
      </c>
      <c r="N628" s="65">
        <v>7500000</v>
      </c>
      <c r="O628" s="43"/>
      <c r="P628" s="43"/>
      <c r="Q628" s="48">
        <f t="shared" si="559"/>
        <v>2077248804</v>
      </c>
      <c r="R628" s="48">
        <v>1671793805</v>
      </c>
      <c r="S628" s="48">
        <v>397954999</v>
      </c>
      <c r="T628" s="66"/>
      <c r="U628" s="33"/>
      <c r="V628" s="33"/>
      <c r="W628" s="52"/>
      <c r="X628" s="52">
        <f t="shared" ref="X628:Y628" si="623">M628-S628</f>
        <v>0</v>
      </c>
      <c r="Y628" s="52">
        <f t="shared" si="623"/>
        <v>7500000</v>
      </c>
      <c r="Z628" s="52">
        <f t="shared" si="515"/>
        <v>0</v>
      </c>
      <c r="AA628" s="54"/>
      <c r="AB628" s="68"/>
    </row>
    <row r="629" spans="1:45" ht="31.5" x14ac:dyDescent="0.25">
      <c r="A629" s="33" t="s">
        <v>52</v>
      </c>
      <c r="B629" s="42">
        <v>606</v>
      </c>
      <c r="C629" s="33" t="s">
        <v>53</v>
      </c>
      <c r="D629" s="33" t="s">
        <v>54</v>
      </c>
      <c r="E629" s="33" t="s">
        <v>55</v>
      </c>
      <c r="F629" s="33" t="s">
        <v>56</v>
      </c>
      <c r="G629" s="33" t="s">
        <v>57</v>
      </c>
      <c r="H629" s="32"/>
      <c r="I629" s="62" t="s">
        <v>58</v>
      </c>
      <c r="J629" s="33" t="s">
        <v>43</v>
      </c>
      <c r="K629" s="33" t="s">
        <v>59</v>
      </c>
      <c r="L629" s="65">
        <v>1335262372</v>
      </c>
      <c r="M629" s="65">
        <v>1131203544</v>
      </c>
      <c r="N629" s="65">
        <v>15000000</v>
      </c>
      <c r="O629" s="43" t="s">
        <v>39</v>
      </c>
      <c r="P629" s="69">
        <v>24000000</v>
      </c>
      <c r="Q629" s="48">
        <f t="shared" si="559"/>
        <v>2505465916</v>
      </c>
      <c r="R629" s="48">
        <v>1335262372</v>
      </c>
      <c r="S629" s="48">
        <v>1131203544</v>
      </c>
      <c r="T629" s="44">
        <v>15000000</v>
      </c>
      <c r="U629" s="48">
        <v>24000000</v>
      </c>
      <c r="V629" s="33"/>
      <c r="W629" s="52"/>
      <c r="X629" s="52">
        <f t="shared" ref="X629:Y629" si="624">M629-S629</f>
        <v>0</v>
      </c>
      <c r="Y629" s="52">
        <f t="shared" si="624"/>
        <v>0</v>
      </c>
      <c r="Z629" s="52">
        <f t="shared" si="515"/>
        <v>0</v>
      </c>
      <c r="AA629" s="54"/>
      <c r="AB629" s="68"/>
    </row>
    <row r="630" spans="1:45" ht="40.5" x14ac:dyDescent="0.25">
      <c r="A630" s="33" t="s">
        <v>52</v>
      </c>
      <c r="B630" s="42">
        <v>607</v>
      </c>
      <c r="C630" s="33" t="s">
        <v>53</v>
      </c>
      <c r="D630" s="33" t="s">
        <v>3230</v>
      </c>
      <c r="E630" s="32"/>
      <c r="F630" s="33" t="s">
        <v>3231</v>
      </c>
      <c r="G630" s="32"/>
      <c r="H630" s="32"/>
      <c r="I630" s="62" t="s">
        <v>3232</v>
      </c>
      <c r="J630" s="33" t="s">
        <v>43</v>
      </c>
      <c r="K630" s="33" t="s">
        <v>3197</v>
      </c>
      <c r="L630" s="65">
        <v>49275408</v>
      </c>
      <c r="M630" s="32"/>
      <c r="N630" s="65">
        <v>7500000</v>
      </c>
      <c r="O630" s="43"/>
      <c r="P630" s="43"/>
      <c r="Q630" s="48">
        <f t="shared" si="559"/>
        <v>56775408</v>
      </c>
      <c r="R630" s="48">
        <v>49275408</v>
      </c>
      <c r="S630" s="33"/>
      <c r="T630" s="44">
        <v>7500000</v>
      </c>
      <c r="U630" s="33"/>
      <c r="V630" s="33"/>
      <c r="W630" s="52"/>
      <c r="X630" s="52">
        <f t="shared" ref="X630:Y630" si="625">M630-S630</f>
        <v>0</v>
      </c>
      <c r="Y630" s="52">
        <f t="shared" si="625"/>
        <v>0</v>
      </c>
      <c r="Z630" s="52">
        <f t="shared" si="515"/>
        <v>0</v>
      </c>
      <c r="AA630" s="54"/>
      <c r="AB630" s="68"/>
    </row>
    <row r="631" spans="1:45" ht="47.25" x14ac:dyDescent="0.25">
      <c r="A631" s="33" t="s">
        <v>52</v>
      </c>
      <c r="B631" s="42">
        <v>608</v>
      </c>
      <c r="C631" s="33" t="s">
        <v>53</v>
      </c>
      <c r="D631" s="33" t="s">
        <v>3233</v>
      </c>
      <c r="E631" s="32"/>
      <c r="F631" s="33" t="s">
        <v>3234</v>
      </c>
      <c r="G631" s="32"/>
      <c r="H631" s="32"/>
      <c r="I631" s="62" t="s">
        <v>3235</v>
      </c>
      <c r="J631" s="33" t="s">
        <v>43</v>
      </c>
      <c r="K631" s="33" t="s">
        <v>3236</v>
      </c>
      <c r="L631" s="65">
        <v>2200225188</v>
      </c>
      <c r="M631" s="32"/>
      <c r="N631" s="65">
        <v>7500000</v>
      </c>
      <c r="O631" s="43"/>
      <c r="P631" s="43"/>
      <c r="Q631" s="48">
        <f t="shared" si="559"/>
        <v>2207725188</v>
      </c>
      <c r="R631" s="48">
        <v>2200225188</v>
      </c>
      <c r="S631" s="33"/>
      <c r="T631" s="44">
        <v>7500000</v>
      </c>
      <c r="U631" s="33"/>
      <c r="V631" s="33"/>
      <c r="W631" s="52"/>
      <c r="X631" s="52">
        <f t="shared" ref="X631:Y631" si="626">M631-S631</f>
        <v>0</v>
      </c>
      <c r="Y631" s="52">
        <f t="shared" si="626"/>
        <v>0</v>
      </c>
      <c r="Z631" s="52">
        <f t="shared" si="515"/>
        <v>0</v>
      </c>
      <c r="AA631" s="54"/>
      <c r="AB631" s="68"/>
    </row>
    <row r="632" spans="1:45" ht="60.75" x14ac:dyDescent="0.25">
      <c r="A632" s="33" t="s">
        <v>60</v>
      </c>
      <c r="B632" s="42">
        <v>609</v>
      </c>
      <c r="C632" s="33" t="s">
        <v>53</v>
      </c>
      <c r="D632" s="33" t="s">
        <v>3237</v>
      </c>
      <c r="E632" s="32"/>
      <c r="F632" s="33" t="s">
        <v>3238</v>
      </c>
      <c r="G632" s="32"/>
      <c r="H632" s="32"/>
      <c r="I632" s="62" t="s">
        <v>3239</v>
      </c>
      <c r="J632" s="33" t="s">
        <v>43</v>
      </c>
      <c r="K632" s="33" t="s">
        <v>3240</v>
      </c>
      <c r="L632" s="65">
        <v>1053577380</v>
      </c>
      <c r="M632" s="32"/>
      <c r="N632" s="65">
        <v>7500000</v>
      </c>
      <c r="O632" s="43"/>
      <c r="P632" s="43"/>
      <c r="Q632" s="48">
        <f t="shared" si="559"/>
        <v>1061077380</v>
      </c>
      <c r="R632" s="48">
        <v>1053577380</v>
      </c>
      <c r="S632" s="33"/>
      <c r="T632" s="66"/>
      <c r="U632" s="33"/>
      <c r="V632" s="33"/>
      <c r="W632" s="52"/>
      <c r="X632" s="52">
        <f t="shared" ref="X632:Y632" si="627">M632-S632</f>
        <v>0</v>
      </c>
      <c r="Y632" s="52">
        <f t="shared" si="627"/>
        <v>7500000</v>
      </c>
      <c r="Z632" s="52">
        <f t="shared" si="515"/>
        <v>0</v>
      </c>
      <c r="AA632" s="54"/>
      <c r="AB632" s="68"/>
    </row>
    <row r="633" spans="1:45" ht="31.5" x14ac:dyDescent="0.25">
      <c r="A633" s="33" t="s">
        <v>52</v>
      </c>
      <c r="B633" s="42">
        <v>610</v>
      </c>
      <c r="C633" s="33" t="s">
        <v>53</v>
      </c>
      <c r="D633" s="33" t="s">
        <v>3241</v>
      </c>
      <c r="E633" s="33" t="s">
        <v>3242</v>
      </c>
      <c r="F633" s="33" t="s">
        <v>3243</v>
      </c>
      <c r="G633" s="33" t="s">
        <v>3244</v>
      </c>
      <c r="H633" s="32"/>
      <c r="I633" s="62" t="s">
        <v>3245</v>
      </c>
      <c r="J633" s="33" t="s">
        <v>43</v>
      </c>
      <c r="K633" s="33" t="s">
        <v>3246</v>
      </c>
      <c r="L633" s="65">
        <v>1419150880</v>
      </c>
      <c r="M633" s="65">
        <v>91469952</v>
      </c>
      <c r="N633" s="65">
        <v>7500000</v>
      </c>
      <c r="O633" s="43"/>
      <c r="P633" s="43"/>
      <c r="Q633" s="48">
        <f t="shared" si="559"/>
        <v>1518120832</v>
      </c>
      <c r="R633" s="48">
        <v>1419150880</v>
      </c>
      <c r="S633" s="48">
        <v>91469952</v>
      </c>
      <c r="T633" s="44">
        <v>7500000</v>
      </c>
      <c r="U633" s="33"/>
      <c r="V633" s="33"/>
      <c r="W633" s="52"/>
      <c r="X633" s="52">
        <f t="shared" ref="X633:Y633" si="628">M633-S633</f>
        <v>0</v>
      </c>
      <c r="Y633" s="52">
        <f t="shared" si="628"/>
        <v>0</v>
      </c>
      <c r="Z633" s="52">
        <f t="shared" si="515"/>
        <v>0</v>
      </c>
      <c r="AA633" s="54"/>
      <c r="AB633" s="68"/>
    </row>
    <row r="634" spans="1:45" ht="60.75" x14ac:dyDescent="0.25">
      <c r="A634" s="33" t="s">
        <v>52</v>
      </c>
      <c r="B634" s="42">
        <v>611</v>
      </c>
      <c r="C634" s="33" t="s">
        <v>53</v>
      </c>
      <c r="D634" s="33" t="s">
        <v>3247</v>
      </c>
      <c r="E634" s="32"/>
      <c r="F634" s="33" t="s">
        <v>3248</v>
      </c>
      <c r="G634" s="32"/>
      <c r="H634" s="32"/>
      <c r="I634" s="62" t="s">
        <v>3249</v>
      </c>
      <c r="J634" s="33" t="s">
        <v>43</v>
      </c>
      <c r="K634" s="33" t="s">
        <v>3250</v>
      </c>
      <c r="L634" s="65">
        <v>2821214140</v>
      </c>
      <c r="M634" s="32"/>
      <c r="N634" s="65">
        <v>15000000</v>
      </c>
      <c r="O634" s="43"/>
      <c r="P634" s="43"/>
      <c r="Q634" s="48">
        <f t="shared" si="559"/>
        <v>2836214140</v>
      </c>
      <c r="R634" s="48">
        <v>2821214140</v>
      </c>
      <c r="S634" s="33"/>
      <c r="T634" s="44">
        <v>15000000</v>
      </c>
      <c r="U634" s="33"/>
      <c r="V634" s="33"/>
      <c r="W634" s="52"/>
      <c r="X634" s="52">
        <f t="shared" ref="X634:Y634" si="629">M634-S634</f>
        <v>0</v>
      </c>
      <c r="Y634" s="52">
        <f t="shared" si="629"/>
        <v>0</v>
      </c>
      <c r="Z634" s="52">
        <f t="shared" si="515"/>
        <v>0</v>
      </c>
      <c r="AA634" s="54"/>
      <c r="AB634" s="68"/>
    </row>
    <row r="635" spans="1:45" ht="31.5" x14ac:dyDescent="0.25">
      <c r="A635" s="33" t="s">
        <v>88</v>
      </c>
      <c r="B635" s="42">
        <v>612</v>
      </c>
      <c r="C635" s="33" t="s">
        <v>53</v>
      </c>
      <c r="D635" s="33" t="s">
        <v>3251</v>
      </c>
      <c r="E635" s="32"/>
      <c r="F635" s="33" t="s">
        <v>3252</v>
      </c>
      <c r="G635" s="32"/>
      <c r="H635" s="32"/>
      <c r="I635" s="62" t="s">
        <v>3253</v>
      </c>
      <c r="J635" s="33" t="s">
        <v>43</v>
      </c>
      <c r="K635" s="33" t="s">
        <v>3254</v>
      </c>
      <c r="L635" s="65">
        <v>4672084520</v>
      </c>
      <c r="M635" s="32"/>
      <c r="N635" s="65">
        <v>7500000</v>
      </c>
      <c r="O635" s="43"/>
      <c r="P635" s="43"/>
      <c r="Q635" s="48">
        <f t="shared" si="559"/>
        <v>4679584520</v>
      </c>
      <c r="R635" s="52">
        <v>4672084520</v>
      </c>
      <c r="S635" s="33"/>
      <c r="T635" s="44">
        <v>7500000</v>
      </c>
      <c r="U635" s="33"/>
      <c r="V635" s="33"/>
      <c r="W635" s="52"/>
      <c r="X635" s="52">
        <f t="shared" ref="X635:Y635" si="630">M635-S635</f>
        <v>0</v>
      </c>
      <c r="Y635" s="52">
        <f t="shared" si="630"/>
        <v>0</v>
      </c>
      <c r="Z635" s="52">
        <f t="shared" si="515"/>
        <v>0</v>
      </c>
      <c r="AA635" s="54"/>
      <c r="AB635" s="68"/>
    </row>
    <row r="636" spans="1:45" ht="31.5" x14ac:dyDescent="0.25">
      <c r="A636" s="33" t="s">
        <v>60</v>
      </c>
      <c r="B636" s="42">
        <v>613</v>
      </c>
      <c r="C636" s="33" t="s">
        <v>53</v>
      </c>
      <c r="D636" s="33" t="s">
        <v>3255</v>
      </c>
      <c r="E636" s="32"/>
      <c r="F636" s="33" t="s">
        <v>3256</v>
      </c>
      <c r="G636" s="32"/>
      <c r="H636" s="33" t="s">
        <v>261</v>
      </c>
      <c r="I636" s="62" t="s">
        <v>3257</v>
      </c>
      <c r="J636" s="33" t="s">
        <v>43</v>
      </c>
      <c r="K636" s="33" t="s">
        <v>3258</v>
      </c>
      <c r="L636" s="65">
        <v>2648940180</v>
      </c>
      <c r="M636" s="32"/>
      <c r="N636" s="65">
        <v>15000000</v>
      </c>
      <c r="O636" s="43"/>
      <c r="P636" s="43"/>
      <c r="Q636" s="48">
        <f t="shared" si="559"/>
        <v>2663940180</v>
      </c>
      <c r="R636" s="48">
        <v>2648940180</v>
      </c>
      <c r="S636" s="33"/>
      <c r="T636" s="44">
        <v>15000000</v>
      </c>
      <c r="U636" s="33"/>
      <c r="V636" s="33"/>
      <c r="W636" s="52"/>
      <c r="X636" s="52">
        <f t="shared" ref="X636:Y636" si="631">M636-S636</f>
        <v>0</v>
      </c>
      <c r="Y636" s="52">
        <f t="shared" si="631"/>
        <v>0</v>
      </c>
      <c r="Z636" s="52">
        <f t="shared" si="515"/>
        <v>0</v>
      </c>
      <c r="AA636" s="54"/>
      <c r="AB636" s="68"/>
    </row>
    <row r="637" spans="1:45" ht="40.5" x14ac:dyDescent="0.25">
      <c r="A637" s="33" t="s">
        <v>46</v>
      </c>
      <c r="B637" s="42">
        <v>614</v>
      </c>
      <c r="C637" s="33" t="s">
        <v>53</v>
      </c>
      <c r="D637" s="33" t="s">
        <v>3259</v>
      </c>
      <c r="E637" s="32"/>
      <c r="F637" s="33" t="s">
        <v>3260</v>
      </c>
      <c r="G637" s="32"/>
      <c r="H637" s="33" t="s">
        <v>261</v>
      </c>
      <c r="I637" s="62" t="s">
        <v>3261</v>
      </c>
      <c r="J637" s="33" t="s">
        <v>43</v>
      </c>
      <c r="K637" s="33" t="s">
        <v>1322</v>
      </c>
      <c r="L637" s="65">
        <v>13040553670</v>
      </c>
      <c r="M637" s="32"/>
      <c r="N637" s="65">
        <v>15000000</v>
      </c>
      <c r="O637" s="43"/>
      <c r="P637" s="43"/>
      <c r="Q637" s="48">
        <f t="shared" si="559"/>
        <v>13055553670</v>
      </c>
      <c r="R637" s="52">
        <v>13040553670</v>
      </c>
      <c r="S637" s="33"/>
      <c r="T637" s="44">
        <v>15000000</v>
      </c>
      <c r="U637" s="33"/>
      <c r="V637" s="33"/>
      <c r="W637" s="52"/>
      <c r="X637" s="52">
        <f t="shared" ref="X637:Y637" si="632">M637-S637</f>
        <v>0</v>
      </c>
      <c r="Y637" s="52">
        <f t="shared" si="632"/>
        <v>0</v>
      </c>
      <c r="Z637" s="52">
        <f t="shared" si="515"/>
        <v>0</v>
      </c>
      <c r="AA637" s="54"/>
      <c r="AB637" s="68"/>
    </row>
    <row r="638" spans="1:45" ht="31.5" x14ac:dyDescent="0.25">
      <c r="A638" s="33"/>
      <c r="B638" s="299">
        <v>615</v>
      </c>
      <c r="C638" s="299" t="s">
        <v>53</v>
      </c>
      <c r="D638" s="33"/>
      <c r="E638" s="32"/>
      <c r="F638" s="299" t="s">
        <v>1555</v>
      </c>
      <c r="G638" s="32"/>
      <c r="H638" s="33"/>
      <c r="I638" s="312" t="s">
        <v>1557</v>
      </c>
      <c r="J638" s="299" t="s">
        <v>43</v>
      </c>
      <c r="K638" s="299" t="s">
        <v>1558</v>
      </c>
      <c r="L638" s="65"/>
      <c r="M638" s="32"/>
      <c r="N638" s="65"/>
      <c r="O638" s="43" t="s">
        <v>1543</v>
      </c>
      <c r="P638" s="43">
        <v>72000000</v>
      </c>
      <c r="Q638" s="48"/>
      <c r="R638" s="52"/>
      <c r="S638" s="33"/>
      <c r="T638" s="44"/>
      <c r="U638" s="48">
        <v>72000000</v>
      </c>
      <c r="V638" s="33"/>
      <c r="W638" s="52"/>
      <c r="X638" s="52"/>
      <c r="Y638" s="52"/>
      <c r="Z638" s="52">
        <f t="shared" si="515"/>
        <v>0</v>
      </c>
      <c r="AA638" s="54"/>
      <c r="AB638" s="68"/>
    </row>
    <row r="639" spans="1:45" ht="31.5" x14ac:dyDescent="0.25">
      <c r="A639" s="88" t="s">
        <v>46</v>
      </c>
      <c r="B639" s="290"/>
      <c r="C639" s="290"/>
      <c r="D639" s="88" t="s">
        <v>1552</v>
      </c>
      <c r="E639" s="88" t="s">
        <v>883</v>
      </c>
      <c r="F639" s="290"/>
      <c r="G639" s="88" t="s">
        <v>1556</v>
      </c>
      <c r="H639" s="88" t="s">
        <v>261</v>
      </c>
      <c r="I639" s="290"/>
      <c r="J639" s="290"/>
      <c r="K639" s="290"/>
      <c r="L639" s="108">
        <v>4270717238</v>
      </c>
      <c r="M639" s="108">
        <v>523546590</v>
      </c>
      <c r="N639" s="108">
        <v>15000000</v>
      </c>
      <c r="O639" s="92" t="s">
        <v>3117</v>
      </c>
      <c r="P639" s="84">
        <v>144000000</v>
      </c>
      <c r="Q639" s="91">
        <f t="shared" ref="Q639:Q683" si="633">L639+M639+N639+P639</f>
        <v>4953263828</v>
      </c>
      <c r="R639" s="94">
        <v>4270717238</v>
      </c>
      <c r="S639" s="91">
        <v>523546590</v>
      </c>
      <c r="T639" s="93">
        <v>15000000</v>
      </c>
      <c r="U639" s="91"/>
      <c r="V639" s="88"/>
      <c r="W639" s="94"/>
      <c r="X639" s="94">
        <f t="shared" ref="X639:Y639" si="634">M639-S639</f>
        <v>0</v>
      </c>
      <c r="Y639" s="94">
        <f t="shared" si="634"/>
        <v>0</v>
      </c>
      <c r="Z639" s="94">
        <f t="shared" si="515"/>
        <v>144000000</v>
      </c>
      <c r="AA639" s="95"/>
      <c r="AB639" s="96" t="s">
        <v>1290</v>
      </c>
      <c r="AC639" s="97"/>
      <c r="AD639" s="97"/>
      <c r="AE639" s="97"/>
      <c r="AF639" s="97"/>
      <c r="AG639" s="97"/>
      <c r="AH639" s="97"/>
      <c r="AI639" s="97"/>
      <c r="AJ639" s="97"/>
      <c r="AK639" s="97"/>
      <c r="AL639" s="97"/>
      <c r="AM639" s="97"/>
      <c r="AN639" s="97"/>
      <c r="AO639" s="97"/>
      <c r="AP639" s="97"/>
      <c r="AQ639" s="97"/>
      <c r="AR639" s="97"/>
      <c r="AS639" s="97"/>
    </row>
    <row r="640" spans="1:45" ht="60.75" x14ac:dyDescent="0.25">
      <c r="A640" s="33" t="s">
        <v>35</v>
      </c>
      <c r="B640" s="42">
        <v>616</v>
      </c>
      <c r="C640" s="33" t="s">
        <v>53</v>
      </c>
      <c r="D640" s="33" t="s">
        <v>3262</v>
      </c>
      <c r="E640" s="32"/>
      <c r="F640" s="33" t="s">
        <v>3263</v>
      </c>
      <c r="G640" s="32"/>
      <c r="H640" s="33" t="s">
        <v>261</v>
      </c>
      <c r="I640" s="62" t="s">
        <v>3264</v>
      </c>
      <c r="J640" s="33" t="s">
        <v>43</v>
      </c>
      <c r="K640" s="33" t="s">
        <v>3265</v>
      </c>
      <c r="L640" s="65">
        <v>5176307722</v>
      </c>
      <c r="M640" s="32"/>
      <c r="N640" s="65">
        <v>7500000</v>
      </c>
      <c r="O640" s="43"/>
      <c r="P640" s="43"/>
      <c r="Q640" s="48">
        <f t="shared" si="633"/>
        <v>5183807722</v>
      </c>
      <c r="R640" s="48">
        <v>5176307722</v>
      </c>
      <c r="S640" s="33"/>
      <c r="T640" s="44">
        <v>7500000</v>
      </c>
      <c r="U640" s="33"/>
      <c r="V640" s="33"/>
      <c r="W640" s="52"/>
      <c r="X640" s="52">
        <f t="shared" ref="X640:Y640" si="635">M640-S640</f>
        <v>0</v>
      </c>
      <c r="Y640" s="52">
        <f t="shared" si="635"/>
        <v>0</v>
      </c>
      <c r="Z640" s="52">
        <f t="shared" si="515"/>
        <v>0</v>
      </c>
      <c r="AA640" s="54"/>
      <c r="AB640" s="68"/>
    </row>
    <row r="641" spans="1:28" ht="81" x14ac:dyDescent="0.25">
      <c r="A641" s="33" t="s">
        <v>52</v>
      </c>
      <c r="B641" s="42">
        <v>617</v>
      </c>
      <c r="C641" s="33" t="s">
        <v>53</v>
      </c>
      <c r="D641" s="33" t="s">
        <v>3266</v>
      </c>
      <c r="E641" s="33" t="s">
        <v>3267</v>
      </c>
      <c r="F641" s="33" t="s">
        <v>3268</v>
      </c>
      <c r="G641" s="33" t="s">
        <v>3269</v>
      </c>
      <c r="H641" s="32"/>
      <c r="I641" s="62" t="s">
        <v>3270</v>
      </c>
      <c r="J641" s="33" t="s">
        <v>43</v>
      </c>
      <c r="K641" s="33" t="s">
        <v>449</v>
      </c>
      <c r="L641" s="65">
        <v>1147124800</v>
      </c>
      <c r="M641" s="65">
        <v>605553600</v>
      </c>
      <c r="N641" s="65">
        <v>15000000</v>
      </c>
      <c r="O641" s="43"/>
      <c r="P641" s="43"/>
      <c r="Q641" s="48">
        <f t="shared" si="633"/>
        <v>1767678400</v>
      </c>
      <c r="R641" s="48">
        <v>1147124800</v>
      </c>
      <c r="S641" s="33"/>
      <c r="T641" s="44">
        <v>15000000</v>
      </c>
      <c r="U641" s="33"/>
      <c r="V641" s="33"/>
      <c r="W641" s="52"/>
      <c r="X641" s="52">
        <f t="shared" ref="X641:Y641" si="636">M641-S641</f>
        <v>605553600</v>
      </c>
      <c r="Y641" s="52">
        <f t="shared" si="636"/>
        <v>0</v>
      </c>
      <c r="Z641" s="52">
        <f t="shared" si="515"/>
        <v>0</v>
      </c>
      <c r="AA641" s="54"/>
      <c r="AB641" s="68"/>
    </row>
    <row r="642" spans="1:28" ht="63" x14ac:dyDescent="0.25">
      <c r="A642" s="33" t="s">
        <v>46</v>
      </c>
      <c r="B642" s="42">
        <v>618</v>
      </c>
      <c r="C642" s="33" t="s">
        <v>53</v>
      </c>
      <c r="D642" s="33" t="s">
        <v>3271</v>
      </c>
      <c r="E642" s="33" t="s">
        <v>3272</v>
      </c>
      <c r="F642" s="33" t="s">
        <v>3273</v>
      </c>
      <c r="G642" s="33" t="s">
        <v>3274</v>
      </c>
      <c r="H642" s="33" t="s">
        <v>261</v>
      </c>
      <c r="I642" s="62" t="s">
        <v>3275</v>
      </c>
      <c r="J642" s="33" t="s">
        <v>43</v>
      </c>
      <c r="K642" s="33" t="s">
        <v>3276</v>
      </c>
      <c r="L642" s="65">
        <v>13354478286</v>
      </c>
      <c r="M642" s="65">
        <v>1409984400</v>
      </c>
      <c r="N642" s="65">
        <v>7500000</v>
      </c>
      <c r="O642" s="43"/>
      <c r="P642" s="43"/>
      <c r="Q642" s="48">
        <f t="shared" si="633"/>
        <v>14771962686</v>
      </c>
      <c r="R642" s="48">
        <v>13354478286</v>
      </c>
      <c r="S642" s="48">
        <v>1026885600</v>
      </c>
      <c r="T642" s="66"/>
      <c r="U642" s="33"/>
      <c r="V642" s="33"/>
      <c r="W642" s="52"/>
      <c r="X642" s="52">
        <f t="shared" ref="X642:Y642" si="637">M642-S642</f>
        <v>383098800</v>
      </c>
      <c r="Y642" s="52">
        <f t="shared" si="637"/>
        <v>7500000</v>
      </c>
      <c r="Z642" s="52">
        <f t="shared" si="515"/>
        <v>0</v>
      </c>
      <c r="AA642" s="54"/>
      <c r="AB642" s="68"/>
    </row>
    <row r="643" spans="1:28" ht="40.5" x14ac:dyDescent="0.25">
      <c r="A643" s="33" t="s">
        <v>35</v>
      </c>
      <c r="B643" s="42">
        <v>619</v>
      </c>
      <c r="C643" s="33" t="s">
        <v>53</v>
      </c>
      <c r="D643" s="33" t="s">
        <v>3277</v>
      </c>
      <c r="E643" s="32"/>
      <c r="F643" s="33" t="s">
        <v>3278</v>
      </c>
      <c r="G643" s="32"/>
      <c r="H643" s="32"/>
      <c r="I643" s="62" t="s">
        <v>3279</v>
      </c>
      <c r="J643" s="33" t="s">
        <v>43</v>
      </c>
      <c r="K643" s="33" t="s">
        <v>3280</v>
      </c>
      <c r="L643" s="65">
        <v>5798938856</v>
      </c>
      <c r="M643" s="32"/>
      <c r="N643" s="65">
        <v>15000000</v>
      </c>
      <c r="O643" s="43"/>
      <c r="P643" s="43"/>
      <c r="Q643" s="48">
        <f t="shared" si="633"/>
        <v>5813938856</v>
      </c>
      <c r="R643" s="48">
        <v>5798938856</v>
      </c>
      <c r="S643" s="33"/>
      <c r="T643" s="44">
        <v>15000000</v>
      </c>
      <c r="U643" s="33"/>
      <c r="V643" s="33"/>
      <c r="W643" s="52"/>
      <c r="X643" s="52">
        <f t="shared" ref="X643:Y643" si="638">M643-S643</f>
        <v>0</v>
      </c>
      <c r="Y643" s="52">
        <f t="shared" si="638"/>
        <v>0</v>
      </c>
      <c r="Z643" s="52">
        <f t="shared" si="515"/>
        <v>0</v>
      </c>
      <c r="AA643" s="54"/>
      <c r="AB643" s="68"/>
    </row>
    <row r="644" spans="1:28" ht="40.5" x14ac:dyDescent="0.25">
      <c r="A644" s="33" t="s">
        <v>60</v>
      </c>
      <c r="B644" s="42">
        <v>620</v>
      </c>
      <c r="C644" s="33" t="s">
        <v>53</v>
      </c>
      <c r="D644" s="33" t="s">
        <v>3281</v>
      </c>
      <c r="E644" s="32"/>
      <c r="F644" s="33" t="s">
        <v>3282</v>
      </c>
      <c r="G644" s="32"/>
      <c r="H644" s="32"/>
      <c r="I644" s="62" t="s">
        <v>3283</v>
      </c>
      <c r="J644" s="33" t="s">
        <v>43</v>
      </c>
      <c r="K644" s="33" t="s">
        <v>3284</v>
      </c>
      <c r="L644" s="65">
        <v>4209356424</v>
      </c>
      <c r="M644" s="32"/>
      <c r="N644" s="65">
        <v>7500000</v>
      </c>
      <c r="O644" s="43"/>
      <c r="P644" s="43"/>
      <c r="Q644" s="48">
        <f t="shared" si="633"/>
        <v>4216856424</v>
      </c>
      <c r="R644" s="48">
        <v>4209356424</v>
      </c>
      <c r="S644" s="33"/>
      <c r="T644" s="44">
        <v>7500000</v>
      </c>
      <c r="U644" s="33"/>
      <c r="V644" s="33"/>
      <c r="W644" s="52"/>
      <c r="X644" s="52">
        <f t="shared" ref="X644:Y644" si="639">M644-S644</f>
        <v>0</v>
      </c>
      <c r="Y644" s="52">
        <f t="shared" si="639"/>
        <v>0</v>
      </c>
      <c r="Z644" s="52">
        <f t="shared" si="515"/>
        <v>0</v>
      </c>
      <c r="AA644" s="54"/>
      <c r="AB644" s="68"/>
    </row>
    <row r="645" spans="1:28" ht="31.5" x14ac:dyDescent="0.25">
      <c r="A645" s="33" t="s">
        <v>52</v>
      </c>
      <c r="B645" s="42">
        <v>621</v>
      </c>
      <c r="C645" s="33" t="s">
        <v>53</v>
      </c>
      <c r="D645" s="33" t="s">
        <v>225</v>
      </c>
      <c r="E645" s="33" t="s">
        <v>227</v>
      </c>
      <c r="F645" s="33" t="s">
        <v>230</v>
      </c>
      <c r="G645" s="33" t="s">
        <v>231</v>
      </c>
      <c r="H645" s="32"/>
      <c r="I645" s="62" t="s">
        <v>232</v>
      </c>
      <c r="J645" s="33" t="s">
        <v>43</v>
      </c>
      <c r="K645" s="33" t="s">
        <v>233</v>
      </c>
      <c r="L645" s="65">
        <v>1634989243</v>
      </c>
      <c r="M645" s="65">
        <v>115406760</v>
      </c>
      <c r="N645" s="65">
        <v>15000000</v>
      </c>
      <c r="O645" s="43" t="s">
        <v>3286</v>
      </c>
      <c r="P645" s="69">
        <v>30000000</v>
      </c>
      <c r="Q645" s="48">
        <f t="shared" si="633"/>
        <v>1795396003</v>
      </c>
      <c r="R645" s="48">
        <v>1634989243</v>
      </c>
      <c r="S645" s="48">
        <v>115406760</v>
      </c>
      <c r="T645" s="44">
        <v>15000000</v>
      </c>
      <c r="U645" s="48">
        <v>30000000</v>
      </c>
      <c r="V645" s="33"/>
      <c r="W645" s="52"/>
      <c r="X645" s="52">
        <f t="shared" ref="X645:Y645" si="640">M645-S645</f>
        <v>0</v>
      </c>
      <c r="Y645" s="52">
        <f t="shared" si="640"/>
        <v>0</v>
      </c>
      <c r="Z645" s="52">
        <f t="shared" si="515"/>
        <v>0</v>
      </c>
      <c r="AA645" s="54"/>
      <c r="AB645" s="68"/>
    </row>
    <row r="646" spans="1:28" ht="31.5" x14ac:dyDescent="0.25">
      <c r="A646" s="33" t="s">
        <v>46</v>
      </c>
      <c r="B646" s="42">
        <v>622</v>
      </c>
      <c r="C646" s="33" t="s">
        <v>53</v>
      </c>
      <c r="D646" s="33" t="s">
        <v>1376</v>
      </c>
      <c r="E646" s="32"/>
      <c r="F646" s="33" t="s">
        <v>1378</v>
      </c>
      <c r="G646" s="32"/>
      <c r="H646" s="33" t="s">
        <v>261</v>
      </c>
      <c r="I646" s="62" t="s">
        <v>1379</v>
      </c>
      <c r="J646" s="33" t="s">
        <v>43</v>
      </c>
      <c r="K646" s="33" t="s">
        <v>1380</v>
      </c>
      <c r="L646" s="65">
        <v>3463769620</v>
      </c>
      <c r="M646" s="32"/>
      <c r="N646" s="65">
        <v>15000000</v>
      </c>
      <c r="O646" s="43" t="s">
        <v>3116</v>
      </c>
      <c r="P646" s="69">
        <v>24000000</v>
      </c>
      <c r="Q646" s="48">
        <f t="shared" si="633"/>
        <v>3502769620</v>
      </c>
      <c r="R646" s="48">
        <v>3463769620</v>
      </c>
      <c r="S646" s="33"/>
      <c r="T646" s="66"/>
      <c r="U646" s="48">
        <v>24000000</v>
      </c>
      <c r="V646" s="33"/>
      <c r="W646" s="52"/>
      <c r="X646" s="52">
        <f t="shared" ref="X646:Y646" si="641">M646-S646</f>
        <v>0</v>
      </c>
      <c r="Y646" s="52">
        <f t="shared" si="641"/>
        <v>15000000</v>
      </c>
      <c r="Z646" s="52">
        <f t="shared" si="515"/>
        <v>0</v>
      </c>
      <c r="AA646" s="54"/>
      <c r="AB646" s="68"/>
    </row>
    <row r="647" spans="1:28" ht="31.5" x14ac:dyDescent="0.25">
      <c r="A647" s="33" t="s">
        <v>52</v>
      </c>
      <c r="B647" s="42">
        <v>623</v>
      </c>
      <c r="C647" s="33" t="s">
        <v>53</v>
      </c>
      <c r="D647" s="33" t="s">
        <v>3287</v>
      </c>
      <c r="E647" s="33" t="s">
        <v>3288</v>
      </c>
      <c r="F647" s="33" t="s">
        <v>3289</v>
      </c>
      <c r="G647" s="33" t="s">
        <v>3290</v>
      </c>
      <c r="H647" s="32"/>
      <c r="I647" s="62" t="s">
        <v>3291</v>
      </c>
      <c r="J647" s="33" t="s">
        <v>43</v>
      </c>
      <c r="K647" s="33" t="s">
        <v>3292</v>
      </c>
      <c r="L647" s="65">
        <v>6147723971</v>
      </c>
      <c r="M647" s="65">
        <v>491859703</v>
      </c>
      <c r="N647" s="65">
        <v>15000000</v>
      </c>
      <c r="O647" s="43"/>
      <c r="P647" s="43"/>
      <c r="Q647" s="48">
        <f t="shared" si="633"/>
        <v>6654583674</v>
      </c>
      <c r="R647" s="48">
        <v>6147723971</v>
      </c>
      <c r="S647" s="48">
        <v>491859703</v>
      </c>
      <c r="T647" s="44">
        <v>15000000</v>
      </c>
      <c r="U647" s="33"/>
      <c r="V647" s="33"/>
      <c r="W647" s="52"/>
      <c r="X647" s="52">
        <f t="shared" ref="X647:Y647" si="642">M647-S647</f>
        <v>0</v>
      </c>
      <c r="Y647" s="52">
        <f t="shared" si="642"/>
        <v>0</v>
      </c>
      <c r="Z647" s="52">
        <f t="shared" si="515"/>
        <v>0</v>
      </c>
      <c r="AA647" s="54"/>
      <c r="AB647" s="68"/>
    </row>
    <row r="648" spans="1:28" ht="31.5" x14ac:dyDescent="0.25">
      <c r="A648" s="33" t="s">
        <v>88</v>
      </c>
      <c r="B648" s="42">
        <v>624</v>
      </c>
      <c r="C648" s="33" t="s">
        <v>53</v>
      </c>
      <c r="D648" s="33" t="s">
        <v>3294</v>
      </c>
      <c r="E648" s="32"/>
      <c r="F648" s="33" t="s">
        <v>3295</v>
      </c>
      <c r="G648" s="32"/>
      <c r="H648" s="32"/>
      <c r="I648" s="62" t="s">
        <v>3296</v>
      </c>
      <c r="J648" s="33" t="s">
        <v>43</v>
      </c>
      <c r="K648" s="33" t="s">
        <v>745</v>
      </c>
      <c r="L648" s="65">
        <v>4471431370</v>
      </c>
      <c r="M648" s="32"/>
      <c r="N648" s="65">
        <v>15000000</v>
      </c>
      <c r="O648" s="43"/>
      <c r="P648" s="43"/>
      <c r="Q648" s="48">
        <f t="shared" si="633"/>
        <v>4486431370</v>
      </c>
      <c r="R648" s="52">
        <v>4471431370</v>
      </c>
      <c r="S648" s="33"/>
      <c r="T648" s="44">
        <v>15000000</v>
      </c>
      <c r="U648" s="33"/>
      <c r="V648" s="33"/>
      <c r="W648" s="52"/>
      <c r="X648" s="52">
        <f t="shared" ref="X648:Y648" si="643">M648-S648</f>
        <v>0</v>
      </c>
      <c r="Y648" s="52">
        <f t="shared" si="643"/>
        <v>0</v>
      </c>
      <c r="Z648" s="52">
        <f t="shared" si="515"/>
        <v>0</v>
      </c>
      <c r="AA648" s="54"/>
      <c r="AB648" s="68"/>
    </row>
    <row r="649" spans="1:28" ht="31.5" x14ac:dyDescent="0.25">
      <c r="A649" s="33" t="s">
        <v>88</v>
      </c>
      <c r="B649" s="42">
        <v>625</v>
      </c>
      <c r="C649" s="33" t="s">
        <v>53</v>
      </c>
      <c r="D649" s="33" t="s">
        <v>3297</v>
      </c>
      <c r="E649" s="33" t="s">
        <v>3298</v>
      </c>
      <c r="F649" s="33" t="s">
        <v>3299</v>
      </c>
      <c r="G649" s="33" t="s">
        <v>3300</v>
      </c>
      <c r="H649" s="32"/>
      <c r="I649" s="62" t="s">
        <v>3301</v>
      </c>
      <c r="J649" s="33" t="s">
        <v>43</v>
      </c>
      <c r="K649" s="33" t="s">
        <v>3302</v>
      </c>
      <c r="L649" s="65">
        <v>3044214687</v>
      </c>
      <c r="M649" s="65">
        <v>148963795</v>
      </c>
      <c r="N649" s="65">
        <v>15000000</v>
      </c>
      <c r="O649" s="43"/>
      <c r="P649" s="43"/>
      <c r="Q649" s="48">
        <f t="shared" si="633"/>
        <v>3208178482</v>
      </c>
      <c r="R649" s="52">
        <v>3044214687</v>
      </c>
      <c r="S649" s="48">
        <v>148963795</v>
      </c>
      <c r="T649" s="44">
        <v>15000000</v>
      </c>
      <c r="U649" s="33"/>
      <c r="V649" s="33"/>
      <c r="W649" s="52"/>
      <c r="X649" s="52">
        <f t="shared" ref="X649:Y649" si="644">M649-S649</f>
        <v>0</v>
      </c>
      <c r="Y649" s="52">
        <f t="shared" si="644"/>
        <v>0</v>
      </c>
      <c r="Z649" s="52">
        <f t="shared" si="515"/>
        <v>0</v>
      </c>
      <c r="AA649" s="54"/>
      <c r="AB649" s="68"/>
    </row>
    <row r="650" spans="1:28" ht="40.5" x14ac:dyDescent="0.25">
      <c r="A650" s="33" t="s">
        <v>46</v>
      </c>
      <c r="B650" s="42">
        <v>626</v>
      </c>
      <c r="C650" s="33" t="s">
        <v>53</v>
      </c>
      <c r="D650" s="33" t="s">
        <v>1058</v>
      </c>
      <c r="E650" s="32"/>
      <c r="F650" s="33" t="s">
        <v>1059</v>
      </c>
      <c r="G650" s="32"/>
      <c r="H650" s="32"/>
      <c r="I650" s="62" t="s">
        <v>1060</v>
      </c>
      <c r="J650" s="33" t="s">
        <v>43</v>
      </c>
      <c r="K650" s="33" t="s">
        <v>1061</v>
      </c>
      <c r="L650" s="65">
        <v>13885095762</v>
      </c>
      <c r="M650" s="32"/>
      <c r="N650" s="65">
        <v>15000000</v>
      </c>
      <c r="O650" s="43" t="s">
        <v>1012</v>
      </c>
      <c r="P650" s="69">
        <v>72000000</v>
      </c>
      <c r="Q650" s="48">
        <f t="shared" si="633"/>
        <v>13972095762</v>
      </c>
      <c r="R650" s="48">
        <v>13885095762</v>
      </c>
      <c r="S650" s="33"/>
      <c r="T650" s="44">
        <v>15000000</v>
      </c>
      <c r="U650" s="48">
        <v>72000000</v>
      </c>
      <c r="V650" s="33"/>
      <c r="W650" s="52"/>
      <c r="X650" s="52">
        <f t="shared" ref="X650:Y650" si="645">M650-S650</f>
        <v>0</v>
      </c>
      <c r="Y650" s="52">
        <f t="shared" si="645"/>
        <v>0</v>
      </c>
      <c r="Z650" s="52">
        <f t="shared" si="515"/>
        <v>0</v>
      </c>
      <c r="AA650" s="54"/>
      <c r="AB650" s="68"/>
    </row>
    <row r="651" spans="1:28" ht="31.5" x14ac:dyDescent="0.25">
      <c r="A651" s="33" t="s">
        <v>35</v>
      </c>
      <c r="B651" s="42">
        <v>627</v>
      </c>
      <c r="C651" s="33" t="s">
        <v>53</v>
      </c>
      <c r="D651" s="33" t="s">
        <v>3303</v>
      </c>
      <c r="E651" s="33" t="s">
        <v>1043</v>
      </c>
      <c r="F651" s="33" t="s">
        <v>3304</v>
      </c>
      <c r="G651" s="33" t="s">
        <v>3305</v>
      </c>
      <c r="H651" s="32"/>
      <c r="I651" s="62" t="s">
        <v>3306</v>
      </c>
      <c r="J651" s="33" t="s">
        <v>43</v>
      </c>
      <c r="K651" s="33" t="s">
        <v>3307</v>
      </c>
      <c r="L651" s="65">
        <v>15436039426</v>
      </c>
      <c r="M651" s="65">
        <v>276510000</v>
      </c>
      <c r="N651" s="65">
        <v>15000000</v>
      </c>
      <c r="O651" s="43"/>
      <c r="P651" s="43"/>
      <c r="Q651" s="48">
        <f t="shared" si="633"/>
        <v>15727549426</v>
      </c>
      <c r="R651" s="48">
        <v>15436039426</v>
      </c>
      <c r="S651" s="33"/>
      <c r="T651" s="44">
        <v>15000000</v>
      </c>
      <c r="U651" s="33"/>
      <c r="V651" s="33"/>
      <c r="W651" s="52"/>
      <c r="X651" s="52">
        <f t="shared" ref="X651:Y651" si="646">M651-S651</f>
        <v>276510000</v>
      </c>
      <c r="Y651" s="52">
        <f t="shared" si="646"/>
        <v>0</v>
      </c>
      <c r="Z651" s="52">
        <f t="shared" si="515"/>
        <v>0</v>
      </c>
      <c r="AA651" s="54"/>
      <c r="AB651" s="68"/>
    </row>
    <row r="652" spans="1:28" ht="40.5" x14ac:dyDescent="0.25">
      <c r="A652" s="33" t="s">
        <v>46</v>
      </c>
      <c r="B652" s="42">
        <v>628</v>
      </c>
      <c r="C652" s="33" t="s">
        <v>53</v>
      </c>
      <c r="D652" s="33" t="s">
        <v>3309</v>
      </c>
      <c r="E652" s="32"/>
      <c r="F652" s="33" t="s">
        <v>3310</v>
      </c>
      <c r="G652" s="32"/>
      <c r="H652" s="33" t="s">
        <v>321</v>
      </c>
      <c r="I652" s="62" t="s">
        <v>3311</v>
      </c>
      <c r="J652" s="33" t="s">
        <v>43</v>
      </c>
      <c r="K652" s="33" t="s">
        <v>3312</v>
      </c>
      <c r="L652" s="65">
        <v>5653822980</v>
      </c>
      <c r="M652" s="32"/>
      <c r="N652" s="65">
        <v>7500000</v>
      </c>
      <c r="O652" s="43"/>
      <c r="P652" s="43"/>
      <c r="Q652" s="48">
        <f t="shared" si="633"/>
        <v>5661322980</v>
      </c>
      <c r="R652" s="48">
        <v>5653822980</v>
      </c>
      <c r="S652" s="33"/>
      <c r="T652" s="44">
        <v>7500000</v>
      </c>
      <c r="U652" s="33"/>
      <c r="V652" s="33"/>
      <c r="W652" s="52"/>
      <c r="X652" s="52">
        <f t="shared" ref="X652:Y652" si="647">M652-S652</f>
        <v>0</v>
      </c>
      <c r="Y652" s="52">
        <f t="shared" si="647"/>
        <v>0</v>
      </c>
      <c r="Z652" s="52">
        <f t="shared" si="515"/>
        <v>0</v>
      </c>
      <c r="AA652" s="54"/>
      <c r="AB652" s="68"/>
    </row>
    <row r="653" spans="1:28" ht="40.5" x14ac:dyDescent="0.25">
      <c r="A653" s="33" t="s">
        <v>46</v>
      </c>
      <c r="B653" s="42">
        <v>629</v>
      </c>
      <c r="C653" s="33" t="s">
        <v>53</v>
      </c>
      <c r="D653" s="33" t="s">
        <v>3313</v>
      </c>
      <c r="E653" s="32"/>
      <c r="F653" s="33" t="s">
        <v>3314</v>
      </c>
      <c r="G653" s="32"/>
      <c r="H653" s="33" t="s">
        <v>321</v>
      </c>
      <c r="I653" s="62" t="s">
        <v>3315</v>
      </c>
      <c r="J653" s="33" t="s">
        <v>43</v>
      </c>
      <c r="K653" s="33" t="s">
        <v>3316</v>
      </c>
      <c r="L653" s="65">
        <v>1466514605</v>
      </c>
      <c r="M653" s="32"/>
      <c r="N653" s="65">
        <v>7500000</v>
      </c>
      <c r="O653" s="43"/>
      <c r="P653" s="43"/>
      <c r="Q653" s="48">
        <f t="shared" si="633"/>
        <v>1474014605</v>
      </c>
      <c r="R653" s="48">
        <v>1466514605</v>
      </c>
      <c r="S653" s="33"/>
      <c r="T653" s="44">
        <v>7500000</v>
      </c>
      <c r="U653" s="33"/>
      <c r="V653" s="33"/>
      <c r="W653" s="52"/>
      <c r="X653" s="52">
        <f t="shared" ref="X653:Y653" si="648">M653-S653</f>
        <v>0</v>
      </c>
      <c r="Y653" s="52">
        <f t="shared" si="648"/>
        <v>0</v>
      </c>
      <c r="Z653" s="52">
        <f t="shared" si="515"/>
        <v>0</v>
      </c>
      <c r="AA653" s="54"/>
      <c r="AB653" s="68"/>
    </row>
    <row r="654" spans="1:28" ht="40.5" x14ac:dyDescent="0.25">
      <c r="A654" s="33" t="s">
        <v>275</v>
      </c>
      <c r="B654" s="42">
        <v>630</v>
      </c>
      <c r="C654" s="33" t="s">
        <v>53</v>
      </c>
      <c r="D654" s="33" t="s">
        <v>3317</v>
      </c>
      <c r="E654" s="32"/>
      <c r="F654" s="33" t="s">
        <v>3318</v>
      </c>
      <c r="G654" s="32"/>
      <c r="H654" s="33" t="s">
        <v>261</v>
      </c>
      <c r="I654" s="62" t="s">
        <v>3319</v>
      </c>
      <c r="J654" s="33" t="s">
        <v>43</v>
      </c>
      <c r="K654" s="33" t="s">
        <v>3320</v>
      </c>
      <c r="L654" s="65">
        <v>7247037716</v>
      </c>
      <c r="M654" s="32"/>
      <c r="N654" s="65">
        <v>7500000</v>
      </c>
      <c r="O654" s="43"/>
      <c r="P654" s="43"/>
      <c r="Q654" s="48">
        <f t="shared" si="633"/>
        <v>7254537716</v>
      </c>
      <c r="R654" s="48">
        <v>7247037716</v>
      </c>
      <c r="S654" s="33"/>
      <c r="T654" s="44">
        <v>7500000</v>
      </c>
      <c r="U654" s="33"/>
      <c r="V654" s="33"/>
      <c r="W654" s="52"/>
      <c r="X654" s="52">
        <f t="shared" ref="X654:Y654" si="649">M654-S654</f>
        <v>0</v>
      </c>
      <c r="Y654" s="52">
        <f t="shared" si="649"/>
        <v>0</v>
      </c>
      <c r="Z654" s="52">
        <f t="shared" si="515"/>
        <v>0</v>
      </c>
      <c r="AA654" s="54"/>
      <c r="AB654" s="68"/>
    </row>
    <row r="655" spans="1:28" ht="60.75" x14ac:dyDescent="0.25">
      <c r="A655" s="33" t="s">
        <v>60</v>
      </c>
      <c r="B655" s="42">
        <v>631</v>
      </c>
      <c r="C655" s="33" t="s">
        <v>53</v>
      </c>
      <c r="D655" s="33" t="s">
        <v>3321</v>
      </c>
      <c r="E655" s="32"/>
      <c r="F655" s="33" t="s">
        <v>3322</v>
      </c>
      <c r="G655" s="32"/>
      <c r="H655" s="32"/>
      <c r="I655" s="62" t="s">
        <v>3323</v>
      </c>
      <c r="J655" s="33" t="s">
        <v>43</v>
      </c>
      <c r="K655" s="33" t="s">
        <v>3324</v>
      </c>
      <c r="L655" s="65">
        <v>3170225742</v>
      </c>
      <c r="M655" s="32"/>
      <c r="N655" s="65">
        <v>15000000</v>
      </c>
      <c r="O655" s="43"/>
      <c r="P655" s="43"/>
      <c r="Q655" s="48">
        <f t="shared" si="633"/>
        <v>3185225742</v>
      </c>
      <c r="R655" s="48">
        <v>3170225742</v>
      </c>
      <c r="S655" s="33"/>
      <c r="T655" s="44">
        <v>15000000</v>
      </c>
      <c r="U655" s="33"/>
      <c r="V655" s="33"/>
      <c r="W655" s="52"/>
      <c r="X655" s="52">
        <f t="shared" ref="X655:Y655" si="650">M655-S655</f>
        <v>0</v>
      </c>
      <c r="Y655" s="52">
        <f t="shared" si="650"/>
        <v>0</v>
      </c>
      <c r="Z655" s="52">
        <f t="shared" si="515"/>
        <v>0</v>
      </c>
      <c r="AA655" s="54"/>
      <c r="AB655" s="68"/>
    </row>
    <row r="656" spans="1:28" ht="40.5" x14ac:dyDescent="0.25">
      <c r="A656" s="33" t="s">
        <v>60</v>
      </c>
      <c r="B656" s="42">
        <v>632</v>
      </c>
      <c r="C656" s="33" t="s">
        <v>53</v>
      </c>
      <c r="D656" s="33" t="s">
        <v>3325</v>
      </c>
      <c r="E656" s="32"/>
      <c r="F656" s="33" t="s">
        <v>3326</v>
      </c>
      <c r="G656" s="32"/>
      <c r="H656" s="32"/>
      <c r="I656" s="62" t="s">
        <v>3327</v>
      </c>
      <c r="J656" s="33" t="s">
        <v>43</v>
      </c>
      <c r="K656" s="33" t="s">
        <v>3328</v>
      </c>
      <c r="L656" s="65">
        <v>5063021384</v>
      </c>
      <c r="M656" s="32"/>
      <c r="N656" s="65">
        <v>15000000</v>
      </c>
      <c r="O656" s="43"/>
      <c r="P656" s="43"/>
      <c r="Q656" s="48">
        <f t="shared" si="633"/>
        <v>5078021384</v>
      </c>
      <c r="R656" s="48">
        <v>5063021384</v>
      </c>
      <c r="S656" s="33"/>
      <c r="T656" s="44">
        <v>15000000</v>
      </c>
      <c r="U656" s="33"/>
      <c r="V656" s="33"/>
      <c r="W656" s="52"/>
      <c r="X656" s="52">
        <f t="shared" ref="X656:Y656" si="651">M656-S656</f>
        <v>0</v>
      </c>
      <c r="Y656" s="52">
        <f t="shared" si="651"/>
        <v>0</v>
      </c>
      <c r="Z656" s="52">
        <f t="shared" si="515"/>
        <v>0</v>
      </c>
      <c r="AA656" s="54"/>
      <c r="AB656" s="68"/>
    </row>
    <row r="657" spans="1:28" ht="121.5" x14ac:dyDescent="0.25">
      <c r="A657" s="33" t="s">
        <v>46</v>
      </c>
      <c r="B657" s="42">
        <v>633</v>
      </c>
      <c r="C657" s="33" t="s">
        <v>53</v>
      </c>
      <c r="D657" s="33" t="s">
        <v>3329</v>
      </c>
      <c r="E657" s="32"/>
      <c r="F657" s="33" t="s">
        <v>3330</v>
      </c>
      <c r="G657" s="32"/>
      <c r="H657" s="33" t="s">
        <v>261</v>
      </c>
      <c r="I657" s="62" t="s">
        <v>3331</v>
      </c>
      <c r="J657" s="33" t="s">
        <v>43</v>
      </c>
      <c r="K657" s="33" t="s">
        <v>3332</v>
      </c>
      <c r="L657" s="65">
        <v>3070287800</v>
      </c>
      <c r="M657" s="32"/>
      <c r="N657" s="65">
        <v>7500000</v>
      </c>
      <c r="O657" s="43"/>
      <c r="P657" s="43"/>
      <c r="Q657" s="48">
        <f t="shared" si="633"/>
        <v>3077787800</v>
      </c>
      <c r="R657" s="48">
        <v>3070287800</v>
      </c>
      <c r="S657" s="33"/>
      <c r="T657" s="44">
        <v>7500000</v>
      </c>
      <c r="U657" s="33"/>
      <c r="V657" s="33"/>
      <c r="W657" s="52"/>
      <c r="X657" s="52">
        <f t="shared" ref="X657:Y657" si="652">M657-S657</f>
        <v>0</v>
      </c>
      <c r="Y657" s="52">
        <f t="shared" si="652"/>
        <v>0</v>
      </c>
      <c r="Z657" s="52">
        <f t="shared" si="515"/>
        <v>0</v>
      </c>
      <c r="AA657" s="54"/>
      <c r="AB657" s="68"/>
    </row>
    <row r="658" spans="1:28" ht="47.25" x14ac:dyDescent="0.25">
      <c r="A658" s="33" t="s">
        <v>35</v>
      </c>
      <c r="B658" s="42">
        <v>634</v>
      </c>
      <c r="C658" s="33" t="s">
        <v>53</v>
      </c>
      <c r="D658" s="33" t="s">
        <v>3333</v>
      </c>
      <c r="E658" s="32"/>
      <c r="F658" s="33" t="s">
        <v>3334</v>
      </c>
      <c r="G658" s="32"/>
      <c r="H658" s="33" t="s">
        <v>261</v>
      </c>
      <c r="I658" s="62" t="s">
        <v>3335</v>
      </c>
      <c r="J658" s="33" t="s">
        <v>43</v>
      </c>
      <c r="K658" s="33" t="s">
        <v>3336</v>
      </c>
      <c r="L658" s="65">
        <v>3569089716</v>
      </c>
      <c r="M658" s="32"/>
      <c r="N658" s="65">
        <v>7500000</v>
      </c>
      <c r="O658" s="43"/>
      <c r="P658" s="43"/>
      <c r="Q658" s="48">
        <f t="shared" si="633"/>
        <v>3576589716</v>
      </c>
      <c r="R658" s="48">
        <v>3569089716</v>
      </c>
      <c r="S658" s="33"/>
      <c r="T658" s="44">
        <v>7500000</v>
      </c>
      <c r="U658" s="33"/>
      <c r="V658" s="33"/>
      <c r="W658" s="52"/>
      <c r="X658" s="52">
        <f t="shared" ref="X658:Y658" si="653">M658-S658</f>
        <v>0</v>
      </c>
      <c r="Y658" s="52">
        <f t="shared" si="653"/>
        <v>0</v>
      </c>
      <c r="Z658" s="52">
        <f t="shared" si="515"/>
        <v>0</v>
      </c>
      <c r="AA658" s="54"/>
      <c r="AB658" s="68"/>
    </row>
    <row r="659" spans="1:28" ht="31.5" x14ac:dyDescent="0.25">
      <c r="A659" s="33" t="s">
        <v>46</v>
      </c>
      <c r="B659" s="42">
        <v>635</v>
      </c>
      <c r="C659" s="33" t="s">
        <v>53</v>
      </c>
      <c r="D659" s="33" t="s">
        <v>3337</v>
      </c>
      <c r="E659" s="32"/>
      <c r="F659" s="33" t="s">
        <v>3338</v>
      </c>
      <c r="G659" s="32"/>
      <c r="H659" s="33" t="s">
        <v>321</v>
      </c>
      <c r="I659" s="62" t="s">
        <v>3339</v>
      </c>
      <c r="J659" s="33" t="s">
        <v>43</v>
      </c>
      <c r="K659" s="33" t="s">
        <v>3340</v>
      </c>
      <c r="L659" s="65">
        <v>1028645990</v>
      </c>
      <c r="M659" s="32"/>
      <c r="N659" s="65">
        <v>7500000</v>
      </c>
      <c r="O659" s="43"/>
      <c r="P659" s="43"/>
      <c r="Q659" s="48">
        <f t="shared" si="633"/>
        <v>1036145990</v>
      </c>
      <c r="R659" s="48">
        <v>1028645990</v>
      </c>
      <c r="S659" s="33"/>
      <c r="T659" s="44">
        <v>7500000</v>
      </c>
      <c r="U659" s="33"/>
      <c r="V659" s="33"/>
      <c r="W659" s="52"/>
      <c r="X659" s="52">
        <f t="shared" ref="X659:Y659" si="654">M659-S659</f>
        <v>0</v>
      </c>
      <c r="Y659" s="52">
        <f t="shared" si="654"/>
        <v>0</v>
      </c>
      <c r="Z659" s="52">
        <f t="shared" si="515"/>
        <v>0</v>
      </c>
      <c r="AA659" s="54"/>
      <c r="AB659" s="68"/>
    </row>
    <row r="660" spans="1:28" ht="60.75" x14ac:dyDescent="0.3">
      <c r="A660" s="33" t="s">
        <v>60</v>
      </c>
      <c r="B660" s="42">
        <v>636</v>
      </c>
      <c r="C660" s="33" t="s">
        <v>53</v>
      </c>
      <c r="D660" s="33" t="s">
        <v>3341</v>
      </c>
      <c r="E660" s="32"/>
      <c r="F660" s="33" t="s">
        <v>3342</v>
      </c>
      <c r="G660" s="32"/>
      <c r="H660" s="32"/>
      <c r="I660" s="62" t="s">
        <v>3343</v>
      </c>
      <c r="J660" s="33" t="s">
        <v>43</v>
      </c>
      <c r="K660" s="33" t="s">
        <v>3344</v>
      </c>
      <c r="L660" s="65">
        <v>4288374500</v>
      </c>
      <c r="M660" s="32"/>
      <c r="N660" s="65">
        <v>7500000</v>
      </c>
      <c r="O660" s="43"/>
      <c r="P660" s="43"/>
      <c r="Q660" s="48">
        <f t="shared" si="633"/>
        <v>4295874500</v>
      </c>
      <c r="R660" s="33"/>
      <c r="S660" s="33"/>
      <c r="T660" s="66"/>
      <c r="U660" s="33"/>
      <c r="V660" s="33"/>
      <c r="W660" s="52">
        <v>4288374500</v>
      </c>
      <c r="X660" s="52">
        <f t="shared" ref="X660:Y660" si="655">M660-S660</f>
        <v>0</v>
      </c>
      <c r="Y660" s="52">
        <f t="shared" si="655"/>
        <v>7500000</v>
      </c>
      <c r="Z660" s="52">
        <f t="shared" si="515"/>
        <v>0</v>
      </c>
      <c r="AA660" s="98">
        <v>4288374500</v>
      </c>
      <c r="AB660" s="68"/>
    </row>
    <row r="661" spans="1:28" ht="31.5" x14ac:dyDescent="0.25">
      <c r="A661" s="33" t="s">
        <v>35</v>
      </c>
      <c r="B661" s="42">
        <v>637</v>
      </c>
      <c r="C661" s="33" t="s">
        <v>53</v>
      </c>
      <c r="D661" s="33" t="s">
        <v>3345</v>
      </c>
      <c r="E661" s="32"/>
      <c r="F661" s="33" t="s">
        <v>3346</v>
      </c>
      <c r="G661" s="32"/>
      <c r="H661" s="32"/>
      <c r="I661" s="62" t="s">
        <v>3347</v>
      </c>
      <c r="J661" s="33" t="s">
        <v>43</v>
      </c>
      <c r="K661" s="33" t="s">
        <v>3348</v>
      </c>
      <c r="L661" s="65">
        <v>1265664188</v>
      </c>
      <c r="M661" s="32"/>
      <c r="N661" s="65">
        <v>7500000</v>
      </c>
      <c r="O661" s="43"/>
      <c r="P661" s="43"/>
      <c r="Q661" s="48">
        <f t="shared" si="633"/>
        <v>1273164188</v>
      </c>
      <c r="R661" s="48">
        <v>1265664188</v>
      </c>
      <c r="S661" s="33"/>
      <c r="T661" s="44">
        <v>7500000</v>
      </c>
      <c r="U661" s="33"/>
      <c r="V661" s="33"/>
      <c r="W661" s="52"/>
      <c r="X661" s="52">
        <f t="shared" ref="X661:Y661" si="656">M661-S661</f>
        <v>0</v>
      </c>
      <c r="Y661" s="52">
        <f t="shared" si="656"/>
        <v>0</v>
      </c>
      <c r="Z661" s="52">
        <f t="shared" si="515"/>
        <v>0</v>
      </c>
      <c r="AA661" s="54"/>
      <c r="AB661" s="68"/>
    </row>
    <row r="662" spans="1:28" ht="40.5" x14ac:dyDescent="0.25">
      <c r="A662" s="33" t="s">
        <v>46</v>
      </c>
      <c r="B662" s="42">
        <v>638</v>
      </c>
      <c r="C662" s="33" t="s">
        <v>53</v>
      </c>
      <c r="D662" s="33" t="s">
        <v>3349</v>
      </c>
      <c r="E662" s="32"/>
      <c r="F662" s="33" t="s">
        <v>3350</v>
      </c>
      <c r="G662" s="32"/>
      <c r="H662" s="33" t="s">
        <v>3351</v>
      </c>
      <c r="I662" s="62" t="s">
        <v>3352</v>
      </c>
      <c r="J662" s="33" t="s">
        <v>43</v>
      </c>
      <c r="K662" s="33" t="s">
        <v>3353</v>
      </c>
      <c r="L662" s="65">
        <v>301882620</v>
      </c>
      <c r="M662" s="32"/>
      <c r="N662" s="65">
        <v>7500000</v>
      </c>
      <c r="O662" s="43"/>
      <c r="P662" s="43"/>
      <c r="Q662" s="48">
        <f t="shared" si="633"/>
        <v>309382620</v>
      </c>
      <c r="R662" s="48">
        <v>301882620</v>
      </c>
      <c r="S662" s="33"/>
      <c r="T662" s="44">
        <v>7500000</v>
      </c>
      <c r="U662" s="33"/>
      <c r="V662" s="33"/>
      <c r="W662" s="52"/>
      <c r="X662" s="52">
        <f t="shared" ref="X662:Y662" si="657">M662-S662</f>
        <v>0</v>
      </c>
      <c r="Y662" s="52">
        <f t="shared" si="657"/>
        <v>0</v>
      </c>
      <c r="Z662" s="52">
        <f t="shared" si="515"/>
        <v>0</v>
      </c>
      <c r="AA662" s="54"/>
      <c r="AB662" s="68"/>
    </row>
    <row r="663" spans="1:28" ht="47.25" x14ac:dyDescent="0.25">
      <c r="A663" s="33" t="s">
        <v>46</v>
      </c>
      <c r="B663" s="42">
        <v>639</v>
      </c>
      <c r="C663" s="33" t="s">
        <v>53</v>
      </c>
      <c r="D663" s="33" t="s">
        <v>1167</v>
      </c>
      <c r="E663" s="33" t="s">
        <v>567</v>
      </c>
      <c r="F663" s="33" t="s">
        <v>1170</v>
      </c>
      <c r="G663" s="32"/>
      <c r="H663" s="33" t="s">
        <v>261</v>
      </c>
      <c r="I663" s="62" t="s">
        <v>1171</v>
      </c>
      <c r="J663" s="33" t="s">
        <v>43</v>
      </c>
      <c r="K663" s="33" t="s">
        <v>1172</v>
      </c>
      <c r="L663" s="65">
        <v>6012667866</v>
      </c>
      <c r="M663" s="106">
        <v>3504088820</v>
      </c>
      <c r="N663" s="65">
        <v>15000000</v>
      </c>
      <c r="O663" s="43" t="s">
        <v>1169</v>
      </c>
      <c r="P663" s="69">
        <v>24000000</v>
      </c>
      <c r="Q663" s="48">
        <f t="shared" si="633"/>
        <v>9555756686</v>
      </c>
      <c r="R663" s="48">
        <v>6012667866</v>
      </c>
      <c r="S663" s="48">
        <v>3504088820</v>
      </c>
      <c r="T663" s="66"/>
      <c r="U663" s="48">
        <v>24000000</v>
      </c>
      <c r="V663" s="33"/>
      <c r="W663" s="52"/>
      <c r="X663" s="52">
        <f t="shared" ref="X663:Y663" si="658">M663-S663</f>
        <v>0</v>
      </c>
      <c r="Y663" s="52">
        <f t="shared" si="658"/>
        <v>15000000</v>
      </c>
      <c r="Z663" s="52">
        <f t="shared" si="515"/>
        <v>0</v>
      </c>
      <c r="AA663" s="54"/>
      <c r="AB663" s="68"/>
    </row>
    <row r="664" spans="1:28" ht="40.5" x14ac:dyDescent="0.3">
      <c r="A664" s="33" t="s">
        <v>46</v>
      </c>
      <c r="B664" s="42">
        <v>640</v>
      </c>
      <c r="C664" s="33" t="s">
        <v>53</v>
      </c>
      <c r="D664" s="33" t="s">
        <v>3355</v>
      </c>
      <c r="E664" s="32"/>
      <c r="F664" s="33" t="s">
        <v>3356</v>
      </c>
      <c r="G664" s="32"/>
      <c r="H664" s="33" t="s">
        <v>321</v>
      </c>
      <c r="I664" s="62" t="s">
        <v>3357</v>
      </c>
      <c r="J664" s="33" t="s">
        <v>43</v>
      </c>
      <c r="K664" s="33" t="s">
        <v>3358</v>
      </c>
      <c r="L664" s="65">
        <v>1387021608</v>
      </c>
      <c r="M664" s="32"/>
      <c r="N664" s="65">
        <v>7500000</v>
      </c>
      <c r="O664" s="43"/>
      <c r="P664" s="43"/>
      <c r="Q664" s="48">
        <f t="shared" si="633"/>
        <v>1394521608</v>
      </c>
      <c r="R664" s="33"/>
      <c r="S664" s="33"/>
      <c r="T664" s="66"/>
      <c r="U664" s="33"/>
      <c r="V664" s="33"/>
      <c r="W664" s="52">
        <v>1387021608</v>
      </c>
      <c r="X664" s="52">
        <f t="shared" ref="X664:Y664" si="659">M664-S664</f>
        <v>0</v>
      </c>
      <c r="Y664" s="52">
        <f t="shared" si="659"/>
        <v>7500000</v>
      </c>
      <c r="Z664" s="52">
        <f t="shared" si="515"/>
        <v>0</v>
      </c>
      <c r="AA664" s="98">
        <v>1387021608</v>
      </c>
      <c r="AB664" s="68"/>
    </row>
    <row r="665" spans="1:28" ht="31.5" x14ac:dyDescent="0.25">
      <c r="A665" s="33" t="s">
        <v>46</v>
      </c>
      <c r="B665" s="42">
        <v>641</v>
      </c>
      <c r="C665" s="33" t="s">
        <v>53</v>
      </c>
      <c r="D665" s="33" t="s">
        <v>3359</v>
      </c>
      <c r="E665" s="32"/>
      <c r="F665" s="33" t="s">
        <v>3360</v>
      </c>
      <c r="G665" s="32"/>
      <c r="H665" s="33" t="s">
        <v>85</v>
      </c>
      <c r="I665" s="62" t="s">
        <v>3361</v>
      </c>
      <c r="J665" s="33" t="s">
        <v>43</v>
      </c>
      <c r="K665" s="33" t="s">
        <v>3362</v>
      </c>
      <c r="L665" s="65">
        <v>258157180</v>
      </c>
      <c r="M665" s="32"/>
      <c r="N665" s="65">
        <v>3750000</v>
      </c>
      <c r="O665" s="43"/>
      <c r="P665" s="43"/>
      <c r="Q665" s="48">
        <f t="shared" si="633"/>
        <v>261907180</v>
      </c>
      <c r="R665" s="48">
        <v>258157180</v>
      </c>
      <c r="S665" s="33"/>
      <c r="T665" s="44">
        <v>3750000</v>
      </c>
      <c r="U665" s="33"/>
      <c r="V665" s="33"/>
      <c r="W665" s="52"/>
      <c r="X665" s="52">
        <f t="shared" ref="X665:Y665" si="660">M665-S665</f>
        <v>0</v>
      </c>
      <c r="Y665" s="52">
        <f t="shared" si="660"/>
        <v>0</v>
      </c>
      <c r="Z665" s="52">
        <f t="shared" si="515"/>
        <v>0</v>
      </c>
      <c r="AA665" s="54"/>
      <c r="AB665" s="68"/>
    </row>
    <row r="666" spans="1:28" ht="60.75" x14ac:dyDescent="0.25">
      <c r="A666" s="33" t="s">
        <v>46</v>
      </c>
      <c r="B666" s="42">
        <v>642</v>
      </c>
      <c r="C666" s="33" t="s">
        <v>53</v>
      </c>
      <c r="D666" s="33" t="s">
        <v>3363</v>
      </c>
      <c r="E666" s="32"/>
      <c r="F666" s="33" t="s">
        <v>3364</v>
      </c>
      <c r="G666" s="32"/>
      <c r="H666" s="33" t="s">
        <v>321</v>
      </c>
      <c r="I666" s="62" t="s">
        <v>3365</v>
      </c>
      <c r="J666" s="33" t="s">
        <v>43</v>
      </c>
      <c r="K666" s="33" t="s">
        <v>3366</v>
      </c>
      <c r="L666" s="65">
        <v>3184129002</v>
      </c>
      <c r="M666" s="32"/>
      <c r="N666" s="65">
        <v>15000000</v>
      </c>
      <c r="O666" s="43"/>
      <c r="P666" s="43"/>
      <c r="Q666" s="48">
        <f t="shared" si="633"/>
        <v>3199129002</v>
      </c>
      <c r="R666" s="48">
        <v>3184129002</v>
      </c>
      <c r="S666" s="33"/>
      <c r="T666" s="44">
        <v>15000000</v>
      </c>
      <c r="U666" s="33"/>
      <c r="V666" s="33"/>
      <c r="W666" s="52"/>
      <c r="X666" s="52">
        <f t="shared" ref="X666:Y666" si="661">M666-S666</f>
        <v>0</v>
      </c>
      <c r="Y666" s="52">
        <f t="shared" si="661"/>
        <v>0</v>
      </c>
      <c r="Z666" s="52">
        <f t="shared" si="515"/>
        <v>0</v>
      </c>
      <c r="AA666" s="54"/>
      <c r="AB666" s="68"/>
    </row>
    <row r="667" spans="1:28" ht="31.5" x14ac:dyDescent="0.25">
      <c r="A667" s="33" t="s">
        <v>275</v>
      </c>
      <c r="B667" s="42">
        <v>643</v>
      </c>
      <c r="C667" s="33" t="s">
        <v>53</v>
      </c>
      <c r="D667" s="33" t="s">
        <v>3367</v>
      </c>
      <c r="E667" s="33" t="s">
        <v>3368</v>
      </c>
      <c r="F667" s="33" t="s">
        <v>3369</v>
      </c>
      <c r="G667" s="33" t="s">
        <v>3370</v>
      </c>
      <c r="H667" s="33" t="s">
        <v>321</v>
      </c>
      <c r="I667" s="62" t="s">
        <v>3371</v>
      </c>
      <c r="J667" s="33" t="s">
        <v>43</v>
      </c>
      <c r="K667" s="33" t="s">
        <v>3372</v>
      </c>
      <c r="L667" s="65">
        <v>5429528230</v>
      </c>
      <c r="M667" s="65">
        <v>1005357150</v>
      </c>
      <c r="N667" s="65">
        <v>7500000</v>
      </c>
      <c r="O667" s="43"/>
      <c r="P667" s="43"/>
      <c r="Q667" s="48">
        <f t="shared" si="633"/>
        <v>6442385380</v>
      </c>
      <c r="R667" s="48">
        <v>5429528230</v>
      </c>
      <c r="S667" s="48">
        <v>1005357150</v>
      </c>
      <c r="T667" s="44">
        <v>7500000</v>
      </c>
      <c r="U667" s="33"/>
      <c r="V667" s="33"/>
      <c r="W667" s="52"/>
      <c r="X667" s="52">
        <f t="shared" ref="X667:Y667" si="662">M667-S667</f>
        <v>0</v>
      </c>
      <c r="Y667" s="52">
        <f t="shared" si="662"/>
        <v>0</v>
      </c>
      <c r="Z667" s="52">
        <f t="shared" si="515"/>
        <v>0</v>
      </c>
      <c r="AA667" s="54"/>
      <c r="AB667" s="68"/>
    </row>
    <row r="668" spans="1:28" ht="63" x14ac:dyDescent="0.25">
      <c r="A668" s="33" t="s">
        <v>275</v>
      </c>
      <c r="B668" s="42">
        <v>644</v>
      </c>
      <c r="C668" s="33" t="s">
        <v>53</v>
      </c>
      <c r="D668" s="33" t="s">
        <v>1808</v>
      </c>
      <c r="E668" s="32"/>
      <c r="F668" s="33" t="s">
        <v>1810</v>
      </c>
      <c r="G668" s="32"/>
      <c r="H668" s="33" t="s">
        <v>261</v>
      </c>
      <c r="I668" s="62" t="s">
        <v>1811</v>
      </c>
      <c r="J668" s="33" t="s">
        <v>43</v>
      </c>
      <c r="K668" s="33" t="s">
        <v>1306</v>
      </c>
      <c r="L668" s="65">
        <v>14057391480</v>
      </c>
      <c r="M668" s="32"/>
      <c r="N668" s="65">
        <v>15000000</v>
      </c>
      <c r="O668" s="43" t="s">
        <v>1809</v>
      </c>
      <c r="P668" s="69">
        <v>72000000</v>
      </c>
      <c r="Q668" s="48">
        <f t="shared" si="633"/>
        <v>14144391480</v>
      </c>
      <c r="R668" s="48">
        <v>14057391480</v>
      </c>
      <c r="S668" s="33"/>
      <c r="T668" s="44">
        <v>15000000</v>
      </c>
      <c r="U668" s="48">
        <v>24000000</v>
      </c>
      <c r="V668" s="33"/>
      <c r="W668" s="52"/>
      <c r="X668" s="52">
        <f t="shared" ref="X668:Y668" si="663">M668-S668</f>
        <v>0</v>
      </c>
      <c r="Y668" s="52">
        <f t="shared" si="663"/>
        <v>0</v>
      </c>
      <c r="Z668" s="52">
        <f t="shared" si="515"/>
        <v>48000000</v>
      </c>
      <c r="AA668" s="54"/>
      <c r="AB668" s="74" t="s">
        <v>1222</v>
      </c>
    </row>
    <row r="669" spans="1:28" ht="31.5" x14ac:dyDescent="0.25">
      <c r="A669" s="33" t="s">
        <v>46</v>
      </c>
      <c r="B669" s="42">
        <v>645</v>
      </c>
      <c r="C669" s="33" t="s">
        <v>53</v>
      </c>
      <c r="D669" s="33" t="s">
        <v>1354</v>
      </c>
      <c r="E669" s="33" t="s">
        <v>1355</v>
      </c>
      <c r="F669" s="33" t="s">
        <v>1356</v>
      </c>
      <c r="G669" s="33" t="s">
        <v>1357</v>
      </c>
      <c r="H669" s="33" t="s">
        <v>261</v>
      </c>
      <c r="I669" s="62" t="s">
        <v>1358</v>
      </c>
      <c r="J669" s="33" t="s">
        <v>43</v>
      </c>
      <c r="K669" s="33" t="s">
        <v>1361</v>
      </c>
      <c r="L669" s="65">
        <v>3117329551</v>
      </c>
      <c r="M669" s="65">
        <v>7186340</v>
      </c>
      <c r="N669" s="65">
        <v>15000000</v>
      </c>
      <c r="O669" s="43" t="s">
        <v>1350</v>
      </c>
      <c r="P669" s="69">
        <v>8000000</v>
      </c>
      <c r="Q669" s="48">
        <f t="shared" si="633"/>
        <v>3147515891</v>
      </c>
      <c r="R669" s="48">
        <v>3117329551</v>
      </c>
      <c r="S669" s="48">
        <v>7186340</v>
      </c>
      <c r="T669" s="44">
        <v>15000000</v>
      </c>
      <c r="U669" s="48">
        <v>8000000</v>
      </c>
      <c r="V669" s="33"/>
      <c r="W669" s="52"/>
      <c r="X669" s="52">
        <f t="shared" ref="X669:Y669" si="664">M669-S669</f>
        <v>0</v>
      </c>
      <c r="Y669" s="52">
        <f t="shared" si="664"/>
        <v>0</v>
      </c>
      <c r="Z669" s="52">
        <f t="shared" si="515"/>
        <v>0</v>
      </c>
      <c r="AA669" s="54"/>
      <c r="AB669" s="68"/>
    </row>
    <row r="670" spans="1:28" ht="31.5" x14ac:dyDescent="0.25">
      <c r="A670" s="33" t="s">
        <v>275</v>
      </c>
      <c r="B670" s="42">
        <v>646</v>
      </c>
      <c r="C670" s="33" t="s">
        <v>53</v>
      </c>
      <c r="D670" s="33" t="s">
        <v>317</v>
      </c>
      <c r="E670" s="33" t="s">
        <v>318</v>
      </c>
      <c r="F670" s="33" t="s">
        <v>320</v>
      </c>
      <c r="G670" s="32"/>
      <c r="H670" s="33" t="s">
        <v>321</v>
      </c>
      <c r="I670" s="62" t="s">
        <v>322</v>
      </c>
      <c r="J670" s="33" t="s">
        <v>43</v>
      </c>
      <c r="K670" s="33" t="s">
        <v>323</v>
      </c>
      <c r="L670" s="65">
        <v>986764751</v>
      </c>
      <c r="M670" s="65">
        <v>522395346</v>
      </c>
      <c r="N670" s="65">
        <v>15000000</v>
      </c>
      <c r="O670" s="43" t="s">
        <v>3373</v>
      </c>
      <c r="P670" s="69">
        <v>24000000</v>
      </c>
      <c r="Q670" s="48">
        <f t="shared" si="633"/>
        <v>1548160097</v>
      </c>
      <c r="R670" s="48">
        <v>986764751</v>
      </c>
      <c r="S670" s="48">
        <v>522395346</v>
      </c>
      <c r="T670" s="44">
        <v>15000000</v>
      </c>
      <c r="U670" s="48">
        <v>24000000</v>
      </c>
      <c r="V670" s="33"/>
      <c r="W670" s="52"/>
      <c r="X670" s="52">
        <f t="shared" ref="X670:Y670" si="665">M670-S670</f>
        <v>0</v>
      </c>
      <c r="Y670" s="52">
        <f t="shared" si="665"/>
        <v>0</v>
      </c>
      <c r="Z670" s="52">
        <f t="shared" si="515"/>
        <v>0</v>
      </c>
      <c r="AA670" s="54"/>
      <c r="AB670" s="68"/>
    </row>
    <row r="671" spans="1:28" ht="40.5" x14ac:dyDescent="0.25">
      <c r="A671" s="33" t="s">
        <v>35</v>
      </c>
      <c r="B671" s="42">
        <v>647</v>
      </c>
      <c r="C671" s="33" t="s">
        <v>53</v>
      </c>
      <c r="D671" s="33" t="s">
        <v>3374</v>
      </c>
      <c r="E671" s="32"/>
      <c r="F671" s="33" t="s">
        <v>3375</v>
      </c>
      <c r="G671" s="32"/>
      <c r="H671" s="32"/>
      <c r="I671" s="62" t="s">
        <v>3376</v>
      </c>
      <c r="J671" s="33" t="s">
        <v>43</v>
      </c>
      <c r="K671" s="33" t="s">
        <v>3377</v>
      </c>
      <c r="L671" s="65">
        <v>1533758900</v>
      </c>
      <c r="M671" s="32"/>
      <c r="N671" s="65">
        <v>7500000</v>
      </c>
      <c r="O671" s="43"/>
      <c r="P671" s="43"/>
      <c r="Q671" s="48">
        <f t="shared" si="633"/>
        <v>1541258900</v>
      </c>
      <c r="R671" s="48">
        <v>1533758900</v>
      </c>
      <c r="S671" s="33"/>
      <c r="T671" s="44">
        <v>7500000</v>
      </c>
      <c r="U671" s="33"/>
      <c r="V671" s="33"/>
      <c r="W671" s="52"/>
      <c r="X671" s="52">
        <f t="shared" ref="X671:Y671" si="666">M671-S671</f>
        <v>0</v>
      </c>
      <c r="Y671" s="52">
        <f t="shared" si="666"/>
        <v>0</v>
      </c>
      <c r="Z671" s="52">
        <f t="shared" si="515"/>
        <v>0</v>
      </c>
      <c r="AA671" s="54"/>
      <c r="AB671" s="68"/>
    </row>
    <row r="672" spans="1:28" ht="31.5" x14ac:dyDescent="0.25">
      <c r="A672" s="33" t="s">
        <v>46</v>
      </c>
      <c r="B672" s="42">
        <v>648</v>
      </c>
      <c r="C672" s="33" t="s">
        <v>53</v>
      </c>
      <c r="D672" s="33" t="s">
        <v>3378</v>
      </c>
      <c r="E672" s="32"/>
      <c r="F672" s="33" t="s">
        <v>3379</v>
      </c>
      <c r="G672" s="32"/>
      <c r="H672" s="33" t="s">
        <v>261</v>
      </c>
      <c r="I672" s="62" t="s">
        <v>3380</v>
      </c>
      <c r="J672" s="33" t="s">
        <v>43</v>
      </c>
      <c r="K672" s="33" t="s">
        <v>3381</v>
      </c>
      <c r="L672" s="65">
        <v>7462791400</v>
      </c>
      <c r="M672" s="32"/>
      <c r="N672" s="65">
        <v>15000000</v>
      </c>
      <c r="O672" s="43"/>
      <c r="P672" s="43"/>
      <c r="Q672" s="48">
        <f t="shared" si="633"/>
        <v>7477791400</v>
      </c>
      <c r="R672" s="48">
        <v>7462791400</v>
      </c>
      <c r="S672" s="33"/>
      <c r="T672" s="44">
        <v>15000000</v>
      </c>
      <c r="U672" s="33"/>
      <c r="V672" s="33"/>
      <c r="W672" s="52"/>
      <c r="X672" s="52">
        <f t="shared" ref="X672:Y672" si="667">M672-S672</f>
        <v>0</v>
      </c>
      <c r="Y672" s="52">
        <f t="shared" si="667"/>
        <v>0</v>
      </c>
      <c r="Z672" s="52">
        <f t="shared" si="515"/>
        <v>0</v>
      </c>
      <c r="AA672" s="54"/>
      <c r="AB672" s="68"/>
    </row>
    <row r="673" spans="1:45" ht="31.5" x14ac:dyDescent="0.25">
      <c r="A673" s="33" t="s">
        <v>275</v>
      </c>
      <c r="B673" s="42">
        <v>649</v>
      </c>
      <c r="C673" s="33" t="s">
        <v>53</v>
      </c>
      <c r="D673" s="33" t="s">
        <v>3382</v>
      </c>
      <c r="E673" s="32"/>
      <c r="F673" s="33" t="s">
        <v>3383</v>
      </c>
      <c r="G673" s="32"/>
      <c r="H673" s="33" t="s">
        <v>321</v>
      </c>
      <c r="I673" s="62" t="s">
        <v>3384</v>
      </c>
      <c r="J673" s="33" t="s">
        <v>43</v>
      </c>
      <c r="K673" s="33" t="s">
        <v>3385</v>
      </c>
      <c r="L673" s="65">
        <v>5198673388</v>
      </c>
      <c r="M673" s="32"/>
      <c r="N673" s="65">
        <v>15000000</v>
      </c>
      <c r="O673" s="43"/>
      <c r="P673" s="43"/>
      <c r="Q673" s="48">
        <f t="shared" si="633"/>
        <v>5213673388</v>
      </c>
      <c r="R673" s="48">
        <v>5198673388</v>
      </c>
      <c r="S673" s="33"/>
      <c r="T673" s="44">
        <v>15000000</v>
      </c>
      <c r="U673" s="33"/>
      <c r="V673" s="33"/>
      <c r="W673" s="52"/>
      <c r="X673" s="52">
        <f t="shared" ref="X673:Y673" si="668">M673-S673</f>
        <v>0</v>
      </c>
      <c r="Y673" s="52">
        <f t="shared" si="668"/>
        <v>0</v>
      </c>
      <c r="Z673" s="52">
        <f t="shared" si="515"/>
        <v>0</v>
      </c>
      <c r="AA673" s="54"/>
      <c r="AB673" s="68"/>
    </row>
    <row r="674" spans="1:45" ht="31.5" x14ac:dyDescent="0.25">
      <c r="A674" s="33" t="s">
        <v>275</v>
      </c>
      <c r="B674" s="42">
        <v>650</v>
      </c>
      <c r="C674" s="33" t="s">
        <v>53</v>
      </c>
      <c r="D674" s="33" t="s">
        <v>3386</v>
      </c>
      <c r="E674" s="32"/>
      <c r="F674" s="33" t="s">
        <v>3387</v>
      </c>
      <c r="G674" s="32"/>
      <c r="H674" s="33" t="s">
        <v>261</v>
      </c>
      <c r="I674" s="62" t="s">
        <v>3388</v>
      </c>
      <c r="J674" s="33" t="s">
        <v>43</v>
      </c>
      <c r="K674" s="33" t="s">
        <v>3389</v>
      </c>
      <c r="L674" s="65">
        <v>2087490465</v>
      </c>
      <c r="M674" s="32"/>
      <c r="N674" s="65">
        <v>15000000</v>
      </c>
      <c r="O674" s="43"/>
      <c r="P674" s="43"/>
      <c r="Q674" s="48">
        <f t="shared" si="633"/>
        <v>2102490465</v>
      </c>
      <c r="R674" s="48">
        <v>2087490465</v>
      </c>
      <c r="S674" s="33"/>
      <c r="T674" s="44">
        <v>15000000</v>
      </c>
      <c r="U674" s="33"/>
      <c r="V674" s="33"/>
      <c r="W674" s="52"/>
      <c r="X674" s="52">
        <f t="shared" ref="X674:Y674" si="669">M674-S674</f>
        <v>0</v>
      </c>
      <c r="Y674" s="52">
        <f t="shared" si="669"/>
        <v>0</v>
      </c>
      <c r="Z674" s="52">
        <f t="shared" si="515"/>
        <v>0</v>
      </c>
      <c r="AA674" s="54"/>
      <c r="AB674" s="68"/>
    </row>
    <row r="675" spans="1:45" ht="40.5" x14ac:dyDescent="0.25">
      <c r="A675" s="33" t="s">
        <v>35</v>
      </c>
      <c r="B675" s="42">
        <v>651</v>
      </c>
      <c r="C675" s="33" t="s">
        <v>53</v>
      </c>
      <c r="D675" s="33" t="s">
        <v>3390</v>
      </c>
      <c r="E675" s="32"/>
      <c r="F675" s="33" t="s">
        <v>3391</v>
      </c>
      <c r="G675" s="32"/>
      <c r="H675" s="32"/>
      <c r="I675" s="62" t="s">
        <v>3392</v>
      </c>
      <c r="J675" s="33" t="s">
        <v>43</v>
      </c>
      <c r="K675" s="33" t="s">
        <v>3393</v>
      </c>
      <c r="L675" s="65">
        <v>5912489280</v>
      </c>
      <c r="M675" s="32"/>
      <c r="N675" s="65">
        <v>15000000</v>
      </c>
      <c r="O675" s="43"/>
      <c r="P675" s="43"/>
      <c r="Q675" s="48">
        <f t="shared" si="633"/>
        <v>5927489280</v>
      </c>
      <c r="R675" s="48">
        <v>5912489280</v>
      </c>
      <c r="S675" s="33"/>
      <c r="T675" s="66"/>
      <c r="U675" s="33"/>
      <c r="V675" s="33"/>
      <c r="W675" s="52"/>
      <c r="X675" s="52">
        <f t="shared" ref="X675:Y675" si="670">M675-S675</f>
        <v>0</v>
      </c>
      <c r="Y675" s="52">
        <f t="shared" si="670"/>
        <v>15000000</v>
      </c>
      <c r="Z675" s="52">
        <f t="shared" si="515"/>
        <v>0</v>
      </c>
      <c r="AA675" s="54"/>
      <c r="AB675" s="68"/>
    </row>
    <row r="676" spans="1:45" ht="60.75" x14ac:dyDescent="0.25">
      <c r="A676" s="33" t="s">
        <v>275</v>
      </c>
      <c r="B676" s="42">
        <v>652</v>
      </c>
      <c r="C676" s="33" t="s">
        <v>53</v>
      </c>
      <c r="D676" s="33" t="s">
        <v>976</v>
      </c>
      <c r="E676" s="32"/>
      <c r="F676" s="33" t="s">
        <v>978</v>
      </c>
      <c r="G676" s="32"/>
      <c r="H676" s="33" t="s">
        <v>321</v>
      </c>
      <c r="I676" s="62" t="s">
        <v>979</v>
      </c>
      <c r="J676" s="33" t="s">
        <v>43</v>
      </c>
      <c r="K676" s="33" t="s">
        <v>981</v>
      </c>
      <c r="L676" s="65">
        <v>16382742639</v>
      </c>
      <c r="M676" s="32"/>
      <c r="N676" s="65">
        <v>15000000</v>
      </c>
      <c r="O676" s="43" t="s">
        <v>872</v>
      </c>
      <c r="P676" s="69">
        <v>144000000</v>
      </c>
      <c r="Q676" s="48">
        <f t="shared" si="633"/>
        <v>16541742639</v>
      </c>
      <c r="R676" s="48">
        <v>16382742639</v>
      </c>
      <c r="S676" s="33"/>
      <c r="T676" s="44">
        <v>15000000</v>
      </c>
      <c r="U676" s="48">
        <v>144000000</v>
      </c>
      <c r="V676" s="33"/>
      <c r="W676" s="52"/>
      <c r="X676" s="52">
        <f t="shared" ref="X676:Y676" si="671">M676-S676</f>
        <v>0</v>
      </c>
      <c r="Y676" s="52">
        <f t="shared" si="671"/>
        <v>0</v>
      </c>
      <c r="Z676" s="52">
        <f t="shared" si="515"/>
        <v>0</v>
      </c>
      <c r="AA676" s="54"/>
      <c r="AB676" s="68"/>
    </row>
    <row r="677" spans="1:45" ht="60.75" x14ac:dyDescent="0.25">
      <c r="A677" s="33" t="s">
        <v>275</v>
      </c>
      <c r="B677" s="42">
        <v>653</v>
      </c>
      <c r="C677" s="33" t="s">
        <v>53</v>
      </c>
      <c r="D677" s="33" t="s">
        <v>3394</v>
      </c>
      <c r="E677" s="32"/>
      <c r="F677" s="33" t="s">
        <v>3395</v>
      </c>
      <c r="G677" s="32"/>
      <c r="H677" s="33" t="s">
        <v>321</v>
      </c>
      <c r="I677" s="62" t="s">
        <v>3396</v>
      </c>
      <c r="J677" s="33" t="s">
        <v>43</v>
      </c>
      <c r="K677" s="33" t="s">
        <v>3397</v>
      </c>
      <c r="L677" s="65">
        <v>3035947492</v>
      </c>
      <c r="M677" s="32"/>
      <c r="N677" s="65">
        <v>15000000</v>
      </c>
      <c r="O677" s="43"/>
      <c r="P677" s="43"/>
      <c r="Q677" s="48">
        <f t="shared" si="633"/>
        <v>3050947492</v>
      </c>
      <c r="R677" s="48">
        <v>3035947492</v>
      </c>
      <c r="S677" s="33"/>
      <c r="T677" s="44">
        <v>15000000</v>
      </c>
      <c r="U677" s="33"/>
      <c r="V677" s="33"/>
      <c r="W677" s="52"/>
      <c r="X677" s="52">
        <f t="shared" ref="X677:Y677" si="672">M677-S677</f>
        <v>0</v>
      </c>
      <c r="Y677" s="52">
        <f t="shared" si="672"/>
        <v>0</v>
      </c>
      <c r="Z677" s="52">
        <f t="shared" si="515"/>
        <v>0</v>
      </c>
      <c r="AA677" s="54"/>
      <c r="AB677" s="68"/>
    </row>
    <row r="678" spans="1:45" ht="60.75" x14ac:dyDescent="0.25">
      <c r="A678" s="33" t="s">
        <v>275</v>
      </c>
      <c r="B678" s="42">
        <v>654</v>
      </c>
      <c r="C678" s="33" t="s">
        <v>53</v>
      </c>
      <c r="D678" s="33" t="s">
        <v>3398</v>
      </c>
      <c r="E678" s="32"/>
      <c r="F678" s="33" t="s">
        <v>3399</v>
      </c>
      <c r="G678" s="32"/>
      <c r="H678" s="32"/>
      <c r="I678" s="62" t="s">
        <v>3400</v>
      </c>
      <c r="J678" s="33" t="s">
        <v>43</v>
      </c>
      <c r="K678" s="33" t="s">
        <v>3401</v>
      </c>
      <c r="L678" s="65">
        <v>5634993422</v>
      </c>
      <c r="M678" s="32"/>
      <c r="N678" s="65">
        <v>15000000</v>
      </c>
      <c r="O678" s="43"/>
      <c r="P678" s="43"/>
      <c r="Q678" s="48">
        <f t="shared" si="633"/>
        <v>5649993422</v>
      </c>
      <c r="R678" s="48">
        <v>5634993422</v>
      </c>
      <c r="S678" s="33"/>
      <c r="T678" s="66"/>
      <c r="U678" s="33"/>
      <c r="V678" s="33"/>
      <c r="W678" s="52"/>
      <c r="X678" s="52">
        <f t="shared" ref="X678:Y678" si="673">M678-S678</f>
        <v>0</v>
      </c>
      <c r="Y678" s="52">
        <f t="shared" si="673"/>
        <v>15000000</v>
      </c>
      <c r="Z678" s="52">
        <f t="shared" si="515"/>
        <v>0</v>
      </c>
      <c r="AA678" s="54"/>
      <c r="AB678" s="68"/>
    </row>
    <row r="679" spans="1:45" ht="40.5" x14ac:dyDescent="0.25">
      <c r="A679" s="33" t="s">
        <v>52</v>
      </c>
      <c r="B679" s="42">
        <v>655</v>
      </c>
      <c r="C679" s="33" t="s">
        <v>730</v>
      </c>
      <c r="D679" s="33" t="s">
        <v>3402</v>
      </c>
      <c r="E679" s="33" t="s">
        <v>1993</v>
      </c>
      <c r="F679" s="33" t="s">
        <v>3403</v>
      </c>
      <c r="G679" s="32"/>
      <c r="H679" s="32"/>
      <c r="I679" s="62" t="s">
        <v>3404</v>
      </c>
      <c r="J679" s="33" t="s">
        <v>43</v>
      </c>
      <c r="K679" s="33" t="s">
        <v>3183</v>
      </c>
      <c r="L679" s="65">
        <v>9457911350</v>
      </c>
      <c r="M679" s="65">
        <v>415138500</v>
      </c>
      <c r="N679" s="65">
        <v>7500000</v>
      </c>
      <c r="O679" s="43"/>
      <c r="P679" s="43"/>
      <c r="Q679" s="48">
        <f t="shared" si="633"/>
        <v>9880549850</v>
      </c>
      <c r="R679" s="48">
        <v>9457911350</v>
      </c>
      <c r="S679" s="48">
        <v>415138500</v>
      </c>
      <c r="T679" s="44">
        <v>7500000</v>
      </c>
      <c r="U679" s="33"/>
      <c r="V679" s="33"/>
      <c r="W679" s="52"/>
      <c r="X679" s="52">
        <f t="shared" ref="X679:Y679" si="674">M679-S679</f>
        <v>0</v>
      </c>
      <c r="Y679" s="52">
        <f t="shared" si="674"/>
        <v>0</v>
      </c>
      <c r="Z679" s="52">
        <f t="shared" si="515"/>
        <v>0</v>
      </c>
      <c r="AA679" s="54"/>
      <c r="AB679" s="68"/>
    </row>
    <row r="680" spans="1:45" ht="60.75" x14ac:dyDescent="0.25">
      <c r="A680" s="33" t="s">
        <v>60</v>
      </c>
      <c r="B680" s="42">
        <v>656</v>
      </c>
      <c r="C680" s="33" t="s">
        <v>730</v>
      </c>
      <c r="D680" s="33" t="s">
        <v>983</v>
      </c>
      <c r="E680" s="33" t="s">
        <v>984</v>
      </c>
      <c r="F680" s="33" t="s">
        <v>985</v>
      </c>
      <c r="G680" s="33" t="s">
        <v>986</v>
      </c>
      <c r="H680" s="32"/>
      <c r="I680" s="62" t="s">
        <v>987</v>
      </c>
      <c r="J680" s="33" t="s">
        <v>43</v>
      </c>
      <c r="K680" s="33" t="s">
        <v>988</v>
      </c>
      <c r="L680" s="65">
        <v>2036054500</v>
      </c>
      <c r="M680" s="65">
        <v>165171840</v>
      </c>
      <c r="N680" s="65">
        <v>15000000</v>
      </c>
      <c r="O680" s="43" t="s">
        <v>872</v>
      </c>
      <c r="P680" s="69">
        <v>24000000</v>
      </c>
      <c r="Q680" s="48">
        <f t="shared" si="633"/>
        <v>2240226340</v>
      </c>
      <c r="R680" s="48">
        <v>2036054500</v>
      </c>
      <c r="S680" s="33"/>
      <c r="T680" s="44">
        <v>15000000</v>
      </c>
      <c r="U680" s="48">
        <v>24000000</v>
      </c>
      <c r="V680" s="33"/>
      <c r="W680" s="52"/>
      <c r="X680" s="52">
        <f t="shared" ref="X680:Y680" si="675">M680-S680</f>
        <v>165171840</v>
      </c>
      <c r="Y680" s="52">
        <f t="shared" si="675"/>
        <v>0</v>
      </c>
      <c r="Z680" s="52">
        <f t="shared" si="515"/>
        <v>0</v>
      </c>
      <c r="AA680" s="54"/>
      <c r="AB680" s="68"/>
    </row>
    <row r="681" spans="1:45" ht="31.5" x14ac:dyDescent="0.25">
      <c r="A681" s="33" t="s">
        <v>35</v>
      </c>
      <c r="B681" s="42">
        <v>657</v>
      </c>
      <c r="C681" s="33" t="s">
        <v>730</v>
      </c>
      <c r="D681" s="33" t="s">
        <v>3405</v>
      </c>
      <c r="E681" s="32"/>
      <c r="F681" s="33" t="s">
        <v>3406</v>
      </c>
      <c r="G681" s="32"/>
      <c r="H681" s="33" t="s">
        <v>85</v>
      </c>
      <c r="I681" s="62" t="s">
        <v>262</v>
      </c>
      <c r="J681" s="33" t="s">
        <v>43</v>
      </c>
      <c r="K681" s="33" t="s">
        <v>2621</v>
      </c>
      <c r="L681" s="65">
        <v>3993807300</v>
      </c>
      <c r="M681" s="32"/>
      <c r="N681" s="65">
        <v>3750000</v>
      </c>
      <c r="O681" s="43"/>
      <c r="P681" s="43"/>
      <c r="Q681" s="48">
        <f t="shared" si="633"/>
        <v>3997557300</v>
      </c>
      <c r="R681" s="48">
        <v>3993807300</v>
      </c>
      <c r="S681" s="33"/>
      <c r="T681" s="44">
        <v>3750000</v>
      </c>
      <c r="U681" s="33"/>
      <c r="V681" s="33"/>
      <c r="W681" s="52"/>
      <c r="X681" s="52">
        <f t="shared" ref="X681:Y681" si="676">M681-S681</f>
        <v>0</v>
      </c>
      <c r="Y681" s="52">
        <f t="shared" si="676"/>
        <v>0</v>
      </c>
      <c r="Z681" s="52">
        <f t="shared" si="515"/>
        <v>0</v>
      </c>
      <c r="AA681" s="54"/>
      <c r="AB681" s="68"/>
    </row>
    <row r="682" spans="1:45" ht="47.25" x14ac:dyDescent="0.25">
      <c r="A682" s="33" t="s">
        <v>60</v>
      </c>
      <c r="B682" s="42">
        <v>658</v>
      </c>
      <c r="C682" s="33" t="s">
        <v>730</v>
      </c>
      <c r="D682" s="33" t="s">
        <v>3407</v>
      </c>
      <c r="E682" s="33" t="s">
        <v>2834</v>
      </c>
      <c r="F682" s="33" t="s">
        <v>3408</v>
      </c>
      <c r="G682" s="33" t="s">
        <v>3409</v>
      </c>
      <c r="H682" s="32"/>
      <c r="I682" s="62" t="s">
        <v>3410</v>
      </c>
      <c r="J682" s="33" t="s">
        <v>43</v>
      </c>
      <c r="K682" s="33" t="s">
        <v>3411</v>
      </c>
      <c r="L682" s="65">
        <v>2023224224</v>
      </c>
      <c r="M682" s="65">
        <v>497631632</v>
      </c>
      <c r="N682" s="65">
        <v>7500000</v>
      </c>
      <c r="O682" s="43"/>
      <c r="P682" s="43"/>
      <c r="Q682" s="48">
        <f t="shared" si="633"/>
        <v>2528355856</v>
      </c>
      <c r="R682" s="48">
        <v>2023224224</v>
      </c>
      <c r="S682" s="48">
        <v>497631632</v>
      </c>
      <c r="T682" s="66"/>
      <c r="U682" s="33"/>
      <c r="V682" s="33"/>
      <c r="W682" s="52"/>
      <c r="X682" s="52">
        <f t="shared" ref="X682:Y682" si="677">M682-S682</f>
        <v>0</v>
      </c>
      <c r="Y682" s="52">
        <f t="shared" si="677"/>
        <v>7500000</v>
      </c>
      <c r="Z682" s="52">
        <f t="shared" si="515"/>
        <v>0</v>
      </c>
      <c r="AA682" s="54"/>
      <c r="AB682" s="68"/>
    </row>
    <row r="683" spans="1:45" ht="60.75" x14ac:dyDescent="0.25">
      <c r="A683" s="33" t="s">
        <v>35</v>
      </c>
      <c r="B683" s="42">
        <v>659</v>
      </c>
      <c r="C683" s="33" t="s">
        <v>730</v>
      </c>
      <c r="D683" s="33" t="s">
        <v>3412</v>
      </c>
      <c r="E683" s="33" t="s">
        <v>3298</v>
      </c>
      <c r="F683" s="33" t="s">
        <v>3413</v>
      </c>
      <c r="G683" s="33" t="s">
        <v>3414</v>
      </c>
      <c r="H683" s="32"/>
      <c r="I683" s="62" t="s">
        <v>3415</v>
      </c>
      <c r="J683" s="33" t="s">
        <v>43</v>
      </c>
      <c r="K683" s="33" t="s">
        <v>3416</v>
      </c>
      <c r="L683" s="65">
        <v>10422381215</v>
      </c>
      <c r="M683" s="65">
        <v>330976800</v>
      </c>
      <c r="N683" s="65">
        <v>7500000</v>
      </c>
      <c r="O683" s="43"/>
      <c r="P683" s="43"/>
      <c r="Q683" s="48">
        <f t="shared" si="633"/>
        <v>10760858015</v>
      </c>
      <c r="R683" s="48">
        <v>10422381215</v>
      </c>
      <c r="S683" s="48">
        <v>330976800</v>
      </c>
      <c r="T683" s="44">
        <v>7500000</v>
      </c>
      <c r="U683" s="33"/>
      <c r="V683" s="33"/>
      <c r="W683" s="52"/>
      <c r="X683" s="52">
        <f t="shared" ref="X683:Y683" si="678">M683-S683</f>
        <v>0</v>
      </c>
      <c r="Y683" s="52">
        <f t="shared" si="678"/>
        <v>0</v>
      </c>
      <c r="Z683" s="52">
        <f t="shared" si="515"/>
        <v>0</v>
      </c>
      <c r="AA683" s="54"/>
      <c r="AB683" s="68"/>
    </row>
    <row r="684" spans="1:45" ht="30" customHeight="1" x14ac:dyDescent="0.25">
      <c r="A684" s="88"/>
      <c r="B684" s="299">
        <v>660</v>
      </c>
      <c r="C684" s="299" t="s">
        <v>730</v>
      </c>
      <c r="D684" s="88"/>
      <c r="E684" s="299"/>
      <c r="F684" s="299" t="s">
        <v>733</v>
      </c>
      <c r="G684" s="299"/>
      <c r="H684" s="311"/>
      <c r="I684" s="312" t="s">
        <v>734</v>
      </c>
      <c r="J684" s="88"/>
      <c r="K684" s="299" t="s">
        <v>735</v>
      </c>
      <c r="L684" s="108"/>
      <c r="M684" s="108"/>
      <c r="N684" s="108"/>
      <c r="O684" s="92" t="s">
        <v>3417</v>
      </c>
      <c r="P684" s="111">
        <v>24000000</v>
      </c>
      <c r="Q684" s="91"/>
      <c r="R684" s="91"/>
      <c r="S684" s="91"/>
      <c r="T684" s="93"/>
      <c r="U684" s="88"/>
      <c r="V684" s="88"/>
      <c r="W684" s="94"/>
      <c r="X684" s="94"/>
      <c r="Y684" s="94"/>
      <c r="Z684" s="94">
        <f t="shared" si="515"/>
        <v>24000000</v>
      </c>
      <c r="AA684" s="95"/>
      <c r="AB684" s="96" t="s">
        <v>3418</v>
      </c>
      <c r="AC684" s="97"/>
      <c r="AD684" s="97"/>
      <c r="AE684" s="97"/>
      <c r="AF684" s="97"/>
      <c r="AG684" s="97"/>
      <c r="AH684" s="97"/>
      <c r="AI684" s="97"/>
      <c r="AJ684" s="97"/>
      <c r="AK684" s="97"/>
      <c r="AL684" s="97"/>
      <c r="AM684" s="97"/>
      <c r="AN684" s="97"/>
      <c r="AO684" s="97"/>
      <c r="AP684" s="97"/>
      <c r="AQ684" s="97"/>
      <c r="AR684" s="97"/>
      <c r="AS684" s="97"/>
    </row>
    <row r="685" spans="1:45" ht="39" customHeight="1" x14ac:dyDescent="0.25">
      <c r="A685" s="33" t="s">
        <v>60</v>
      </c>
      <c r="B685" s="290"/>
      <c r="C685" s="290"/>
      <c r="D685" s="33" t="s">
        <v>731</v>
      </c>
      <c r="E685" s="290"/>
      <c r="F685" s="290"/>
      <c r="G685" s="290"/>
      <c r="H685" s="290"/>
      <c r="I685" s="290"/>
      <c r="J685" s="33" t="s">
        <v>43</v>
      </c>
      <c r="K685" s="290"/>
      <c r="L685" s="65">
        <v>10000000</v>
      </c>
      <c r="M685" s="32"/>
      <c r="N685" s="65">
        <v>15000000</v>
      </c>
      <c r="O685" s="33" t="s">
        <v>3419</v>
      </c>
      <c r="P685" s="46">
        <v>48000000</v>
      </c>
      <c r="Q685" s="48">
        <f t="shared" ref="Q685:Q726" si="679">L685+M685+N685+P685</f>
        <v>73000000</v>
      </c>
      <c r="R685" s="48">
        <v>10000000</v>
      </c>
      <c r="S685" s="33"/>
      <c r="T685" s="44">
        <v>15000000</v>
      </c>
      <c r="U685" s="33"/>
      <c r="V685" s="33"/>
      <c r="W685" s="52"/>
      <c r="X685" s="52">
        <f t="shared" ref="X685:Y685" si="680">M685-S685</f>
        <v>0</v>
      </c>
      <c r="Y685" s="52">
        <f t="shared" si="680"/>
        <v>0</v>
      </c>
      <c r="Z685" s="52">
        <f t="shared" si="515"/>
        <v>48000000</v>
      </c>
      <c r="AA685" s="54"/>
      <c r="AB685" s="74" t="s">
        <v>1222</v>
      </c>
    </row>
    <row r="686" spans="1:45" ht="47.25" x14ac:dyDescent="0.25">
      <c r="A686" s="33" t="s">
        <v>60</v>
      </c>
      <c r="B686" s="42">
        <v>661</v>
      </c>
      <c r="C686" s="33" t="s">
        <v>730</v>
      </c>
      <c r="D686" s="33" t="s">
        <v>3420</v>
      </c>
      <c r="E686" s="32"/>
      <c r="F686" s="33" t="s">
        <v>3421</v>
      </c>
      <c r="G686" s="32"/>
      <c r="H686" s="32"/>
      <c r="I686" s="62" t="s">
        <v>3422</v>
      </c>
      <c r="J686" s="33" t="s">
        <v>43</v>
      </c>
      <c r="K686" s="33" t="s">
        <v>735</v>
      </c>
      <c r="L686" s="65">
        <v>619998256</v>
      </c>
      <c r="M686" s="32"/>
      <c r="N686" s="65">
        <v>15000000</v>
      </c>
      <c r="O686" s="43"/>
      <c r="P686" s="43"/>
      <c r="Q686" s="48">
        <f t="shared" si="679"/>
        <v>634998256</v>
      </c>
      <c r="R686" s="52">
        <v>619998256</v>
      </c>
      <c r="S686" s="33"/>
      <c r="T686" s="44">
        <v>15000000</v>
      </c>
      <c r="U686" s="33"/>
      <c r="V686" s="33"/>
      <c r="W686" s="52"/>
      <c r="X686" s="52">
        <f t="shared" ref="X686:Y686" si="681">M686-S686</f>
        <v>0</v>
      </c>
      <c r="Y686" s="52">
        <f t="shared" si="681"/>
        <v>0</v>
      </c>
      <c r="Z686" s="52">
        <f t="shared" si="515"/>
        <v>0</v>
      </c>
      <c r="AA686" s="54"/>
      <c r="AB686" s="68"/>
    </row>
    <row r="687" spans="1:45" ht="81" x14ac:dyDescent="0.25">
      <c r="A687" s="33" t="s">
        <v>60</v>
      </c>
      <c r="B687" s="42">
        <v>662</v>
      </c>
      <c r="C687" s="33" t="s">
        <v>730</v>
      </c>
      <c r="D687" s="33" t="s">
        <v>3423</v>
      </c>
      <c r="E687" s="32"/>
      <c r="F687" s="33" t="s">
        <v>3424</v>
      </c>
      <c r="G687" s="32"/>
      <c r="H687" s="32"/>
      <c r="I687" s="62" t="s">
        <v>3425</v>
      </c>
      <c r="J687" s="33" t="s">
        <v>43</v>
      </c>
      <c r="K687" s="33" t="s">
        <v>3426</v>
      </c>
      <c r="L687" s="65">
        <v>3682837780</v>
      </c>
      <c r="M687" s="32"/>
      <c r="N687" s="65">
        <v>15000000</v>
      </c>
      <c r="O687" s="43"/>
      <c r="P687" s="43"/>
      <c r="Q687" s="48">
        <f t="shared" si="679"/>
        <v>3697837780</v>
      </c>
      <c r="R687" s="48">
        <v>3682837780</v>
      </c>
      <c r="S687" s="33"/>
      <c r="T687" s="44">
        <v>15000000</v>
      </c>
      <c r="U687" s="33"/>
      <c r="V687" s="33"/>
      <c r="W687" s="52"/>
      <c r="X687" s="52">
        <f t="shared" ref="X687:Y687" si="682">M687-S687</f>
        <v>0</v>
      </c>
      <c r="Y687" s="52">
        <f t="shared" si="682"/>
        <v>0</v>
      </c>
      <c r="Z687" s="52">
        <f t="shared" si="515"/>
        <v>0</v>
      </c>
      <c r="AA687" s="54"/>
      <c r="AB687" s="68"/>
    </row>
    <row r="688" spans="1:45" ht="81" x14ac:dyDescent="0.25">
      <c r="A688" s="33" t="s">
        <v>60</v>
      </c>
      <c r="B688" s="42">
        <v>663</v>
      </c>
      <c r="C688" s="33" t="s">
        <v>730</v>
      </c>
      <c r="D688" s="33" t="s">
        <v>3427</v>
      </c>
      <c r="E688" s="32"/>
      <c r="F688" s="33" t="s">
        <v>3428</v>
      </c>
      <c r="G688" s="32"/>
      <c r="H688" s="32"/>
      <c r="I688" s="62" t="s">
        <v>3429</v>
      </c>
      <c r="J688" s="33" t="s">
        <v>43</v>
      </c>
      <c r="K688" s="33" t="s">
        <v>3430</v>
      </c>
      <c r="L688" s="65">
        <v>30531714626</v>
      </c>
      <c r="M688" s="32"/>
      <c r="N688" s="65">
        <v>15000000</v>
      </c>
      <c r="O688" s="43"/>
      <c r="P688" s="43"/>
      <c r="Q688" s="48">
        <f t="shared" si="679"/>
        <v>30546714626</v>
      </c>
      <c r="R688" s="48">
        <v>30531714626</v>
      </c>
      <c r="S688" s="33"/>
      <c r="T688" s="66"/>
      <c r="U688" s="33"/>
      <c r="V688" s="33"/>
      <c r="W688" s="52"/>
      <c r="X688" s="52">
        <f t="shared" ref="X688:Y688" si="683">M688-S688</f>
        <v>0</v>
      </c>
      <c r="Y688" s="52">
        <f t="shared" si="683"/>
        <v>15000000</v>
      </c>
      <c r="Z688" s="52">
        <f t="shared" si="515"/>
        <v>0</v>
      </c>
      <c r="AA688" s="54"/>
      <c r="AB688" s="68"/>
    </row>
    <row r="689" spans="1:28" ht="48" customHeight="1" x14ac:dyDescent="0.25">
      <c r="A689" s="33" t="s">
        <v>60</v>
      </c>
      <c r="B689" s="42">
        <v>664</v>
      </c>
      <c r="C689" s="33" t="s">
        <v>327</v>
      </c>
      <c r="D689" s="33" t="s">
        <v>862</v>
      </c>
      <c r="E689" s="33" t="s">
        <v>863</v>
      </c>
      <c r="F689" s="33" t="s">
        <v>865</v>
      </c>
      <c r="G689" s="33" t="s">
        <v>866</v>
      </c>
      <c r="H689" s="32"/>
      <c r="I689" s="33" t="s">
        <v>867</v>
      </c>
      <c r="J689" s="33" t="s">
        <v>43</v>
      </c>
      <c r="K689" s="33" t="s">
        <v>869</v>
      </c>
      <c r="L689" s="48">
        <v>10000000</v>
      </c>
      <c r="M689" s="48">
        <v>1529015488</v>
      </c>
      <c r="N689" s="48">
        <v>15000000</v>
      </c>
      <c r="O689" s="33" t="s">
        <v>864</v>
      </c>
      <c r="P689" s="48">
        <v>48000000</v>
      </c>
      <c r="Q689" s="48">
        <f t="shared" si="679"/>
        <v>1602015488</v>
      </c>
      <c r="R689" s="48">
        <v>10000000</v>
      </c>
      <c r="S689" s="48">
        <v>1529015488</v>
      </c>
      <c r="T689" s="66"/>
      <c r="U689" s="33"/>
      <c r="V689" s="33"/>
      <c r="W689" s="52"/>
      <c r="X689" s="52">
        <f t="shared" ref="X689:Y689" si="684">M689-S689</f>
        <v>0</v>
      </c>
      <c r="Y689" s="52">
        <f t="shared" si="684"/>
        <v>15000000</v>
      </c>
      <c r="Z689" s="52">
        <f t="shared" si="515"/>
        <v>48000000</v>
      </c>
      <c r="AA689" s="54"/>
      <c r="AB689" s="75"/>
    </row>
    <row r="690" spans="1:28" ht="40.5" x14ac:dyDescent="0.25">
      <c r="A690" s="33" t="s">
        <v>60</v>
      </c>
      <c r="B690" s="42">
        <v>665</v>
      </c>
      <c r="C690" s="33" t="s">
        <v>327</v>
      </c>
      <c r="D690" s="33" t="s">
        <v>3431</v>
      </c>
      <c r="E690" s="33" t="s">
        <v>377</v>
      </c>
      <c r="F690" s="33" t="s">
        <v>3432</v>
      </c>
      <c r="G690" s="33" t="s">
        <v>3433</v>
      </c>
      <c r="H690" s="32"/>
      <c r="I690" s="62" t="s">
        <v>3434</v>
      </c>
      <c r="J690" s="33" t="s">
        <v>43</v>
      </c>
      <c r="K690" s="33" t="s">
        <v>3435</v>
      </c>
      <c r="L690" s="65">
        <v>2569591424</v>
      </c>
      <c r="M690" s="65">
        <v>588296218</v>
      </c>
      <c r="N690" s="65">
        <v>15000000</v>
      </c>
      <c r="O690" s="43"/>
      <c r="P690" s="43"/>
      <c r="Q690" s="48">
        <f t="shared" si="679"/>
        <v>3172887642</v>
      </c>
      <c r="R690" s="48">
        <v>2569591424</v>
      </c>
      <c r="S690" s="48">
        <v>588296218</v>
      </c>
      <c r="T690" s="44">
        <v>15000000</v>
      </c>
      <c r="U690" s="33"/>
      <c r="V690" s="33"/>
      <c r="W690" s="52"/>
      <c r="X690" s="52">
        <f t="shared" ref="X690:Y690" si="685">M690-S690</f>
        <v>0</v>
      </c>
      <c r="Y690" s="52">
        <f t="shared" si="685"/>
        <v>0</v>
      </c>
      <c r="Z690" s="52">
        <f t="shared" si="515"/>
        <v>0</v>
      </c>
      <c r="AA690" s="54"/>
      <c r="AB690" s="68"/>
    </row>
    <row r="691" spans="1:28" ht="40.5" x14ac:dyDescent="0.25">
      <c r="A691" s="33" t="s">
        <v>35</v>
      </c>
      <c r="B691" s="42">
        <v>666</v>
      </c>
      <c r="C691" s="33" t="s">
        <v>327</v>
      </c>
      <c r="D691" s="33" t="s">
        <v>328</v>
      </c>
      <c r="E691" s="33" t="s">
        <v>329</v>
      </c>
      <c r="F691" s="33" t="s">
        <v>331</v>
      </c>
      <c r="G691" s="32"/>
      <c r="H691" s="32"/>
      <c r="I691" s="62" t="s">
        <v>332</v>
      </c>
      <c r="J691" s="33" t="s">
        <v>43</v>
      </c>
      <c r="K691" s="33" t="s">
        <v>82</v>
      </c>
      <c r="L691" s="65">
        <v>10000000</v>
      </c>
      <c r="M691" s="65">
        <v>348172944</v>
      </c>
      <c r="N691" s="65">
        <v>15000000</v>
      </c>
      <c r="O691" s="43" t="s">
        <v>330</v>
      </c>
      <c r="P691" s="69">
        <v>30000000</v>
      </c>
      <c r="Q691" s="48">
        <f t="shared" si="679"/>
        <v>403172944</v>
      </c>
      <c r="R691" s="48">
        <v>10000000</v>
      </c>
      <c r="S691" s="48">
        <v>348172944</v>
      </c>
      <c r="T691" s="44">
        <v>15000000</v>
      </c>
      <c r="U691" s="48">
        <v>30000000</v>
      </c>
      <c r="V691" s="33"/>
      <c r="W691" s="52"/>
      <c r="X691" s="52">
        <f t="shared" ref="X691:Y691" si="686">M691-S691</f>
        <v>0</v>
      </c>
      <c r="Y691" s="52">
        <f t="shared" si="686"/>
        <v>0</v>
      </c>
      <c r="Z691" s="52">
        <f t="shared" si="515"/>
        <v>0</v>
      </c>
      <c r="AA691" s="54"/>
      <c r="AB691" s="68"/>
    </row>
    <row r="692" spans="1:28" ht="78.75" x14ac:dyDescent="0.25">
      <c r="A692" s="101" t="s">
        <v>60</v>
      </c>
      <c r="B692" s="42">
        <v>667</v>
      </c>
      <c r="C692" s="101" t="s">
        <v>327</v>
      </c>
      <c r="D692" s="101" t="s">
        <v>3436</v>
      </c>
      <c r="E692" s="32"/>
      <c r="F692" s="101" t="s">
        <v>3437</v>
      </c>
      <c r="G692" s="32"/>
      <c r="H692" s="32"/>
      <c r="I692" s="112" t="s">
        <v>3438</v>
      </c>
      <c r="J692" s="101" t="s">
        <v>43</v>
      </c>
      <c r="K692" s="101" t="s">
        <v>3439</v>
      </c>
      <c r="L692" s="100">
        <v>10000000</v>
      </c>
      <c r="M692" s="32"/>
      <c r="N692" s="100">
        <v>15000000</v>
      </c>
      <c r="O692" s="43"/>
      <c r="P692" s="43"/>
      <c r="Q692" s="48">
        <f t="shared" si="679"/>
        <v>25000000</v>
      </c>
      <c r="R692" s="79">
        <v>10000000</v>
      </c>
      <c r="S692" s="33"/>
      <c r="T692" s="80">
        <v>15000000</v>
      </c>
      <c r="U692" s="33"/>
      <c r="V692" s="33"/>
      <c r="W692" s="52"/>
      <c r="X692" s="52">
        <f t="shared" ref="X692:Y692" si="687">M692-S692</f>
        <v>0</v>
      </c>
      <c r="Y692" s="52">
        <f t="shared" si="687"/>
        <v>0</v>
      </c>
      <c r="Z692" s="52">
        <f t="shared" si="515"/>
        <v>0</v>
      </c>
      <c r="AA692" s="54"/>
      <c r="AB692" s="68"/>
    </row>
    <row r="693" spans="1:28" ht="189" x14ac:dyDescent="0.25">
      <c r="A693" s="101" t="s">
        <v>60</v>
      </c>
      <c r="B693" s="42">
        <v>668</v>
      </c>
      <c r="C693" s="101" t="s">
        <v>3440</v>
      </c>
      <c r="D693" s="32"/>
      <c r="E693" s="32" t="s">
        <v>3441</v>
      </c>
      <c r="F693" s="32"/>
      <c r="G693" s="32"/>
      <c r="H693" s="101" t="s">
        <v>3442</v>
      </c>
      <c r="I693" s="112" t="s">
        <v>3438</v>
      </c>
      <c r="J693" s="101" t="s">
        <v>43</v>
      </c>
      <c r="K693" s="101" t="s">
        <v>3439</v>
      </c>
      <c r="L693" s="32">
        <v>0</v>
      </c>
      <c r="M693" s="100">
        <v>965448012</v>
      </c>
      <c r="N693" s="100">
        <v>15000000</v>
      </c>
      <c r="O693" s="43"/>
      <c r="P693" s="43"/>
      <c r="Q693" s="48">
        <f t="shared" si="679"/>
        <v>980448012</v>
      </c>
      <c r="R693" s="79">
        <v>955448012</v>
      </c>
      <c r="S693" s="33"/>
      <c r="T693" s="66"/>
      <c r="U693" s="33"/>
      <c r="V693" s="33"/>
      <c r="W693" s="52"/>
      <c r="X693" s="52">
        <v>10000000</v>
      </c>
      <c r="Y693" s="52">
        <f>N693-T693</f>
        <v>15000000</v>
      </c>
      <c r="Z693" s="52">
        <f t="shared" si="515"/>
        <v>0</v>
      </c>
      <c r="AA693" s="54"/>
      <c r="AB693" s="43" t="s">
        <v>3443</v>
      </c>
    </row>
    <row r="694" spans="1:28" ht="47.25" x14ac:dyDescent="0.25">
      <c r="A694" s="33" t="s">
        <v>35</v>
      </c>
      <c r="B694" s="42">
        <v>669</v>
      </c>
      <c r="C694" s="33" t="s">
        <v>327</v>
      </c>
      <c r="D694" s="33" t="s">
        <v>905</v>
      </c>
      <c r="E694" s="33" t="s">
        <v>906</v>
      </c>
      <c r="F694" s="33" t="s">
        <v>908</v>
      </c>
      <c r="G694" s="33" t="s">
        <v>909</v>
      </c>
      <c r="H694" s="32"/>
      <c r="I694" s="62" t="s">
        <v>910</v>
      </c>
      <c r="J694" s="33" t="s">
        <v>43</v>
      </c>
      <c r="K694" s="33" t="s">
        <v>911</v>
      </c>
      <c r="L694" s="65">
        <v>10000000</v>
      </c>
      <c r="M694" s="65">
        <v>429264612</v>
      </c>
      <c r="N694" s="65">
        <v>15000000</v>
      </c>
      <c r="O694" s="43"/>
      <c r="P694" s="43"/>
      <c r="Q694" s="48">
        <f t="shared" si="679"/>
        <v>454264612</v>
      </c>
      <c r="R694" s="48">
        <v>10000000</v>
      </c>
      <c r="S694" s="48">
        <v>429264612</v>
      </c>
      <c r="T694" s="44">
        <v>15000000</v>
      </c>
      <c r="U694" s="33"/>
      <c r="V694" s="33"/>
      <c r="W694" s="52"/>
      <c r="X694" s="52">
        <f t="shared" ref="X694:Y694" si="688">M694-S694</f>
        <v>0</v>
      </c>
      <c r="Y694" s="52">
        <f t="shared" si="688"/>
        <v>0</v>
      </c>
      <c r="Z694" s="52">
        <f t="shared" si="515"/>
        <v>0</v>
      </c>
      <c r="AA694" s="54"/>
      <c r="AB694" s="68"/>
    </row>
    <row r="695" spans="1:28" ht="94.5" x14ac:dyDescent="0.3">
      <c r="A695" s="33" t="s">
        <v>60</v>
      </c>
      <c r="B695" s="42">
        <v>670</v>
      </c>
      <c r="C695" s="33" t="s">
        <v>327</v>
      </c>
      <c r="D695" s="33" t="s">
        <v>3444</v>
      </c>
      <c r="E695" s="33" t="s">
        <v>3445</v>
      </c>
      <c r="F695" s="32"/>
      <c r="G695" s="32"/>
      <c r="H695" s="33" t="s">
        <v>3446</v>
      </c>
      <c r="I695" s="62" t="s">
        <v>3447</v>
      </c>
      <c r="J695" s="33" t="s">
        <v>43</v>
      </c>
      <c r="K695" s="33" t="s">
        <v>3448</v>
      </c>
      <c r="L695" s="65">
        <v>10000000</v>
      </c>
      <c r="M695" s="32"/>
      <c r="N695" s="65">
        <v>15000000</v>
      </c>
      <c r="O695" s="43"/>
      <c r="P695" s="43"/>
      <c r="Q695" s="48">
        <f t="shared" si="679"/>
        <v>25000000</v>
      </c>
      <c r="R695" s="33"/>
      <c r="S695" s="33"/>
      <c r="T695" s="66"/>
      <c r="U695" s="33"/>
      <c r="V695" s="33"/>
      <c r="W695" s="52">
        <v>10000000</v>
      </c>
      <c r="X695" s="52">
        <f t="shared" ref="X695:Y695" si="689">M695-S695</f>
        <v>0</v>
      </c>
      <c r="Y695" s="52">
        <f t="shared" si="689"/>
        <v>15000000</v>
      </c>
      <c r="Z695" s="52">
        <f t="shared" si="515"/>
        <v>0</v>
      </c>
      <c r="AA695" s="98">
        <v>10000000</v>
      </c>
      <c r="AB695" s="68"/>
    </row>
    <row r="696" spans="1:28" ht="40.5" x14ac:dyDescent="0.25">
      <c r="A696" s="33" t="s">
        <v>60</v>
      </c>
      <c r="B696" s="42">
        <v>671</v>
      </c>
      <c r="C696" s="33" t="s">
        <v>327</v>
      </c>
      <c r="D696" s="33" t="s">
        <v>3449</v>
      </c>
      <c r="E696" s="32"/>
      <c r="F696" s="33" t="s">
        <v>3450</v>
      </c>
      <c r="G696" s="32"/>
      <c r="H696" s="32"/>
      <c r="I696" s="62" t="s">
        <v>3451</v>
      </c>
      <c r="J696" s="33" t="s">
        <v>43</v>
      </c>
      <c r="K696" s="33" t="s">
        <v>3452</v>
      </c>
      <c r="L696" s="65">
        <v>6640287381</v>
      </c>
      <c r="M696" s="32"/>
      <c r="N696" s="65">
        <v>15000000</v>
      </c>
      <c r="O696" s="43"/>
      <c r="P696" s="43"/>
      <c r="Q696" s="48">
        <f t="shared" si="679"/>
        <v>6655287381</v>
      </c>
      <c r="R696" s="48">
        <v>6640287381</v>
      </c>
      <c r="S696" s="33"/>
      <c r="T696" s="66"/>
      <c r="U696" s="33"/>
      <c r="V696" s="33"/>
      <c r="W696" s="52"/>
      <c r="X696" s="52">
        <f t="shared" ref="X696:Y696" si="690">M696-S696</f>
        <v>0</v>
      </c>
      <c r="Y696" s="52">
        <f t="shared" si="690"/>
        <v>15000000</v>
      </c>
      <c r="Z696" s="52">
        <f t="shared" si="515"/>
        <v>0</v>
      </c>
      <c r="AA696" s="54"/>
      <c r="AB696" s="68"/>
    </row>
    <row r="697" spans="1:28" ht="40.5" x14ac:dyDescent="0.25">
      <c r="A697" s="33" t="s">
        <v>52</v>
      </c>
      <c r="B697" s="42">
        <v>672</v>
      </c>
      <c r="C697" s="33" t="s">
        <v>67</v>
      </c>
      <c r="D697" s="33" t="s">
        <v>3453</v>
      </c>
      <c r="E697" s="33" t="s">
        <v>3454</v>
      </c>
      <c r="F697" s="33" t="s">
        <v>3455</v>
      </c>
      <c r="G697" s="33" t="s">
        <v>3456</v>
      </c>
      <c r="H697" s="32"/>
      <c r="I697" s="62" t="s">
        <v>3457</v>
      </c>
      <c r="J697" s="33" t="s">
        <v>43</v>
      </c>
      <c r="K697" s="33" t="s">
        <v>3458</v>
      </c>
      <c r="L697" s="65">
        <v>21170862212</v>
      </c>
      <c r="M697" s="48">
        <v>250496432</v>
      </c>
      <c r="N697" s="65">
        <v>7500000</v>
      </c>
      <c r="O697" s="43"/>
      <c r="P697" s="43"/>
      <c r="Q697" s="48">
        <f t="shared" si="679"/>
        <v>21428858644</v>
      </c>
      <c r="R697" s="48">
        <v>21170862212</v>
      </c>
      <c r="S697" s="33"/>
      <c r="T697" s="44">
        <v>7500000</v>
      </c>
      <c r="U697" s="33"/>
      <c r="V697" s="33"/>
      <c r="W697" s="52"/>
      <c r="X697" s="52">
        <f t="shared" ref="X697:Y697" si="691">M697-S697</f>
        <v>250496432</v>
      </c>
      <c r="Y697" s="52">
        <f t="shared" si="691"/>
        <v>0</v>
      </c>
      <c r="Z697" s="52">
        <f t="shared" si="515"/>
        <v>0</v>
      </c>
      <c r="AA697" s="54"/>
      <c r="AB697" s="68"/>
    </row>
    <row r="698" spans="1:28" ht="60.75" x14ac:dyDescent="0.25">
      <c r="A698" s="33" t="s">
        <v>52</v>
      </c>
      <c r="B698" s="42">
        <v>673</v>
      </c>
      <c r="C698" s="33" t="s">
        <v>67</v>
      </c>
      <c r="D698" s="33" t="s">
        <v>3459</v>
      </c>
      <c r="E698" s="32"/>
      <c r="F698" s="33" t="s">
        <v>3460</v>
      </c>
      <c r="G698" s="32"/>
      <c r="H698" s="32"/>
      <c r="I698" s="62" t="s">
        <v>3461</v>
      </c>
      <c r="J698" s="33" t="s">
        <v>43</v>
      </c>
      <c r="K698" s="33" t="s">
        <v>3462</v>
      </c>
      <c r="L698" s="65">
        <v>2853972350</v>
      </c>
      <c r="M698" s="32"/>
      <c r="N698" s="65">
        <v>7500000</v>
      </c>
      <c r="O698" s="43"/>
      <c r="P698" s="43"/>
      <c r="Q698" s="48">
        <f t="shared" si="679"/>
        <v>2861472350</v>
      </c>
      <c r="R698" s="48">
        <v>2853972350</v>
      </c>
      <c r="S698" s="33"/>
      <c r="T698" s="44">
        <v>7500000</v>
      </c>
      <c r="U698" s="33"/>
      <c r="V698" s="33"/>
      <c r="W698" s="52"/>
      <c r="X698" s="52">
        <f t="shared" ref="X698:Y698" si="692">M698-S698</f>
        <v>0</v>
      </c>
      <c r="Y698" s="52">
        <f t="shared" si="692"/>
        <v>0</v>
      </c>
      <c r="Z698" s="52">
        <f t="shared" si="515"/>
        <v>0</v>
      </c>
      <c r="AA698" s="54"/>
      <c r="AB698" s="68"/>
    </row>
    <row r="699" spans="1:28" ht="121.5" x14ac:dyDescent="0.25">
      <c r="A699" s="33" t="s">
        <v>35</v>
      </c>
      <c r="B699" s="42">
        <v>674</v>
      </c>
      <c r="C699" s="33" t="s">
        <v>67</v>
      </c>
      <c r="D699" s="33" t="s">
        <v>993</v>
      </c>
      <c r="E699" s="32"/>
      <c r="F699" s="33" t="s">
        <v>994</v>
      </c>
      <c r="G699" s="33" t="s">
        <v>995</v>
      </c>
      <c r="H699" s="32"/>
      <c r="I699" s="62" t="s">
        <v>996</v>
      </c>
      <c r="J699" s="33" t="s">
        <v>43</v>
      </c>
      <c r="K699" s="33" t="s">
        <v>997</v>
      </c>
      <c r="L699" s="65">
        <v>235340708770</v>
      </c>
      <c r="M699" s="32"/>
      <c r="N699" s="65">
        <v>15000000</v>
      </c>
      <c r="O699" s="43" t="s">
        <v>872</v>
      </c>
      <c r="P699" s="69">
        <v>144000000</v>
      </c>
      <c r="Q699" s="48">
        <f t="shared" si="679"/>
        <v>235499708770</v>
      </c>
      <c r="R699" s="48">
        <v>235340708770</v>
      </c>
      <c r="S699" s="33"/>
      <c r="T699" s="66"/>
      <c r="U699" s="48">
        <v>144000000</v>
      </c>
      <c r="V699" s="33"/>
      <c r="W699" s="52"/>
      <c r="X699" s="52">
        <f t="shared" ref="X699:Y699" si="693">M699-S699</f>
        <v>0</v>
      </c>
      <c r="Y699" s="52">
        <f t="shared" si="693"/>
        <v>15000000</v>
      </c>
      <c r="Z699" s="52">
        <f t="shared" si="515"/>
        <v>0</v>
      </c>
      <c r="AA699" s="54"/>
      <c r="AB699" s="68"/>
    </row>
    <row r="700" spans="1:28" ht="40.5" x14ac:dyDescent="0.25">
      <c r="A700" s="33" t="s">
        <v>60</v>
      </c>
      <c r="B700" s="42">
        <v>675</v>
      </c>
      <c r="C700" s="33" t="s">
        <v>67</v>
      </c>
      <c r="D700" s="33" t="s">
        <v>3463</v>
      </c>
      <c r="E700" s="33" t="s">
        <v>1923</v>
      </c>
      <c r="F700" s="33" t="s">
        <v>3464</v>
      </c>
      <c r="G700" s="32"/>
      <c r="H700" s="32"/>
      <c r="I700" s="62" t="s">
        <v>3465</v>
      </c>
      <c r="J700" s="33" t="s">
        <v>43</v>
      </c>
      <c r="K700" s="33" t="s">
        <v>3466</v>
      </c>
      <c r="L700" s="65">
        <v>54817863740</v>
      </c>
      <c r="M700" s="65">
        <v>10109297</v>
      </c>
      <c r="N700" s="65">
        <v>7500000</v>
      </c>
      <c r="O700" s="43"/>
      <c r="P700" s="43"/>
      <c r="Q700" s="48">
        <f t="shared" si="679"/>
        <v>54835473037</v>
      </c>
      <c r="R700" s="48">
        <v>54817863740</v>
      </c>
      <c r="S700" s="48">
        <v>10109297</v>
      </c>
      <c r="T700" s="66"/>
      <c r="U700" s="33"/>
      <c r="V700" s="33"/>
      <c r="W700" s="52"/>
      <c r="X700" s="52">
        <f t="shared" ref="X700:Y700" si="694">M700-S700</f>
        <v>0</v>
      </c>
      <c r="Y700" s="52">
        <f t="shared" si="694"/>
        <v>7500000</v>
      </c>
      <c r="Z700" s="52">
        <f t="shared" si="515"/>
        <v>0</v>
      </c>
      <c r="AA700" s="54"/>
      <c r="AB700" s="68"/>
    </row>
    <row r="701" spans="1:28" ht="40.5" x14ac:dyDescent="0.25">
      <c r="A701" s="33" t="s">
        <v>52</v>
      </c>
      <c r="B701" s="42">
        <v>676</v>
      </c>
      <c r="C701" s="33" t="s">
        <v>67</v>
      </c>
      <c r="D701" s="33" t="s">
        <v>3467</v>
      </c>
      <c r="E701" s="32"/>
      <c r="F701" s="33" t="s">
        <v>3468</v>
      </c>
      <c r="G701" s="32"/>
      <c r="H701" s="32"/>
      <c r="I701" s="62" t="s">
        <v>3469</v>
      </c>
      <c r="J701" s="33" t="s">
        <v>43</v>
      </c>
      <c r="K701" s="33" t="s">
        <v>3470</v>
      </c>
      <c r="L701" s="65">
        <v>3446384400</v>
      </c>
      <c r="M701" s="32"/>
      <c r="N701" s="65">
        <v>7500000</v>
      </c>
      <c r="O701" s="43"/>
      <c r="P701" s="43"/>
      <c r="Q701" s="48">
        <f t="shared" si="679"/>
        <v>3453884400</v>
      </c>
      <c r="R701" s="48">
        <v>3446384400</v>
      </c>
      <c r="S701" s="33"/>
      <c r="T701" s="44">
        <v>7500000</v>
      </c>
      <c r="U701" s="33"/>
      <c r="V701" s="33"/>
      <c r="W701" s="52"/>
      <c r="X701" s="52">
        <f t="shared" ref="X701:Y701" si="695">M701-S701</f>
        <v>0</v>
      </c>
      <c r="Y701" s="52">
        <f t="shared" si="695"/>
        <v>0</v>
      </c>
      <c r="Z701" s="52">
        <f t="shared" si="515"/>
        <v>0</v>
      </c>
      <c r="AA701" s="54"/>
      <c r="AB701" s="68"/>
    </row>
    <row r="702" spans="1:28" ht="40.5" x14ac:dyDescent="0.25">
      <c r="A702" s="33" t="s">
        <v>35</v>
      </c>
      <c r="B702" s="42">
        <v>677</v>
      </c>
      <c r="C702" s="33" t="s">
        <v>67</v>
      </c>
      <c r="D702" s="33" t="s">
        <v>1062</v>
      </c>
      <c r="E702" s="32"/>
      <c r="F702" s="33" t="s">
        <v>1063</v>
      </c>
      <c r="G702" s="32"/>
      <c r="H702" s="32"/>
      <c r="I702" s="62" t="s">
        <v>1064</v>
      </c>
      <c r="J702" s="33" t="s">
        <v>43</v>
      </c>
      <c r="K702" s="33" t="s">
        <v>1065</v>
      </c>
      <c r="L702" s="65">
        <v>1133587600</v>
      </c>
      <c r="M702" s="32"/>
      <c r="N702" s="65">
        <v>15000000</v>
      </c>
      <c r="O702" s="43" t="s">
        <v>1012</v>
      </c>
      <c r="P702" s="69">
        <v>36000000</v>
      </c>
      <c r="Q702" s="48">
        <f t="shared" si="679"/>
        <v>1184587600</v>
      </c>
      <c r="R702" s="48">
        <v>1133587600</v>
      </c>
      <c r="S702" s="33"/>
      <c r="T702" s="44">
        <v>15000000</v>
      </c>
      <c r="U702" s="48">
        <v>36000000</v>
      </c>
      <c r="V702" s="33"/>
      <c r="W702" s="52"/>
      <c r="X702" s="52">
        <f t="shared" ref="X702:Y702" si="696">M702-S702</f>
        <v>0</v>
      </c>
      <c r="Y702" s="52">
        <f t="shared" si="696"/>
        <v>0</v>
      </c>
      <c r="Z702" s="52">
        <f t="shared" si="515"/>
        <v>0</v>
      </c>
      <c r="AA702" s="54"/>
      <c r="AB702" s="68"/>
    </row>
    <row r="703" spans="1:28" ht="60.75" x14ac:dyDescent="0.25">
      <c r="A703" s="33" t="s">
        <v>35</v>
      </c>
      <c r="B703" s="42">
        <v>678</v>
      </c>
      <c r="C703" s="33" t="s">
        <v>67</v>
      </c>
      <c r="D703" s="33" t="s">
        <v>1068</v>
      </c>
      <c r="E703" s="32"/>
      <c r="F703" s="33" t="s">
        <v>1069</v>
      </c>
      <c r="G703" s="32"/>
      <c r="H703" s="32"/>
      <c r="I703" s="62" t="s">
        <v>1070</v>
      </c>
      <c r="J703" s="33" t="s">
        <v>43</v>
      </c>
      <c r="K703" s="33" t="s">
        <v>1071</v>
      </c>
      <c r="L703" s="65">
        <v>13988110203</v>
      </c>
      <c r="M703" s="32"/>
      <c r="N703" s="65">
        <v>15000000</v>
      </c>
      <c r="O703" s="43" t="s">
        <v>1012</v>
      </c>
      <c r="P703" s="69">
        <v>36000000</v>
      </c>
      <c r="Q703" s="48">
        <f t="shared" si="679"/>
        <v>14039110203</v>
      </c>
      <c r="R703" s="48">
        <v>13988110203</v>
      </c>
      <c r="S703" s="33"/>
      <c r="T703" s="44">
        <v>15000000</v>
      </c>
      <c r="U703" s="48">
        <v>36000000</v>
      </c>
      <c r="V703" s="33"/>
      <c r="W703" s="52"/>
      <c r="X703" s="52">
        <f t="shared" ref="X703:Y703" si="697">M703-S703</f>
        <v>0</v>
      </c>
      <c r="Y703" s="52">
        <f t="shared" si="697"/>
        <v>0</v>
      </c>
      <c r="Z703" s="52">
        <f t="shared" si="515"/>
        <v>0</v>
      </c>
      <c r="AA703" s="54"/>
      <c r="AB703" s="68"/>
    </row>
    <row r="704" spans="1:28" ht="40.5" x14ac:dyDescent="0.25">
      <c r="A704" s="33" t="s">
        <v>35</v>
      </c>
      <c r="B704" s="42">
        <v>679</v>
      </c>
      <c r="C704" s="33" t="s">
        <v>67</v>
      </c>
      <c r="D704" s="33" t="s">
        <v>3473</v>
      </c>
      <c r="E704" s="32"/>
      <c r="F704" s="33" t="s">
        <v>3474</v>
      </c>
      <c r="G704" s="32"/>
      <c r="H704" s="32"/>
      <c r="I704" s="62" t="s">
        <v>3475</v>
      </c>
      <c r="J704" s="33" t="s">
        <v>43</v>
      </c>
      <c r="K704" s="33" t="s">
        <v>3476</v>
      </c>
      <c r="L704" s="65">
        <v>7884922752</v>
      </c>
      <c r="M704" s="32"/>
      <c r="N704" s="65">
        <v>7500000</v>
      </c>
      <c r="O704" s="43"/>
      <c r="P704" s="43"/>
      <c r="Q704" s="48">
        <f t="shared" si="679"/>
        <v>7892422752</v>
      </c>
      <c r="R704" s="48">
        <v>7884922752</v>
      </c>
      <c r="S704" s="33"/>
      <c r="T704" s="44">
        <v>7500000</v>
      </c>
      <c r="U704" s="33"/>
      <c r="V704" s="33"/>
      <c r="W704" s="52"/>
      <c r="X704" s="52">
        <f t="shared" ref="X704:Y704" si="698">M704-S704</f>
        <v>0</v>
      </c>
      <c r="Y704" s="52">
        <f t="shared" si="698"/>
        <v>0</v>
      </c>
      <c r="Z704" s="52">
        <f t="shared" si="515"/>
        <v>0</v>
      </c>
      <c r="AA704" s="54"/>
      <c r="AB704" s="68"/>
    </row>
    <row r="705" spans="1:28" ht="40.5" x14ac:dyDescent="0.25">
      <c r="A705" s="33" t="s">
        <v>35</v>
      </c>
      <c r="B705" s="42">
        <v>680</v>
      </c>
      <c r="C705" s="33" t="s">
        <v>67</v>
      </c>
      <c r="D705" s="33" t="s">
        <v>1075</v>
      </c>
      <c r="E705" s="32"/>
      <c r="F705" s="33" t="s">
        <v>1076</v>
      </c>
      <c r="G705" s="32"/>
      <c r="H705" s="32"/>
      <c r="I705" s="62" t="s">
        <v>1077</v>
      </c>
      <c r="J705" s="33" t="s">
        <v>43</v>
      </c>
      <c r="K705" s="33" t="s">
        <v>1078</v>
      </c>
      <c r="L705" s="65">
        <v>4656135712</v>
      </c>
      <c r="M705" s="32"/>
      <c r="N705" s="65">
        <v>15000000</v>
      </c>
      <c r="O705" s="43" t="s">
        <v>1012</v>
      </c>
      <c r="P705" s="69">
        <v>72000000</v>
      </c>
      <c r="Q705" s="48">
        <f t="shared" si="679"/>
        <v>4743135712</v>
      </c>
      <c r="R705" s="48">
        <v>4656135712</v>
      </c>
      <c r="S705" s="33"/>
      <c r="T705" s="66"/>
      <c r="U705" s="48">
        <v>72000000</v>
      </c>
      <c r="V705" s="33"/>
      <c r="W705" s="52"/>
      <c r="X705" s="52">
        <f t="shared" ref="X705:Y705" si="699">M705-S705</f>
        <v>0</v>
      </c>
      <c r="Y705" s="52">
        <f t="shared" si="699"/>
        <v>15000000</v>
      </c>
      <c r="Z705" s="52">
        <f t="shared" si="515"/>
        <v>0</v>
      </c>
      <c r="AA705" s="54"/>
      <c r="AB705" s="68"/>
    </row>
    <row r="706" spans="1:28" ht="101.25" x14ac:dyDescent="0.3">
      <c r="A706" s="33" t="s">
        <v>60</v>
      </c>
      <c r="B706" s="42">
        <v>681</v>
      </c>
      <c r="C706" s="33" t="s">
        <v>67</v>
      </c>
      <c r="D706" s="33" t="s">
        <v>3477</v>
      </c>
      <c r="E706" s="32"/>
      <c r="F706" s="33" t="s">
        <v>3478</v>
      </c>
      <c r="G706" s="32"/>
      <c r="H706" s="32"/>
      <c r="I706" s="62" t="s">
        <v>3479</v>
      </c>
      <c r="J706" s="33" t="s">
        <v>43</v>
      </c>
      <c r="K706" s="33" t="s">
        <v>3480</v>
      </c>
      <c r="L706" s="65">
        <v>2778910722</v>
      </c>
      <c r="M706" s="32"/>
      <c r="N706" s="65">
        <v>7500000</v>
      </c>
      <c r="O706" s="43"/>
      <c r="P706" s="43"/>
      <c r="Q706" s="48">
        <f t="shared" si="679"/>
        <v>2786410722</v>
      </c>
      <c r="R706" s="33"/>
      <c r="S706" s="33"/>
      <c r="T706" s="66"/>
      <c r="U706" s="33"/>
      <c r="V706" s="33"/>
      <c r="W706" s="52">
        <v>2778910722</v>
      </c>
      <c r="X706" s="52">
        <f t="shared" ref="X706:Y706" si="700">M706-S706</f>
        <v>0</v>
      </c>
      <c r="Y706" s="52">
        <f t="shared" si="700"/>
        <v>7500000</v>
      </c>
      <c r="Z706" s="52">
        <f t="shared" si="515"/>
        <v>0</v>
      </c>
      <c r="AA706" s="98">
        <v>2778910722</v>
      </c>
      <c r="AB706" s="68"/>
    </row>
    <row r="707" spans="1:28" ht="31.5" x14ac:dyDescent="0.25">
      <c r="A707" s="33" t="s">
        <v>52</v>
      </c>
      <c r="B707" s="42">
        <v>682</v>
      </c>
      <c r="C707" s="33" t="s">
        <v>67</v>
      </c>
      <c r="D707" s="33" t="s">
        <v>3481</v>
      </c>
      <c r="E707" s="32"/>
      <c r="F707" s="33" t="s">
        <v>3482</v>
      </c>
      <c r="G707" s="32"/>
      <c r="H707" s="32"/>
      <c r="I707" s="62" t="s">
        <v>766</v>
      </c>
      <c r="J707" s="33" t="s">
        <v>43</v>
      </c>
      <c r="K707" s="33" t="s">
        <v>3483</v>
      </c>
      <c r="L707" s="65">
        <v>1260476040</v>
      </c>
      <c r="M707" s="32"/>
      <c r="N707" s="65">
        <v>7500000</v>
      </c>
      <c r="O707" s="43"/>
      <c r="P707" s="43"/>
      <c r="Q707" s="48">
        <f t="shared" si="679"/>
        <v>1267976040</v>
      </c>
      <c r="R707" s="48">
        <v>1260476040</v>
      </c>
      <c r="S707" s="33"/>
      <c r="T707" s="44">
        <v>7500000</v>
      </c>
      <c r="U707" s="33"/>
      <c r="V707" s="33"/>
      <c r="W707" s="52"/>
      <c r="X707" s="52">
        <f t="shared" ref="X707:Y707" si="701">M707-S707</f>
        <v>0</v>
      </c>
      <c r="Y707" s="52">
        <f t="shared" si="701"/>
        <v>0</v>
      </c>
      <c r="Z707" s="52">
        <f t="shared" si="515"/>
        <v>0</v>
      </c>
      <c r="AA707" s="54"/>
      <c r="AB707" s="68"/>
    </row>
    <row r="708" spans="1:28" ht="47.25" x14ac:dyDescent="0.25">
      <c r="A708" s="33" t="s">
        <v>60</v>
      </c>
      <c r="B708" s="42">
        <v>683</v>
      </c>
      <c r="C708" s="33" t="s">
        <v>67</v>
      </c>
      <c r="D708" s="33" t="s">
        <v>3486</v>
      </c>
      <c r="E708" s="32"/>
      <c r="F708" s="33" t="s">
        <v>3487</v>
      </c>
      <c r="G708" s="32"/>
      <c r="H708" s="32"/>
      <c r="I708" s="62" t="s">
        <v>3488</v>
      </c>
      <c r="J708" s="33" t="s">
        <v>43</v>
      </c>
      <c r="K708" s="33" t="s">
        <v>3489</v>
      </c>
      <c r="L708" s="65">
        <v>331459398</v>
      </c>
      <c r="M708" s="32"/>
      <c r="N708" s="65">
        <v>15000000</v>
      </c>
      <c r="O708" s="43"/>
      <c r="P708" s="43"/>
      <c r="Q708" s="48">
        <f t="shared" si="679"/>
        <v>346459398</v>
      </c>
      <c r="R708" s="48">
        <v>331459398</v>
      </c>
      <c r="S708" s="33"/>
      <c r="T708" s="44">
        <v>15000000</v>
      </c>
      <c r="U708" s="33"/>
      <c r="V708" s="33"/>
      <c r="W708" s="52"/>
      <c r="X708" s="52">
        <f t="shared" ref="X708:Y708" si="702">M708-S708</f>
        <v>0</v>
      </c>
      <c r="Y708" s="52">
        <f t="shared" si="702"/>
        <v>0</v>
      </c>
      <c r="Z708" s="52">
        <f t="shared" si="515"/>
        <v>0</v>
      </c>
      <c r="AA708" s="54"/>
      <c r="AB708" s="68"/>
    </row>
    <row r="709" spans="1:28" ht="47.25" x14ac:dyDescent="0.25">
      <c r="A709" s="33" t="s">
        <v>275</v>
      </c>
      <c r="B709" s="42">
        <v>684</v>
      </c>
      <c r="C709" s="33" t="s">
        <v>67</v>
      </c>
      <c r="D709" s="33" t="s">
        <v>3491</v>
      </c>
      <c r="E709" s="32"/>
      <c r="F709" s="33" t="s">
        <v>3492</v>
      </c>
      <c r="G709" s="32"/>
      <c r="H709" s="32"/>
      <c r="I709" s="62" t="s">
        <v>3493</v>
      </c>
      <c r="J709" s="33" t="s">
        <v>43</v>
      </c>
      <c r="K709" s="33" t="s">
        <v>3494</v>
      </c>
      <c r="L709" s="65">
        <v>10000000</v>
      </c>
      <c r="M709" s="32"/>
      <c r="N709" s="65">
        <v>15000000</v>
      </c>
      <c r="O709" s="43"/>
      <c r="P709" s="43"/>
      <c r="Q709" s="48">
        <f t="shared" si="679"/>
        <v>25000000</v>
      </c>
      <c r="R709" s="48">
        <v>10000000</v>
      </c>
      <c r="S709" s="33"/>
      <c r="T709" s="44">
        <v>15000000</v>
      </c>
      <c r="U709" s="33"/>
      <c r="V709" s="33"/>
      <c r="W709" s="52"/>
      <c r="X709" s="52">
        <f t="shared" ref="X709:Y709" si="703">M709-S709</f>
        <v>0</v>
      </c>
      <c r="Y709" s="52">
        <f t="shared" si="703"/>
        <v>0</v>
      </c>
      <c r="Z709" s="52">
        <f t="shared" si="515"/>
        <v>0</v>
      </c>
      <c r="AA709" s="54"/>
      <c r="AB709" s="68"/>
    </row>
    <row r="710" spans="1:28" ht="78.75" x14ac:dyDescent="0.25">
      <c r="A710" s="33" t="s">
        <v>275</v>
      </c>
      <c r="B710" s="42">
        <v>685</v>
      </c>
      <c r="C710" s="33" t="s">
        <v>67</v>
      </c>
      <c r="D710" s="33" t="s">
        <v>1431</v>
      </c>
      <c r="E710" s="32"/>
      <c r="F710" s="33" t="s">
        <v>1433</v>
      </c>
      <c r="G710" s="32"/>
      <c r="H710" s="32"/>
      <c r="I710" s="62" t="s">
        <v>1434</v>
      </c>
      <c r="J710" s="33" t="s">
        <v>43</v>
      </c>
      <c r="K710" s="33" t="s">
        <v>1435</v>
      </c>
      <c r="L710" s="65">
        <v>731347144</v>
      </c>
      <c r="M710" s="32"/>
      <c r="N710" s="65">
        <v>15000000</v>
      </c>
      <c r="O710" s="43" t="s">
        <v>1432</v>
      </c>
      <c r="P710" s="69">
        <v>72000000</v>
      </c>
      <c r="Q710" s="48">
        <f t="shared" si="679"/>
        <v>818347144</v>
      </c>
      <c r="R710" s="48">
        <v>731347144</v>
      </c>
      <c r="S710" s="33"/>
      <c r="T710" s="44">
        <v>15000000</v>
      </c>
      <c r="U710" s="48">
        <v>24000000</v>
      </c>
      <c r="V710" s="33"/>
      <c r="W710" s="52"/>
      <c r="X710" s="52">
        <f t="shared" ref="X710:Y710" si="704">M710-S710</f>
        <v>0</v>
      </c>
      <c r="Y710" s="52">
        <f t="shared" si="704"/>
        <v>0</v>
      </c>
      <c r="Z710" s="52">
        <f t="shared" si="515"/>
        <v>48000000</v>
      </c>
      <c r="AA710" s="54"/>
      <c r="AB710" s="74" t="s">
        <v>721</v>
      </c>
    </row>
    <row r="711" spans="1:28" ht="40.5" x14ac:dyDescent="0.25">
      <c r="A711" s="33" t="s">
        <v>52</v>
      </c>
      <c r="B711" s="42">
        <v>686</v>
      </c>
      <c r="C711" s="33" t="s">
        <v>67</v>
      </c>
      <c r="D711" s="33" t="s">
        <v>1082</v>
      </c>
      <c r="E711" s="32"/>
      <c r="F711" s="33" t="s">
        <v>1083</v>
      </c>
      <c r="G711" s="32"/>
      <c r="H711" s="32"/>
      <c r="I711" s="62" t="s">
        <v>1084</v>
      </c>
      <c r="J711" s="33" t="s">
        <v>43</v>
      </c>
      <c r="K711" s="33" t="s">
        <v>1085</v>
      </c>
      <c r="L711" s="65">
        <v>9840789310</v>
      </c>
      <c r="M711" s="32"/>
      <c r="N711" s="65">
        <v>15000000</v>
      </c>
      <c r="O711" s="43" t="s">
        <v>1012</v>
      </c>
      <c r="P711" s="69">
        <v>120000000</v>
      </c>
      <c r="Q711" s="48">
        <f t="shared" si="679"/>
        <v>9975789310</v>
      </c>
      <c r="R711" s="48">
        <v>9840789310</v>
      </c>
      <c r="S711" s="33"/>
      <c r="T711" s="44">
        <v>15000000</v>
      </c>
      <c r="U711" s="48">
        <v>120000000</v>
      </c>
      <c r="V711" s="33"/>
      <c r="W711" s="52"/>
      <c r="X711" s="52">
        <f t="shared" ref="X711:Y711" si="705">M711-S711</f>
        <v>0</v>
      </c>
      <c r="Y711" s="52">
        <f t="shared" si="705"/>
        <v>0</v>
      </c>
      <c r="Z711" s="52">
        <f t="shared" si="515"/>
        <v>0</v>
      </c>
      <c r="AA711" s="54"/>
      <c r="AB711" s="68"/>
    </row>
    <row r="712" spans="1:28" ht="63" x14ac:dyDescent="0.25">
      <c r="A712" s="33" t="s">
        <v>60</v>
      </c>
      <c r="B712" s="42">
        <v>687</v>
      </c>
      <c r="C712" s="33" t="s">
        <v>67</v>
      </c>
      <c r="D712" s="33" t="s">
        <v>3495</v>
      </c>
      <c r="E712" s="33" t="s">
        <v>3496</v>
      </c>
      <c r="F712" s="32"/>
      <c r="G712" s="32"/>
      <c r="H712" s="33" t="s">
        <v>3497</v>
      </c>
      <c r="I712" s="62" t="s">
        <v>3498</v>
      </c>
      <c r="J712" s="33" t="s">
        <v>43</v>
      </c>
      <c r="K712" s="33" t="s">
        <v>3499</v>
      </c>
      <c r="L712" s="113">
        <v>0</v>
      </c>
      <c r="M712" s="32"/>
      <c r="N712" s="65">
        <v>7500000</v>
      </c>
      <c r="O712" s="43"/>
      <c r="P712" s="43"/>
      <c r="Q712" s="48">
        <f t="shared" si="679"/>
        <v>7500000</v>
      </c>
      <c r="R712" s="42">
        <v>0</v>
      </c>
      <c r="S712" s="33"/>
      <c r="T712" s="66"/>
      <c r="U712" s="33"/>
      <c r="V712" s="33"/>
      <c r="W712" s="52"/>
      <c r="X712" s="52">
        <f t="shared" ref="X712:Y712" si="706">M712-S712</f>
        <v>0</v>
      </c>
      <c r="Y712" s="52">
        <f t="shared" si="706"/>
        <v>7500000</v>
      </c>
      <c r="Z712" s="52">
        <f t="shared" si="515"/>
        <v>0</v>
      </c>
      <c r="AA712" s="54"/>
      <c r="AB712" s="68"/>
    </row>
    <row r="713" spans="1:28" ht="78.75" x14ac:dyDescent="0.25">
      <c r="A713" s="33" t="s">
        <v>60</v>
      </c>
      <c r="B713" s="42">
        <v>688</v>
      </c>
      <c r="C713" s="33" t="s">
        <v>67</v>
      </c>
      <c r="D713" s="33" t="s">
        <v>3500</v>
      </c>
      <c r="E713" s="33" t="s">
        <v>3496</v>
      </c>
      <c r="F713" s="32"/>
      <c r="G713" s="32"/>
      <c r="H713" s="33" t="s">
        <v>3501</v>
      </c>
      <c r="I713" s="62" t="s">
        <v>803</v>
      </c>
      <c r="J713" s="33" t="s">
        <v>43</v>
      </c>
      <c r="K713" s="33" t="s">
        <v>3499</v>
      </c>
      <c r="L713" s="65">
        <v>10000000</v>
      </c>
      <c r="M713" s="32"/>
      <c r="N713" s="65">
        <v>15000000</v>
      </c>
      <c r="O713" s="43"/>
      <c r="P713" s="43"/>
      <c r="Q713" s="48">
        <f t="shared" si="679"/>
        <v>25000000</v>
      </c>
      <c r="R713" s="33"/>
      <c r="S713" s="33"/>
      <c r="T713" s="66"/>
      <c r="U713" s="33"/>
      <c r="V713" s="33"/>
      <c r="W713" s="52">
        <v>10000000</v>
      </c>
      <c r="X713" s="52">
        <f t="shared" ref="X713:Y713" si="707">M713-S713</f>
        <v>0</v>
      </c>
      <c r="Y713" s="52">
        <f t="shared" si="707"/>
        <v>15000000</v>
      </c>
      <c r="Z713" s="52">
        <f t="shared" si="515"/>
        <v>0</v>
      </c>
      <c r="AA713" s="73">
        <v>10000000</v>
      </c>
      <c r="AB713" s="68"/>
    </row>
    <row r="714" spans="1:28" ht="47.25" x14ac:dyDescent="0.25">
      <c r="A714" s="33" t="s">
        <v>52</v>
      </c>
      <c r="B714" s="42">
        <v>689</v>
      </c>
      <c r="C714" s="33" t="s">
        <v>67</v>
      </c>
      <c r="D714" s="33" t="s">
        <v>882</v>
      </c>
      <c r="E714" s="33" t="s">
        <v>883</v>
      </c>
      <c r="F714" s="33" t="s">
        <v>885</v>
      </c>
      <c r="G714" s="33" t="s">
        <v>886</v>
      </c>
      <c r="H714" s="32"/>
      <c r="I714" s="62" t="s">
        <v>887</v>
      </c>
      <c r="J714" s="33" t="s">
        <v>43</v>
      </c>
      <c r="K714" s="33" t="s">
        <v>888</v>
      </c>
      <c r="L714" s="65">
        <v>1016998986</v>
      </c>
      <c r="M714" s="65">
        <v>86605610</v>
      </c>
      <c r="N714" s="65">
        <v>15000000</v>
      </c>
      <c r="O714" s="43"/>
      <c r="P714" s="43"/>
      <c r="Q714" s="48">
        <f t="shared" si="679"/>
        <v>1118604596</v>
      </c>
      <c r="R714" s="48">
        <v>1016998986</v>
      </c>
      <c r="S714" s="48">
        <v>86605610</v>
      </c>
      <c r="T714" s="44">
        <v>15000000</v>
      </c>
      <c r="U714" s="33"/>
      <c r="V714" s="33"/>
      <c r="W714" s="52"/>
      <c r="X714" s="52">
        <f t="shared" ref="X714:Y714" si="708">M714-S714</f>
        <v>0</v>
      </c>
      <c r="Y714" s="52">
        <f t="shared" si="708"/>
        <v>0</v>
      </c>
      <c r="Z714" s="52">
        <f t="shared" si="515"/>
        <v>0</v>
      </c>
      <c r="AA714" s="54"/>
      <c r="AB714" s="68"/>
    </row>
    <row r="715" spans="1:28" ht="40.5" x14ac:dyDescent="0.25">
      <c r="A715" s="33" t="s">
        <v>35</v>
      </c>
      <c r="B715" s="42">
        <v>690</v>
      </c>
      <c r="C715" s="33" t="s">
        <v>67</v>
      </c>
      <c r="D715" s="33" t="s">
        <v>68</v>
      </c>
      <c r="E715" s="32"/>
      <c r="F715" s="33" t="s">
        <v>70</v>
      </c>
      <c r="G715" s="32"/>
      <c r="H715" s="32"/>
      <c r="I715" s="62" t="s">
        <v>72</v>
      </c>
      <c r="J715" s="33" t="s">
        <v>43</v>
      </c>
      <c r="K715" s="33" t="s">
        <v>73</v>
      </c>
      <c r="L715" s="65">
        <v>309253343</v>
      </c>
      <c r="M715" s="32"/>
      <c r="N715" s="65">
        <v>15000000</v>
      </c>
      <c r="O715" s="43" t="s">
        <v>39</v>
      </c>
      <c r="P715" s="69">
        <v>30000000</v>
      </c>
      <c r="Q715" s="48">
        <f t="shared" si="679"/>
        <v>354253343</v>
      </c>
      <c r="R715" s="48">
        <v>309253343</v>
      </c>
      <c r="S715" s="33"/>
      <c r="T715" s="66"/>
      <c r="U715" s="48">
        <v>30000000</v>
      </c>
      <c r="V715" s="33"/>
      <c r="W715" s="52"/>
      <c r="X715" s="52">
        <f t="shared" ref="X715:Y715" si="709">M715-S715</f>
        <v>0</v>
      </c>
      <c r="Y715" s="52">
        <f t="shared" si="709"/>
        <v>15000000</v>
      </c>
      <c r="Z715" s="52">
        <f t="shared" si="515"/>
        <v>0</v>
      </c>
      <c r="AA715" s="54"/>
      <c r="AB715" s="68"/>
    </row>
    <row r="716" spans="1:28" ht="63" x14ac:dyDescent="0.25">
      <c r="A716" s="33" t="s">
        <v>60</v>
      </c>
      <c r="B716" s="42">
        <v>691</v>
      </c>
      <c r="C716" s="33" t="s">
        <v>67</v>
      </c>
      <c r="D716" s="33" t="s">
        <v>1516</v>
      </c>
      <c r="E716" s="32"/>
      <c r="F716" s="33" t="s">
        <v>1517</v>
      </c>
      <c r="G716" s="32"/>
      <c r="H716" s="32"/>
      <c r="I716" s="62" t="s">
        <v>1518</v>
      </c>
      <c r="J716" s="33" t="s">
        <v>43</v>
      </c>
      <c r="K716" s="33" t="s">
        <v>1519</v>
      </c>
      <c r="L716" s="65">
        <v>1095920500</v>
      </c>
      <c r="M716" s="32"/>
      <c r="N716" s="65">
        <v>15000000</v>
      </c>
      <c r="O716" s="43" t="s">
        <v>1503</v>
      </c>
      <c r="P716" s="69">
        <v>90000000</v>
      </c>
      <c r="Q716" s="48">
        <f t="shared" si="679"/>
        <v>1200920500</v>
      </c>
      <c r="R716" s="48">
        <v>1095920500</v>
      </c>
      <c r="S716" s="33"/>
      <c r="T716" s="44">
        <v>15000000</v>
      </c>
      <c r="U716" s="48">
        <v>60000000</v>
      </c>
      <c r="V716" s="33"/>
      <c r="W716" s="52"/>
      <c r="X716" s="52">
        <f t="shared" ref="X716:Y716" si="710">M716-S716</f>
        <v>0</v>
      </c>
      <c r="Y716" s="52">
        <f t="shared" si="710"/>
        <v>0</v>
      </c>
      <c r="Z716" s="52">
        <f t="shared" si="515"/>
        <v>30000000</v>
      </c>
      <c r="AA716" s="54"/>
      <c r="AB716" s="74" t="s">
        <v>721</v>
      </c>
    </row>
    <row r="717" spans="1:28" ht="40.5" x14ac:dyDescent="0.25">
      <c r="A717" s="33" t="s">
        <v>275</v>
      </c>
      <c r="B717" s="42">
        <v>692</v>
      </c>
      <c r="C717" s="33" t="s">
        <v>67</v>
      </c>
      <c r="D717" s="33" t="s">
        <v>3502</v>
      </c>
      <c r="E717" s="32"/>
      <c r="F717" s="33" t="s">
        <v>3503</v>
      </c>
      <c r="G717" s="32"/>
      <c r="H717" s="32"/>
      <c r="I717" s="62" t="s">
        <v>3504</v>
      </c>
      <c r="J717" s="33" t="s">
        <v>43</v>
      </c>
      <c r="K717" s="33" t="s">
        <v>3505</v>
      </c>
      <c r="L717" s="65">
        <v>1271355500</v>
      </c>
      <c r="M717" s="32"/>
      <c r="N717" s="65">
        <v>7500000</v>
      </c>
      <c r="O717" s="43"/>
      <c r="P717" s="43"/>
      <c r="Q717" s="48">
        <f t="shared" si="679"/>
        <v>1278855500</v>
      </c>
      <c r="R717" s="48">
        <v>1271355500</v>
      </c>
      <c r="S717" s="33"/>
      <c r="T717" s="44">
        <v>7500000</v>
      </c>
      <c r="U717" s="33"/>
      <c r="V717" s="33"/>
      <c r="W717" s="52"/>
      <c r="X717" s="52">
        <f t="shared" ref="X717:Y717" si="711">M717-S717</f>
        <v>0</v>
      </c>
      <c r="Y717" s="52">
        <f t="shared" si="711"/>
        <v>0</v>
      </c>
      <c r="Z717" s="52">
        <f t="shared" si="515"/>
        <v>0</v>
      </c>
      <c r="AA717" s="54"/>
      <c r="AB717" s="68"/>
    </row>
    <row r="718" spans="1:28" ht="141.75" x14ac:dyDescent="0.25">
      <c r="A718" s="33" t="s">
        <v>60</v>
      </c>
      <c r="B718" s="42">
        <v>693</v>
      </c>
      <c r="C718" s="33" t="s">
        <v>67</v>
      </c>
      <c r="D718" s="33" t="s">
        <v>250</v>
      </c>
      <c r="E718" s="32"/>
      <c r="F718" s="33" t="s">
        <v>252</v>
      </c>
      <c r="G718" s="33" t="s">
        <v>240</v>
      </c>
      <c r="H718" s="32"/>
      <c r="I718" s="62" t="s">
        <v>253</v>
      </c>
      <c r="J718" s="33" t="s">
        <v>43</v>
      </c>
      <c r="K718" s="33" t="s">
        <v>254</v>
      </c>
      <c r="L718" s="65">
        <v>1213968903</v>
      </c>
      <c r="M718" s="32"/>
      <c r="N718" s="48">
        <v>15000000</v>
      </c>
      <c r="O718" s="43" t="s">
        <v>251</v>
      </c>
      <c r="P718" s="69">
        <v>192000000</v>
      </c>
      <c r="Q718" s="48">
        <f t="shared" si="679"/>
        <v>1420968903</v>
      </c>
      <c r="R718" s="48">
        <v>1213968903</v>
      </c>
      <c r="S718" s="33"/>
      <c r="T718" s="44">
        <v>15000000</v>
      </c>
      <c r="U718" s="48">
        <v>192000000</v>
      </c>
      <c r="V718" s="33"/>
      <c r="W718" s="52"/>
      <c r="X718" s="52">
        <f t="shared" ref="X718:Y718" si="712">M718-S718</f>
        <v>0</v>
      </c>
      <c r="Y718" s="52">
        <f t="shared" si="712"/>
        <v>0</v>
      </c>
      <c r="Z718" s="52">
        <f t="shared" si="515"/>
        <v>0</v>
      </c>
      <c r="AA718" s="54"/>
      <c r="AB718" s="68"/>
    </row>
    <row r="719" spans="1:28" ht="31.5" x14ac:dyDescent="0.25">
      <c r="A719" s="33" t="s">
        <v>52</v>
      </c>
      <c r="B719" s="42">
        <v>694</v>
      </c>
      <c r="C719" s="33" t="s">
        <v>67</v>
      </c>
      <c r="D719" s="33" t="s">
        <v>3507</v>
      </c>
      <c r="E719" s="32"/>
      <c r="F719" s="33" t="s">
        <v>3508</v>
      </c>
      <c r="G719" s="32"/>
      <c r="H719" s="32"/>
      <c r="I719" s="62" t="s">
        <v>3509</v>
      </c>
      <c r="J719" s="33" t="s">
        <v>43</v>
      </c>
      <c r="K719" s="33" t="s">
        <v>3510</v>
      </c>
      <c r="L719" s="65">
        <v>3795291327</v>
      </c>
      <c r="M719" s="32"/>
      <c r="N719" s="65">
        <v>7500000</v>
      </c>
      <c r="O719" s="43"/>
      <c r="P719" s="43"/>
      <c r="Q719" s="48">
        <f t="shared" si="679"/>
        <v>3802791327</v>
      </c>
      <c r="R719" s="48">
        <v>3795291327</v>
      </c>
      <c r="S719" s="33"/>
      <c r="T719" s="44">
        <v>7500000</v>
      </c>
      <c r="U719" s="33"/>
      <c r="V719" s="33"/>
      <c r="W719" s="52"/>
      <c r="X719" s="52">
        <f t="shared" ref="X719:Y719" si="713">M719-S719</f>
        <v>0</v>
      </c>
      <c r="Y719" s="52">
        <f t="shared" si="713"/>
        <v>0</v>
      </c>
      <c r="Z719" s="52">
        <f t="shared" si="515"/>
        <v>0</v>
      </c>
      <c r="AA719" s="54"/>
      <c r="AB719" s="68"/>
    </row>
    <row r="720" spans="1:28" ht="40.5" x14ac:dyDescent="0.25">
      <c r="A720" s="33" t="s">
        <v>52</v>
      </c>
      <c r="B720" s="42">
        <v>695</v>
      </c>
      <c r="C720" s="33" t="s">
        <v>67</v>
      </c>
      <c r="D720" s="33" t="s">
        <v>3511</v>
      </c>
      <c r="E720" s="32"/>
      <c r="F720" s="33" t="s">
        <v>3512</v>
      </c>
      <c r="G720" s="32"/>
      <c r="H720" s="32"/>
      <c r="I720" s="62" t="s">
        <v>3513</v>
      </c>
      <c r="J720" s="33" t="s">
        <v>43</v>
      </c>
      <c r="K720" s="33" t="s">
        <v>3514</v>
      </c>
      <c r="L720" s="65">
        <v>1838697914</v>
      </c>
      <c r="M720" s="32"/>
      <c r="N720" s="65">
        <v>7500000</v>
      </c>
      <c r="O720" s="43"/>
      <c r="P720" s="43"/>
      <c r="Q720" s="48">
        <f t="shared" si="679"/>
        <v>1846197914</v>
      </c>
      <c r="R720" s="48">
        <v>1838697914</v>
      </c>
      <c r="S720" s="33"/>
      <c r="T720" s="44">
        <v>7500000</v>
      </c>
      <c r="U720" s="33"/>
      <c r="V720" s="33"/>
      <c r="W720" s="52"/>
      <c r="X720" s="52">
        <f t="shared" ref="X720:Y720" si="714">M720-S720</f>
        <v>0</v>
      </c>
      <c r="Y720" s="52">
        <f t="shared" si="714"/>
        <v>0</v>
      </c>
      <c r="Z720" s="52">
        <f t="shared" si="515"/>
        <v>0</v>
      </c>
      <c r="AA720" s="54"/>
      <c r="AB720" s="68"/>
    </row>
    <row r="721" spans="1:28" ht="60.75" x14ac:dyDescent="0.25">
      <c r="A721" s="33" t="s">
        <v>35</v>
      </c>
      <c r="B721" s="42">
        <v>696</v>
      </c>
      <c r="C721" s="33" t="s">
        <v>67</v>
      </c>
      <c r="D721" s="33" t="s">
        <v>3515</v>
      </c>
      <c r="E721" s="32"/>
      <c r="F721" s="33" t="s">
        <v>3516</v>
      </c>
      <c r="G721" s="32"/>
      <c r="H721" s="32"/>
      <c r="I721" s="62" t="s">
        <v>3517</v>
      </c>
      <c r="J721" s="33" t="s">
        <v>43</v>
      </c>
      <c r="K721" s="33" t="s">
        <v>3518</v>
      </c>
      <c r="L721" s="65">
        <v>9228830690</v>
      </c>
      <c r="M721" s="32"/>
      <c r="N721" s="65">
        <v>15000000</v>
      </c>
      <c r="O721" s="43"/>
      <c r="P721" s="43"/>
      <c r="Q721" s="48">
        <f t="shared" si="679"/>
        <v>9243830690</v>
      </c>
      <c r="R721" s="48">
        <v>9228830690</v>
      </c>
      <c r="S721" s="33"/>
      <c r="T721" s="66"/>
      <c r="U721" s="33"/>
      <c r="V721" s="33"/>
      <c r="W721" s="52"/>
      <c r="X721" s="52">
        <f t="shared" ref="X721:Y721" si="715">M721-S721</f>
        <v>0</v>
      </c>
      <c r="Y721" s="52">
        <f t="shared" si="715"/>
        <v>15000000</v>
      </c>
      <c r="Z721" s="52">
        <f t="shared" si="515"/>
        <v>0</v>
      </c>
      <c r="AA721" s="54"/>
      <c r="AB721" s="68"/>
    </row>
    <row r="722" spans="1:28" ht="40.5" x14ac:dyDescent="0.25">
      <c r="A722" s="33" t="s">
        <v>52</v>
      </c>
      <c r="B722" s="42">
        <v>697</v>
      </c>
      <c r="C722" s="33" t="s">
        <v>67</v>
      </c>
      <c r="D722" s="33" t="s">
        <v>1610</v>
      </c>
      <c r="E722" s="32"/>
      <c r="F722" s="33" t="s">
        <v>1613</v>
      </c>
      <c r="G722" s="32"/>
      <c r="H722" s="32"/>
      <c r="I722" s="62" t="s">
        <v>1614</v>
      </c>
      <c r="J722" s="33" t="s">
        <v>43</v>
      </c>
      <c r="K722" s="33" t="s">
        <v>1615</v>
      </c>
      <c r="L722" s="65">
        <v>1043360216</v>
      </c>
      <c r="M722" s="32"/>
      <c r="N722" s="65">
        <v>15000000</v>
      </c>
      <c r="O722" s="43" t="s">
        <v>2122</v>
      </c>
      <c r="P722" s="69">
        <v>24000000</v>
      </c>
      <c r="Q722" s="48">
        <f t="shared" si="679"/>
        <v>1082360216</v>
      </c>
      <c r="R722" s="48">
        <v>1043360216</v>
      </c>
      <c r="S722" s="33"/>
      <c r="T722" s="44">
        <v>15000000</v>
      </c>
      <c r="U722" s="48">
        <v>24000000</v>
      </c>
      <c r="V722" s="33"/>
      <c r="W722" s="52"/>
      <c r="X722" s="52">
        <f t="shared" ref="X722:Y722" si="716">M722-S722</f>
        <v>0</v>
      </c>
      <c r="Y722" s="52">
        <f t="shared" si="716"/>
        <v>0</v>
      </c>
      <c r="Z722" s="52">
        <f t="shared" si="515"/>
        <v>0</v>
      </c>
      <c r="AA722" s="54"/>
      <c r="AB722" s="68" t="s">
        <v>2081</v>
      </c>
    </row>
    <row r="723" spans="1:28" ht="31.5" x14ac:dyDescent="0.25">
      <c r="A723" s="33" t="s">
        <v>35</v>
      </c>
      <c r="B723" s="42">
        <v>698</v>
      </c>
      <c r="C723" s="33" t="s">
        <v>67</v>
      </c>
      <c r="D723" s="33" t="s">
        <v>3520</v>
      </c>
      <c r="E723" s="33" t="s">
        <v>3298</v>
      </c>
      <c r="F723" s="33" t="s">
        <v>3521</v>
      </c>
      <c r="G723" s="33" t="s">
        <v>3522</v>
      </c>
      <c r="H723" s="32"/>
      <c r="I723" s="62" t="s">
        <v>3523</v>
      </c>
      <c r="J723" s="33" t="s">
        <v>43</v>
      </c>
      <c r="K723" s="33" t="s">
        <v>3524</v>
      </c>
      <c r="L723" s="65">
        <v>8588500084</v>
      </c>
      <c r="M723" s="65">
        <v>1184688218</v>
      </c>
      <c r="N723" s="65">
        <v>7500000</v>
      </c>
      <c r="O723" s="43"/>
      <c r="P723" s="43"/>
      <c r="Q723" s="48">
        <f t="shared" si="679"/>
        <v>9780688302</v>
      </c>
      <c r="R723" s="48">
        <v>8588500084</v>
      </c>
      <c r="S723" s="48">
        <v>1184688218</v>
      </c>
      <c r="T723" s="44">
        <v>7500000</v>
      </c>
      <c r="U723" s="33"/>
      <c r="V723" s="33"/>
      <c r="W723" s="52"/>
      <c r="X723" s="52">
        <f t="shared" ref="X723:Y723" si="717">M723-S723</f>
        <v>0</v>
      </c>
      <c r="Y723" s="52">
        <f t="shared" si="717"/>
        <v>0</v>
      </c>
      <c r="Z723" s="52">
        <f t="shared" si="515"/>
        <v>0</v>
      </c>
      <c r="AA723" s="54"/>
      <c r="AB723" s="68"/>
    </row>
    <row r="724" spans="1:28" ht="31.5" x14ac:dyDescent="0.25">
      <c r="A724" s="33" t="s">
        <v>35</v>
      </c>
      <c r="B724" s="42">
        <v>699</v>
      </c>
      <c r="C724" s="33" t="s">
        <v>67</v>
      </c>
      <c r="D724" s="33" t="s">
        <v>376</v>
      </c>
      <c r="E724" s="33" t="s">
        <v>377</v>
      </c>
      <c r="F724" s="33" t="s">
        <v>379</v>
      </c>
      <c r="G724" s="33" t="s">
        <v>380</v>
      </c>
      <c r="H724" s="32"/>
      <c r="I724" s="62" t="s">
        <v>381</v>
      </c>
      <c r="J724" s="33" t="s">
        <v>43</v>
      </c>
      <c r="K724" s="33" t="s">
        <v>383</v>
      </c>
      <c r="L724" s="65">
        <v>1495439088</v>
      </c>
      <c r="M724" s="65">
        <v>330415722</v>
      </c>
      <c r="N724" s="65">
        <v>15000000</v>
      </c>
      <c r="O724" s="33" t="s">
        <v>3525</v>
      </c>
      <c r="P724" s="48">
        <v>24000000</v>
      </c>
      <c r="Q724" s="48">
        <f t="shared" si="679"/>
        <v>1864854810</v>
      </c>
      <c r="R724" s="48">
        <v>1495439088</v>
      </c>
      <c r="S724" s="48">
        <v>330415722</v>
      </c>
      <c r="T724" s="66"/>
      <c r="U724" s="33"/>
      <c r="V724" s="33"/>
      <c r="W724" s="52"/>
      <c r="X724" s="52">
        <f t="shared" ref="X724:Y724" si="718">M724-S724</f>
        <v>0</v>
      </c>
      <c r="Y724" s="52">
        <f t="shared" si="718"/>
        <v>15000000</v>
      </c>
      <c r="Z724" s="52">
        <f t="shared" si="515"/>
        <v>24000000</v>
      </c>
      <c r="AA724" s="54"/>
      <c r="AB724" s="75"/>
    </row>
    <row r="725" spans="1:28" ht="31.5" x14ac:dyDescent="0.25">
      <c r="A725" s="33" t="s">
        <v>52</v>
      </c>
      <c r="B725" s="42">
        <v>700</v>
      </c>
      <c r="C725" s="33" t="s">
        <v>67</v>
      </c>
      <c r="D725" s="33" t="s">
        <v>3528</v>
      </c>
      <c r="E725" s="32"/>
      <c r="F725" s="33" t="s">
        <v>3529</v>
      </c>
      <c r="G725" s="32"/>
      <c r="H725" s="32"/>
      <c r="I725" s="62" t="s">
        <v>3530</v>
      </c>
      <c r="J725" s="33" t="s">
        <v>43</v>
      </c>
      <c r="K725" s="33" t="s">
        <v>3531</v>
      </c>
      <c r="L725" s="65">
        <v>793397916</v>
      </c>
      <c r="M725" s="32"/>
      <c r="N725" s="65">
        <v>15000000</v>
      </c>
      <c r="O725" s="43"/>
      <c r="P725" s="43"/>
      <c r="Q725" s="48">
        <f t="shared" si="679"/>
        <v>808397916</v>
      </c>
      <c r="R725" s="48">
        <v>793397916</v>
      </c>
      <c r="S725" s="33"/>
      <c r="T725" s="44">
        <v>15000000</v>
      </c>
      <c r="U725" s="33"/>
      <c r="V725" s="33"/>
      <c r="W725" s="52"/>
      <c r="X725" s="52">
        <f t="shared" ref="X725:Y725" si="719">M725-S725</f>
        <v>0</v>
      </c>
      <c r="Y725" s="52">
        <f t="shared" si="719"/>
        <v>0</v>
      </c>
      <c r="Z725" s="52">
        <f t="shared" si="515"/>
        <v>0</v>
      </c>
      <c r="AA725" s="54"/>
      <c r="AB725" s="68"/>
    </row>
    <row r="726" spans="1:28" ht="31.5" x14ac:dyDescent="0.25">
      <c r="A726" s="33" t="s">
        <v>52</v>
      </c>
      <c r="B726" s="42">
        <v>701</v>
      </c>
      <c r="C726" s="33" t="s">
        <v>67</v>
      </c>
      <c r="D726" s="33" t="s">
        <v>1408</v>
      </c>
      <c r="E726" s="32"/>
      <c r="F726" s="33" t="s">
        <v>1410</v>
      </c>
      <c r="G726" s="32"/>
      <c r="H726" s="32"/>
      <c r="I726" s="62" t="s">
        <v>1411</v>
      </c>
      <c r="J726" s="33" t="s">
        <v>43</v>
      </c>
      <c r="K726" s="33" t="s">
        <v>1412</v>
      </c>
      <c r="L726" s="65">
        <v>776854950</v>
      </c>
      <c r="M726" s="32"/>
      <c r="N726" s="65">
        <v>15000000</v>
      </c>
      <c r="O726" s="43" t="s">
        <v>1186</v>
      </c>
      <c r="P726" s="69">
        <v>8000000</v>
      </c>
      <c r="Q726" s="48">
        <f t="shared" si="679"/>
        <v>799854950</v>
      </c>
      <c r="R726" s="48">
        <v>776854950</v>
      </c>
      <c r="S726" s="33"/>
      <c r="T726" s="44">
        <v>15000000</v>
      </c>
      <c r="U726" s="48">
        <v>8000000</v>
      </c>
      <c r="V726" s="33"/>
      <c r="W726" s="52"/>
      <c r="X726" s="52">
        <f t="shared" ref="X726:Y726" si="720">M726-S726</f>
        <v>0</v>
      </c>
      <c r="Y726" s="52">
        <f t="shared" si="720"/>
        <v>0</v>
      </c>
      <c r="Z726" s="52">
        <f t="shared" si="515"/>
        <v>0</v>
      </c>
      <c r="AA726" s="54"/>
      <c r="AB726" s="68"/>
    </row>
    <row r="727" spans="1:28" ht="36" customHeight="1" x14ac:dyDescent="0.25">
      <c r="A727" s="33"/>
      <c r="B727" s="299">
        <v>702</v>
      </c>
      <c r="C727" s="299" t="s">
        <v>67</v>
      </c>
      <c r="D727" s="33"/>
      <c r="E727" s="32"/>
      <c r="F727" s="299" t="s">
        <v>1485</v>
      </c>
      <c r="G727" s="32"/>
      <c r="H727" s="32"/>
      <c r="I727" s="310" t="s">
        <v>1486</v>
      </c>
      <c r="J727" s="299" t="s">
        <v>43</v>
      </c>
      <c r="K727" s="299" t="s">
        <v>1487</v>
      </c>
      <c r="L727" s="65"/>
      <c r="M727" s="32"/>
      <c r="N727" s="65"/>
      <c r="O727" s="43" t="s">
        <v>1443</v>
      </c>
      <c r="P727" s="69">
        <v>40000000</v>
      </c>
      <c r="Q727" s="48"/>
      <c r="R727" s="48"/>
      <c r="S727" s="33"/>
      <c r="T727" s="44"/>
      <c r="U727" s="48">
        <v>40000000</v>
      </c>
      <c r="V727" s="33"/>
      <c r="W727" s="52"/>
      <c r="X727" s="52"/>
      <c r="Y727" s="52"/>
      <c r="Z727" s="52">
        <f t="shared" si="515"/>
        <v>0</v>
      </c>
      <c r="AA727" s="54"/>
      <c r="AB727" s="68"/>
    </row>
    <row r="728" spans="1:28" ht="31.5" x14ac:dyDescent="0.25">
      <c r="A728" s="33" t="s">
        <v>35</v>
      </c>
      <c r="B728" s="290"/>
      <c r="C728" s="290"/>
      <c r="D728" s="33" t="s">
        <v>1484</v>
      </c>
      <c r="E728" s="32"/>
      <c r="F728" s="290"/>
      <c r="G728" s="32"/>
      <c r="H728" s="32"/>
      <c r="I728" s="290"/>
      <c r="J728" s="290"/>
      <c r="K728" s="290"/>
      <c r="L728" s="65">
        <v>1219499284</v>
      </c>
      <c r="M728" s="32"/>
      <c r="N728" s="65">
        <v>15000000</v>
      </c>
      <c r="O728" s="33" t="s">
        <v>3533</v>
      </c>
      <c r="P728" s="48">
        <v>48000000</v>
      </c>
      <c r="Q728" s="48">
        <f t="shared" ref="Q728:Q737" si="721">L728+M728+N728+P728</f>
        <v>1282499284</v>
      </c>
      <c r="R728" s="48">
        <v>1219499284</v>
      </c>
      <c r="S728" s="33"/>
      <c r="T728" s="44">
        <v>15000000</v>
      </c>
      <c r="U728" s="48"/>
      <c r="V728" s="33"/>
      <c r="W728" s="52"/>
      <c r="X728" s="52">
        <f t="shared" ref="X728:Y728" si="722">M728-S728</f>
        <v>0</v>
      </c>
      <c r="Y728" s="52">
        <f t="shared" si="722"/>
        <v>0</v>
      </c>
      <c r="Z728" s="52">
        <f t="shared" si="515"/>
        <v>48000000</v>
      </c>
      <c r="AA728" s="54"/>
      <c r="AB728" s="75" t="s">
        <v>2081</v>
      </c>
    </row>
    <row r="729" spans="1:28" ht="40.5" x14ac:dyDescent="0.25">
      <c r="A729" s="33" t="s">
        <v>52</v>
      </c>
      <c r="B729" s="42">
        <v>703</v>
      </c>
      <c r="C729" s="33" t="s">
        <v>67</v>
      </c>
      <c r="D729" s="33" t="s">
        <v>894</v>
      </c>
      <c r="E729" s="33" t="s">
        <v>895</v>
      </c>
      <c r="F729" s="33" t="s">
        <v>896</v>
      </c>
      <c r="G729" s="33" t="s">
        <v>897</v>
      </c>
      <c r="H729" s="32"/>
      <c r="I729" s="62" t="s">
        <v>898</v>
      </c>
      <c r="J729" s="33" t="s">
        <v>43</v>
      </c>
      <c r="K729" s="33" t="s">
        <v>899</v>
      </c>
      <c r="L729" s="65">
        <v>1540321022</v>
      </c>
      <c r="M729" s="65">
        <v>659051076</v>
      </c>
      <c r="N729" s="65">
        <v>15000000</v>
      </c>
      <c r="O729" s="43"/>
      <c r="P729" s="43"/>
      <c r="Q729" s="48">
        <f t="shared" si="721"/>
        <v>2214372098</v>
      </c>
      <c r="R729" s="48">
        <v>1540321022</v>
      </c>
      <c r="S729" s="33"/>
      <c r="T729" s="44">
        <v>15000000</v>
      </c>
      <c r="U729" s="33"/>
      <c r="V729" s="33"/>
      <c r="W729" s="52"/>
      <c r="X729" s="52">
        <f t="shared" ref="X729:Y729" si="723">M729-S729</f>
        <v>659051076</v>
      </c>
      <c r="Y729" s="52">
        <f t="shared" si="723"/>
        <v>0</v>
      </c>
      <c r="Z729" s="52">
        <f t="shared" si="515"/>
        <v>0</v>
      </c>
      <c r="AA729" s="54"/>
      <c r="AB729" s="68"/>
    </row>
    <row r="730" spans="1:28" ht="31.5" x14ac:dyDescent="0.25">
      <c r="A730" s="33" t="s">
        <v>52</v>
      </c>
      <c r="B730" s="42">
        <v>704</v>
      </c>
      <c r="C730" s="33" t="s">
        <v>67</v>
      </c>
      <c r="D730" s="33" t="s">
        <v>267</v>
      </c>
      <c r="E730" s="32"/>
      <c r="F730" s="33" t="s">
        <v>269</v>
      </c>
      <c r="G730" s="32"/>
      <c r="H730" s="32"/>
      <c r="I730" s="62" t="s">
        <v>270</v>
      </c>
      <c r="J730" s="33" t="s">
        <v>43</v>
      </c>
      <c r="K730" s="33" t="s">
        <v>271</v>
      </c>
      <c r="L730" s="65">
        <v>732297702</v>
      </c>
      <c r="M730" s="32"/>
      <c r="N730" s="65">
        <v>15000000</v>
      </c>
      <c r="O730" s="43" t="s">
        <v>3535</v>
      </c>
      <c r="P730" s="69">
        <v>24000000</v>
      </c>
      <c r="Q730" s="48">
        <f t="shared" si="721"/>
        <v>771297702</v>
      </c>
      <c r="R730" s="48">
        <v>732297702</v>
      </c>
      <c r="S730" s="33"/>
      <c r="T730" s="44">
        <v>15000000</v>
      </c>
      <c r="U730" s="48">
        <v>24000000</v>
      </c>
      <c r="V730" s="33"/>
      <c r="W730" s="52"/>
      <c r="X730" s="52">
        <f t="shared" ref="X730:Y730" si="724">M730-S730</f>
        <v>0</v>
      </c>
      <c r="Y730" s="52">
        <f t="shared" si="724"/>
        <v>0</v>
      </c>
      <c r="Z730" s="52">
        <f t="shared" si="515"/>
        <v>0</v>
      </c>
      <c r="AA730" s="54"/>
      <c r="AB730" s="68"/>
    </row>
    <row r="731" spans="1:28" ht="40.5" x14ac:dyDescent="0.25">
      <c r="A731" s="33" t="s">
        <v>35</v>
      </c>
      <c r="B731" s="42">
        <v>705</v>
      </c>
      <c r="C731" s="33" t="s">
        <v>67</v>
      </c>
      <c r="D731" s="33" t="s">
        <v>3536</v>
      </c>
      <c r="E731" s="32"/>
      <c r="F731" s="33" t="s">
        <v>3537</v>
      </c>
      <c r="G731" s="32"/>
      <c r="H731" s="32"/>
      <c r="I731" s="62" t="s">
        <v>3538</v>
      </c>
      <c r="J731" s="33" t="s">
        <v>43</v>
      </c>
      <c r="K731" s="33" t="s">
        <v>3539</v>
      </c>
      <c r="L731" s="65">
        <v>1040312692</v>
      </c>
      <c r="M731" s="32"/>
      <c r="N731" s="65">
        <v>7500000</v>
      </c>
      <c r="O731" s="43"/>
      <c r="P731" s="43"/>
      <c r="Q731" s="48">
        <f t="shared" si="721"/>
        <v>1047812692</v>
      </c>
      <c r="R731" s="48">
        <v>1040312692</v>
      </c>
      <c r="S731" s="33"/>
      <c r="T731" s="44">
        <v>7500000</v>
      </c>
      <c r="U731" s="33"/>
      <c r="V731" s="33"/>
      <c r="W731" s="52"/>
      <c r="X731" s="52">
        <f t="shared" ref="X731:Y731" si="725">M731-S731</f>
        <v>0</v>
      </c>
      <c r="Y731" s="52">
        <f t="shared" si="725"/>
        <v>0</v>
      </c>
      <c r="Z731" s="52">
        <f t="shared" si="515"/>
        <v>0</v>
      </c>
      <c r="AA731" s="54"/>
      <c r="AB731" s="68"/>
    </row>
    <row r="732" spans="1:28" ht="37.5" x14ac:dyDescent="0.25">
      <c r="A732" s="33" t="s">
        <v>35</v>
      </c>
      <c r="B732" s="42">
        <v>706</v>
      </c>
      <c r="C732" s="33" t="s">
        <v>67</v>
      </c>
      <c r="D732" s="33" t="s">
        <v>3540</v>
      </c>
      <c r="E732" s="32"/>
      <c r="F732" s="33" t="s">
        <v>3541</v>
      </c>
      <c r="G732" s="33" t="s">
        <v>1020</v>
      </c>
      <c r="H732" s="32"/>
      <c r="I732" s="114" t="s">
        <v>3542</v>
      </c>
      <c r="J732" s="33" t="s">
        <v>43</v>
      </c>
      <c r="K732" s="33" t="s">
        <v>3543</v>
      </c>
      <c r="L732" s="65">
        <v>810543033</v>
      </c>
      <c r="M732" s="32"/>
      <c r="N732" s="65">
        <v>15000000</v>
      </c>
      <c r="O732" s="43"/>
      <c r="P732" s="43"/>
      <c r="Q732" s="48">
        <f t="shared" si="721"/>
        <v>825543033</v>
      </c>
      <c r="R732" s="48">
        <v>810543033</v>
      </c>
      <c r="S732" s="33"/>
      <c r="T732" s="44">
        <v>15000000</v>
      </c>
      <c r="U732" s="33"/>
      <c r="V732" s="33"/>
      <c r="W732" s="52"/>
      <c r="X732" s="52">
        <f t="shared" ref="X732:Y732" si="726">M732-S732</f>
        <v>0</v>
      </c>
      <c r="Y732" s="52">
        <f t="shared" si="726"/>
        <v>0</v>
      </c>
      <c r="Z732" s="52">
        <f t="shared" si="515"/>
        <v>0</v>
      </c>
      <c r="AA732" s="54"/>
      <c r="AB732" s="68"/>
    </row>
    <row r="733" spans="1:28" ht="40.5" x14ac:dyDescent="0.25">
      <c r="A733" s="33" t="s">
        <v>35</v>
      </c>
      <c r="B733" s="42">
        <v>707</v>
      </c>
      <c r="C733" s="33" t="s">
        <v>67</v>
      </c>
      <c r="D733" s="33" t="s">
        <v>3544</v>
      </c>
      <c r="E733" s="32"/>
      <c r="F733" s="33" t="s">
        <v>3545</v>
      </c>
      <c r="G733" s="32"/>
      <c r="H733" s="32"/>
      <c r="I733" s="62" t="s">
        <v>3546</v>
      </c>
      <c r="J733" s="33" t="s">
        <v>43</v>
      </c>
      <c r="K733" s="33" t="s">
        <v>3547</v>
      </c>
      <c r="L733" s="65">
        <v>332579306</v>
      </c>
      <c r="M733" s="32"/>
      <c r="N733" s="65">
        <v>7500000</v>
      </c>
      <c r="O733" s="43"/>
      <c r="P733" s="43"/>
      <c r="Q733" s="48">
        <f t="shared" si="721"/>
        <v>340079306</v>
      </c>
      <c r="R733" s="48">
        <v>332579306</v>
      </c>
      <c r="S733" s="33"/>
      <c r="T733" s="44">
        <v>7500000</v>
      </c>
      <c r="U733" s="33"/>
      <c r="V733" s="33"/>
      <c r="W733" s="52"/>
      <c r="X733" s="52">
        <f t="shared" ref="X733:Y733" si="727">M733-S733</f>
        <v>0</v>
      </c>
      <c r="Y733" s="52">
        <f t="shared" si="727"/>
        <v>0</v>
      </c>
      <c r="Z733" s="52">
        <f t="shared" si="515"/>
        <v>0</v>
      </c>
      <c r="AA733" s="54"/>
      <c r="AB733" s="68"/>
    </row>
    <row r="734" spans="1:28" ht="47.25" x14ac:dyDescent="0.25">
      <c r="A734" s="33" t="s">
        <v>35</v>
      </c>
      <c r="B734" s="42">
        <v>708</v>
      </c>
      <c r="C734" s="33" t="s">
        <v>67</v>
      </c>
      <c r="D734" s="33" t="s">
        <v>3548</v>
      </c>
      <c r="E734" s="32"/>
      <c r="F734" s="33" t="s">
        <v>3549</v>
      </c>
      <c r="G734" s="32"/>
      <c r="H734" s="32"/>
      <c r="I734" s="62" t="s">
        <v>3550</v>
      </c>
      <c r="J734" s="33" t="s">
        <v>43</v>
      </c>
      <c r="K734" s="33" t="s">
        <v>285</v>
      </c>
      <c r="L734" s="65">
        <v>72618840</v>
      </c>
      <c r="M734" s="32"/>
      <c r="N734" s="65">
        <v>7500000</v>
      </c>
      <c r="O734" s="43"/>
      <c r="P734" s="43"/>
      <c r="Q734" s="48">
        <f t="shared" si="721"/>
        <v>80118840</v>
      </c>
      <c r="R734" s="48">
        <v>72618840</v>
      </c>
      <c r="S734" s="33"/>
      <c r="T734" s="44">
        <v>7500000</v>
      </c>
      <c r="U734" s="33"/>
      <c r="V734" s="33"/>
      <c r="W734" s="52"/>
      <c r="X734" s="52">
        <f t="shared" ref="X734:Y734" si="728">M734-S734</f>
        <v>0</v>
      </c>
      <c r="Y734" s="52">
        <f t="shared" si="728"/>
        <v>0</v>
      </c>
      <c r="Z734" s="52">
        <f t="shared" si="515"/>
        <v>0</v>
      </c>
      <c r="AA734" s="54"/>
      <c r="AB734" s="68"/>
    </row>
    <row r="735" spans="1:28" ht="40.5" x14ac:dyDescent="0.25">
      <c r="A735" s="33" t="s">
        <v>35</v>
      </c>
      <c r="B735" s="42">
        <v>709</v>
      </c>
      <c r="C735" s="33" t="s">
        <v>67</v>
      </c>
      <c r="D735" s="33" t="s">
        <v>116</v>
      </c>
      <c r="E735" s="32"/>
      <c r="F735" s="33" t="s">
        <v>118</v>
      </c>
      <c r="G735" s="33" t="s">
        <v>84</v>
      </c>
      <c r="H735" s="32"/>
      <c r="I735" s="62" t="s">
        <v>119</v>
      </c>
      <c r="J735" s="33" t="s">
        <v>43</v>
      </c>
      <c r="K735" s="33" t="s">
        <v>120</v>
      </c>
      <c r="L735" s="65">
        <v>2877293872</v>
      </c>
      <c r="M735" s="32"/>
      <c r="N735" s="65">
        <v>15000000</v>
      </c>
      <c r="O735" s="43" t="s">
        <v>117</v>
      </c>
      <c r="P735" s="69">
        <v>32000000</v>
      </c>
      <c r="Q735" s="48">
        <f t="shared" si="721"/>
        <v>2924293872</v>
      </c>
      <c r="R735" s="48">
        <v>2877293872</v>
      </c>
      <c r="S735" s="33"/>
      <c r="T735" s="44">
        <v>15000000</v>
      </c>
      <c r="U735" s="48">
        <v>32000000</v>
      </c>
      <c r="V735" s="33"/>
      <c r="W735" s="52"/>
      <c r="X735" s="52">
        <f t="shared" ref="X735:Y735" si="729">M735-S735</f>
        <v>0</v>
      </c>
      <c r="Y735" s="52">
        <f t="shared" si="729"/>
        <v>0</v>
      </c>
      <c r="Z735" s="52">
        <f t="shared" si="515"/>
        <v>0</v>
      </c>
      <c r="AA735" s="54"/>
      <c r="AB735" s="68"/>
    </row>
    <row r="736" spans="1:28" ht="31.5" x14ac:dyDescent="0.25">
      <c r="A736" s="33" t="s">
        <v>35</v>
      </c>
      <c r="B736" s="42">
        <v>710</v>
      </c>
      <c r="C736" s="33" t="s">
        <v>67</v>
      </c>
      <c r="D736" s="33" t="s">
        <v>3551</v>
      </c>
      <c r="E736" s="32"/>
      <c r="F736" s="33" t="s">
        <v>3552</v>
      </c>
      <c r="G736" s="33" t="s">
        <v>3553</v>
      </c>
      <c r="H736" s="32"/>
      <c r="I736" s="62" t="s">
        <v>3554</v>
      </c>
      <c r="J736" s="33" t="s">
        <v>43</v>
      </c>
      <c r="K736" s="33" t="s">
        <v>3197</v>
      </c>
      <c r="L736" s="65">
        <v>3969631000</v>
      </c>
      <c r="M736" s="32"/>
      <c r="N736" s="65">
        <v>15000000</v>
      </c>
      <c r="O736" s="43"/>
      <c r="P736" s="43"/>
      <c r="Q736" s="48">
        <f t="shared" si="721"/>
        <v>3984631000</v>
      </c>
      <c r="R736" s="48">
        <v>3969631000</v>
      </c>
      <c r="S736" s="33"/>
      <c r="T736" s="44">
        <v>15000000</v>
      </c>
      <c r="U736" s="33"/>
      <c r="V736" s="33"/>
      <c r="W736" s="52"/>
      <c r="X736" s="52">
        <f t="shared" ref="X736:Y736" si="730">M736-S736</f>
        <v>0</v>
      </c>
      <c r="Y736" s="52">
        <f t="shared" si="730"/>
        <v>0</v>
      </c>
      <c r="Z736" s="52">
        <f t="shared" si="515"/>
        <v>0</v>
      </c>
      <c r="AA736" s="54"/>
      <c r="AB736" s="68"/>
    </row>
    <row r="737" spans="1:28" ht="40.5" x14ac:dyDescent="0.25">
      <c r="A737" s="33" t="s">
        <v>60</v>
      </c>
      <c r="B737" s="42">
        <v>711</v>
      </c>
      <c r="C737" s="33" t="s">
        <v>67</v>
      </c>
      <c r="D737" s="33" t="s">
        <v>403</v>
      </c>
      <c r="E737" s="32"/>
      <c r="F737" s="33" t="s">
        <v>404</v>
      </c>
      <c r="G737" s="33" t="s">
        <v>405</v>
      </c>
      <c r="H737" s="32"/>
      <c r="I737" s="62" t="s">
        <v>406</v>
      </c>
      <c r="J737" s="33" t="s">
        <v>43</v>
      </c>
      <c r="K737" s="33" t="s">
        <v>407</v>
      </c>
      <c r="L737" s="65">
        <v>770926012</v>
      </c>
      <c r="M737" s="32"/>
      <c r="N737" s="65">
        <v>15000000</v>
      </c>
      <c r="O737" s="43" t="s">
        <v>388</v>
      </c>
      <c r="P737" s="69">
        <v>17866669</v>
      </c>
      <c r="Q737" s="48">
        <f t="shared" si="721"/>
        <v>803792681</v>
      </c>
      <c r="R737" s="48">
        <v>770926012</v>
      </c>
      <c r="S737" s="33"/>
      <c r="T737" s="44">
        <v>15000000</v>
      </c>
      <c r="U737" s="48">
        <v>17866669</v>
      </c>
      <c r="V737" s="33"/>
      <c r="W737" s="52"/>
      <c r="X737" s="52">
        <f t="shared" ref="X737:Y737" si="731">M737-S737</f>
        <v>0</v>
      </c>
      <c r="Y737" s="52">
        <f t="shared" si="731"/>
        <v>0</v>
      </c>
      <c r="Z737" s="52">
        <f t="shared" si="515"/>
        <v>0</v>
      </c>
      <c r="AA737" s="54"/>
      <c r="AB737" s="68"/>
    </row>
    <row r="738" spans="1:28" ht="31.5" x14ac:dyDescent="0.25">
      <c r="A738" s="33"/>
      <c r="B738" s="299">
        <v>712</v>
      </c>
      <c r="C738" s="299" t="s">
        <v>67</v>
      </c>
      <c r="D738" s="33"/>
      <c r="E738" s="32"/>
      <c r="F738" s="299" t="s">
        <v>689</v>
      </c>
      <c r="G738" s="33"/>
      <c r="H738" s="32"/>
      <c r="I738" s="312" t="s">
        <v>690</v>
      </c>
      <c r="J738" s="299" t="s">
        <v>43</v>
      </c>
      <c r="K738" s="299" t="s">
        <v>691</v>
      </c>
      <c r="L738" s="65"/>
      <c r="M738" s="32"/>
      <c r="N738" s="65"/>
      <c r="O738" s="43" t="s">
        <v>3555</v>
      </c>
      <c r="P738" s="69">
        <v>60000000</v>
      </c>
      <c r="Q738" s="48"/>
      <c r="R738" s="48"/>
      <c r="S738" s="33"/>
      <c r="T738" s="44"/>
      <c r="U738" s="48">
        <v>60000000</v>
      </c>
      <c r="V738" s="33"/>
      <c r="W738" s="52"/>
      <c r="X738" s="52"/>
      <c r="Y738" s="52"/>
      <c r="Z738" s="52">
        <f t="shared" si="515"/>
        <v>0</v>
      </c>
      <c r="AA738" s="54"/>
      <c r="AB738" s="68"/>
    </row>
    <row r="739" spans="1:28" ht="31.5" x14ac:dyDescent="0.25">
      <c r="A739" s="33" t="s">
        <v>52</v>
      </c>
      <c r="B739" s="290"/>
      <c r="C739" s="290"/>
      <c r="D739" s="33" t="s">
        <v>687</v>
      </c>
      <c r="E739" s="32"/>
      <c r="F739" s="290"/>
      <c r="G739" s="32"/>
      <c r="H739" s="32"/>
      <c r="I739" s="290"/>
      <c r="J739" s="290"/>
      <c r="K739" s="290"/>
      <c r="L739" s="65">
        <v>1080696928</v>
      </c>
      <c r="M739" s="32"/>
      <c r="N739" s="65">
        <v>15000000</v>
      </c>
      <c r="O739" s="43" t="s">
        <v>3556</v>
      </c>
      <c r="P739" s="69">
        <v>60000000</v>
      </c>
      <c r="Q739" s="48">
        <f t="shared" ref="Q739:Q752" si="732">L739+M739+N739+P739</f>
        <v>1155696928</v>
      </c>
      <c r="R739" s="48">
        <v>1080696928</v>
      </c>
      <c r="S739" s="33"/>
      <c r="T739" s="44">
        <v>15000000</v>
      </c>
      <c r="U739" s="48"/>
      <c r="V739" s="33"/>
      <c r="W739" s="52"/>
      <c r="X739" s="52">
        <f t="shared" ref="X739:Y739" si="733">M739-S739</f>
        <v>0</v>
      </c>
      <c r="Y739" s="52">
        <f t="shared" si="733"/>
        <v>0</v>
      </c>
      <c r="Z739" s="52">
        <f t="shared" si="515"/>
        <v>60000000</v>
      </c>
      <c r="AA739" s="54"/>
      <c r="AB739" s="74" t="s">
        <v>2081</v>
      </c>
    </row>
    <row r="740" spans="1:28" ht="60.75" x14ac:dyDescent="0.25">
      <c r="A740" s="33" t="s">
        <v>52</v>
      </c>
      <c r="B740" s="42">
        <v>713</v>
      </c>
      <c r="C740" s="33" t="s">
        <v>67</v>
      </c>
      <c r="D740" s="33" t="s">
        <v>3557</v>
      </c>
      <c r="E740" s="33" t="s">
        <v>3558</v>
      </c>
      <c r="F740" s="33" t="s">
        <v>3559</v>
      </c>
      <c r="G740" s="33" t="s">
        <v>3560</v>
      </c>
      <c r="H740" s="32"/>
      <c r="I740" s="62" t="s">
        <v>3561</v>
      </c>
      <c r="J740" s="33" t="s">
        <v>43</v>
      </c>
      <c r="K740" s="33" t="s">
        <v>82</v>
      </c>
      <c r="L740" s="65">
        <v>560918363</v>
      </c>
      <c r="M740" s="65">
        <v>113902001</v>
      </c>
      <c r="N740" s="65">
        <v>15000000</v>
      </c>
      <c r="O740" s="43"/>
      <c r="P740" s="43"/>
      <c r="Q740" s="48">
        <f t="shared" si="732"/>
        <v>689820364</v>
      </c>
      <c r="R740" s="48">
        <v>560918363</v>
      </c>
      <c r="S740" s="48">
        <v>113902001</v>
      </c>
      <c r="T740" s="44">
        <v>15000000</v>
      </c>
      <c r="U740" s="33"/>
      <c r="V740" s="33"/>
      <c r="W740" s="52"/>
      <c r="X740" s="52">
        <f t="shared" ref="X740:Y740" si="734">M740-S740</f>
        <v>0</v>
      </c>
      <c r="Y740" s="52">
        <f t="shared" si="734"/>
        <v>0</v>
      </c>
      <c r="Z740" s="52">
        <f t="shared" si="515"/>
        <v>0</v>
      </c>
      <c r="AA740" s="54"/>
      <c r="AB740" s="68"/>
    </row>
    <row r="741" spans="1:28" ht="40.5" x14ac:dyDescent="0.25">
      <c r="A741" s="33" t="s">
        <v>52</v>
      </c>
      <c r="B741" s="42">
        <v>714</v>
      </c>
      <c r="C741" s="33" t="s">
        <v>67</v>
      </c>
      <c r="D741" s="33" t="s">
        <v>3562</v>
      </c>
      <c r="E741" s="33" t="s">
        <v>3563</v>
      </c>
      <c r="F741" s="33" t="s">
        <v>3564</v>
      </c>
      <c r="G741" s="33" t="s">
        <v>3565</v>
      </c>
      <c r="H741" s="32"/>
      <c r="I741" s="62" t="s">
        <v>3566</v>
      </c>
      <c r="J741" s="33" t="s">
        <v>43</v>
      </c>
      <c r="K741" s="33" t="s">
        <v>3567</v>
      </c>
      <c r="L741" s="65">
        <v>905632360</v>
      </c>
      <c r="M741" s="65">
        <v>164705380</v>
      </c>
      <c r="N741" s="65">
        <v>15000000</v>
      </c>
      <c r="O741" s="43"/>
      <c r="P741" s="43"/>
      <c r="Q741" s="48">
        <f t="shared" si="732"/>
        <v>1085337740</v>
      </c>
      <c r="R741" s="48">
        <v>905632360</v>
      </c>
      <c r="S741" s="48">
        <v>164705380</v>
      </c>
      <c r="T741" s="44">
        <v>15000000</v>
      </c>
      <c r="U741" s="33"/>
      <c r="V741" s="33"/>
      <c r="W741" s="52"/>
      <c r="X741" s="52">
        <f t="shared" ref="X741:Y741" si="735">M741-S741</f>
        <v>0</v>
      </c>
      <c r="Y741" s="52">
        <f t="shared" si="735"/>
        <v>0</v>
      </c>
      <c r="Z741" s="52">
        <f t="shared" si="515"/>
        <v>0</v>
      </c>
      <c r="AA741" s="54"/>
      <c r="AB741" s="68"/>
    </row>
    <row r="742" spans="1:28" ht="31.5" x14ac:dyDescent="0.25">
      <c r="A742" s="33" t="s">
        <v>35</v>
      </c>
      <c r="B742" s="42">
        <v>715</v>
      </c>
      <c r="C742" s="33" t="s">
        <v>67</v>
      </c>
      <c r="D742" s="33" t="s">
        <v>3568</v>
      </c>
      <c r="E742" s="33" t="s">
        <v>3569</v>
      </c>
      <c r="F742" s="33" t="s">
        <v>3570</v>
      </c>
      <c r="G742" s="33" t="s">
        <v>3571</v>
      </c>
      <c r="H742" s="32"/>
      <c r="I742" s="62" t="s">
        <v>3572</v>
      </c>
      <c r="J742" s="33" t="s">
        <v>43</v>
      </c>
      <c r="K742" s="33" t="s">
        <v>3573</v>
      </c>
      <c r="L742" s="65">
        <v>366299104</v>
      </c>
      <c r="M742" s="65">
        <v>60646656</v>
      </c>
      <c r="N742" s="65">
        <v>15000000</v>
      </c>
      <c r="O742" s="43"/>
      <c r="P742" s="43"/>
      <c r="Q742" s="48">
        <f t="shared" si="732"/>
        <v>441945760</v>
      </c>
      <c r="R742" s="48">
        <v>366299104</v>
      </c>
      <c r="S742" s="33"/>
      <c r="T742" s="44">
        <v>15000000</v>
      </c>
      <c r="U742" s="33"/>
      <c r="V742" s="33"/>
      <c r="W742" s="52"/>
      <c r="X742" s="52">
        <f t="shared" ref="X742:Y742" si="736">M742-S742</f>
        <v>60646656</v>
      </c>
      <c r="Y742" s="52">
        <f t="shared" si="736"/>
        <v>0</v>
      </c>
      <c r="Z742" s="52">
        <f t="shared" si="515"/>
        <v>0</v>
      </c>
      <c r="AA742" s="54"/>
      <c r="AB742" s="68"/>
    </row>
    <row r="743" spans="1:28" ht="60.75" x14ac:dyDescent="0.25">
      <c r="A743" s="33" t="s">
        <v>35</v>
      </c>
      <c r="B743" s="42">
        <v>716</v>
      </c>
      <c r="C743" s="33" t="s">
        <v>67</v>
      </c>
      <c r="D743" s="33" t="s">
        <v>3574</v>
      </c>
      <c r="E743" s="32"/>
      <c r="F743" s="33" t="s">
        <v>3575</v>
      </c>
      <c r="G743" s="32"/>
      <c r="H743" s="32"/>
      <c r="I743" s="62" t="s">
        <v>3576</v>
      </c>
      <c r="J743" s="33" t="s">
        <v>43</v>
      </c>
      <c r="K743" s="33" t="s">
        <v>3577</v>
      </c>
      <c r="L743" s="65">
        <v>4243700000</v>
      </c>
      <c r="M743" s="32"/>
      <c r="N743" s="65">
        <v>15000000</v>
      </c>
      <c r="O743" s="43"/>
      <c r="P743" s="43"/>
      <c r="Q743" s="48">
        <f t="shared" si="732"/>
        <v>4258700000</v>
      </c>
      <c r="R743" s="48">
        <v>4243700000</v>
      </c>
      <c r="S743" s="33"/>
      <c r="T743" s="44">
        <v>15000000</v>
      </c>
      <c r="U743" s="33"/>
      <c r="V743" s="33"/>
      <c r="W743" s="52"/>
      <c r="X743" s="52">
        <f t="shared" ref="X743:Y743" si="737">M743-S743</f>
        <v>0</v>
      </c>
      <c r="Y743" s="52">
        <f t="shared" si="737"/>
        <v>0</v>
      </c>
      <c r="Z743" s="52">
        <f t="shared" si="515"/>
        <v>0</v>
      </c>
      <c r="AA743" s="54"/>
      <c r="AB743" s="68"/>
    </row>
    <row r="744" spans="1:28" ht="60.75" x14ac:dyDescent="0.25">
      <c r="A744" s="33" t="s">
        <v>35</v>
      </c>
      <c r="B744" s="42">
        <v>717</v>
      </c>
      <c r="C744" s="33" t="s">
        <v>67</v>
      </c>
      <c r="D744" s="33" t="s">
        <v>3578</v>
      </c>
      <c r="E744" s="33" t="s">
        <v>3579</v>
      </c>
      <c r="F744" s="33" t="s">
        <v>3580</v>
      </c>
      <c r="G744" s="33" t="s">
        <v>3581</v>
      </c>
      <c r="H744" s="32"/>
      <c r="I744" s="62" t="s">
        <v>3576</v>
      </c>
      <c r="J744" s="33" t="s">
        <v>43</v>
      </c>
      <c r="K744" s="33" t="s">
        <v>3582</v>
      </c>
      <c r="L744" s="65">
        <v>2565803620</v>
      </c>
      <c r="M744" s="48">
        <v>861892128</v>
      </c>
      <c r="N744" s="65">
        <v>15000000</v>
      </c>
      <c r="O744" s="43"/>
      <c r="P744" s="43"/>
      <c r="Q744" s="48">
        <f t="shared" si="732"/>
        <v>3442695748</v>
      </c>
      <c r="R744" s="48">
        <v>2565803620</v>
      </c>
      <c r="S744" s="48">
        <v>861892128</v>
      </c>
      <c r="T744" s="44">
        <v>15000000</v>
      </c>
      <c r="U744" s="33"/>
      <c r="V744" s="33"/>
      <c r="W744" s="52"/>
      <c r="X744" s="52">
        <f t="shared" ref="X744:Y744" si="738">M744-S744</f>
        <v>0</v>
      </c>
      <c r="Y744" s="52">
        <f t="shared" si="738"/>
        <v>0</v>
      </c>
      <c r="Z744" s="52">
        <f t="shared" si="515"/>
        <v>0</v>
      </c>
      <c r="AA744" s="54"/>
      <c r="AB744" s="68"/>
    </row>
    <row r="745" spans="1:28" ht="63" x14ac:dyDescent="0.25">
      <c r="A745" s="33" t="s">
        <v>88</v>
      </c>
      <c r="B745" s="42">
        <v>718</v>
      </c>
      <c r="C745" s="33" t="s">
        <v>67</v>
      </c>
      <c r="D745" s="33" t="s">
        <v>1524</v>
      </c>
      <c r="E745" s="33" t="s">
        <v>1525</v>
      </c>
      <c r="F745" s="33" t="s">
        <v>1527</v>
      </c>
      <c r="G745" s="33" t="s">
        <v>1528</v>
      </c>
      <c r="H745" s="32"/>
      <c r="I745" s="62" t="s">
        <v>1529</v>
      </c>
      <c r="J745" s="33" t="s">
        <v>43</v>
      </c>
      <c r="K745" s="33" t="s">
        <v>1530</v>
      </c>
      <c r="L745" s="65">
        <v>1085076464</v>
      </c>
      <c r="M745" s="65">
        <v>254396436</v>
      </c>
      <c r="N745" s="65">
        <v>15000000</v>
      </c>
      <c r="O745" s="43" t="s">
        <v>1526</v>
      </c>
      <c r="P745" s="69">
        <v>72000000</v>
      </c>
      <c r="Q745" s="48">
        <f t="shared" si="732"/>
        <v>1426472900</v>
      </c>
      <c r="R745" s="52">
        <v>1085076464</v>
      </c>
      <c r="S745" s="48">
        <v>254396436</v>
      </c>
      <c r="T745" s="44">
        <v>15000000</v>
      </c>
      <c r="U745" s="48">
        <v>24000000</v>
      </c>
      <c r="V745" s="33"/>
      <c r="W745" s="52"/>
      <c r="X745" s="52">
        <f t="shared" ref="X745:Y745" si="739">M745-S745</f>
        <v>0</v>
      </c>
      <c r="Y745" s="52">
        <f t="shared" si="739"/>
        <v>0</v>
      </c>
      <c r="Z745" s="52">
        <f t="shared" si="515"/>
        <v>48000000</v>
      </c>
      <c r="AA745" s="54"/>
      <c r="AB745" s="74" t="s">
        <v>1222</v>
      </c>
    </row>
    <row r="746" spans="1:28" ht="40.5" x14ac:dyDescent="0.25">
      <c r="A746" s="33" t="s">
        <v>35</v>
      </c>
      <c r="B746" s="42">
        <v>719</v>
      </c>
      <c r="C746" s="33" t="s">
        <v>67</v>
      </c>
      <c r="D746" s="33" t="s">
        <v>3583</v>
      </c>
      <c r="E746" s="32"/>
      <c r="F746" s="33" t="s">
        <v>3584</v>
      </c>
      <c r="G746" s="32"/>
      <c r="H746" s="32"/>
      <c r="I746" s="62" t="s">
        <v>3585</v>
      </c>
      <c r="J746" s="33" t="s">
        <v>43</v>
      </c>
      <c r="K746" s="33" t="s">
        <v>3586</v>
      </c>
      <c r="L746" s="65">
        <v>6447053210</v>
      </c>
      <c r="M746" s="32"/>
      <c r="N746" s="65">
        <v>7500000</v>
      </c>
      <c r="O746" s="43"/>
      <c r="P746" s="43"/>
      <c r="Q746" s="48">
        <f t="shared" si="732"/>
        <v>6454553210</v>
      </c>
      <c r="R746" s="48">
        <v>6447053210</v>
      </c>
      <c r="S746" s="33"/>
      <c r="T746" s="44">
        <v>7500000</v>
      </c>
      <c r="U746" s="33"/>
      <c r="V746" s="33"/>
      <c r="W746" s="52"/>
      <c r="X746" s="52">
        <f t="shared" ref="X746:Y746" si="740">M746-S746</f>
        <v>0</v>
      </c>
      <c r="Y746" s="52">
        <f t="shared" si="740"/>
        <v>0</v>
      </c>
      <c r="Z746" s="52">
        <f t="shared" si="515"/>
        <v>0</v>
      </c>
      <c r="AA746" s="54"/>
      <c r="AB746" s="68"/>
    </row>
    <row r="747" spans="1:28" ht="63" x14ac:dyDescent="0.25">
      <c r="A747" s="33" t="s">
        <v>60</v>
      </c>
      <c r="B747" s="42">
        <v>720</v>
      </c>
      <c r="C747" s="33" t="s">
        <v>67</v>
      </c>
      <c r="D747" s="33" t="s">
        <v>309</v>
      </c>
      <c r="E747" s="32"/>
      <c r="F747" s="33" t="s">
        <v>311</v>
      </c>
      <c r="G747" s="32"/>
      <c r="H747" s="32"/>
      <c r="I747" s="62" t="s">
        <v>312</v>
      </c>
      <c r="J747" s="33" t="s">
        <v>43</v>
      </c>
      <c r="K747" s="33" t="s">
        <v>313</v>
      </c>
      <c r="L747" s="65">
        <v>268708240</v>
      </c>
      <c r="M747" s="32"/>
      <c r="N747" s="65">
        <v>15000000</v>
      </c>
      <c r="O747" s="43" t="s">
        <v>310</v>
      </c>
      <c r="P747" s="69">
        <v>72000000</v>
      </c>
      <c r="Q747" s="48">
        <f t="shared" si="732"/>
        <v>355708240</v>
      </c>
      <c r="R747" s="48">
        <v>268708240</v>
      </c>
      <c r="S747" s="33"/>
      <c r="T747" s="44">
        <v>15000000</v>
      </c>
      <c r="U747" s="48">
        <v>24000000</v>
      </c>
      <c r="V747" s="33"/>
      <c r="W747" s="52"/>
      <c r="X747" s="52">
        <f t="shared" ref="X747:Y747" si="741">M747-S747</f>
        <v>0</v>
      </c>
      <c r="Y747" s="52">
        <f t="shared" si="741"/>
        <v>0</v>
      </c>
      <c r="Z747" s="52">
        <f t="shared" si="515"/>
        <v>48000000</v>
      </c>
      <c r="AA747" s="54"/>
      <c r="AB747" s="74" t="s">
        <v>1222</v>
      </c>
    </row>
    <row r="748" spans="1:28" ht="60.75" x14ac:dyDescent="0.3">
      <c r="A748" s="33" t="s">
        <v>52</v>
      </c>
      <c r="B748" s="42">
        <v>721</v>
      </c>
      <c r="C748" s="33" t="s">
        <v>67</v>
      </c>
      <c r="D748" s="33" t="s">
        <v>3587</v>
      </c>
      <c r="E748" s="32"/>
      <c r="F748" s="33" t="s">
        <v>3588</v>
      </c>
      <c r="G748" s="32"/>
      <c r="H748" s="32"/>
      <c r="I748" s="62" t="s">
        <v>3589</v>
      </c>
      <c r="J748" s="33" t="s">
        <v>43</v>
      </c>
      <c r="K748" s="33" t="s">
        <v>3590</v>
      </c>
      <c r="L748" s="65">
        <v>1242447888</v>
      </c>
      <c r="M748" s="32"/>
      <c r="N748" s="65">
        <v>7500000</v>
      </c>
      <c r="O748" s="43"/>
      <c r="P748" s="43"/>
      <c r="Q748" s="48">
        <f t="shared" si="732"/>
        <v>1249947888</v>
      </c>
      <c r="R748" s="33"/>
      <c r="S748" s="33"/>
      <c r="T748" s="66"/>
      <c r="U748" s="33"/>
      <c r="V748" s="33"/>
      <c r="W748" s="52">
        <v>1242447888</v>
      </c>
      <c r="X748" s="52">
        <f t="shared" ref="X748:Y748" si="742">M748-S748</f>
        <v>0</v>
      </c>
      <c r="Y748" s="52">
        <f t="shared" si="742"/>
        <v>7500000</v>
      </c>
      <c r="Z748" s="52">
        <f t="shared" si="515"/>
        <v>0</v>
      </c>
      <c r="AA748" s="98">
        <v>1242447888</v>
      </c>
      <c r="AB748" s="68"/>
    </row>
    <row r="749" spans="1:28" ht="31.5" x14ac:dyDescent="0.25">
      <c r="A749" s="33" t="s">
        <v>35</v>
      </c>
      <c r="B749" s="42">
        <v>722</v>
      </c>
      <c r="C749" s="33" t="s">
        <v>67</v>
      </c>
      <c r="D749" s="33" t="s">
        <v>3591</v>
      </c>
      <c r="E749" s="33" t="s">
        <v>3592</v>
      </c>
      <c r="F749" s="33" t="s">
        <v>3593</v>
      </c>
      <c r="G749" s="33" t="s">
        <v>3594</v>
      </c>
      <c r="H749" s="32"/>
      <c r="I749" s="62" t="s">
        <v>3595</v>
      </c>
      <c r="J749" s="33" t="s">
        <v>43</v>
      </c>
      <c r="K749" s="33" t="s">
        <v>82</v>
      </c>
      <c r="L749" s="65">
        <v>505786413</v>
      </c>
      <c r="M749" s="65">
        <v>205440547</v>
      </c>
      <c r="N749" s="65">
        <v>15000000</v>
      </c>
      <c r="O749" s="43"/>
      <c r="P749" s="43"/>
      <c r="Q749" s="48">
        <f t="shared" si="732"/>
        <v>726226960</v>
      </c>
      <c r="R749" s="48">
        <v>505786413</v>
      </c>
      <c r="S749" s="48">
        <v>205440547</v>
      </c>
      <c r="T749" s="44">
        <v>15000000</v>
      </c>
      <c r="U749" s="33"/>
      <c r="V749" s="33"/>
      <c r="W749" s="52"/>
      <c r="X749" s="52">
        <f t="shared" ref="X749:Y749" si="743">M749-S749</f>
        <v>0</v>
      </c>
      <c r="Y749" s="52">
        <f t="shared" si="743"/>
        <v>0</v>
      </c>
      <c r="Z749" s="52">
        <f t="shared" si="515"/>
        <v>0</v>
      </c>
      <c r="AA749" s="54"/>
      <c r="AB749" s="68"/>
    </row>
    <row r="750" spans="1:28" ht="40.5" x14ac:dyDescent="0.25">
      <c r="A750" s="33" t="s">
        <v>52</v>
      </c>
      <c r="B750" s="42">
        <v>723</v>
      </c>
      <c r="C750" s="33" t="s">
        <v>67</v>
      </c>
      <c r="D750" s="33" t="s">
        <v>3596</v>
      </c>
      <c r="E750" s="32"/>
      <c r="F750" s="33" t="s">
        <v>3597</v>
      </c>
      <c r="G750" s="32"/>
      <c r="H750" s="32"/>
      <c r="I750" s="62" t="s">
        <v>3598</v>
      </c>
      <c r="J750" s="33" t="s">
        <v>43</v>
      </c>
      <c r="K750" s="33" t="s">
        <v>3599</v>
      </c>
      <c r="L750" s="65">
        <v>5071257372</v>
      </c>
      <c r="M750" s="32"/>
      <c r="N750" s="65">
        <v>7500000</v>
      </c>
      <c r="O750" s="43"/>
      <c r="P750" s="43"/>
      <c r="Q750" s="48">
        <f t="shared" si="732"/>
        <v>5078757372</v>
      </c>
      <c r="R750" s="48">
        <v>5071257372</v>
      </c>
      <c r="S750" s="33"/>
      <c r="T750" s="44">
        <v>7500000</v>
      </c>
      <c r="U750" s="33"/>
      <c r="V750" s="33"/>
      <c r="W750" s="52"/>
      <c r="X750" s="52">
        <f t="shared" ref="X750:Y750" si="744">M750-S750</f>
        <v>0</v>
      </c>
      <c r="Y750" s="52">
        <f t="shared" si="744"/>
        <v>0</v>
      </c>
      <c r="Z750" s="52">
        <f t="shared" si="515"/>
        <v>0</v>
      </c>
      <c r="AA750" s="54"/>
      <c r="AB750" s="68"/>
    </row>
    <row r="751" spans="1:28" ht="40.5" x14ac:dyDescent="0.25">
      <c r="A751" s="33" t="s">
        <v>60</v>
      </c>
      <c r="B751" s="42">
        <v>724</v>
      </c>
      <c r="C751" s="33" t="s">
        <v>67</v>
      </c>
      <c r="D751" s="33" t="s">
        <v>3600</v>
      </c>
      <c r="E751" s="32"/>
      <c r="F751" s="33" t="s">
        <v>3601</v>
      </c>
      <c r="G751" s="32"/>
      <c r="H751" s="32"/>
      <c r="I751" s="62" t="s">
        <v>3602</v>
      </c>
      <c r="J751" s="33" t="s">
        <v>43</v>
      </c>
      <c r="K751" s="33" t="s">
        <v>3603</v>
      </c>
      <c r="L751" s="65">
        <v>835979508</v>
      </c>
      <c r="M751" s="32"/>
      <c r="N751" s="65">
        <v>7500000</v>
      </c>
      <c r="O751" s="43"/>
      <c r="P751" s="43"/>
      <c r="Q751" s="48">
        <f t="shared" si="732"/>
        <v>843479508</v>
      </c>
      <c r="R751" s="48">
        <v>835979508</v>
      </c>
      <c r="S751" s="33"/>
      <c r="T751" s="44">
        <v>7500000</v>
      </c>
      <c r="U751" s="33"/>
      <c r="V751" s="33"/>
      <c r="W751" s="52"/>
      <c r="X751" s="52">
        <f t="shared" ref="X751:Y751" si="745">M751-S751</f>
        <v>0</v>
      </c>
      <c r="Y751" s="52">
        <f t="shared" si="745"/>
        <v>0</v>
      </c>
      <c r="Z751" s="52">
        <f t="shared" si="515"/>
        <v>0</v>
      </c>
      <c r="AA751" s="54"/>
      <c r="AB751" s="68"/>
    </row>
    <row r="752" spans="1:28" ht="40.5" x14ac:dyDescent="0.25">
      <c r="A752" s="33" t="s">
        <v>88</v>
      </c>
      <c r="B752" s="42">
        <v>725</v>
      </c>
      <c r="C752" s="33" t="s">
        <v>67</v>
      </c>
      <c r="D752" s="33" t="s">
        <v>3604</v>
      </c>
      <c r="E752" s="32"/>
      <c r="F752" s="33" t="s">
        <v>3605</v>
      </c>
      <c r="G752" s="32"/>
      <c r="H752" s="32"/>
      <c r="I752" s="62" t="s">
        <v>3606</v>
      </c>
      <c r="J752" s="33" t="s">
        <v>43</v>
      </c>
      <c r="K752" s="33" t="s">
        <v>3607</v>
      </c>
      <c r="L752" s="65">
        <v>1687785424</v>
      </c>
      <c r="M752" s="32"/>
      <c r="N752" s="65">
        <v>15000000</v>
      </c>
      <c r="O752" s="43"/>
      <c r="P752" s="43"/>
      <c r="Q752" s="48">
        <f t="shared" si="732"/>
        <v>1702785424</v>
      </c>
      <c r="R752" s="52">
        <v>1687785424</v>
      </c>
      <c r="S752" s="33"/>
      <c r="T752" s="44">
        <v>15000000</v>
      </c>
      <c r="U752" s="33"/>
      <c r="V752" s="33"/>
      <c r="W752" s="52"/>
      <c r="X752" s="52">
        <f t="shared" ref="X752:Y752" si="746">M752-S752</f>
        <v>0</v>
      </c>
      <c r="Y752" s="52">
        <f t="shared" si="746"/>
        <v>0</v>
      </c>
      <c r="Z752" s="52">
        <f t="shared" si="515"/>
        <v>0</v>
      </c>
      <c r="AA752" s="54"/>
      <c r="AB752" s="68"/>
    </row>
    <row r="753" spans="1:45" ht="31.5" x14ac:dyDescent="0.25">
      <c r="A753" s="33"/>
      <c r="B753" s="299">
        <v>726</v>
      </c>
      <c r="C753" s="299" t="s">
        <v>67</v>
      </c>
      <c r="D753" s="33"/>
      <c r="E753" s="32"/>
      <c r="F753" s="299" t="s">
        <v>1421</v>
      </c>
      <c r="G753" s="32"/>
      <c r="H753" s="32"/>
      <c r="I753" s="312" t="s">
        <v>747</v>
      </c>
      <c r="J753" s="299" t="s">
        <v>43</v>
      </c>
      <c r="K753" s="299" t="s">
        <v>1422</v>
      </c>
      <c r="L753" s="65"/>
      <c r="M753" s="32"/>
      <c r="N753" s="65"/>
      <c r="O753" s="43" t="s">
        <v>3608</v>
      </c>
      <c r="P753" s="48">
        <v>36000000</v>
      </c>
      <c r="Q753" s="48"/>
      <c r="R753" s="52"/>
      <c r="S753" s="33"/>
      <c r="T753" s="44"/>
      <c r="U753" s="48">
        <v>36000000</v>
      </c>
      <c r="V753" s="33"/>
      <c r="W753" s="52"/>
      <c r="X753" s="52"/>
      <c r="Y753" s="52"/>
      <c r="Z753" s="52">
        <f t="shared" si="515"/>
        <v>0</v>
      </c>
      <c r="AA753" s="54"/>
      <c r="AB753" s="68"/>
    </row>
    <row r="754" spans="1:45" ht="31.5" x14ac:dyDescent="0.25">
      <c r="A754" s="33" t="s">
        <v>275</v>
      </c>
      <c r="B754" s="290"/>
      <c r="C754" s="290"/>
      <c r="D754" s="33" t="s">
        <v>1419</v>
      </c>
      <c r="E754" s="32"/>
      <c r="F754" s="290"/>
      <c r="G754" s="32"/>
      <c r="H754" s="32"/>
      <c r="I754" s="290"/>
      <c r="J754" s="290"/>
      <c r="K754" s="290"/>
      <c r="L754" s="65">
        <v>33238029</v>
      </c>
      <c r="M754" s="32"/>
      <c r="N754" s="65">
        <v>15000000</v>
      </c>
      <c r="O754" s="43" t="s">
        <v>3419</v>
      </c>
      <c r="P754" s="69">
        <v>72000000</v>
      </c>
      <c r="Q754" s="48">
        <f t="shared" ref="Q754:Q775" si="747">L754+M754+N754+P754</f>
        <v>120238029</v>
      </c>
      <c r="R754" s="48">
        <v>33238029</v>
      </c>
      <c r="S754" s="33"/>
      <c r="T754" s="44">
        <v>15000000</v>
      </c>
      <c r="U754" s="48"/>
      <c r="V754" s="33"/>
      <c r="W754" s="52"/>
      <c r="X754" s="52">
        <f t="shared" ref="X754:Y754" si="748">M754-S754</f>
        <v>0</v>
      </c>
      <c r="Y754" s="52">
        <f t="shared" si="748"/>
        <v>0</v>
      </c>
      <c r="Z754" s="52">
        <f t="shared" si="515"/>
        <v>72000000</v>
      </c>
      <c r="AA754" s="54"/>
      <c r="AB754" s="74" t="s">
        <v>2081</v>
      </c>
    </row>
    <row r="755" spans="1:45" ht="40.5" x14ac:dyDescent="0.25">
      <c r="A755" s="33" t="s">
        <v>275</v>
      </c>
      <c r="B755" s="42">
        <v>727</v>
      </c>
      <c r="C755" s="33" t="s">
        <v>67</v>
      </c>
      <c r="D755" s="33" t="s">
        <v>1580</v>
      </c>
      <c r="E755" s="32"/>
      <c r="F755" s="33" t="s">
        <v>1584</v>
      </c>
      <c r="G755" s="32"/>
      <c r="H755" s="32"/>
      <c r="I755" s="62" t="s">
        <v>1586</v>
      </c>
      <c r="J755" s="33" t="s">
        <v>43</v>
      </c>
      <c r="K755" s="33" t="s">
        <v>1588</v>
      </c>
      <c r="L755" s="65">
        <v>2218823050</v>
      </c>
      <c r="M755" s="32"/>
      <c r="N755" s="65">
        <v>15000000</v>
      </c>
      <c r="O755" s="43" t="s">
        <v>2122</v>
      </c>
      <c r="P755" s="69">
        <v>24000000</v>
      </c>
      <c r="Q755" s="48">
        <f t="shared" si="747"/>
        <v>2257823050</v>
      </c>
      <c r="R755" s="48">
        <v>2218823050</v>
      </c>
      <c r="S755" s="33"/>
      <c r="T755" s="44">
        <v>15000000</v>
      </c>
      <c r="U755" s="48">
        <v>24000000</v>
      </c>
      <c r="V755" s="33"/>
      <c r="W755" s="52"/>
      <c r="X755" s="52">
        <f t="shared" ref="X755:Y755" si="749">M755-S755</f>
        <v>0</v>
      </c>
      <c r="Y755" s="52">
        <f t="shared" si="749"/>
        <v>0</v>
      </c>
      <c r="Z755" s="52">
        <f t="shared" si="515"/>
        <v>0</v>
      </c>
      <c r="AA755" s="54"/>
      <c r="AB755" s="74"/>
    </row>
    <row r="756" spans="1:45" ht="40.5" x14ac:dyDescent="0.25">
      <c r="A756" s="88" t="s">
        <v>275</v>
      </c>
      <c r="B756" s="89">
        <v>727</v>
      </c>
      <c r="C756" s="88" t="s">
        <v>67</v>
      </c>
      <c r="D756" s="88" t="s">
        <v>1580</v>
      </c>
      <c r="E756" s="90"/>
      <c r="F756" s="88" t="s">
        <v>1584</v>
      </c>
      <c r="G756" s="90"/>
      <c r="H756" s="90"/>
      <c r="I756" s="107" t="s">
        <v>1586</v>
      </c>
      <c r="J756" s="88" t="s">
        <v>43</v>
      </c>
      <c r="K756" s="88" t="s">
        <v>1588</v>
      </c>
      <c r="L756" s="108">
        <v>2218823050</v>
      </c>
      <c r="M756" s="90"/>
      <c r="N756" s="108">
        <v>15000000</v>
      </c>
      <c r="O756" s="92" t="s">
        <v>3419</v>
      </c>
      <c r="P756" s="84">
        <v>48000000</v>
      </c>
      <c r="Q756" s="91">
        <f t="shared" si="747"/>
        <v>2281823050</v>
      </c>
      <c r="R756" s="91">
        <v>2218823050</v>
      </c>
      <c r="S756" s="88"/>
      <c r="T756" s="93">
        <v>15000000</v>
      </c>
      <c r="U756" s="91">
        <v>0</v>
      </c>
      <c r="V756" s="88"/>
      <c r="W756" s="94"/>
      <c r="X756" s="94">
        <f t="shared" ref="X756:Y756" si="750">M756-S756</f>
        <v>0</v>
      </c>
      <c r="Y756" s="94">
        <f t="shared" si="750"/>
        <v>0</v>
      </c>
      <c r="Z756" s="94">
        <f t="shared" si="515"/>
        <v>48000000</v>
      </c>
      <c r="AA756" s="95"/>
      <c r="AB756" s="96" t="s">
        <v>2866</v>
      </c>
      <c r="AC756" s="97"/>
      <c r="AD756" s="97"/>
      <c r="AE756" s="97"/>
      <c r="AF756" s="97"/>
      <c r="AG756" s="97"/>
      <c r="AH756" s="97"/>
      <c r="AI756" s="97"/>
      <c r="AJ756" s="97"/>
      <c r="AK756" s="97"/>
      <c r="AL756" s="97"/>
      <c r="AM756" s="97"/>
      <c r="AN756" s="97"/>
      <c r="AO756" s="97"/>
      <c r="AP756" s="97"/>
      <c r="AQ756" s="97"/>
      <c r="AR756" s="97"/>
      <c r="AS756" s="97"/>
    </row>
    <row r="757" spans="1:45" ht="63" x14ac:dyDescent="0.3">
      <c r="A757" s="33" t="s">
        <v>60</v>
      </c>
      <c r="B757" s="42">
        <v>728</v>
      </c>
      <c r="C757" s="33" t="s">
        <v>67</v>
      </c>
      <c r="D757" s="33" t="s">
        <v>3609</v>
      </c>
      <c r="E757" s="33" t="s">
        <v>3496</v>
      </c>
      <c r="F757" s="32"/>
      <c r="G757" s="32"/>
      <c r="H757" s="33" t="s">
        <v>3610</v>
      </c>
      <c r="I757" s="62" t="s">
        <v>3611</v>
      </c>
      <c r="J757" s="33" t="s">
        <v>43</v>
      </c>
      <c r="K757" s="33" t="s">
        <v>735</v>
      </c>
      <c r="L757" s="65">
        <v>10000000</v>
      </c>
      <c r="M757" s="32"/>
      <c r="N757" s="65">
        <v>15000000</v>
      </c>
      <c r="O757" s="43"/>
      <c r="P757" s="43"/>
      <c r="Q757" s="48">
        <f t="shared" si="747"/>
        <v>25000000</v>
      </c>
      <c r="R757" s="33"/>
      <c r="S757" s="33"/>
      <c r="T757" s="66"/>
      <c r="U757" s="33"/>
      <c r="V757" s="33"/>
      <c r="W757" s="52">
        <v>10000000</v>
      </c>
      <c r="X757" s="52">
        <f t="shared" ref="X757:Y757" si="751">M757-S757</f>
        <v>0</v>
      </c>
      <c r="Y757" s="52">
        <f t="shared" si="751"/>
        <v>15000000</v>
      </c>
      <c r="Z757" s="52">
        <f t="shared" si="515"/>
        <v>0</v>
      </c>
      <c r="AA757" s="98">
        <v>10000000</v>
      </c>
      <c r="AB757" s="68"/>
    </row>
    <row r="758" spans="1:45" ht="63" x14ac:dyDescent="0.25">
      <c r="A758" s="33" t="s">
        <v>275</v>
      </c>
      <c r="B758" s="42">
        <v>729</v>
      </c>
      <c r="C758" s="33" t="s">
        <v>67</v>
      </c>
      <c r="D758" s="33" t="s">
        <v>1427</v>
      </c>
      <c r="E758" s="32"/>
      <c r="F758" s="33" t="s">
        <v>1428</v>
      </c>
      <c r="G758" s="32"/>
      <c r="H758" s="32"/>
      <c r="I758" s="62" t="s">
        <v>1429</v>
      </c>
      <c r="J758" s="33" t="s">
        <v>43</v>
      </c>
      <c r="K758" s="33" t="s">
        <v>1430</v>
      </c>
      <c r="L758" s="65">
        <v>804477970</v>
      </c>
      <c r="M758" s="32"/>
      <c r="N758" s="65">
        <v>15000000</v>
      </c>
      <c r="O758" s="43" t="s">
        <v>1420</v>
      </c>
      <c r="P758" s="69">
        <v>72000000</v>
      </c>
      <c r="Q758" s="48">
        <f t="shared" si="747"/>
        <v>891477970</v>
      </c>
      <c r="R758" s="48">
        <v>804477970</v>
      </c>
      <c r="S758" s="33"/>
      <c r="T758" s="44">
        <v>15000000</v>
      </c>
      <c r="U758" s="48">
        <v>24000000</v>
      </c>
      <c r="V758" s="33"/>
      <c r="W758" s="52"/>
      <c r="X758" s="52">
        <f t="shared" ref="X758:Y758" si="752">M758-S758</f>
        <v>0</v>
      </c>
      <c r="Y758" s="52">
        <f t="shared" si="752"/>
        <v>0</v>
      </c>
      <c r="Z758" s="52">
        <f t="shared" si="515"/>
        <v>48000000</v>
      </c>
      <c r="AA758" s="54"/>
      <c r="AB758" s="74" t="s">
        <v>1222</v>
      </c>
    </row>
    <row r="759" spans="1:45" ht="47.25" x14ac:dyDescent="0.25">
      <c r="A759" s="33" t="s">
        <v>60</v>
      </c>
      <c r="B759" s="42">
        <v>730</v>
      </c>
      <c r="C759" s="33" t="s">
        <v>67</v>
      </c>
      <c r="D759" s="33" t="s">
        <v>3612</v>
      </c>
      <c r="E759" s="32"/>
      <c r="F759" s="33" t="s">
        <v>3613</v>
      </c>
      <c r="G759" s="32"/>
      <c r="H759" s="32"/>
      <c r="I759" s="62" t="s">
        <v>3614</v>
      </c>
      <c r="J759" s="33" t="s">
        <v>43</v>
      </c>
      <c r="K759" s="33" t="s">
        <v>3615</v>
      </c>
      <c r="L759" s="65">
        <v>379903110</v>
      </c>
      <c r="M759" s="32"/>
      <c r="N759" s="65">
        <v>7500000</v>
      </c>
      <c r="O759" s="43"/>
      <c r="P759" s="43"/>
      <c r="Q759" s="48">
        <f t="shared" si="747"/>
        <v>387403110</v>
      </c>
      <c r="R759" s="48">
        <v>379903110</v>
      </c>
      <c r="S759" s="33"/>
      <c r="T759" s="44">
        <v>7500000</v>
      </c>
      <c r="U759" s="33"/>
      <c r="V759" s="33"/>
      <c r="W759" s="52"/>
      <c r="X759" s="52">
        <f t="shared" ref="X759:Y759" si="753">M759-S759</f>
        <v>0</v>
      </c>
      <c r="Y759" s="52">
        <f t="shared" si="753"/>
        <v>0</v>
      </c>
      <c r="Z759" s="52">
        <f t="shared" si="515"/>
        <v>0</v>
      </c>
      <c r="AA759" s="54"/>
      <c r="AB759" s="68"/>
    </row>
    <row r="760" spans="1:45" ht="78.75" x14ac:dyDescent="0.25">
      <c r="A760" s="33" t="s">
        <v>275</v>
      </c>
      <c r="B760" s="42">
        <v>731</v>
      </c>
      <c r="C760" s="33" t="s">
        <v>67</v>
      </c>
      <c r="D760" s="33" t="s">
        <v>1640</v>
      </c>
      <c r="E760" s="32"/>
      <c r="F760" s="33" t="s">
        <v>1641</v>
      </c>
      <c r="G760" s="32"/>
      <c r="H760" s="32"/>
      <c r="I760" s="62" t="s">
        <v>1642</v>
      </c>
      <c r="J760" s="33" t="s">
        <v>43</v>
      </c>
      <c r="K760" s="33" t="s">
        <v>1643</v>
      </c>
      <c r="L760" s="65">
        <v>401173485</v>
      </c>
      <c r="M760" s="32"/>
      <c r="N760" s="65">
        <v>15000000</v>
      </c>
      <c r="O760" s="43" t="s">
        <v>1630</v>
      </c>
      <c r="P760" s="69">
        <v>120000000</v>
      </c>
      <c r="Q760" s="48">
        <f t="shared" si="747"/>
        <v>536173485</v>
      </c>
      <c r="R760" s="48">
        <v>401173485</v>
      </c>
      <c r="S760" s="33"/>
      <c r="T760" s="44">
        <v>15000000</v>
      </c>
      <c r="U760" s="48">
        <v>60000000</v>
      </c>
      <c r="V760" s="33"/>
      <c r="W760" s="52"/>
      <c r="X760" s="52">
        <f t="shared" ref="X760:Y760" si="754">M760-S760</f>
        <v>0</v>
      </c>
      <c r="Y760" s="52">
        <f t="shared" si="754"/>
        <v>0</v>
      </c>
      <c r="Z760" s="52">
        <f t="shared" si="515"/>
        <v>60000000</v>
      </c>
      <c r="AA760" s="54"/>
      <c r="AB760" s="74" t="s">
        <v>721</v>
      </c>
    </row>
    <row r="761" spans="1:45" ht="47.25" x14ac:dyDescent="0.25">
      <c r="A761" s="33" t="s">
        <v>52</v>
      </c>
      <c r="B761" s="42">
        <v>732</v>
      </c>
      <c r="C761" s="33" t="s">
        <v>67</v>
      </c>
      <c r="D761" s="33" t="s">
        <v>3617</v>
      </c>
      <c r="E761" s="33" t="s">
        <v>3618</v>
      </c>
      <c r="F761" s="33" t="s">
        <v>3619</v>
      </c>
      <c r="G761" s="33" t="s">
        <v>3620</v>
      </c>
      <c r="H761" s="32"/>
      <c r="I761" s="62" t="s">
        <v>3621</v>
      </c>
      <c r="J761" s="33" t="s">
        <v>43</v>
      </c>
      <c r="K761" s="33" t="s">
        <v>3622</v>
      </c>
      <c r="L761" s="65">
        <v>4043584200</v>
      </c>
      <c r="M761" s="65">
        <v>161992320</v>
      </c>
      <c r="N761" s="65">
        <v>15000000</v>
      </c>
      <c r="O761" s="43"/>
      <c r="P761" s="43"/>
      <c r="Q761" s="48">
        <f t="shared" si="747"/>
        <v>4220576520</v>
      </c>
      <c r="R761" s="52">
        <v>4043584200</v>
      </c>
      <c r="S761" s="48">
        <v>161992320</v>
      </c>
      <c r="T761" s="44">
        <v>15000000</v>
      </c>
      <c r="U761" s="33"/>
      <c r="V761" s="33"/>
      <c r="W761" s="52"/>
      <c r="X761" s="52">
        <f t="shared" ref="X761:Y761" si="755">M761-S761</f>
        <v>0</v>
      </c>
      <c r="Y761" s="52">
        <f t="shared" si="755"/>
        <v>0</v>
      </c>
      <c r="Z761" s="52">
        <f t="shared" si="515"/>
        <v>0</v>
      </c>
      <c r="AA761" s="54"/>
      <c r="AB761" s="68"/>
    </row>
    <row r="762" spans="1:45" ht="60.75" x14ac:dyDescent="0.25">
      <c r="A762" s="33" t="s">
        <v>88</v>
      </c>
      <c r="B762" s="42">
        <v>733</v>
      </c>
      <c r="C762" s="33" t="s">
        <v>67</v>
      </c>
      <c r="D762" s="33" t="s">
        <v>356</v>
      </c>
      <c r="E762" s="32"/>
      <c r="F762" s="33" t="s">
        <v>359</v>
      </c>
      <c r="G762" s="33" t="s">
        <v>360</v>
      </c>
      <c r="H762" s="32"/>
      <c r="I762" s="62" t="s">
        <v>361</v>
      </c>
      <c r="J762" s="33" t="s">
        <v>43</v>
      </c>
      <c r="K762" s="33" t="s">
        <v>362</v>
      </c>
      <c r="L762" s="65">
        <v>13921454534</v>
      </c>
      <c r="M762" s="32"/>
      <c r="N762" s="65">
        <v>15000000</v>
      </c>
      <c r="O762" s="43" t="s">
        <v>358</v>
      </c>
      <c r="P762" s="69">
        <v>96000000</v>
      </c>
      <c r="Q762" s="48">
        <f t="shared" si="747"/>
        <v>14032454534</v>
      </c>
      <c r="R762" s="48">
        <v>13921454534</v>
      </c>
      <c r="S762" s="33"/>
      <c r="T762" s="44">
        <v>15000000</v>
      </c>
      <c r="U762" s="48">
        <v>96000000</v>
      </c>
      <c r="V762" s="33"/>
      <c r="W762" s="52"/>
      <c r="X762" s="52">
        <f t="shared" ref="X762:Y762" si="756">M762-S762</f>
        <v>0</v>
      </c>
      <c r="Y762" s="52">
        <f t="shared" si="756"/>
        <v>0</v>
      </c>
      <c r="Z762" s="52">
        <f t="shared" si="515"/>
        <v>0</v>
      </c>
      <c r="AA762" s="54"/>
      <c r="AB762" s="68"/>
    </row>
    <row r="763" spans="1:45" ht="47.25" x14ac:dyDescent="0.25">
      <c r="A763" s="33" t="s">
        <v>52</v>
      </c>
      <c r="B763" s="42">
        <v>734</v>
      </c>
      <c r="C763" s="33" t="s">
        <v>67</v>
      </c>
      <c r="D763" s="33" t="s">
        <v>642</v>
      </c>
      <c r="E763" s="33" t="s">
        <v>643</v>
      </c>
      <c r="F763" s="33" t="s">
        <v>645</v>
      </c>
      <c r="G763" s="33" t="s">
        <v>646</v>
      </c>
      <c r="H763" s="32"/>
      <c r="I763" s="62" t="s">
        <v>647</v>
      </c>
      <c r="J763" s="33" t="s">
        <v>43</v>
      </c>
      <c r="K763" s="33" t="s">
        <v>649</v>
      </c>
      <c r="L763" s="65">
        <v>1706747626</v>
      </c>
      <c r="M763" s="65">
        <v>471972074</v>
      </c>
      <c r="N763" s="65">
        <v>15000000</v>
      </c>
      <c r="O763" s="43" t="s">
        <v>644</v>
      </c>
      <c r="P763" s="69">
        <v>24000000</v>
      </c>
      <c r="Q763" s="48">
        <f t="shared" si="747"/>
        <v>2217719700</v>
      </c>
      <c r="R763" s="52">
        <v>1706747626</v>
      </c>
      <c r="S763" s="48">
        <v>471972074</v>
      </c>
      <c r="T763" s="44">
        <v>15000000</v>
      </c>
      <c r="U763" s="48">
        <v>24000000</v>
      </c>
      <c r="V763" s="33"/>
      <c r="W763" s="52"/>
      <c r="X763" s="52">
        <f t="shared" ref="X763:Y763" si="757">M763-S763</f>
        <v>0</v>
      </c>
      <c r="Y763" s="52">
        <f t="shared" si="757"/>
        <v>0</v>
      </c>
      <c r="Z763" s="52">
        <f t="shared" si="515"/>
        <v>0</v>
      </c>
      <c r="AA763" s="54"/>
      <c r="AB763" s="68"/>
    </row>
    <row r="764" spans="1:45" ht="60.75" x14ac:dyDescent="0.25">
      <c r="A764" s="33" t="s">
        <v>35</v>
      </c>
      <c r="B764" s="42">
        <v>735</v>
      </c>
      <c r="C764" s="33" t="s">
        <v>67</v>
      </c>
      <c r="D764" s="33" t="s">
        <v>3624</v>
      </c>
      <c r="E764" s="32"/>
      <c r="F764" s="33" t="s">
        <v>3625</v>
      </c>
      <c r="G764" s="32"/>
      <c r="H764" s="32"/>
      <c r="I764" s="62" t="s">
        <v>3626</v>
      </c>
      <c r="J764" s="33" t="s">
        <v>43</v>
      </c>
      <c r="K764" s="33" t="s">
        <v>3627</v>
      </c>
      <c r="L764" s="65">
        <v>7225075720</v>
      </c>
      <c r="M764" s="32"/>
      <c r="N764" s="65">
        <v>15000000</v>
      </c>
      <c r="O764" s="43"/>
      <c r="P764" s="43"/>
      <c r="Q764" s="48">
        <f t="shared" si="747"/>
        <v>7240075720</v>
      </c>
      <c r="R764" s="48">
        <v>7225075720</v>
      </c>
      <c r="S764" s="33"/>
      <c r="T764" s="44">
        <v>15000000</v>
      </c>
      <c r="U764" s="33"/>
      <c r="V764" s="33"/>
      <c r="W764" s="52"/>
      <c r="X764" s="52">
        <f t="shared" ref="X764:Y764" si="758">M764-S764</f>
        <v>0</v>
      </c>
      <c r="Y764" s="52">
        <f t="shared" si="758"/>
        <v>0</v>
      </c>
      <c r="Z764" s="52">
        <f t="shared" si="515"/>
        <v>0</v>
      </c>
      <c r="AA764" s="54"/>
      <c r="AB764" s="68"/>
    </row>
    <row r="765" spans="1:45" ht="40.5" x14ac:dyDescent="0.25">
      <c r="A765" s="33" t="s">
        <v>52</v>
      </c>
      <c r="B765" s="42">
        <v>736</v>
      </c>
      <c r="C765" s="33" t="s">
        <v>67</v>
      </c>
      <c r="D765" s="33" t="s">
        <v>1621</v>
      </c>
      <c r="E765" s="32"/>
      <c r="F765" s="33" t="s">
        <v>1622</v>
      </c>
      <c r="G765" s="32"/>
      <c r="H765" s="32"/>
      <c r="I765" s="62" t="s">
        <v>1623</v>
      </c>
      <c r="J765" s="33" t="s">
        <v>43</v>
      </c>
      <c r="K765" s="33" t="s">
        <v>1624</v>
      </c>
      <c r="L765" s="65">
        <v>853559360</v>
      </c>
      <c r="M765" s="32"/>
      <c r="N765" s="65">
        <v>15000000</v>
      </c>
      <c r="O765" s="43" t="s">
        <v>2122</v>
      </c>
      <c r="P765" s="69">
        <v>30000000</v>
      </c>
      <c r="Q765" s="48">
        <f t="shared" si="747"/>
        <v>898559360</v>
      </c>
      <c r="R765" s="52">
        <v>853559360</v>
      </c>
      <c r="S765" s="33"/>
      <c r="T765" s="44">
        <v>15000000</v>
      </c>
      <c r="U765" s="48">
        <v>30000000</v>
      </c>
      <c r="V765" s="33"/>
      <c r="W765" s="52"/>
      <c r="X765" s="52">
        <f t="shared" ref="X765:Y765" si="759">M765-S765</f>
        <v>0</v>
      </c>
      <c r="Y765" s="52">
        <f t="shared" si="759"/>
        <v>0</v>
      </c>
      <c r="Z765" s="52">
        <f t="shared" si="515"/>
        <v>0</v>
      </c>
      <c r="AA765" s="54"/>
      <c r="AB765" s="68"/>
    </row>
    <row r="766" spans="1:45" ht="31.5" x14ac:dyDescent="0.25">
      <c r="A766" s="33" t="s">
        <v>52</v>
      </c>
      <c r="B766" s="42">
        <v>737</v>
      </c>
      <c r="C766" s="33" t="s">
        <v>67</v>
      </c>
      <c r="D766" s="33" t="s">
        <v>3630</v>
      </c>
      <c r="E766" s="32"/>
      <c r="F766" s="33" t="s">
        <v>3631</v>
      </c>
      <c r="G766" s="32"/>
      <c r="H766" s="32"/>
      <c r="I766" s="62" t="s">
        <v>3632</v>
      </c>
      <c r="J766" s="33" t="s">
        <v>43</v>
      </c>
      <c r="K766" s="33" t="s">
        <v>3633</v>
      </c>
      <c r="L766" s="65">
        <v>1376202443</v>
      </c>
      <c r="M766" s="32"/>
      <c r="N766" s="65">
        <v>15000000</v>
      </c>
      <c r="O766" s="43"/>
      <c r="P766" s="43"/>
      <c r="Q766" s="48">
        <f t="shared" si="747"/>
        <v>1391202443</v>
      </c>
      <c r="R766" s="52">
        <v>1376202443</v>
      </c>
      <c r="S766" s="33"/>
      <c r="T766" s="44">
        <v>15000000</v>
      </c>
      <c r="U766" s="33"/>
      <c r="V766" s="33"/>
      <c r="W766" s="52"/>
      <c r="X766" s="52">
        <f t="shared" ref="X766:Y766" si="760">M766-S766</f>
        <v>0</v>
      </c>
      <c r="Y766" s="52">
        <f t="shared" si="760"/>
        <v>0</v>
      </c>
      <c r="Z766" s="52">
        <f t="shared" si="515"/>
        <v>0</v>
      </c>
      <c r="AA766" s="54"/>
      <c r="AB766" s="68"/>
    </row>
    <row r="767" spans="1:45" ht="60.75" x14ac:dyDescent="0.25">
      <c r="A767" s="33" t="s">
        <v>52</v>
      </c>
      <c r="B767" s="42">
        <v>738</v>
      </c>
      <c r="C767" s="33" t="s">
        <v>67</v>
      </c>
      <c r="D767" s="33" t="s">
        <v>3634</v>
      </c>
      <c r="E767" s="32"/>
      <c r="F767" s="33" t="s">
        <v>3635</v>
      </c>
      <c r="G767" s="32"/>
      <c r="H767" s="32"/>
      <c r="I767" s="62" t="s">
        <v>3636</v>
      </c>
      <c r="J767" s="33" t="s">
        <v>43</v>
      </c>
      <c r="K767" s="33" t="s">
        <v>3639</v>
      </c>
      <c r="L767" s="65">
        <v>299923956</v>
      </c>
      <c r="M767" s="32"/>
      <c r="N767" s="65">
        <v>15000000</v>
      </c>
      <c r="O767" s="43"/>
      <c r="P767" s="43"/>
      <c r="Q767" s="48">
        <f t="shared" si="747"/>
        <v>314923956</v>
      </c>
      <c r="R767" s="52">
        <v>299923956</v>
      </c>
      <c r="S767" s="33"/>
      <c r="T767" s="44">
        <v>15000000</v>
      </c>
      <c r="U767" s="33"/>
      <c r="V767" s="33"/>
      <c r="W767" s="52"/>
      <c r="X767" s="52">
        <f t="shared" ref="X767:Y767" si="761">M767-S767</f>
        <v>0</v>
      </c>
      <c r="Y767" s="52">
        <f t="shared" si="761"/>
        <v>0</v>
      </c>
      <c r="Z767" s="52">
        <f t="shared" si="515"/>
        <v>0</v>
      </c>
      <c r="AA767" s="54"/>
      <c r="AB767" s="68"/>
    </row>
    <row r="768" spans="1:45" ht="60.75" x14ac:dyDescent="0.25">
      <c r="A768" s="33" t="s">
        <v>52</v>
      </c>
      <c r="B768" s="42">
        <v>739</v>
      </c>
      <c r="C768" s="33" t="s">
        <v>67</v>
      </c>
      <c r="D768" s="33" t="s">
        <v>3640</v>
      </c>
      <c r="E768" s="32"/>
      <c r="F768" s="33" t="s">
        <v>3641</v>
      </c>
      <c r="G768" s="32"/>
      <c r="H768" s="32"/>
      <c r="I768" s="62" t="s">
        <v>3642</v>
      </c>
      <c r="J768" s="33" t="s">
        <v>43</v>
      </c>
      <c r="K768" s="33" t="s">
        <v>3643</v>
      </c>
      <c r="L768" s="65">
        <v>5079928644</v>
      </c>
      <c r="M768" s="32"/>
      <c r="N768" s="65">
        <v>7500000</v>
      </c>
      <c r="O768" s="43"/>
      <c r="P768" s="43"/>
      <c r="Q768" s="48">
        <f t="shared" si="747"/>
        <v>5087428644</v>
      </c>
      <c r="R768" s="48">
        <v>5079928644</v>
      </c>
      <c r="S768" s="33"/>
      <c r="T768" s="44">
        <v>7500000</v>
      </c>
      <c r="U768" s="33"/>
      <c r="V768" s="33"/>
      <c r="W768" s="52"/>
      <c r="X768" s="52">
        <f t="shared" ref="X768:Y768" si="762">M768-S768</f>
        <v>0</v>
      </c>
      <c r="Y768" s="52">
        <f t="shared" si="762"/>
        <v>0</v>
      </c>
      <c r="Z768" s="52">
        <f t="shared" si="515"/>
        <v>0</v>
      </c>
      <c r="AA768" s="54"/>
      <c r="AB768" s="68"/>
    </row>
    <row r="769" spans="1:45" ht="40.5" x14ac:dyDescent="0.25">
      <c r="A769" s="33" t="s">
        <v>60</v>
      </c>
      <c r="B769" s="42">
        <v>740</v>
      </c>
      <c r="C769" s="33" t="s">
        <v>67</v>
      </c>
      <c r="D769" s="33" t="s">
        <v>3644</v>
      </c>
      <c r="E769" s="32"/>
      <c r="F769" s="33" t="s">
        <v>3645</v>
      </c>
      <c r="G769" s="33" t="s">
        <v>2623</v>
      </c>
      <c r="H769" s="32"/>
      <c r="I769" s="62" t="s">
        <v>3646</v>
      </c>
      <c r="J769" s="33" t="s">
        <v>43</v>
      </c>
      <c r="K769" s="33" t="s">
        <v>3647</v>
      </c>
      <c r="L769" s="65">
        <v>2887146088</v>
      </c>
      <c r="M769" s="32"/>
      <c r="N769" s="65">
        <v>15000000</v>
      </c>
      <c r="O769" s="43"/>
      <c r="P769" s="43"/>
      <c r="Q769" s="48">
        <f t="shared" si="747"/>
        <v>2902146088</v>
      </c>
      <c r="R769" s="52">
        <v>2887146088</v>
      </c>
      <c r="S769" s="33"/>
      <c r="T769" s="44">
        <v>15000000</v>
      </c>
      <c r="U769" s="33"/>
      <c r="V769" s="33"/>
      <c r="W769" s="52"/>
      <c r="X769" s="52">
        <f t="shared" ref="X769:Y769" si="763">M769-S769</f>
        <v>0</v>
      </c>
      <c r="Y769" s="52">
        <f t="shared" si="763"/>
        <v>0</v>
      </c>
      <c r="Z769" s="52">
        <f t="shared" si="515"/>
        <v>0</v>
      </c>
      <c r="AA769" s="54"/>
      <c r="AB769" s="68"/>
    </row>
    <row r="770" spans="1:45" ht="60.75" x14ac:dyDescent="0.25">
      <c r="A770" s="33" t="s">
        <v>52</v>
      </c>
      <c r="B770" s="42">
        <v>741</v>
      </c>
      <c r="C770" s="33" t="s">
        <v>67</v>
      </c>
      <c r="D770" s="33" t="s">
        <v>3648</v>
      </c>
      <c r="E770" s="32"/>
      <c r="F770" s="33" t="s">
        <v>3649</v>
      </c>
      <c r="G770" s="33" t="s">
        <v>3650</v>
      </c>
      <c r="H770" s="32"/>
      <c r="I770" s="62" t="s">
        <v>3651</v>
      </c>
      <c r="J770" s="33" t="s">
        <v>43</v>
      </c>
      <c r="K770" s="33" t="s">
        <v>3652</v>
      </c>
      <c r="L770" s="65">
        <v>1459373626</v>
      </c>
      <c r="M770" s="32"/>
      <c r="N770" s="65">
        <v>15000000</v>
      </c>
      <c r="O770" s="43"/>
      <c r="P770" s="43"/>
      <c r="Q770" s="48">
        <f t="shared" si="747"/>
        <v>1474373626</v>
      </c>
      <c r="R770" s="48">
        <v>1459373626</v>
      </c>
      <c r="S770" s="33"/>
      <c r="T770" s="44">
        <v>15000000</v>
      </c>
      <c r="U770" s="33"/>
      <c r="V770" s="33"/>
      <c r="W770" s="52"/>
      <c r="X770" s="52">
        <f t="shared" ref="X770:Y770" si="764">M770-S770</f>
        <v>0</v>
      </c>
      <c r="Y770" s="52">
        <f t="shared" si="764"/>
        <v>0</v>
      </c>
      <c r="Z770" s="52">
        <f t="shared" si="515"/>
        <v>0</v>
      </c>
      <c r="AA770" s="54"/>
      <c r="AB770" s="68"/>
    </row>
    <row r="771" spans="1:45" ht="31.5" x14ac:dyDescent="0.25">
      <c r="A771" s="33" t="s">
        <v>275</v>
      </c>
      <c r="B771" s="42">
        <v>742</v>
      </c>
      <c r="C771" s="33" t="s">
        <v>67</v>
      </c>
      <c r="D771" s="33" t="s">
        <v>3653</v>
      </c>
      <c r="E771" s="32"/>
      <c r="F771" s="33" t="s">
        <v>3654</v>
      </c>
      <c r="G771" s="32"/>
      <c r="H771" s="32"/>
      <c r="I771" s="62" t="s">
        <v>3655</v>
      </c>
      <c r="J771" s="33" t="s">
        <v>43</v>
      </c>
      <c r="K771" s="33" t="s">
        <v>3656</v>
      </c>
      <c r="L771" s="65">
        <v>82301352</v>
      </c>
      <c r="M771" s="32"/>
      <c r="N771" s="65">
        <v>7500000</v>
      </c>
      <c r="O771" s="43"/>
      <c r="P771" s="43"/>
      <c r="Q771" s="48">
        <f t="shared" si="747"/>
        <v>89801352</v>
      </c>
      <c r="R771" s="48">
        <v>82301352</v>
      </c>
      <c r="S771" s="33"/>
      <c r="T771" s="44">
        <v>7500000</v>
      </c>
      <c r="U771" s="33"/>
      <c r="V771" s="33"/>
      <c r="W771" s="52"/>
      <c r="X771" s="52">
        <f t="shared" ref="X771:Y771" si="765">M771-S771</f>
        <v>0</v>
      </c>
      <c r="Y771" s="52">
        <f t="shared" si="765"/>
        <v>0</v>
      </c>
      <c r="Z771" s="52">
        <f t="shared" si="515"/>
        <v>0</v>
      </c>
      <c r="AA771" s="54"/>
      <c r="AB771" s="68"/>
    </row>
    <row r="772" spans="1:45" ht="60.75" x14ac:dyDescent="0.25">
      <c r="A772" s="33" t="s">
        <v>52</v>
      </c>
      <c r="B772" s="42">
        <v>743</v>
      </c>
      <c r="C772" s="33" t="s">
        <v>67</v>
      </c>
      <c r="D772" s="33" t="s">
        <v>3657</v>
      </c>
      <c r="E772" s="32"/>
      <c r="F772" s="33" t="s">
        <v>3658</v>
      </c>
      <c r="G772" s="32"/>
      <c r="H772" s="32"/>
      <c r="I772" s="62" t="s">
        <v>3659</v>
      </c>
      <c r="J772" s="33" t="s">
        <v>43</v>
      </c>
      <c r="K772" s="33" t="s">
        <v>3660</v>
      </c>
      <c r="L772" s="65">
        <v>1439532080</v>
      </c>
      <c r="M772" s="32"/>
      <c r="N772" s="65">
        <v>15000000</v>
      </c>
      <c r="O772" s="43"/>
      <c r="P772" s="43"/>
      <c r="Q772" s="48">
        <f t="shared" si="747"/>
        <v>1454532080</v>
      </c>
      <c r="R772" s="52">
        <v>1439532080</v>
      </c>
      <c r="S772" s="33"/>
      <c r="T772" s="44">
        <v>15000000</v>
      </c>
      <c r="U772" s="33"/>
      <c r="V772" s="33"/>
      <c r="W772" s="52"/>
      <c r="X772" s="52">
        <f t="shared" ref="X772:Y772" si="766">M772-S772</f>
        <v>0</v>
      </c>
      <c r="Y772" s="52">
        <f t="shared" si="766"/>
        <v>0</v>
      </c>
      <c r="Z772" s="52">
        <f t="shared" si="515"/>
        <v>0</v>
      </c>
      <c r="AA772" s="54"/>
      <c r="AB772" s="68"/>
    </row>
    <row r="773" spans="1:45" ht="63" x14ac:dyDescent="0.25">
      <c r="A773" s="33" t="s">
        <v>88</v>
      </c>
      <c r="B773" s="42">
        <v>744</v>
      </c>
      <c r="C773" s="33" t="s">
        <v>67</v>
      </c>
      <c r="D773" s="33" t="s">
        <v>1899</v>
      </c>
      <c r="E773" s="32"/>
      <c r="F773" s="33" t="s">
        <v>1901</v>
      </c>
      <c r="G773" s="32"/>
      <c r="H773" s="32"/>
      <c r="I773" s="62" t="s">
        <v>1902</v>
      </c>
      <c r="J773" s="33" t="s">
        <v>43</v>
      </c>
      <c r="K773" s="33" t="s">
        <v>1903</v>
      </c>
      <c r="L773" s="65">
        <v>749131120</v>
      </c>
      <c r="M773" s="32"/>
      <c r="N773" s="65">
        <v>15000000</v>
      </c>
      <c r="O773" s="43" t="s">
        <v>1900</v>
      </c>
      <c r="P773" s="69">
        <v>90000000</v>
      </c>
      <c r="Q773" s="48">
        <f t="shared" si="747"/>
        <v>854131120</v>
      </c>
      <c r="R773" s="48">
        <v>749131120</v>
      </c>
      <c r="S773" s="33"/>
      <c r="T773" s="44">
        <v>15000000</v>
      </c>
      <c r="U773" s="48">
        <v>30000000</v>
      </c>
      <c r="V773" s="33"/>
      <c r="W773" s="52"/>
      <c r="X773" s="52">
        <f t="shared" ref="X773:Y773" si="767">M773-S773</f>
        <v>0</v>
      </c>
      <c r="Y773" s="52">
        <f t="shared" si="767"/>
        <v>0</v>
      </c>
      <c r="Z773" s="52">
        <f t="shared" si="515"/>
        <v>60000000</v>
      </c>
      <c r="AA773" s="54"/>
      <c r="AB773" s="74" t="s">
        <v>1222</v>
      </c>
    </row>
    <row r="774" spans="1:45" ht="63" x14ac:dyDescent="0.25">
      <c r="A774" s="33" t="s">
        <v>88</v>
      </c>
      <c r="B774" s="42">
        <v>745</v>
      </c>
      <c r="C774" s="33" t="s">
        <v>67</v>
      </c>
      <c r="D774" s="33" t="s">
        <v>695</v>
      </c>
      <c r="E774" s="32"/>
      <c r="F774" s="33" t="s">
        <v>696</v>
      </c>
      <c r="G774" s="32"/>
      <c r="H774" s="32"/>
      <c r="I774" s="62" t="s">
        <v>697</v>
      </c>
      <c r="J774" s="33" t="s">
        <v>43</v>
      </c>
      <c r="K774" s="33" t="s">
        <v>698</v>
      </c>
      <c r="L774" s="65">
        <v>416665504</v>
      </c>
      <c r="M774" s="32"/>
      <c r="N774" s="65">
        <v>15000000</v>
      </c>
      <c r="O774" s="43" t="s">
        <v>688</v>
      </c>
      <c r="P774" s="69">
        <v>72000000</v>
      </c>
      <c r="Q774" s="48">
        <f t="shared" si="747"/>
        <v>503665504</v>
      </c>
      <c r="R774" s="48">
        <v>416665504</v>
      </c>
      <c r="S774" s="33"/>
      <c r="T774" s="44">
        <v>15000000</v>
      </c>
      <c r="U774" s="48">
        <v>24000000</v>
      </c>
      <c r="V774" s="33"/>
      <c r="W774" s="52"/>
      <c r="X774" s="52">
        <f t="shared" ref="X774:Y774" si="768">M774-S774</f>
        <v>0</v>
      </c>
      <c r="Y774" s="52">
        <f t="shared" si="768"/>
        <v>0</v>
      </c>
      <c r="Z774" s="52">
        <f t="shared" si="515"/>
        <v>48000000</v>
      </c>
      <c r="AA774" s="54"/>
      <c r="AB774" s="74" t="s">
        <v>1222</v>
      </c>
    </row>
    <row r="775" spans="1:45" ht="78.75" x14ac:dyDescent="0.25">
      <c r="A775" s="33" t="s">
        <v>275</v>
      </c>
      <c r="B775" s="42">
        <v>746</v>
      </c>
      <c r="C775" s="33" t="s">
        <v>67</v>
      </c>
      <c r="D775" s="33" t="s">
        <v>1648</v>
      </c>
      <c r="E775" s="33" t="s">
        <v>1395</v>
      </c>
      <c r="F775" s="33" t="s">
        <v>1649</v>
      </c>
      <c r="G775" s="33" t="s">
        <v>1650</v>
      </c>
      <c r="H775" s="32"/>
      <c r="I775" s="62" t="s">
        <v>1651</v>
      </c>
      <c r="J775" s="33" t="s">
        <v>43</v>
      </c>
      <c r="K775" s="33" t="s">
        <v>1652</v>
      </c>
      <c r="L775" s="65">
        <v>1596400307</v>
      </c>
      <c r="M775" s="65">
        <v>333382157</v>
      </c>
      <c r="N775" s="65">
        <v>15000000</v>
      </c>
      <c r="O775" s="43" t="s">
        <v>1630</v>
      </c>
      <c r="P775" s="69">
        <v>96000000</v>
      </c>
      <c r="Q775" s="48">
        <f t="shared" si="747"/>
        <v>2040782464</v>
      </c>
      <c r="R775" s="48">
        <v>1596400307</v>
      </c>
      <c r="S775" s="48">
        <v>333382157</v>
      </c>
      <c r="T775" s="44">
        <v>15000000</v>
      </c>
      <c r="U775" s="48">
        <v>48000000</v>
      </c>
      <c r="V775" s="33"/>
      <c r="W775" s="52"/>
      <c r="X775" s="52">
        <f t="shared" ref="X775:Y775" si="769">M775-S775</f>
        <v>0</v>
      </c>
      <c r="Y775" s="52">
        <f t="shared" si="769"/>
        <v>0</v>
      </c>
      <c r="Z775" s="52">
        <f t="shared" ref="Z775:Z926" si="770">P775-U775</f>
        <v>48000000</v>
      </c>
      <c r="AA775" s="54"/>
      <c r="AB775" s="74" t="s">
        <v>1222</v>
      </c>
    </row>
    <row r="776" spans="1:45" ht="39" customHeight="1" x14ac:dyDescent="0.25">
      <c r="A776" s="33"/>
      <c r="B776" s="299">
        <v>747</v>
      </c>
      <c r="C776" s="299" t="s">
        <v>67</v>
      </c>
      <c r="D776" s="33"/>
      <c r="E776" s="33"/>
      <c r="F776" s="299" t="s">
        <v>1672</v>
      </c>
      <c r="G776" s="33"/>
      <c r="H776" s="32"/>
      <c r="I776" s="312" t="s">
        <v>1674</v>
      </c>
      <c r="J776" s="299" t="s">
        <v>43</v>
      </c>
      <c r="K776" s="299" t="s">
        <v>1675</v>
      </c>
      <c r="L776" s="65"/>
      <c r="M776" s="65"/>
      <c r="N776" s="65"/>
      <c r="O776" s="43" t="s">
        <v>3663</v>
      </c>
      <c r="P776" s="69">
        <v>60000000</v>
      </c>
      <c r="Q776" s="48"/>
      <c r="R776" s="48"/>
      <c r="S776" s="48"/>
      <c r="T776" s="44"/>
      <c r="U776" s="48">
        <v>60000000</v>
      </c>
      <c r="V776" s="33"/>
      <c r="W776" s="52"/>
      <c r="X776" s="52"/>
      <c r="Y776" s="52"/>
      <c r="Z776" s="52">
        <f t="shared" si="770"/>
        <v>0</v>
      </c>
      <c r="AA776" s="54"/>
      <c r="AB776" s="74"/>
    </row>
    <row r="777" spans="1:45" ht="39" customHeight="1" x14ac:dyDescent="0.25">
      <c r="A777" s="33"/>
      <c r="B777" s="304"/>
      <c r="C777" s="304"/>
      <c r="D777" s="33"/>
      <c r="E777" s="33"/>
      <c r="F777" s="304"/>
      <c r="G777" s="33"/>
      <c r="H777" s="32"/>
      <c r="I777" s="304"/>
      <c r="J777" s="304"/>
      <c r="K777" s="304"/>
      <c r="L777" s="65"/>
      <c r="M777" s="65"/>
      <c r="N777" s="65"/>
      <c r="O777" s="43" t="s">
        <v>3666</v>
      </c>
      <c r="P777" s="69">
        <v>12000000</v>
      </c>
      <c r="Q777" s="48"/>
      <c r="R777" s="48"/>
      <c r="S777" s="48"/>
      <c r="T777" s="44"/>
      <c r="U777" s="48">
        <v>12000000</v>
      </c>
      <c r="V777" s="33"/>
      <c r="W777" s="52"/>
      <c r="X777" s="52"/>
      <c r="Y777" s="52"/>
      <c r="Z777" s="52">
        <f t="shared" si="770"/>
        <v>0</v>
      </c>
      <c r="AA777" s="54"/>
      <c r="AB777" s="74"/>
    </row>
    <row r="778" spans="1:45" ht="42" customHeight="1" x14ac:dyDescent="0.25">
      <c r="A778" s="33" t="s">
        <v>88</v>
      </c>
      <c r="B778" s="290"/>
      <c r="C778" s="290"/>
      <c r="D778" s="33" t="s">
        <v>1670</v>
      </c>
      <c r="E778" s="32"/>
      <c r="F778" s="290"/>
      <c r="G778" s="33" t="s">
        <v>1673</v>
      </c>
      <c r="H778" s="32"/>
      <c r="I778" s="290"/>
      <c r="J778" s="290"/>
      <c r="K778" s="290"/>
      <c r="L778" s="65">
        <v>748291540</v>
      </c>
      <c r="M778" s="32"/>
      <c r="N778" s="65">
        <v>15000000</v>
      </c>
      <c r="O778" s="33" t="s">
        <v>1965</v>
      </c>
      <c r="P778" s="48">
        <v>72000000</v>
      </c>
      <c r="Q778" s="48">
        <f t="shared" ref="Q778:Q780" si="771">L778+M778+N778+P778</f>
        <v>835291540</v>
      </c>
      <c r="R778" s="52">
        <v>748291540</v>
      </c>
      <c r="S778" s="33"/>
      <c r="T778" s="44">
        <v>15000000</v>
      </c>
      <c r="U778" s="48"/>
      <c r="V778" s="33"/>
      <c r="W778" s="52"/>
      <c r="X778" s="52">
        <f t="shared" ref="X778:Y778" si="772">M778-S778</f>
        <v>0</v>
      </c>
      <c r="Y778" s="52">
        <f t="shared" si="772"/>
        <v>0</v>
      </c>
      <c r="Z778" s="52">
        <f t="shared" si="770"/>
        <v>72000000</v>
      </c>
      <c r="AA778" s="54"/>
      <c r="AB778" s="75" t="s">
        <v>2081</v>
      </c>
    </row>
    <row r="779" spans="1:45" ht="63" x14ac:dyDescent="0.25">
      <c r="A779" s="33" t="s">
        <v>35</v>
      </c>
      <c r="B779" s="42">
        <v>748</v>
      </c>
      <c r="C779" s="33" t="s">
        <v>67</v>
      </c>
      <c r="D779" s="33" t="s">
        <v>1914</v>
      </c>
      <c r="E779" s="32"/>
      <c r="F779" s="33" t="s">
        <v>1915</v>
      </c>
      <c r="G779" s="32"/>
      <c r="H779" s="32"/>
      <c r="I779" s="62" t="s">
        <v>1916</v>
      </c>
      <c r="J779" s="33" t="s">
        <v>43</v>
      </c>
      <c r="K779" s="33" t="s">
        <v>1917</v>
      </c>
      <c r="L779" s="65">
        <v>1886255920</v>
      </c>
      <c r="M779" s="32"/>
      <c r="N779" s="65">
        <v>15000000</v>
      </c>
      <c r="O779" s="43" t="s">
        <v>1900</v>
      </c>
      <c r="P779" s="69">
        <v>72000000</v>
      </c>
      <c r="Q779" s="48">
        <f t="shared" si="771"/>
        <v>1973255920</v>
      </c>
      <c r="R779" s="48">
        <v>1886255920</v>
      </c>
      <c r="S779" s="33"/>
      <c r="T779" s="44">
        <v>15000000</v>
      </c>
      <c r="U779" s="48">
        <v>24000000</v>
      </c>
      <c r="V779" s="33"/>
      <c r="W779" s="52"/>
      <c r="X779" s="52">
        <f t="shared" ref="X779:Y779" si="773">M779-S779</f>
        <v>0</v>
      </c>
      <c r="Y779" s="52">
        <f t="shared" si="773"/>
        <v>0</v>
      </c>
      <c r="Z779" s="52">
        <f t="shared" si="770"/>
        <v>48000000</v>
      </c>
      <c r="AA779" s="54"/>
      <c r="AB779" s="74" t="s">
        <v>1222</v>
      </c>
    </row>
    <row r="780" spans="1:45" ht="40.5" x14ac:dyDescent="0.25">
      <c r="A780" s="33" t="s">
        <v>88</v>
      </c>
      <c r="B780" s="42">
        <v>749</v>
      </c>
      <c r="C780" s="33" t="s">
        <v>67</v>
      </c>
      <c r="D780" s="33" t="s">
        <v>3667</v>
      </c>
      <c r="E780" s="32"/>
      <c r="F780" s="33" t="s">
        <v>3668</v>
      </c>
      <c r="G780" s="32"/>
      <c r="H780" s="32"/>
      <c r="I780" s="62" t="s">
        <v>3669</v>
      </c>
      <c r="J780" s="33" t="s">
        <v>43</v>
      </c>
      <c r="K780" s="33" t="s">
        <v>449</v>
      </c>
      <c r="L780" s="65">
        <v>1272966611</v>
      </c>
      <c r="M780" s="32"/>
      <c r="N780" s="65">
        <v>15000000</v>
      </c>
      <c r="O780" s="43"/>
      <c r="P780" s="43"/>
      <c r="Q780" s="48">
        <f t="shared" si="771"/>
        <v>1287966611</v>
      </c>
      <c r="R780" s="52">
        <v>1272966611</v>
      </c>
      <c r="S780" s="33"/>
      <c r="T780" s="44">
        <v>15000000</v>
      </c>
      <c r="U780" s="33"/>
      <c r="V780" s="33"/>
      <c r="W780" s="52"/>
      <c r="X780" s="52">
        <f t="shared" ref="X780:Y780" si="774">M780-S780</f>
        <v>0</v>
      </c>
      <c r="Y780" s="52">
        <f t="shared" si="774"/>
        <v>0</v>
      </c>
      <c r="Z780" s="52">
        <f t="shared" si="770"/>
        <v>0</v>
      </c>
      <c r="AA780" s="54"/>
      <c r="AB780" s="68"/>
    </row>
    <row r="781" spans="1:45" ht="31.5" x14ac:dyDescent="0.25">
      <c r="A781" s="33"/>
      <c r="B781" s="299">
        <v>750</v>
      </c>
      <c r="C781" s="299" t="s">
        <v>67</v>
      </c>
      <c r="D781" s="33"/>
      <c r="E781" s="32"/>
      <c r="F781" s="299" t="s">
        <v>1218</v>
      </c>
      <c r="G781" s="32"/>
      <c r="H781" s="32"/>
      <c r="I781" s="312" t="s">
        <v>1220</v>
      </c>
      <c r="J781" s="299" t="s">
        <v>43</v>
      </c>
      <c r="K781" s="299" t="s">
        <v>1221</v>
      </c>
      <c r="L781" s="65"/>
      <c r="M781" s="32"/>
      <c r="N781" s="65"/>
      <c r="O781" s="43" t="s">
        <v>1199</v>
      </c>
      <c r="P781" s="43">
        <v>24000000</v>
      </c>
      <c r="Q781" s="48"/>
      <c r="R781" s="52"/>
      <c r="S781" s="33"/>
      <c r="T781" s="44"/>
      <c r="U781" s="48">
        <v>24000000</v>
      </c>
      <c r="V781" s="33"/>
      <c r="W781" s="52"/>
      <c r="X781" s="52"/>
      <c r="Y781" s="52"/>
      <c r="Z781" s="52">
        <f t="shared" si="770"/>
        <v>0</v>
      </c>
      <c r="AA781" s="54"/>
      <c r="AB781" s="68"/>
    </row>
    <row r="782" spans="1:45" ht="31.5" x14ac:dyDescent="0.25">
      <c r="A782" s="88" t="s">
        <v>275</v>
      </c>
      <c r="B782" s="290"/>
      <c r="C782" s="290"/>
      <c r="D782" s="88" t="s">
        <v>1215</v>
      </c>
      <c r="E782" s="88" t="s">
        <v>1216</v>
      </c>
      <c r="F782" s="290"/>
      <c r="G782" s="88" t="s">
        <v>1219</v>
      </c>
      <c r="H782" s="90"/>
      <c r="I782" s="290"/>
      <c r="J782" s="290"/>
      <c r="K782" s="290"/>
      <c r="L782" s="108">
        <v>1467836032</v>
      </c>
      <c r="M782" s="115">
        <v>1187425264</v>
      </c>
      <c r="N782" s="108">
        <v>15000000</v>
      </c>
      <c r="O782" s="92" t="s">
        <v>3117</v>
      </c>
      <c r="P782" s="84">
        <v>48000000</v>
      </c>
      <c r="Q782" s="91">
        <f t="shared" ref="Q782:Q790" si="775">L782+M782+N782+P782</f>
        <v>2718261296</v>
      </c>
      <c r="R782" s="91">
        <v>1467836032</v>
      </c>
      <c r="S782" s="91">
        <v>1187425264</v>
      </c>
      <c r="T782" s="93">
        <v>15000000</v>
      </c>
      <c r="U782" s="91"/>
      <c r="V782" s="88"/>
      <c r="W782" s="94"/>
      <c r="X782" s="94">
        <f t="shared" ref="X782:Y782" si="776">M782-S782</f>
        <v>0</v>
      </c>
      <c r="Y782" s="94">
        <f t="shared" si="776"/>
        <v>0</v>
      </c>
      <c r="Z782" s="94">
        <f t="shared" si="770"/>
        <v>48000000</v>
      </c>
      <c r="AA782" s="95"/>
      <c r="AB782" s="96" t="s">
        <v>1290</v>
      </c>
      <c r="AC782" s="97"/>
      <c r="AD782" s="97"/>
      <c r="AE782" s="97"/>
      <c r="AF782" s="97"/>
      <c r="AG782" s="97"/>
      <c r="AH782" s="97"/>
      <c r="AI782" s="97"/>
      <c r="AJ782" s="97"/>
      <c r="AK782" s="97"/>
      <c r="AL782" s="97"/>
      <c r="AM782" s="97"/>
      <c r="AN782" s="97"/>
      <c r="AO782" s="97"/>
      <c r="AP782" s="97"/>
      <c r="AQ782" s="97"/>
      <c r="AR782" s="97"/>
      <c r="AS782" s="97"/>
    </row>
    <row r="783" spans="1:45" ht="31.5" x14ac:dyDescent="0.25">
      <c r="A783" s="33" t="s">
        <v>88</v>
      </c>
      <c r="B783" s="42">
        <v>751</v>
      </c>
      <c r="C783" s="33" t="s">
        <v>67</v>
      </c>
      <c r="D783" s="33" t="s">
        <v>1927</v>
      </c>
      <c r="E783" s="32"/>
      <c r="F783" s="33" t="s">
        <v>1928</v>
      </c>
      <c r="G783" s="32"/>
      <c r="H783" s="32"/>
      <c r="I783" s="62" t="s">
        <v>1929</v>
      </c>
      <c r="J783" s="33" t="s">
        <v>43</v>
      </c>
      <c r="K783" s="33" t="s">
        <v>1930</v>
      </c>
      <c r="L783" s="65">
        <v>923490256</v>
      </c>
      <c r="M783" s="32"/>
      <c r="N783" s="65">
        <v>15000000</v>
      </c>
      <c r="O783" s="43" t="s">
        <v>1685</v>
      </c>
      <c r="P783" s="69">
        <v>48000000</v>
      </c>
      <c r="Q783" s="48">
        <f t="shared" si="775"/>
        <v>986490256</v>
      </c>
      <c r="R783" s="52">
        <v>923490256</v>
      </c>
      <c r="S783" s="33"/>
      <c r="T783" s="44">
        <v>15000000</v>
      </c>
      <c r="U783" s="48">
        <v>48000000</v>
      </c>
      <c r="V783" s="33"/>
      <c r="W783" s="52"/>
      <c r="X783" s="52">
        <f t="shared" ref="X783:Y783" si="777">M783-S783</f>
        <v>0</v>
      </c>
      <c r="Y783" s="52">
        <f t="shared" si="777"/>
        <v>0</v>
      </c>
      <c r="Z783" s="52">
        <f t="shared" si="770"/>
        <v>0</v>
      </c>
      <c r="AA783" s="54"/>
      <c r="AB783" s="74"/>
    </row>
    <row r="784" spans="1:45" ht="40.5" x14ac:dyDescent="0.25">
      <c r="A784" s="88" t="s">
        <v>88</v>
      </c>
      <c r="B784" s="89">
        <v>751</v>
      </c>
      <c r="C784" s="88" t="s">
        <v>67</v>
      </c>
      <c r="D784" s="88" t="s">
        <v>1927</v>
      </c>
      <c r="E784" s="90"/>
      <c r="F784" s="88" t="s">
        <v>1928</v>
      </c>
      <c r="G784" s="90"/>
      <c r="H784" s="90"/>
      <c r="I784" s="107" t="s">
        <v>3670</v>
      </c>
      <c r="J784" s="88" t="s">
        <v>43</v>
      </c>
      <c r="K784" s="88" t="s">
        <v>1930</v>
      </c>
      <c r="L784" s="108">
        <v>923490256</v>
      </c>
      <c r="M784" s="90"/>
      <c r="N784" s="108">
        <v>15000000</v>
      </c>
      <c r="O784" s="92" t="s">
        <v>853</v>
      </c>
      <c r="P784" s="84">
        <v>48000000</v>
      </c>
      <c r="Q784" s="91">
        <f t="shared" si="775"/>
        <v>986490256</v>
      </c>
      <c r="R784" s="94">
        <v>923490256</v>
      </c>
      <c r="S784" s="88"/>
      <c r="T784" s="93">
        <v>15000000</v>
      </c>
      <c r="U784" s="91"/>
      <c r="V784" s="88"/>
      <c r="W784" s="94"/>
      <c r="X784" s="94">
        <f t="shared" ref="X784:Y784" si="778">M784-S784</f>
        <v>0</v>
      </c>
      <c r="Y784" s="94">
        <f t="shared" si="778"/>
        <v>0</v>
      </c>
      <c r="Z784" s="94">
        <f t="shared" si="770"/>
        <v>48000000</v>
      </c>
      <c r="AA784" s="95"/>
      <c r="AB784" s="96" t="s">
        <v>2866</v>
      </c>
      <c r="AC784" s="97"/>
      <c r="AD784" s="97"/>
      <c r="AE784" s="97"/>
      <c r="AF784" s="97"/>
      <c r="AG784" s="97"/>
      <c r="AH784" s="97"/>
      <c r="AI784" s="97"/>
      <c r="AJ784" s="97"/>
      <c r="AK784" s="97"/>
      <c r="AL784" s="97"/>
      <c r="AM784" s="97"/>
      <c r="AN784" s="97"/>
      <c r="AO784" s="97"/>
      <c r="AP784" s="97"/>
      <c r="AQ784" s="97"/>
      <c r="AR784" s="97"/>
      <c r="AS784" s="97"/>
    </row>
    <row r="785" spans="1:45" ht="81" x14ac:dyDescent="0.25">
      <c r="A785" s="33" t="s">
        <v>60</v>
      </c>
      <c r="B785" s="42">
        <v>752</v>
      </c>
      <c r="C785" s="33" t="s">
        <v>67</v>
      </c>
      <c r="D785" s="33" t="s">
        <v>3671</v>
      </c>
      <c r="E785" s="32"/>
      <c r="F785" s="33" t="s">
        <v>3672</v>
      </c>
      <c r="G785" s="33" t="s">
        <v>3673</v>
      </c>
      <c r="H785" s="32"/>
      <c r="I785" s="62" t="s">
        <v>3674</v>
      </c>
      <c r="J785" s="33" t="s">
        <v>43</v>
      </c>
      <c r="K785" s="33" t="s">
        <v>3675</v>
      </c>
      <c r="L785" s="65">
        <v>10997534236</v>
      </c>
      <c r="M785" s="32"/>
      <c r="N785" s="65">
        <v>15000000</v>
      </c>
      <c r="O785" s="43"/>
      <c r="P785" s="43"/>
      <c r="Q785" s="48">
        <f t="shared" si="775"/>
        <v>11012534236</v>
      </c>
      <c r="R785" s="48">
        <v>10997534236</v>
      </c>
      <c r="S785" s="33"/>
      <c r="T785" s="66"/>
      <c r="U785" s="33"/>
      <c r="V785" s="33"/>
      <c r="W785" s="52"/>
      <c r="X785" s="52">
        <f t="shared" ref="X785:Y785" si="779">M785-S785</f>
        <v>0</v>
      </c>
      <c r="Y785" s="52">
        <f t="shared" si="779"/>
        <v>15000000</v>
      </c>
      <c r="Z785" s="52">
        <f t="shared" si="770"/>
        <v>0</v>
      </c>
      <c r="AA785" s="54"/>
      <c r="AB785" s="68"/>
    </row>
    <row r="786" spans="1:45" ht="40.5" x14ac:dyDescent="0.25">
      <c r="A786" s="88" t="s">
        <v>88</v>
      </c>
      <c r="B786" s="89">
        <v>753</v>
      </c>
      <c r="C786" s="88" t="s">
        <v>67</v>
      </c>
      <c r="D786" s="88" t="s">
        <v>832</v>
      </c>
      <c r="E786" s="88" t="s">
        <v>625</v>
      </c>
      <c r="F786" s="88" t="s">
        <v>834</v>
      </c>
      <c r="G786" s="90"/>
      <c r="H786" s="90"/>
      <c r="I786" s="107" t="s">
        <v>836</v>
      </c>
      <c r="J786" s="88" t="s">
        <v>43</v>
      </c>
      <c r="K786" s="88" t="s">
        <v>838</v>
      </c>
      <c r="L786" s="108">
        <v>10000000</v>
      </c>
      <c r="M786" s="115">
        <v>1047274020</v>
      </c>
      <c r="N786" s="108">
        <v>15000000</v>
      </c>
      <c r="O786" s="92" t="s">
        <v>823</v>
      </c>
      <c r="P786" s="84">
        <v>60000000</v>
      </c>
      <c r="Q786" s="91">
        <f t="shared" si="775"/>
        <v>1132274020</v>
      </c>
      <c r="R786" s="91">
        <v>10000000</v>
      </c>
      <c r="S786" s="91">
        <v>1047274020</v>
      </c>
      <c r="T786" s="93">
        <v>15000000</v>
      </c>
      <c r="U786" s="88"/>
      <c r="V786" s="88"/>
      <c r="W786" s="94"/>
      <c r="X786" s="94">
        <f t="shared" ref="X786:Y786" si="780">M786-S786</f>
        <v>0</v>
      </c>
      <c r="Y786" s="94">
        <f t="shared" si="780"/>
        <v>0</v>
      </c>
      <c r="Z786" s="94">
        <f t="shared" si="770"/>
        <v>60000000</v>
      </c>
      <c r="AA786" s="95"/>
      <c r="AB786" s="96" t="s">
        <v>3676</v>
      </c>
      <c r="AC786" s="97"/>
      <c r="AD786" s="97"/>
      <c r="AE786" s="97"/>
      <c r="AF786" s="97"/>
      <c r="AG786" s="97"/>
      <c r="AH786" s="97"/>
      <c r="AI786" s="97"/>
      <c r="AJ786" s="97"/>
      <c r="AK786" s="97"/>
      <c r="AL786" s="97"/>
      <c r="AM786" s="97"/>
      <c r="AN786" s="97"/>
      <c r="AO786" s="97"/>
      <c r="AP786" s="97"/>
      <c r="AQ786" s="97"/>
      <c r="AR786" s="97"/>
      <c r="AS786" s="97"/>
    </row>
    <row r="787" spans="1:45" ht="40.5" x14ac:dyDescent="0.25">
      <c r="A787" s="33" t="s">
        <v>88</v>
      </c>
      <c r="B787" s="42">
        <v>754</v>
      </c>
      <c r="C787" s="33" t="s">
        <v>67</v>
      </c>
      <c r="D787" s="33" t="s">
        <v>3677</v>
      </c>
      <c r="E787" s="32"/>
      <c r="F787" s="33" t="s">
        <v>3678</v>
      </c>
      <c r="G787" s="33" t="s">
        <v>3679</v>
      </c>
      <c r="H787" s="32"/>
      <c r="I787" s="62" t="s">
        <v>3680</v>
      </c>
      <c r="J787" s="33" t="s">
        <v>43</v>
      </c>
      <c r="K787" s="33" t="s">
        <v>3681</v>
      </c>
      <c r="L787" s="65">
        <v>2463725120</v>
      </c>
      <c r="M787" s="32"/>
      <c r="N787" s="65">
        <v>15000000</v>
      </c>
      <c r="O787" s="43"/>
      <c r="P787" s="43"/>
      <c r="Q787" s="48">
        <f t="shared" si="775"/>
        <v>2478725120</v>
      </c>
      <c r="R787" s="48">
        <v>2463725120</v>
      </c>
      <c r="S787" s="33"/>
      <c r="T787" s="44">
        <v>15000000</v>
      </c>
      <c r="U787" s="33"/>
      <c r="V787" s="33"/>
      <c r="W787" s="52"/>
      <c r="X787" s="52">
        <f t="shared" ref="X787:Y787" si="781">M787-S787</f>
        <v>0</v>
      </c>
      <c r="Y787" s="52">
        <f t="shared" si="781"/>
        <v>0</v>
      </c>
      <c r="Z787" s="52">
        <f t="shared" si="770"/>
        <v>0</v>
      </c>
      <c r="AA787" s="54"/>
      <c r="AB787" s="68"/>
    </row>
    <row r="788" spans="1:45" ht="40.5" x14ac:dyDescent="0.25">
      <c r="A788" s="33" t="s">
        <v>35</v>
      </c>
      <c r="B788" s="42">
        <v>755</v>
      </c>
      <c r="C788" s="33" t="s">
        <v>67</v>
      </c>
      <c r="D788" s="33" t="s">
        <v>3682</v>
      </c>
      <c r="E788" s="32"/>
      <c r="F788" s="33" t="s">
        <v>3683</v>
      </c>
      <c r="G788" s="32"/>
      <c r="H788" s="32"/>
      <c r="I788" s="62" t="s">
        <v>3684</v>
      </c>
      <c r="J788" s="33" t="s">
        <v>43</v>
      </c>
      <c r="K788" s="33" t="s">
        <v>3385</v>
      </c>
      <c r="L788" s="65">
        <v>1935531328</v>
      </c>
      <c r="M788" s="32"/>
      <c r="N788" s="65">
        <v>15000000</v>
      </c>
      <c r="O788" s="43"/>
      <c r="P788" s="43"/>
      <c r="Q788" s="48">
        <f t="shared" si="775"/>
        <v>1950531328</v>
      </c>
      <c r="R788" s="52">
        <v>1935531328</v>
      </c>
      <c r="S788" s="33"/>
      <c r="T788" s="44">
        <v>15000000</v>
      </c>
      <c r="U788" s="33"/>
      <c r="V788" s="33"/>
      <c r="W788" s="52"/>
      <c r="X788" s="52">
        <f t="shared" ref="X788:Y788" si="782">M788-S788</f>
        <v>0</v>
      </c>
      <c r="Y788" s="52">
        <f t="shared" si="782"/>
        <v>0</v>
      </c>
      <c r="Z788" s="52">
        <f t="shared" si="770"/>
        <v>0</v>
      </c>
      <c r="AA788" s="54"/>
      <c r="AB788" s="68"/>
    </row>
    <row r="789" spans="1:45" ht="31.5" x14ac:dyDescent="0.25">
      <c r="A789" s="33" t="s">
        <v>88</v>
      </c>
      <c r="B789" s="299">
        <v>756</v>
      </c>
      <c r="C789" s="299" t="s">
        <v>67</v>
      </c>
      <c r="D789" s="33" t="s">
        <v>216</v>
      </c>
      <c r="E789" s="32"/>
      <c r="F789" s="299" t="s">
        <v>219</v>
      </c>
      <c r="G789" s="32"/>
      <c r="H789" s="32"/>
      <c r="I789" s="312" t="s">
        <v>221</v>
      </c>
      <c r="J789" s="299" t="s">
        <v>43</v>
      </c>
      <c r="K789" s="299" t="s">
        <v>223</v>
      </c>
      <c r="L789" s="65">
        <v>10000000</v>
      </c>
      <c r="M789" s="32"/>
      <c r="N789" s="65">
        <v>15000000</v>
      </c>
      <c r="O789" s="43" t="s">
        <v>201</v>
      </c>
      <c r="P789" s="69">
        <v>24000000</v>
      </c>
      <c r="Q789" s="48">
        <f t="shared" si="775"/>
        <v>49000000</v>
      </c>
      <c r="R789" s="48">
        <v>10000000</v>
      </c>
      <c r="S789" s="33"/>
      <c r="T789" s="44">
        <v>15000000</v>
      </c>
      <c r="U789" s="48">
        <v>24000000</v>
      </c>
      <c r="V789" s="33"/>
      <c r="W789" s="52"/>
      <c r="X789" s="52">
        <f t="shared" ref="X789:Y789" si="783">M789-S789</f>
        <v>0</v>
      </c>
      <c r="Y789" s="52">
        <f t="shared" si="783"/>
        <v>0</v>
      </c>
      <c r="Z789" s="52">
        <f t="shared" si="770"/>
        <v>0</v>
      </c>
      <c r="AA789" s="54"/>
      <c r="AB789" s="74"/>
    </row>
    <row r="790" spans="1:45" ht="31.5" x14ac:dyDescent="0.25">
      <c r="A790" s="88" t="s">
        <v>88</v>
      </c>
      <c r="B790" s="290"/>
      <c r="C790" s="290"/>
      <c r="D790" s="88" t="s">
        <v>216</v>
      </c>
      <c r="E790" s="90"/>
      <c r="F790" s="290"/>
      <c r="G790" s="90"/>
      <c r="H790" s="90"/>
      <c r="I790" s="290"/>
      <c r="J790" s="290"/>
      <c r="K790" s="290"/>
      <c r="L790" s="108">
        <v>10000000</v>
      </c>
      <c r="M790" s="90"/>
      <c r="N790" s="108">
        <v>15000000</v>
      </c>
      <c r="O790" s="92" t="s">
        <v>3685</v>
      </c>
      <c r="P790" s="84">
        <v>48000000</v>
      </c>
      <c r="Q790" s="91">
        <f t="shared" si="775"/>
        <v>73000000</v>
      </c>
      <c r="R790" s="91">
        <v>10000000</v>
      </c>
      <c r="S790" s="88"/>
      <c r="T790" s="93">
        <v>15000000</v>
      </c>
      <c r="U790" s="91"/>
      <c r="V790" s="88"/>
      <c r="W790" s="94"/>
      <c r="X790" s="94">
        <f t="shared" ref="X790:Y790" si="784">M790-S790</f>
        <v>0</v>
      </c>
      <c r="Y790" s="94">
        <f t="shared" si="784"/>
        <v>0</v>
      </c>
      <c r="Z790" s="94">
        <f t="shared" si="770"/>
        <v>48000000</v>
      </c>
      <c r="AA790" s="95"/>
      <c r="AB790" s="96" t="s">
        <v>2866</v>
      </c>
      <c r="AC790" s="97"/>
      <c r="AD790" s="97"/>
      <c r="AE790" s="97"/>
      <c r="AF790" s="97"/>
      <c r="AG790" s="97"/>
      <c r="AH790" s="97"/>
      <c r="AI790" s="97"/>
      <c r="AJ790" s="97"/>
      <c r="AK790" s="97"/>
      <c r="AL790" s="97"/>
      <c r="AM790" s="97"/>
      <c r="AN790" s="97"/>
      <c r="AO790" s="97"/>
      <c r="AP790" s="97"/>
      <c r="AQ790" s="97"/>
      <c r="AR790" s="97"/>
      <c r="AS790" s="97"/>
    </row>
    <row r="791" spans="1:45" ht="45" customHeight="1" x14ac:dyDescent="0.25">
      <c r="A791" s="33"/>
      <c r="B791" s="299">
        <v>757</v>
      </c>
      <c r="C791" s="299" t="s">
        <v>67</v>
      </c>
      <c r="D791" s="33"/>
      <c r="E791" s="32"/>
      <c r="F791" s="299" t="s">
        <v>1004</v>
      </c>
      <c r="G791" s="32"/>
      <c r="H791" s="32"/>
      <c r="I791" s="312" t="s">
        <v>3686</v>
      </c>
      <c r="J791" s="299" t="s">
        <v>43</v>
      </c>
      <c r="K791" s="299" t="s">
        <v>1007</v>
      </c>
      <c r="L791" s="65"/>
      <c r="M791" s="32"/>
      <c r="N791" s="65"/>
      <c r="O791" s="43" t="s">
        <v>3687</v>
      </c>
      <c r="P791" s="69">
        <v>24000000</v>
      </c>
      <c r="Q791" s="48"/>
      <c r="R791" s="48"/>
      <c r="S791" s="33"/>
      <c r="T791" s="44"/>
      <c r="U791" s="48">
        <v>24000000</v>
      </c>
      <c r="V791" s="33"/>
      <c r="W791" s="52"/>
      <c r="X791" s="52"/>
      <c r="Y791" s="52"/>
      <c r="Z791" s="52">
        <f t="shared" si="770"/>
        <v>0</v>
      </c>
      <c r="AA791" s="54"/>
      <c r="AB791" s="74"/>
    </row>
    <row r="792" spans="1:45" ht="54" customHeight="1" x14ac:dyDescent="0.25">
      <c r="A792" s="33" t="s">
        <v>275</v>
      </c>
      <c r="B792" s="290"/>
      <c r="C792" s="290"/>
      <c r="D792" s="33" t="s">
        <v>1000</v>
      </c>
      <c r="E792" s="33" t="s">
        <v>1002</v>
      </c>
      <c r="F792" s="290"/>
      <c r="G792" s="33" t="s">
        <v>1005</v>
      </c>
      <c r="H792" s="32"/>
      <c r="I792" s="290"/>
      <c r="J792" s="290"/>
      <c r="K792" s="290"/>
      <c r="L792" s="65">
        <v>1842294840</v>
      </c>
      <c r="M792" s="65">
        <v>866576480</v>
      </c>
      <c r="N792" s="65">
        <v>15000000</v>
      </c>
      <c r="O792" s="33" t="s">
        <v>1965</v>
      </c>
      <c r="P792" s="48">
        <v>48000000</v>
      </c>
      <c r="Q792" s="48">
        <f t="shared" ref="Q792:Q795" si="785">L792+M792+N792+P792</f>
        <v>2771871320</v>
      </c>
      <c r="R792" s="48">
        <v>1842294840</v>
      </c>
      <c r="S792" s="48">
        <v>866576480</v>
      </c>
      <c r="T792" s="44">
        <v>15000000</v>
      </c>
      <c r="U792" s="48"/>
      <c r="V792" s="33"/>
      <c r="W792" s="52"/>
      <c r="X792" s="52">
        <f t="shared" ref="X792:Y792" si="786">M792-S792</f>
        <v>0</v>
      </c>
      <c r="Y792" s="52">
        <f t="shared" si="786"/>
        <v>0</v>
      </c>
      <c r="Z792" s="52">
        <f t="shared" si="770"/>
        <v>48000000</v>
      </c>
      <c r="AA792" s="54"/>
      <c r="AB792" s="75"/>
    </row>
    <row r="793" spans="1:45" ht="60.75" x14ac:dyDescent="0.25">
      <c r="A793" s="33" t="s">
        <v>60</v>
      </c>
      <c r="B793" s="42">
        <v>758</v>
      </c>
      <c r="C793" s="33" t="s">
        <v>67</v>
      </c>
      <c r="D793" s="33" t="s">
        <v>3688</v>
      </c>
      <c r="E793" s="32"/>
      <c r="F793" s="33" t="s">
        <v>3689</v>
      </c>
      <c r="G793" s="33" t="s">
        <v>1861</v>
      </c>
      <c r="H793" s="32"/>
      <c r="I793" s="62" t="s">
        <v>3690</v>
      </c>
      <c r="J793" s="33" t="s">
        <v>43</v>
      </c>
      <c r="K793" s="33" t="s">
        <v>3691</v>
      </c>
      <c r="L793" s="65">
        <v>5689097581</v>
      </c>
      <c r="M793" s="32"/>
      <c r="N793" s="65">
        <v>15000000</v>
      </c>
      <c r="O793" s="43"/>
      <c r="P793" s="43"/>
      <c r="Q793" s="48">
        <f t="shared" si="785"/>
        <v>5704097581</v>
      </c>
      <c r="R793" s="48">
        <v>5689097581</v>
      </c>
      <c r="S793" s="33"/>
      <c r="T793" s="44">
        <v>15000000</v>
      </c>
      <c r="U793" s="33"/>
      <c r="V793" s="33"/>
      <c r="W793" s="52"/>
      <c r="X793" s="52">
        <f t="shared" ref="X793:Y793" si="787">M793-S793</f>
        <v>0</v>
      </c>
      <c r="Y793" s="52">
        <f t="shared" si="787"/>
        <v>0</v>
      </c>
      <c r="Z793" s="52">
        <f t="shared" si="770"/>
        <v>0</v>
      </c>
      <c r="AA793" s="54"/>
      <c r="AB793" s="68"/>
    </row>
    <row r="794" spans="1:45" ht="60.75" x14ac:dyDescent="0.25">
      <c r="A794" s="33" t="s">
        <v>52</v>
      </c>
      <c r="B794" s="42">
        <v>759</v>
      </c>
      <c r="C794" s="33" t="s">
        <v>67</v>
      </c>
      <c r="D794" s="33" t="s">
        <v>3693</v>
      </c>
      <c r="E794" s="32"/>
      <c r="F794" s="33" t="s">
        <v>3694</v>
      </c>
      <c r="G794" s="32"/>
      <c r="H794" s="32"/>
      <c r="I794" s="62" t="s">
        <v>3695</v>
      </c>
      <c r="J794" s="33" t="s">
        <v>43</v>
      </c>
      <c r="K794" s="33" t="s">
        <v>3696</v>
      </c>
      <c r="L794" s="65">
        <v>2504835588</v>
      </c>
      <c r="M794" s="32"/>
      <c r="N794" s="65">
        <v>15000000</v>
      </c>
      <c r="O794" s="43"/>
      <c r="P794" s="43"/>
      <c r="Q794" s="48">
        <f t="shared" si="785"/>
        <v>2519835588</v>
      </c>
      <c r="R794" s="48">
        <v>2504835588</v>
      </c>
      <c r="S794" s="33"/>
      <c r="T794" s="44">
        <v>15000000</v>
      </c>
      <c r="U794" s="33"/>
      <c r="V794" s="33"/>
      <c r="W794" s="52"/>
      <c r="X794" s="52">
        <f t="shared" ref="X794:Y794" si="788">M794-S794</f>
        <v>0</v>
      </c>
      <c r="Y794" s="52">
        <f t="shared" si="788"/>
        <v>0</v>
      </c>
      <c r="Z794" s="52">
        <f t="shared" si="770"/>
        <v>0</v>
      </c>
      <c r="AA794" s="54"/>
      <c r="AB794" s="68"/>
    </row>
    <row r="795" spans="1:45" ht="40.5" x14ac:dyDescent="0.25">
      <c r="A795" s="33" t="s">
        <v>35</v>
      </c>
      <c r="B795" s="42">
        <v>760</v>
      </c>
      <c r="C795" s="33" t="s">
        <v>67</v>
      </c>
      <c r="D795" s="33" t="s">
        <v>3697</v>
      </c>
      <c r="E795" s="32"/>
      <c r="F795" s="33" t="s">
        <v>3698</v>
      </c>
      <c r="G795" s="32"/>
      <c r="H795" s="32"/>
      <c r="I795" s="62" t="s">
        <v>479</v>
      </c>
      <c r="J795" s="33" t="s">
        <v>43</v>
      </c>
      <c r="K795" s="33" t="s">
        <v>82</v>
      </c>
      <c r="L795" s="65">
        <v>851472352</v>
      </c>
      <c r="M795" s="32"/>
      <c r="N795" s="65">
        <v>15000000</v>
      </c>
      <c r="O795" s="43"/>
      <c r="P795" s="43"/>
      <c r="Q795" s="48">
        <f t="shared" si="785"/>
        <v>866472352</v>
      </c>
      <c r="R795" s="48">
        <v>851472352</v>
      </c>
      <c r="S795" s="33"/>
      <c r="T795" s="44">
        <v>15000000</v>
      </c>
      <c r="U795" s="33"/>
      <c r="V795" s="33"/>
      <c r="W795" s="52"/>
      <c r="X795" s="52">
        <f t="shared" ref="X795:Y795" si="789">M795-S795</f>
        <v>0</v>
      </c>
      <c r="Y795" s="52">
        <f t="shared" si="789"/>
        <v>0</v>
      </c>
      <c r="Z795" s="52">
        <f t="shared" si="770"/>
        <v>0</v>
      </c>
      <c r="AA795" s="54"/>
      <c r="AB795" s="68"/>
    </row>
    <row r="796" spans="1:45" ht="36.75" customHeight="1" x14ac:dyDescent="0.25">
      <c r="A796" s="33"/>
      <c r="B796" s="299">
        <v>761</v>
      </c>
      <c r="C796" s="299" t="s">
        <v>67</v>
      </c>
      <c r="D796" s="33"/>
      <c r="E796" s="32"/>
      <c r="F796" s="309" t="s">
        <v>467</v>
      </c>
      <c r="G796" s="32"/>
      <c r="H796" s="32"/>
      <c r="I796" s="312" t="s">
        <v>468</v>
      </c>
      <c r="J796" s="309" t="s">
        <v>43</v>
      </c>
      <c r="K796" s="299" t="s">
        <v>82</v>
      </c>
      <c r="L796" s="65"/>
      <c r="M796" s="32"/>
      <c r="N796" s="65"/>
      <c r="O796" s="43" t="s">
        <v>3700</v>
      </c>
      <c r="P796" s="69">
        <v>24000000</v>
      </c>
      <c r="Q796" s="69"/>
      <c r="R796" s="69"/>
      <c r="S796" s="69"/>
      <c r="T796" s="69"/>
      <c r="U796" s="69">
        <v>24000000</v>
      </c>
      <c r="V796" s="69"/>
      <c r="W796" s="69"/>
      <c r="X796" s="69"/>
      <c r="Y796" s="69"/>
      <c r="Z796" s="69">
        <f t="shared" si="770"/>
        <v>0</v>
      </c>
      <c r="AA796" s="54"/>
      <c r="AB796" s="68"/>
    </row>
    <row r="797" spans="1:45" ht="42" customHeight="1" x14ac:dyDescent="0.3">
      <c r="A797" s="43" t="s">
        <v>35</v>
      </c>
      <c r="B797" s="290"/>
      <c r="C797" s="290"/>
      <c r="D797" s="33" t="s">
        <v>465</v>
      </c>
      <c r="E797" s="54"/>
      <c r="F797" s="290"/>
      <c r="G797" s="54"/>
      <c r="H797" s="54"/>
      <c r="I797" s="290"/>
      <c r="J797" s="290"/>
      <c r="K797" s="290"/>
      <c r="L797" s="98">
        <v>1230286468</v>
      </c>
      <c r="M797" s="32"/>
      <c r="N797" s="65">
        <v>15000000</v>
      </c>
      <c r="O797" s="33" t="s">
        <v>3701</v>
      </c>
      <c r="P797" s="48">
        <v>48000000</v>
      </c>
      <c r="Q797" s="48">
        <f t="shared" ref="Q797:Q814" si="790">L797+M797+N797+P797</f>
        <v>1293286468</v>
      </c>
      <c r="R797" s="48">
        <v>1230286468</v>
      </c>
      <c r="S797" s="33"/>
      <c r="T797" s="44">
        <v>15000000</v>
      </c>
      <c r="U797" s="48">
        <v>0</v>
      </c>
      <c r="V797" s="33"/>
      <c r="W797" s="52"/>
      <c r="X797" s="52">
        <f t="shared" ref="X797:Y797" si="791">M797-S797</f>
        <v>0</v>
      </c>
      <c r="Y797" s="52">
        <f t="shared" si="791"/>
        <v>0</v>
      </c>
      <c r="Z797" s="52">
        <f t="shared" si="770"/>
        <v>48000000</v>
      </c>
      <c r="AA797" s="54"/>
      <c r="AB797" s="75" t="s">
        <v>3097</v>
      </c>
    </row>
    <row r="798" spans="1:45" ht="60.75" x14ac:dyDescent="0.25">
      <c r="A798" s="33" t="s">
        <v>52</v>
      </c>
      <c r="B798" s="42">
        <v>762</v>
      </c>
      <c r="C798" s="33" t="s">
        <v>67</v>
      </c>
      <c r="D798" s="33" t="s">
        <v>3702</v>
      </c>
      <c r="E798" s="33" t="s">
        <v>3703</v>
      </c>
      <c r="F798" s="33" t="s">
        <v>3704</v>
      </c>
      <c r="G798" s="32"/>
      <c r="H798" s="32"/>
      <c r="I798" s="62" t="s">
        <v>3705</v>
      </c>
      <c r="J798" s="33" t="s">
        <v>43</v>
      </c>
      <c r="K798" s="33" t="s">
        <v>82</v>
      </c>
      <c r="L798" s="65">
        <v>10000000</v>
      </c>
      <c r="M798" s="65">
        <v>570457608</v>
      </c>
      <c r="N798" s="65">
        <v>15000000</v>
      </c>
      <c r="O798" s="43"/>
      <c r="P798" s="43"/>
      <c r="Q798" s="48">
        <f t="shared" si="790"/>
        <v>595457608</v>
      </c>
      <c r="R798" s="48">
        <v>10000000</v>
      </c>
      <c r="S798" s="48">
        <v>570457608</v>
      </c>
      <c r="T798" s="44">
        <v>15000000</v>
      </c>
      <c r="U798" s="33"/>
      <c r="V798" s="33"/>
      <c r="W798" s="52"/>
      <c r="X798" s="52">
        <f t="shared" ref="X798:Y798" si="792">M798-S798</f>
        <v>0</v>
      </c>
      <c r="Y798" s="52">
        <f t="shared" si="792"/>
        <v>0</v>
      </c>
      <c r="Z798" s="52">
        <f t="shared" si="770"/>
        <v>0</v>
      </c>
      <c r="AA798" s="54"/>
      <c r="AB798" s="68"/>
    </row>
    <row r="799" spans="1:45" ht="60.75" x14ac:dyDescent="0.25">
      <c r="A799" s="33" t="s">
        <v>88</v>
      </c>
      <c r="B799" s="42">
        <v>763</v>
      </c>
      <c r="C799" s="33" t="s">
        <v>67</v>
      </c>
      <c r="D799" s="33" t="s">
        <v>1846</v>
      </c>
      <c r="E799" s="32"/>
      <c r="F799" s="33" t="s">
        <v>1848</v>
      </c>
      <c r="G799" s="32"/>
      <c r="H799" s="32"/>
      <c r="I799" s="62" t="s">
        <v>1849</v>
      </c>
      <c r="J799" s="33" t="s">
        <v>43</v>
      </c>
      <c r="K799" s="33" t="s">
        <v>1850</v>
      </c>
      <c r="L799" s="65">
        <v>2676184080</v>
      </c>
      <c r="M799" s="32"/>
      <c r="N799" s="65">
        <v>15000000</v>
      </c>
      <c r="O799" s="43" t="s">
        <v>1822</v>
      </c>
      <c r="P799" s="69">
        <v>48000000</v>
      </c>
      <c r="Q799" s="48">
        <f t="shared" si="790"/>
        <v>2739184080</v>
      </c>
      <c r="R799" s="52">
        <v>2676184080</v>
      </c>
      <c r="S799" s="33"/>
      <c r="T799" s="66"/>
      <c r="U799" s="48">
        <v>48000000</v>
      </c>
      <c r="V799" s="33"/>
      <c r="W799" s="52"/>
      <c r="X799" s="52">
        <f t="shared" ref="X799:Y799" si="793">M799-S799</f>
        <v>0</v>
      </c>
      <c r="Y799" s="52">
        <f t="shared" si="793"/>
        <v>15000000</v>
      </c>
      <c r="Z799" s="52">
        <f t="shared" si="770"/>
        <v>0</v>
      </c>
      <c r="AA799" s="54"/>
      <c r="AB799" s="68"/>
    </row>
    <row r="800" spans="1:45" ht="40.5" x14ac:dyDescent="0.25">
      <c r="A800" s="33" t="s">
        <v>60</v>
      </c>
      <c r="B800" s="42">
        <v>764</v>
      </c>
      <c r="C800" s="33" t="s">
        <v>67</v>
      </c>
      <c r="D800" s="33" t="s">
        <v>1856</v>
      </c>
      <c r="E800" s="32"/>
      <c r="F800" s="33" t="s">
        <v>1857</v>
      </c>
      <c r="G800" s="32"/>
      <c r="H800" s="32"/>
      <c r="I800" s="62" t="s">
        <v>1858</v>
      </c>
      <c r="J800" s="33" t="s">
        <v>43</v>
      </c>
      <c r="K800" s="33" t="s">
        <v>1859</v>
      </c>
      <c r="L800" s="65">
        <v>907403290</v>
      </c>
      <c r="M800" s="32"/>
      <c r="N800" s="65">
        <v>15000000</v>
      </c>
      <c r="O800" s="43" t="s">
        <v>1822</v>
      </c>
      <c r="P800" s="69">
        <v>96000000</v>
      </c>
      <c r="Q800" s="48">
        <f t="shared" si="790"/>
        <v>1018403290</v>
      </c>
      <c r="R800" s="48">
        <v>907403290</v>
      </c>
      <c r="S800" s="33"/>
      <c r="T800" s="44">
        <v>15000000</v>
      </c>
      <c r="U800" s="48">
        <v>96000000</v>
      </c>
      <c r="V800" s="33"/>
      <c r="W800" s="52"/>
      <c r="X800" s="52">
        <f t="shared" ref="X800:Y800" si="794">M800-S800</f>
        <v>0</v>
      </c>
      <c r="Y800" s="52">
        <f t="shared" si="794"/>
        <v>0</v>
      </c>
      <c r="Z800" s="52">
        <f t="shared" si="770"/>
        <v>0</v>
      </c>
      <c r="AA800" s="54"/>
      <c r="AB800" s="68"/>
    </row>
    <row r="801" spans="1:45" ht="60.75" x14ac:dyDescent="0.25">
      <c r="A801" s="33" t="s">
        <v>60</v>
      </c>
      <c r="B801" s="42">
        <v>765</v>
      </c>
      <c r="C801" s="33" t="s">
        <v>67</v>
      </c>
      <c r="D801" s="33" t="s">
        <v>596</v>
      </c>
      <c r="E801" s="32"/>
      <c r="F801" s="33" t="s">
        <v>597</v>
      </c>
      <c r="G801" s="32"/>
      <c r="H801" s="32"/>
      <c r="I801" s="62" t="s">
        <v>3708</v>
      </c>
      <c r="J801" s="33" t="s">
        <v>43</v>
      </c>
      <c r="K801" s="33" t="s">
        <v>600</v>
      </c>
      <c r="L801" s="65">
        <v>5514125770</v>
      </c>
      <c r="M801" s="32"/>
      <c r="N801" s="65">
        <v>15000000</v>
      </c>
      <c r="O801" s="33" t="s">
        <v>584</v>
      </c>
      <c r="P801" s="48">
        <v>24000000</v>
      </c>
      <c r="Q801" s="48">
        <f t="shared" si="790"/>
        <v>5553125770</v>
      </c>
      <c r="R801" s="33"/>
      <c r="S801" s="33"/>
      <c r="T801" s="66"/>
      <c r="U801" s="33"/>
      <c r="V801" s="33"/>
      <c r="W801" s="52">
        <v>5514125770</v>
      </c>
      <c r="X801" s="52">
        <f t="shared" ref="X801:Y801" si="795">M801-S801</f>
        <v>0</v>
      </c>
      <c r="Y801" s="52">
        <f t="shared" si="795"/>
        <v>15000000</v>
      </c>
      <c r="Z801" s="52">
        <f t="shared" si="770"/>
        <v>24000000</v>
      </c>
      <c r="AA801" s="73">
        <v>5514125770</v>
      </c>
      <c r="AB801" s="75"/>
    </row>
    <row r="802" spans="1:45" ht="47.25" x14ac:dyDescent="0.25">
      <c r="A802" s="33" t="s">
        <v>60</v>
      </c>
      <c r="B802" s="42">
        <v>766</v>
      </c>
      <c r="C802" s="33" t="s">
        <v>67</v>
      </c>
      <c r="D802" s="33" t="s">
        <v>3709</v>
      </c>
      <c r="E802" s="32"/>
      <c r="F802" s="33" t="s">
        <v>3710</v>
      </c>
      <c r="G802" s="32"/>
      <c r="H802" s="32"/>
      <c r="I802" s="62" t="s">
        <v>3711</v>
      </c>
      <c r="J802" s="33" t="s">
        <v>43</v>
      </c>
      <c r="K802" s="33" t="s">
        <v>735</v>
      </c>
      <c r="L802" s="65">
        <v>10000000</v>
      </c>
      <c r="M802" s="32"/>
      <c r="N802" s="65">
        <v>15000000</v>
      </c>
      <c r="O802" s="43"/>
      <c r="P802" s="43"/>
      <c r="Q802" s="48">
        <f t="shared" si="790"/>
        <v>25000000</v>
      </c>
      <c r="R802" s="48">
        <v>10000000</v>
      </c>
      <c r="S802" s="33"/>
      <c r="T802" s="44">
        <v>15000000</v>
      </c>
      <c r="U802" s="33"/>
      <c r="V802" s="33"/>
      <c r="W802" s="52"/>
      <c r="X802" s="52">
        <f t="shared" ref="X802:Y802" si="796">M802-S802</f>
        <v>0</v>
      </c>
      <c r="Y802" s="52">
        <f t="shared" si="796"/>
        <v>0</v>
      </c>
      <c r="Z802" s="52">
        <f t="shared" si="770"/>
        <v>0</v>
      </c>
      <c r="AA802" s="54"/>
      <c r="AB802" s="68"/>
    </row>
    <row r="803" spans="1:45" ht="60.75" x14ac:dyDescent="0.25">
      <c r="A803" s="33" t="s">
        <v>60</v>
      </c>
      <c r="B803" s="42">
        <v>767</v>
      </c>
      <c r="C803" s="33" t="s">
        <v>67</v>
      </c>
      <c r="D803" s="33" t="s">
        <v>3712</v>
      </c>
      <c r="E803" s="32"/>
      <c r="F803" s="33" t="s">
        <v>3713</v>
      </c>
      <c r="G803" s="32"/>
      <c r="H803" s="32"/>
      <c r="I803" s="62" t="s">
        <v>3714</v>
      </c>
      <c r="J803" s="33" t="s">
        <v>43</v>
      </c>
      <c r="K803" s="33" t="s">
        <v>3715</v>
      </c>
      <c r="L803" s="65">
        <v>14658797865</v>
      </c>
      <c r="M803" s="32"/>
      <c r="N803" s="65">
        <v>15000000</v>
      </c>
      <c r="O803" s="43"/>
      <c r="P803" s="43"/>
      <c r="Q803" s="48">
        <f t="shared" si="790"/>
        <v>14673797865</v>
      </c>
      <c r="R803" s="33"/>
      <c r="S803" s="33"/>
      <c r="T803" s="66"/>
      <c r="U803" s="33"/>
      <c r="V803" s="33"/>
      <c r="W803" s="52">
        <v>14658797865</v>
      </c>
      <c r="X803" s="52">
        <f t="shared" ref="X803:Y803" si="797">M803-S803</f>
        <v>0</v>
      </c>
      <c r="Y803" s="52">
        <f t="shared" si="797"/>
        <v>15000000</v>
      </c>
      <c r="Z803" s="52">
        <f t="shared" si="770"/>
        <v>0</v>
      </c>
      <c r="AA803" s="69">
        <v>14658797865</v>
      </c>
      <c r="AB803" s="68"/>
    </row>
    <row r="804" spans="1:45" ht="31.5" x14ac:dyDescent="0.25">
      <c r="A804" s="88" t="s">
        <v>88</v>
      </c>
      <c r="B804" s="89">
        <v>768</v>
      </c>
      <c r="C804" s="88" t="s">
        <v>67</v>
      </c>
      <c r="D804" s="88" t="s">
        <v>842</v>
      </c>
      <c r="E804" s="88" t="s">
        <v>625</v>
      </c>
      <c r="F804" s="88" t="s">
        <v>843</v>
      </c>
      <c r="G804" s="90"/>
      <c r="H804" s="90"/>
      <c r="I804" s="107" t="s">
        <v>844</v>
      </c>
      <c r="J804" s="88" t="s">
        <v>43</v>
      </c>
      <c r="K804" s="88" t="s">
        <v>845</v>
      </c>
      <c r="L804" s="108">
        <v>10000000</v>
      </c>
      <c r="M804" s="115">
        <v>3051023772</v>
      </c>
      <c r="N804" s="108">
        <v>15000000</v>
      </c>
      <c r="O804" s="92" t="s">
        <v>823</v>
      </c>
      <c r="P804" s="84">
        <v>48000000</v>
      </c>
      <c r="Q804" s="91">
        <f t="shared" si="790"/>
        <v>3124023772</v>
      </c>
      <c r="R804" s="94">
        <v>10000000</v>
      </c>
      <c r="S804" s="91">
        <v>3051023772</v>
      </c>
      <c r="T804" s="93">
        <v>15000000</v>
      </c>
      <c r="U804" s="88"/>
      <c r="V804" s="88"/>
      <c r="W804" s="94"/>
      <c r="X804" s="94">
        <f t="shared" ref="X804:Y804" si="798">M804-S804</f>
        <v>0</v>
      </c>
      <c r="Y804" s="94">
        <f t="shared" si="798"/>
        <v>0</v>
      </c>
      <c r="Z804" s="94">
        <f t="shared" si="770"/>
        <v>48000000</v>
      </c>
      <c r="AA804" s="95"/>
      <c r="AB804" s="96" t="s">
        <v>1290</v>
      </c>
      <c r="AC804" s="97"/>
      <c r="AD804" s="97"/>
      <c r="AE804" s="97"/>
      <c r="AF804" s="97"/>
      <c r="AG804" s="97"/>
      <c r="AH804" s="97"/>
      <c r="AI804" s="97"/>
      <c r="AJ804" s="97"/>
      <c r="AK804" s="97"/>
      <c r="AL804" s="97"/>
      <c r="AM804" s="97"/>
      <c r="AN804" s="97"/>
      <c r="AO804" s="97"/>
      <c r="AP804" s="97"/>
      <c r="AQ804" s="97"/>
      <c r="AR804" s="97"/>
      <c r="AS804" s="97"/>
    </row>
    <row r="805" spans="1:45" ht="63" x14ac:dyDescent="0.25">
      <c r="A805" s="88" t="s">
        <v>275</v>
      </c>
      <c r="B805" s="89">
        <v>769</v>
      </c>
      <c r="C805" s="88" t="s">
        <v>67</v>
      </c>
      <c r="D805" s="88" t="s">
        <v>1591</v>
      </c>
      <c r="E805" s="88" t="s">
        <v>1592</v>
      </c>
      <c r="F805" s="88" t="s">
        <v>1593</v>
      </c>
      <c r="G805" s="88" t="s">
        <v>1594</v>
      </c>
      <c r="H805" s="90"/>
      <c r="I805" s="107" t="s">
        <v>1595</v>
      </c>
      <c r="J805" s="88" t="s">
        <v>43</v>
      </c>
      <c r="K805" s="88" t="s">
        <v>1596</v>
      </c>
      <c r="L805" s="108">
        <v>10000000</v>
      </c>
      <c r="M805" s="115">
        <v>446131840</v>
      </c>
      <c r="N805" s="108">
        <v>15000000</v>
      </c>
      <c r="O805" s="92" t="s">
        <v>1582</v>
      </c>
      <c r="P805" s="84">
        <v>72000000</v>
      </c>
      <c r="Q805" s="91">
        <f t="shared" si="790"/>
        <v>543131840</v>
      </c>
      <c r="R805" s="91">
        <v>10000000</v>
      </c>
      <c r="S805" s="91">
        <v>446131840</v>
      </c>
      <c r="T805" s="93">
        <v>15000000</v>
      </c>
      <c r="U805" s="91">
        <v>24000000</v>
      </c>
      <c r="V805" s="88"/>
      <c r="W805" s="94"/>
      <c r="X805" s="94">
        <f t="shared" ref="X805:Y805" si="799">M805-S805</f>
        <v>0</v>
      </c>
      <c r="Y805" s="94">
        <f t="shared" si="799"/>
        <v>0</v>
      </c>
      <c r="Z805" s="94">
        <f t="shared" si="770"/>
        <v>48000000</v>
      </c>
      <c r="AA805" s="95"/>
      <c r="AB805" s="96" t="s">
        <v>2866</v>
      </c>
      <c r="AC805" s="97"/>
      <c r="AD805" s="97"/>
      <c r="AE805" s="97"/>
      <c r="AF805" s="97"/>
      <c r="AG805" s="97"/>
      <c r="AH805" s="97"/>
      <c r="AI805" s="97"/>
      <c r="AJ805" s="97"/>
      <c r="AK805" s="97"/>
      <c r="AL805" s="97"/>
      <c r="AM805" s="97"/>
      <c r="AN805" s="97"/>
      <c r="AO805" s="97"/>
      <c r="AP805" s="97"/>
      <c r="AQ805" s="97"/>
      <c r="AR805" s="97"/>
      <c r="AS805" s="97"/>
    </row>
    <row r="806" spans="1:45" ht="31.5" x14ac:dyDescent="0.25">
      <c r="A806" s="33" t="s">
        <v>88</v>
      </c>
      <c r="B806" s="42">
        <v>770</v>
      </c>
      <c r="C806" s="33" t="s">
        <v>67</v>
      </c>
      <c r="D806" s="33" t="s">
        <v>3716</v>
      </c>
      <c r="E806" s="33" t="s">
        <v>3717</v>
      </c>
      <c r="F806" s="33" t="s">
        <v>3718</v>
      </c>
      <c r="G806" s="33" t="s">
        <v>3719</v>
      </c>
      <c r="H806" s="32"/>
      <c r="I806" s="62" t="s">
        <v>3720</v>
      </c>
      <c r="J806" s="33" t="s">
        <v>43</v>
      </c>
      <c r="K806" s="33" t="s">
        <v>3721</v>
      </c>
      <c r="L806" s="65">
        <v>3490863064</v>
      </c>
      <c r="M806" s="48">
        <v>10000000</v>
      </c>
      <c r="N806" s="65">
        <v>15000000</v>
      </c>
      <c r="O806" s="43"/>
      <c r="P806" s="43"/>
      <c r="Q806" s="48">
        <f t="shared" si="790"/>
        <v>3515863064</v>
      </c>
      <c r="R806" s="52">
        <v>3490863064</v>
      </c>
      <c r="S806" s="33"/>
      <c r="T806" s="66"/>
      <c r="U806" s="33"/>
      <c r="V806" s="33"/>
      <c r="W806" s="52"/>
      <c r="X806" s="52">
        <f t="shared" ref="X806:Y806" si="800">M806-S806</f>
        <v>10000000</v>
      </c>
      <c r="Y806" s="52">
        <f t="shared" si="800"/>
        <v>15000000</v>
      </c>
      <c r="Z806" s="52">
        <f t="shared" si="770"/>
        <v>0</v>
      </c>
      <c r="AA806" s="54"/>
      <c r="AB806" s="68"/>
    </row>
    <row r="807" spans="1:45" ht="60.75" x14ac:dyDescent="0.25">
      <c r="A807" s="33" t="s">
        <v>52</v>
      </c>
      <c r="B807" s="42">
        <v>771</v>
      </c>
      <c r="C807" s="33" t="s">
        <v>74</v>
      </c>
      <c r="D807" s="33" t="s">
        <v>3722</v>
      </c>
      <c r="E807" s="32"/>
      <c r="F807" s="33" t="s">
        <v>3723</v>
      </c>
      <c r="G807" s="32"/>
      <c r="H807" s="32"/>
      <c r="I807" s="62" t="s">
        <v>3724</v>
      </c>
      <c r="J807" s="33" t="s">
        <v>43</v>
      </c>
      <c r="K807" s="33" t="s">
        <v>3725</v>
      </c>
      <c r="L807" s="65">
        <v>2618310690</v>
      </c>
      <c r="M807" s="32"/>
      <c r="N807" s="65">
        <v>15000000</v>
      </c>
      <c r="O807" s="43"/>
      <c r="P807" s="43"/>
      <c r="Q807" s="48">
        <f t="shared" si="790"/>
        <v>2633310690</v>
      </c>
      <c r="R807" s="48">
        <v>2618310690</v>
      </c>
      <c r="S807" s="33"/>
      <c r="T807" s="44">
        <v>15000000</v>
      </c>
      <c r="U807" s="33"/>
      <c r="V807" s="33"/>
      <c r="W807" s="52"/>
      <c r="X807" s="52">
        <f t="shared" ref="X807:Y807" si="801">M807-S807</f>
        <v>0</v>
      </c>
      <c r="Y807" s="52">
        <f t="shared" si="801"/>
        <v>0</v>
      </c>
      <c r="Z807" s="52">
        <f t="shared" si="770"/>
        <v>0</v>
      </c>
      <c r="AA807" s="54"/>
      <c r="AB807" s="68"/>
    </row>
    <row r="808" spans="1:45" ht="40.5" x14ac:dyDescent="0.25">
      <c r="A808" s="33" t="s">
        <v>35</v>
      </c>
      <c r="B808" s="42">
        <v>772</v>
      </c>
      <c r="C808" s="33" t="s">
        <v>74</v>
      </c>
      <c r="D808" s="33" t="s">
        <v>3726</v>
      </c>
      <c r="E808" s="33" t="s">
        <v>3727</v>
      </c>
      <c r="F808" s="33" t="s">
        <v>1154</v>
      </c>
      <c r="G808" s="33" t="s">
        <v>3728</v>
      </c>
      <c r="H808" s="32"/>
      <c r="I808" s="62" t="s">
        <v>479</v>
      </c>
      <c r="J808" s="33" t="s">
        <v>43</v>
      </c>
      <c r="K808" s="33" t="s">
        <v>3729</v>
      </c>
      <c r="L808" s="65">
        <v>1712844388</v>
      </c>
      <c r="M808" s="65">
        <v>448994826</v>
      </c>
      <c r="N808" s="65">
        <v>15000000</v>
      </c>
      <c r="O808" s="43"/>
      <c r="P808" s="43"/>
      <c r="Q808" s="48">
        <f t="shared" si="790"/>
        <v>2176839214</v>
      </c>
      <c r="R808" s="48">
        <v>1712844388</v>
      </c>
      <c r="S808" s="48">
        <v>448994826</v>
      </c>
      <c r="T808" s="44">
        <v>15000000</v>
      </c>
      <c r="U808" s="33"/>
      <c r="V808" s="33"/>
      <c r="W808" s="52"/>
      <c r="X808" s="52">
        <f t="shared" ref="X808:Y808" si="802">M808-S808</f>
        <v>0</v>
      </c>
      <c r="Y808" s="52">
        <f t="shared" si="802"/>
        <v>0</v>
      </c>
      <c r="Z808" s="52">
        <f t="shared" si="770"/>
        <v>0</v>
      </c>
      <c r="AA808" s="54"/>
      <c r="AB808" s="68"/>
    </row>
    <row r="809" spans="1:45" ht="31.5" x14ac:dyDescent="0.25">
      <c r="A809" s="33" t="s">
        <v>52</v>
      </c>
      <c r="B809" s="42">
        <v>773</v>
      </c>
      <c r="C809" s="33" t="s">
        <v>74</v>
      </c>
      <c r="D809" s="33" t="s">
        <v>3730</v>
      </c>
      <c r="E809" s="32"/>
      <c r="F809" s="33" t="s">
        <v>3731</v>
      </c>
      <c r="G809" s="32"/>
      <c r="H809" s="33" t="s">
        <v>80</v>
      </c>
      <c r="I809" s="62" t="s">
        <v>3732</v>
      </c>
      <c r="J809" s="33" t="s">
        <v>43</v>
      </c>
      <c r="K809" s="33" t="s">
        <v>838</v>
      </c>
      <c r="L809" s="65">
        <v>621204580</v>
      </c>
      <c r="M809" s="32"/>
      <c r="N809" s="65">
        <v>15000000</v>
      </c>
      <c r="O809" s="43"/>
      <c r="P809" s="43"/>
      <c r="Q809" s="48">
        <f t="shared" si="790"/>
        <v>636204580</v>
      </c>
      <c r="R809" s="48">
        <v>621204580</v>
      </c>
      <c r="S809" s="33"/>
      <c r="T809" s="44">
        <v>15000000</v>
      </c>
      <c r="U809" s="33"/>
      <c r="V809" s="33"/>
      <c r="W809" s="52"/>
      <c r="X809" s="52">
        <f t="shared" ref="X809:Y809" si="803">M809-S809</f>
        <v>0</v>
      </c>
      <c r="Y809" s="52">
        <f t="shared" si="803"/>
        <v>0</v>
      </c>
      <c r="Z809" s="52">
        <f t="shared" si="770"/>
        <v>0</v>
      </c>
      <c r="AA809" s="54"/>
      <c r="AB809" s="68"/>
    </row>
    <row r="810" spans="1:45" ht="31.5" x14ac:dyDescent="0.25">
      <c r="A810" s="33" t="s">
        <v>52</v>
      </c>
      <c r="B810" s="42">
        <v>774</v>
      </c>
      <c r="C810" s="33" t="s">
        <v>74</v>
      </c>
      <c r="D810" s="33" t="s">
        <v>3733</v>
      </c>
      <c r="E810" s="33" t="s">
        <v>3734</v>
      </c>
      <c r="F810" s="33" t="s">
        <v>3735</v>
      </c>
      <c r="G810" s="33" t="s">
        <v>3736</v>
      </c>
      <c r="H810" s="32"/>
      <c r="I810" s="62" t="s">
        <v>3737</v>
      </c>
      <c r="J810" s="33" t="s">
        <v>43</v>
      </c>
      <c r="K810" s="33" t="s">
        <v>82</v>
      </c>
      <c r="L810" s="65">
        <v>628099720</v>
      </c>
      <c r="M810" s="65">
        <v>86421485</v>
      </c>
      <c r="N810" s="65">
        <v>15000000</v>
      </c>
      <c r="O810" s="43"/>
      <c r="P810" s="43"/>
      <c r="Q810" s="48">
        <f t="shared" si="790"/>
        <v>729521205</v>
      </c>
      <c r="R810" s="48">
        <v>628099720</v>
      </c>
      <c r="S810" s="48">
        <v>86421485</v>
      </c>
      <c r="T810" s="44">
        <v>15000000</v>
      </c>
      <c r="U810" s="33"/>
      <c r="V810" s="33"/>
      <c r="W810" s="52"/>
      <c r="X810" s="52">
        <f t="shared" ref="X810:Y810" si="804">M810-S810</f>
        <v>0</v>
      </c>
      <c r="Y810" s="52">
        <f t="shared" si="804"/>
        <v>0</v>
      </c>
      <c r="Z810" s="52">
        <f t="shared" si="770"/>
        <v>0</v>
      </c>
      <c r="AA810" s="54"/>
      <c r="AB810" s="68"/>
    </row>
    <row r="811" spans="1:45" ht="40.5" x14ac:dyDescent="0.25">
      <c r="A811" s="33" t="s">
        <v>52</v>
      </c>
      <c r="B811" s="42">
        <v>775</v>
      </c>
      <c r="C811" s="33" t="s">
        <v>74</v>
      </c>
      <c r="D811" s="33" t="s">
        <v>3739</v>
      </c>
      <c r="E811" s="32"/>
      <c r="F811" s="33" t="s">
        <v>3740</v>
      </c>
      <c r="G811" s="32"/>
      <c r="H811" s="33" t="s">
        <v>80</v>
      </c>
      <c r="I811" s="62" t="s">
        <v>3741</v>
      </c>
      <c r="J811" s="33" t="s">
        <v>43</v>
      </c>
      <c r="K811" s="33" t="s">
        <v>3742</v>
      </c>
      <c r="L811" s="65">
        <v>8111488</v>
      </c>
      <c r="M811" s="32"/>
      <c r="N811" s="65">
        <v>7500000</v>
      </c>
      <c r="O811" s="43"/>
      <c r="P811" s="43"/>
      <c r="Q811" s="48">
        <f t="shared" si="790"/>
        <v>15611488</v>
      </c>
      <c r="R811" s="48">
        <v>8111488</v>
      </c>
      <c r="S811" s="33"/>
      <c r="T811" s="44">
        <v>7500000</v>
      </c>
      <c r="U811" s="33"/>
      <c r="V811" s="33"/>
      <c r="W811" s="52"/>
      <c r="X811" s="52">
        <f t="shared" ref="X811:Y811" si="805">M811-S811</f>
        <v>0</v>
      </c>
      <c r="Y811" s="52">
        <f t="shared" si="805"/>
        <v>0</v>
      </c>
      <c r="Z811" s="52">
        <f t="shared" si="770"/>
        <v>0</v>
      </c>
      <c r="AA811" s="54"/>
      <c r="AB811" s="68"/>
    </row>
    <row r="812" spans="1:45" ht="31.5" x14ac:dyDescent="0.25">
      <c r="A812" s="33" t="s">
        <v>52</v>
      </c>
      <c r="B812" s="42">
        <v>776</v>
      </c>
      <c r="C812" s="33" t="s">
        <v>74</v>
      </c>
      <c r="D812" s="33" t="s">
        <v>75</v>
      </c>
      <c r="E812" s="33" t="s">
        <v>76</v>
      </c>
      <c r="F812" s="33" t="s">
        <v>78</v>
      </c>
      <c r="G812" s="33" t="s">
        <v>79</v>
      </c>
      <c r="H812" s="33" t="s">
        <v>80</v>
      </c>
      <c r="I812" s="62" t="s">
        <v>81</v>
      </c>
      <c r="J812" s="33" t="s">
        <v>43</v>
      </c>
      <c r="K812" s="33" t="s">
        <v>82</v>
      </c>
      <c r="L812" s="65">
        <v>563400736</v>
      </c>
      <c r="M812" s="65">
        <v>138350184</v>
      </c>
      <c r="N812" s="65">
        <v>15000000</v>
      </c>
      <c r="O812" s="43" t="s">
        <v>39</v>
      </c>
      <c r="P812" s="69">
        <v>24000000</v>
      </c>
      <c r="Q812" s="48">
        <f t="shared" si="790"/>
        <v>740750920</v>
      </c>
      <c r="R812" s="48">
        <v>563400736</v>
      </c>
      <c r="S812" s="48">
        <v>138350184</v>
      </c>
      <c r="T812" s="44">
        <v>15000000</v>
      </c>
      <c r="U812" s="48">
        <v>24000000</v>
      </c>
      <c r="V812" s="33"/>
      <c r="W812" s="52"/>
      <c r="X812" s="52">
        <f t="shared" ref="X812:Y812" si="806">M812-S812</f>
        <v>0</v>
      </c>
      <c r="Y812" s="52">
        <f t="shared" si="806"/>
        <v>0</v>
      </c>
      <c r="Z812" s="52">
        <f t="shared" si="770"/>
        <v>0</v>
      </c>
      <c r="AA812" s="54"/>
      <c r="AB812" s="68"/>
    </row>
    <row r="813" spans="1:45" ht="31.5" x14ac:dyDescent="0.25">
      <c r="A813" s="33" t="s">
        <v>60</v>
      </c>
      <c r="B813" s="42">
        <v>777</v>
      </c>
      <c r="C813" s="33" t="s">
        <v>74</v>
      </c>
      <c r="D813" s="33" t="s">
        <v>3743</v>
      </c>
      <c r="E813" s="33" t="s">
        <v>3744</v>
      </c>
      <c r="F813" s="33" t="s">
        <v>3745</v>
      </c>
      <c r="G813" s="33" t="s">
        <v>3746</v>
      </c>
      <c r="H813" s="33" t="s">
        <v>80</v>
      </c>
      <c r="I813" s="62" t="s">
        <v>3747</v>
      </c>
      <c r="J813" s="33" t="s">
        <v>43</v>
      </c>
      <c r="K813" s="33" t="s">
        <v>82</v>
      </c>
      <c r="L813" s="65">
        <v>449682880</v>
      </c>
      <c r="M813" s="65">
        <v>66332280</v>
      </c>
      <c r="N813" s="65">
        <v>15000000</v>
      </c>
      <c r="O813" s="43"/>
      <c r="P813" s="43"/>
      <c r="Q813" s="48">
        <f t="shared" si="790"/>
        <v>531015160</v>
      </c>
      <c r="R813" s="48">
        <v>449682880</v>
      </c>
      <c r="S813" s="33"/>
      <c r="T813" s="66"/>
      <c r="U813" s="33"/>
      <c r="V813" s="33"/>
      <c r="W813" s="52"/>
      <c r="X813" s="52">
        <f t="shared" ref="X813:Y813" si="807">M813-S813</f>
        <v>66332280</v>
      </c>
      <c r="Y813" s="52">
        <f t="shared" si="807"/>
        <v>15000000</v>
      </c>
      <c r="Z813" s="52">
        <f t="shared" si="770"/>
        <v>0</v>
      </c>
      <c r="AA813" s="54"/>
      <c r="AB813" s="68"/>
    </row>
    <row r="814" spans="1:45" ht="31.5" x14ac:dyDescent="0.25">
      <c r="A814" s="88" t="s">
        <v>52</v>
      </c>
      <c r="B814" s="89">
        <v>778</v>
      </c>
      <c r="C814" s="88" t="s">
        <v>74</v>
      </c>
      <c r="D814" s="88" t="s">
        <v>749</v>
      </c>
      <c r="E814" s="90"/>
      <c r="F814" s="88" t="s">
        <v>751</v>
      </c>
      <c r="G814" s="90"/>
      <c r="H814" s="90"/>
      <c r="I814" s="107" t="s">
        <v>752</v>
      </c>
      <c r="J814" s="88" t="s">
        <v>43</v>
      </c>
      <c r="K814" s="88" t="s">
        <v>82</v>
      </c>
      <c r="L814" s="108">
        <v>885586096</v>
      </c>
      <c r="M814" s="90"/>
      <c r="N814" s="108">
        <v>15000000</v>
      </c>
      <c r="O814" s="92" t="s">
        <v>750</v>
      </c>
      <c r="P814" s="84">
        <v>40000000</v>
      </c>
      <c r="Q814" s="91">
        <f t="shared" si="790"/>
        <v>940586096</v>
      </c>
      <c r="R814" s="91">
        <v>885586096</v>
      </c>
      <c r="S814" s="88"/>
      <c r="T814" s="93">
        <v>15000000</v>
      </c>
      <c r="U814" s="88"/>
      <c r="V814" s="88"/>
      <c r="W814" s="94"/>
      <c r="X814" s="94">
        <f t="shared" ref="X814:Y814" si="808">M814-S814</f>
        <v>0</v>
      </c>
      <c r="Y814" s="94">
        <f t="shared" si="808"/>
        <v>0</v>
      </c>
      <c r="Z814" s="94">
        <f t="shared" si="770"/>
        <v>40000000</v>
      </c>
      <c r="AA814" s="95"/>
      <c r="AB814" s="96" t="s">
        <v>1290</v>
      </c>
      <c r="AC814" s="97"/>
      <c r="AD814" s="97"/>
      <c r="AE814" s="97"/>
      <c r="AF814" s="97"/>
      <c r="AG814" s="97"/>
      <c r="AH814" s="97"/>
      <c r="AI814" s="97"/>
      <c r="AJ814" s="97"/>
      <c r="AK814" s="97"/>
      <c r="AL814" s="97"/>
      <c r="AM814" s="97"/>
      <c r="AN814" s="97"/>
      <c r="AO814" s="97"/>
      <c r="AP814" s="97"/>
      <c r="AQ814" s="97"/>
      <c r="AR814" s="97"/>
      <c r="AS814" s="97"/>
    </row>
    <row r="815" spans="1:45" ht="35.25" customHeight="1" x14ac:dyDescent="0.25">
      <c r="A815" s="33"/>
      <c r="B815" s="299">
        <v>779</v>
      </c>
      <c r="C815" s="299" t="s">
        <v>74</v>
      </c>
      <c r="D815" s="33"/>
      <c r="E815" s="32"/>
      <c r="F815" s="299" t="s">
        <v>182</v>
      </c>
      <c r="G815" s="32"/>
      <c r="H815" s="32"/>
      <c r="I815" s="312" t="s">
        <v>3749</v>
      </c>
      <c r="J815" s="299" t="s">
        <v>43</v>
      </c>
      <c r="K815" s="299" t="s">
        <v>186</v>
      </c>
      <c r="L815" s="65"/>
      <c r="M815" s="32"/>
      <c r="N815" s="65"/>
      <c r="O815" s="43" t="s">
        <v>2475</v>
      </c>
      <c r="P815" s="69">
        <v>24000000</v>
      </c>
      <c r="Q815" s="48"/>
      <c r="R815" s="48"/>
      <c r="S815" s="33"/>
      <c r="T815" s="44"/>
      <c r="U815" s="69">
        <v>24000000</v>
      </c>
      <c r="V815" s="33"/>
      <c r="W815" s="52"/>
      <c r="X815" s="52"/>
      <c r="Y815" s="52"/>
      <c r="Z815" s="52">
        <f t="shared" si="770"/>
        <v>0</v>
      </c>
      <c r="AA815" s="54"/>
      <c r="AB815" s="74"/>
    </row>
    <row r="816" spans="1:45" ht="31.5" x14ac:dyDescent="0.25">
      <c r="A816" s="33" t="s">
        <v>52</v>
      </c>
      <c r="B816" s="290"/>
      <c r="C816" s="290"/>
      <c r="D816" s="33" t="s">
        <v>181</v>
      </c>
      <c r="E816" s="32"/>
      <c r="F816" s="290"/>
      <c r="G816" s="32"/>
      <c r="H816" s="33" t="s">
        <v>80</v>
      </c>
      <c r="I816" s="290"/>
      <c r="J816" s="290"/>
      <c r="K816" s="290"/>
      <c r="L816" s="65">
        <v>805645312</v>
      </c>
      <c r="M816" s="32"/>
      <c r="N816" s="65">
        <v>15000000</v>
      </c>
      <c r="O816" s="33" t="s">
        <v>1965</v>
      </c>
      <c r="P816" s="48">
        <v>48000000</v>
      </c>
      <c r="Q816" s="48">
        <f t="shared" ref="Q816:Q833" si="809">L816+M816+N816+P816</f>
        <v>868645312</v>
      </c>
      <c r="R816" s="48">
        <v>805645312</v>
      </c>
      <c r="S816" s="33"/>
      <c r="T816" s="44">
        <v>15000000</v>
      </c>
      <c r="U816" s="48"/>
      <c r="V816" s="33"/>
      <c r="W816" s="52"/>
      <c r="X816" s="52">
        <f t="shared" ref="X816:Y816" si="810">M816-S816</f>
        <v>0</v>
      </c>
      <c r="Y816" s="52">
        <f t="shared" si="810"/>
        <v>0</v>
      </c>
      <c r="Z816" s="52">
        <f t="shared" si="770"/>
        <v>48000000</v>
      </c>
      <c r="AA816" s="54"/>
      <c r="AB816" s="75" t="s">
        <v>2081</v>
      </c>
    </row>
    <row r="817" spans="1:45" ht="47.25" x14ac:dyDescent="0.25">
      <c r="A817" s="33" t="s">
        <v>52</v>
      </c>
      <c r="B817" s="42">
        <v>780</v>
      </c>
      <c r="C817" s="33" t="s">
        <v>74</v>
      </c>
      <c r="D817" s="33" t="s">
        <v>3750</v>
      </c>
      <c r="E817" s="32"/>
      <c r="F817" s="33" t="s">
        <v>3751</v>
      </c>
      <c r="G817" s="32"/>
      <c r="H817" s="33" t="s">
        <v>80</v>
      </c>
      <c r="I817" s="62" t="s">
        <v>3752</v>
      </c>
      <c r="J817" s="33" t="s">
        <v>43</v>
      </c>
      <c r="K817" s="33" t="s">
        <v>3753</v>
      </c>
      <c r="L817" s="65">
        <v>10000000</v>
      </c>
      <c r="M817" s="32"/>
      <c r="N817" s="65">
        <v>15000000</v>
      </c>
      <c r="O817" s="43"/>
      <c r="P817" s="43"/>
      <c r="Q817" s="48">
        <f t="shared" si="809"/>
        <v>25000000</v>
      </c>
      <c r="R817" s="48">
        <v>10000000</v>
      </c>
      <c r="S817" s="33"/>
      <c r="T817" s="44">
        <v>15000000</v>
      </c>
      <c r="U817" s="33"/>
      <c r="V817" s="33"/>
      <c r="W817" s="52"/>
      <c r="X817" s="52">
        <f t="shared" ref="X817:Y817" si="811">M817-S817</f>
        <v>0</v>
      </c>
      <c r="Y817" s="52">
        <f t="shared" si="811"/>
        <v>0</v>
      </c>
      <c r="Z817" s="52">
        <f t="shared" si="770"/>
        <v>0</v>
      </c>
      <c r="AA817" s="54"/>
      <c r="AB817" s="68"/>
    </row>
    <row r="818" spans="1:45" ht="47.25" x14ac:dyDescent="0.25">
      <c r="A818" s="88" t="s">
        <v>52</v>
      </c>
      <c r="B818" s="89">
        <v>781</v>
      </c>
      <c r="C818" s="88" t="s">
        <v>74</v>
      </c>
      <c r="D818" s="88" t="s">
        <v>783</v>
      </c>
      <c r="E818" s="88" t="s">
        <v>784</v>
      </c>
      <c r="F818" s="88" t="s">
        <v>785</v>
      </c>
      <c r="G818" s="88" t="s">
        <v>786</v>
      </c>
      <c r="H818" s="88" t="s">
        <v>80</v>
      </c>
      <c r="I818" s="107" t="s">
        <v>788</v>
      </c>
      <c r="J818" s="88" t="s">
        <v>43</v>
      </c>
      <c r="K818" s="88" t="s">
        <v>789</v>
      </c>
      <c r="L818" s="108">
        <v>10000000</v>
      </c>
      <c r="M818" s="108">
        <v>619479840</v>
      </c>
      <c r="N818" s="108">
        <v>15000000</v>
      </c>
      <c r="O818" s="92" t="s">
        <v>757</v>
      </c>
      <c r="P818" s="84">
        <v>48000000</v>
      </c>
      <c r="Q818" s="91">
        <f t="shared" si="809"/>
        <v>692479840</v>
      </c>
      <c r="R818" s="91">
        <v>10000000</v>
      </c>
      <c r="S818" s="91">
        <v>619479840</v>
      </c>
      <c r="T818" s="93">
        <v>15000000</v>
      </c>
      <c r="U818" s="88"/>
      <c r="V818" s="88"/>
      <c r="W818" s="94"/>
      <c r="X818" s="94">
        <f t="shared" ref="X818:Y818" si="812">M818-S818</f>
        <v>0</v>
      </c>
      <c r="Y818" s="94">
        <f t="shared" si="812"/>
        <v>0</v>
      </c>
      <c r="Z818" s="94">
        <f t="shared" si="770"/>
        <v>48000000</v>
      </c>
      <c r="AA818" s="95"/>
      <c r="AB818" s="96" t="s">
        <v>1290</v>
      </c>
      <c r="AC818" s="97"/>
      <c r="AD818" s="97"/>
      <c r="AE818" s="97"/>
      <c r="AF818" s="97"/>
      <c r="AG818" s="97"/>
      <c r="AH818" s="97"/>
      <c r="AI818" s="97"/>
      <c r="AJ818" s="97"/>
      <c r="AK818" s="97"/>
      <c r="AL818" s="97"/>
      <c r="AM818" s="97"/>
      <c r="AN818" s="97"/>
      <c r="AO818" s="97"/>
      <c r="AP818" s="97"/>
      <c r="AQ818" s="97"/>
      <c r="AR818" s="97"/>
      <c r="AS818" s="97"/>
    </row>
    <row r="819" spans="1:45" ht="31.5" x14ac:dyDescent="0.25">
      <c r="A819" s="33" t="s">
        <v>52</v>
      </c>
      <c r="B819" s="42">
        <v>782</v>
      </c>
      <c r="C819" s="33" t="s">
        <v>74</v>
      </c>
      <c r="D819" s="33" t="s">
        <v>414</v>
      </c>
      <c r="E819" s="33" t="s">
        <v>415</v>
      </c>
      <c r="F819" s="33" t="s">
        <v>416</v>
      </c>
      <c r="G819" s="33" t="s">
        <v>417</v>
      </c>
      <c r="H819" s="33" t="s">
        <v>80</v>
      </c>
      <c r="I819" s="62" t="s">
        <v>418</v>
      </c>
      <c r="J819" s="33" t="s">
        <v>43</v>
      </c>
      <c r="K819" s="33" t="s">
        <v>419</v>
      </c>
      <c r="L819" s="65">
        <v>1064740652</v>
      </c>
      <c r="M819" s="65">
        <v>253106154</v>
      </c>
      <c r="N819" s="65">
        <v>15000000</v>
      </c>
      <c r="O819" s="43" t="s">
        <v>388</v>
      </c>
      <c r="P819" s="69">
        <v>12533339</v>
      </c>
      <c r="Q819" s="48">
        <f t="shared" si="809"/>
        <v>1345380145</v>
      </c>
      <c r="R819" s="48">
        <v>1064740652</v>
      </c>
      <c r="S819" s="48">
        <v>253106154</v>
      </c>
      <c r="T819" s="44">
        <v>15000000</v>
      </c>
      <c r="U819" s="48">
        <v>12533339</v>
      </c>
      <c r="V819" s="33"/>
      <c r="W819" s="52"/>
      <c r="X819" s="52">
        <f t="shared" ref="X819:Y819" si="813">M819-S819</f>
        <v>0</v>
      </c>
      <c r="Y819" s="52">
        <f t="shared" si="813"/>
        <v>0</v>
      </c>
      <c r="Z819" s="52">
        <f t="shared" si="770"/>
        <v>0</v>
      </c>
      <c r="AA819" s="54"/>
      <c r="AB819" s="68"/>
    </row>
    <row r="820" spans="1:45" ht="40.5" x14ac:dyDescent="0.25">
      <c r="A820" s="33" t="s">
        <v>52</v>
      </c>
      <c r="B820" s="42">
        <v>783</v>
      </c>
      <c r="C820" s="33" t="s">
        <v>74</v>
      </c>
      <c r="D820" s="33" t="s">
        <v>3755</v>
      </c>
      <c r="E820" s="32"/>
      <c r="F820" s="33" t="s">
        <v>3756</v>
      </c>
      <c r="G820" s="32"/>
      <c r="H820" s="32"/>
      <c r="I820" s="62" t="s">
        <v>3757</v>
      </c>
      <c r="J820" s="33" t="s">
        <v>43</v>
      </c>
      <c r="K820" s="33" t="s">
        <v>3758</v>
      </c>
      <c r="L820" s="65">
        <v>1564043176</v>
      </c>
      <c r="M820" s="32"/>
      <c r="N820" s="65">
        <v>15000000</v>
      </c>
      <c r="O820" s="43"/>
      <c r="P820" s="43"/>
      <c r="Q820" s="48">
        <f t="shared" si="809"/>
        <v>1579043176</v>
      </c>
      <c r="R820" s="48">
        <v>1564043176</v>
      </c>
      <c r="S820" s="33"/>
      <c r="T820" s="44">
        <v>15000000</v>
      </c>
      <c r="U820" s="33"/>
      <c r="V820" s="33"/>
      <c r="W820" s="52"/>
      <c r="X820" s="52">
        <f t="shared" ref="X820:Y820" si="814">M820-S820</f>
        <v>0</v>
      </c>
      <c r="Y820" s="52">
        <f t="shared" si="814"/>
        <v>0</v>
      </c>
      <c r="Z820" s="52">
        <f t="shared" si="770"/>
        <v>0</v>
      </c>
      <c r="AA820" s="54"/>
      <c r="AB820" s="68"/>
    </row>
    <row r="821" spans="1:45" ht="94.5" x14ac:dyDescent="0.25">
      <c r="A821" s="33" t="s">
        <v>52</v>
      </c>
      <c r="B821" s="42">
        <v>784</v>
      </c>
      <c r="C821" s="33" t="s">
        <v>74</v>
      </c>
      <c r="D821" s="33" t="s">
        <v>289</v>
      </c>
      <c r="E821" s="32"/>
      <c r="F821" s="33" t="s">
        <v>291</v>
      </c>
      <c r="G821" s="32"/>
      <c r="H821" s="32"/>
      <c r="I821" s="62" t="s">
        <v>292</v>
      </c>
      <c r="J821" s="33" t="s">
        <v>43</v>
      </c>
      <c r="K821" s="33" t="s">
        <v>293</v>
      </c>
      <c r="L821" s="65">
        <v>1162218928</v>
      </c>
      <c r="M821" s="32"/>
      <c r="N821" s="65">
        <v>15000000</v>
      </c>
      <c r="O821" s="43" t="s">
        <v>290</v>
      </c>
      <c r="P821" s="69">
        <v>120000000</v>
      </c>
      <c r="Q821" s="48">
        <f t="shared" si="809"/>
        <v>1297218928</v>
      </c>
      <c r="R821" s="48">
        <v>1162218928</v>
      </c>
      <c r="S821" s="33"/>
      <c r="T821" s="44">
        <v>15000000</v>
      </c>
      <c r="U821" s="48">
        <v>48000000</v>
      </c>
      <c r="V821" s="33"/>
      <c r="W821" s="52"/>
      <c r="X821" s="52">
        <f t="shared" ref="X821:Y821" si="815">M821-S821</f>
        <v>0</v>
      </c>
      <c r="Y821" s="52">
        <f t="shared" si="815"/>
        <v>0</v>
      </c>
      <c r="Z821" s="52">
        <f t="shared" si="770"/>
        <v>72000000</v>
      </c>
      <c r="AA821" s="54"/>
      <c r="AB821" s="74" t="s">
        <v>3097</v>
      </c>
    </row>
    <row r="822" spans="1:45" ht="47.25" x14ac:dyDescent="0.25">
      <c r="A822" s="33" t="s">
        <v>52</v>
      </c>
      <c r="B822" s="42">
        <v>785</v>
      </c>
      <c r="C822" s="33" t="s">
        <v>74</v>
      </c>
      <c r="D822" s="33" t="s">
        <v>3759</v>
      </c>
      <c r="E822" s="32"/>
      <c r="F822" s="33" t="s">
        <v>3760</v>
      </c>
      <c r="G822" s="32"/>
      <c r="H822" s="32"/>
      <c r="I822" s="62" t="s">
        <v>3761</v>
      </c>
      <c r="J822" s="33" t="s">
        <v>43</v>
      </c>
      <c r="K822" s="33" t="s">
        <v>3762</v>
      </c>
      <c r="L822" s="65">
        <v>253344640</v>
      </c>
      <c r="M822" s="32"/>
      <c r="N822" s="65">
        <v>15000000</v>
      </c>
      <c r="O822" s="43"/>
      <c r="P822" s="43"/>
      <c r="Q822" s="48">
        <f t="shared" si="809"/>
        <v>268344640</v>
      </c>
      <c r="R822" s="48">
        <v>253344640</v>
      </c>
      <c r="S822" s="33"/>
      <c r="T822" s="44">
        <v>15000000</v>
      </c>
      <c r="U822" s="33"/>
      <c r="V822" s="33"/>
      <c r="W822" s="52"/>
      <c r="X822" s="52">
        <f t="shared" ref="X822:Y822" si="816">M822-S822</f>
        <v>0</v>
      </c>
      <c r="Y822" s="52">
        <f t="shared" si="816"/>
        <v>0</v>
      </c>
      <c r="Z822" s="52">
        <f t="shared" si="770"/>
        <v>0</v>
      </c>
      <c r="AA822" s="54"/>
      <c r="AB822" s="68"/>
    </row>
    <row r="823" spans="1:45" ht="40.5" x14ac:dyDescent="0.25">
      <c r="A823" s="33" t="s">
        <v>52</v>
      </c>
      <c r="B823" s="42">
        <v>786</v>
      </c>
      <c r="C823" s="33" t="s">
        <v>74</v>
      </c>
      <c r="D823" s="33" t="s">
        <v>3763</v>
      </c>
      <c r="E823" s="33" t="s">
        <v>3764</v>
      </c>
      <c r="F823" s="33" t="s">
        <v>3765</v>
      </c>
      <c r="G823" s="33" t="s">
        <v>3766</v>
      </c>
      <c r="H823" s="32"/>
      <c r="I823" s="62" t="s">
        <v>1064</v>
      </c>
      <c r="J823" s="33" t="s">
        <v>43</v>
      </c>
      <c r="K823" s="33" t="s">
        <v>82</v>
      </c>
      <c r="L823" s="65">
        <v>1955817254</v>
      </c>
      <c r="M823" s="65">
        <v>42737240</v>
      </c>
      <c r="N823" s="65">
        <v>15000000</v>
      </c>
      <c r="O823" s="43"/>
      <c r="P823" s="43"/>
      <c r="Q823" s="48">
        <f t="shared" si="809"/>
        <v>2013554494</v>
      </c>
      <c r="R823" s="48">
        <v>1955817254</v>
      </c>
      <c r="S823" s="48">
        <v>42737240</v>
      </c>
      <c r="T823" s="44">
        <v>15000000</v>
      </c>
      <c r="U823" s="33"/>
      <c r="V823" s="33"/>
      <c r="W823" s="52"/>
      <c r="X823" s="52">
        <f t="shared" ref="X823:Y823" si="817">M823-S823</f>
        <v>0</v>
      </c>
      <c r="Y823" s="52">
        <f t="shared" si="817"/>
        <v>0</v>
      </c>
      <c r="Z823" s="52">
        <f t="shared" si="770"/>
        <v>0</v>
      </c>
      <c r="AA823" s="54"/>
      <c r="AB823" s="68"/>
    </row>
    <row r="824" spans="1:45" ht="60.75" x14ac:dyDescent="0.25">
      <c r="A824" s="33" t="s">
        <v>52</v>
      </c>
      <c r="B824" s="42">
        <v>787</v>
      </c>
      <c r="C824" s="33" t="s">
        <v>74</v>
      </c>
      <c r="D824" s="33" t="s">
        <v>513</v>
      </c>
      <c r="E824" s="33" t="s">
        <v>514</v>
      </c>
      <c r="F824" s="33" t="s">
        <v>516</v>
      </c>
      <c r="G824" s="33" t="s">
        <v>517</v>
      </c>
      <c r="H824" s="32"/>
      <c r="I824" s="62" t="s">
        <v>518</v>
      </c>
      <c r="J824" s="33" t="s">
        <v>43</v>
      </c>
      <c r="K824" s="33" t="s">
        <v>519</v>
      </c>
      <c r="L824" s="65">
        <v>10000000</v>
      </c>
      <c r="M824" s="65">
        <v>1809369992</v>
      </c>
      <c r="N824" s="65">
        <v>15000000</v>
      </c>
      <c r="O824" s="43" t="s">
        <v>515</v>
      </c>
      <c r="P824" s="69">
        <v>24000000</v>
      </c>
      <c r="Q824" s="48">
        <f t="shared" si="809"/>
        <v>1858369992</v>
      </c>
      <c r="R824" s="48">
        <v>10000000</v>
      </c>
      <c r="S824" s="48">
        <v>1809369992</v>
      </c>
      <c r="T824" s="66"/>
      <c r="U824" s="48">
        <v>24000000</v>
      </c>
      <c r="V824" s="33"/>
      <c r="W824" s="52"/>
      <c r="X824" s="52">
        <f t="shared" ref="X824:Y824" si="818">M824-S824</f>
        <v>0</v>
      </c>
      <c r="Y824" s="52">
        <f t="shared" si="818"/>
        <v>15000000</v>
      </c>
      <c r="Z824" s="52">
        <f t="shared" si="770"/>
        <v>0</v>
      </c>
      <c r="AA824" s="54"/>
      <c r="AB824" s="68"/>
    </row>
    <row r="825" spans="1:45" ht="63" x14ac:dyDescent="0.25">
      <c r="A825" s="33" t="s">
        <v>52</v>
      </c>
      <c r="B825" s="42">
        <v>788</v>
      </c>
      <c r="C825" s="33" t="s">
        <v>74</v>
      </c>
      <c r="D825" s="33" t="s">
        <v>208</v>
      </c>
      <c r="E825" s="32"/>
      <c r="F825" s="33" t="s">
        <v>210</v>
      </c>
      <c r="G825" s="32"/>
      <c r="H825" s="33" t="s">
        <v>80</v>
      </c>
      <c r="I825" s="62" t="s">
        <v>211</v>
      </c>
      <c r="J825" s="33" t="s">
        <v>43</v>
      </c>
      <c r="K825" s="33" t="s">
        <v>212</v>
      </c>
      <c r="L825" s="65">
        <v>444381674</v>
      </c>
      <c r="M825" s="32"/>
      <c r="N825" s="65">
        <v>15000000</v>
      </c>
      <c r="O825" s="43" t="s">
        <v>209</v>
      </c>
      <c r="P825" s="69">
        <v>72000000</v>
      </c>
      <c r="Q825" s="48">
        <f t="shared" si="809"/>
        <v>531381674</v>
      </c>
      <c r="R825" s="48">
        <v>444381674</v>
      </c>
      <c r="S825" s="33"/>
      <c r="T825" s="44">
        <v>15000000</v>
      </c>
      <c r="U825" s="48">
        <v>24000000</v>
      </c>
      <c r="V825" s="33"/>
      <c r="W825" s="52"/>
      <c r="X825" s="52">
        <f t="shared" ref="X825:Y825" si="819">M825-S825</f>
        <v>0</v>
      </c>
      <c r="Y825" s="52">
        <f t="shared" si="819"/>
        <v>0</v>
      </c>
      <c r="Z825" s="52">
        <f t="shared" si="770"/>
        <v>48000000</v>
      </c>
      <c r="AA825" s="54"/>
      <c r="AB825" s="74" t="s">
        <v>2866</v>
      </c>
    </row>
    <row r="826" spans="1:45" ht="40.5" x14ac:dyDescent="0.25">
      <c r="A826" s="33" t="s">
        <v>52</v>
      </c>
      <c r="B826" s="42">
        <v>789</v>
      </c>
      <c r="C826" s="33" t="s">
        <v>74</v>
      </c>
      <c r="D826" s="33" t="s">
        <v>3768</v>
      </c>
      <c r="E826" s="32"/>
      <c r="F826" s="33" t="s">
        <v>3769</v>
      </c>
      <c r="G826" s="33" t="s">
        <v>3770</v>
      </c>
      <c r="H826" s="32"/>
      <c r="I826" s="62" t="s">
        <v>3771</v>
      </c>
      <c r="J826" s="33" t="s">
        <v>43</v>
      </c>
      <c r="K826" s="33" t="s">
        <v>3772</v>
      </c>
      <c r="L826" s="65">
        <v>1471524200</v>
      </c>
      <c r="M826" s="32"/>
      <c r="N826" s="65">
        <v>15000000</v>
      </c>
      <c r="O826" s="43"/>
      <c r="P826" s="43"/>
      <c r="Q826" s="48">
        <f t="shared" si="809"/>
        <v>1486524200</v>
      </c>
      <c r="R826" s="48">
        <v>1471524200</v>
      </c>
      <c r="S826" s="33"/>
      <c r="T826" s="44">
        <v>15000000</v>
      </c>
      <c r="U826" s="33"/>
      <c r="V826" s="33"/>
      <c r="W826" s="52"/>
      <c r="X826" s="52">
        <f t="shared" ref="X826:Y826" si="820">M826-S826</f>
        <v>0</v>
      </c>
      <c r="Y826" s="52">
        <f t="shared" si="820"/>
        <v>0</v>
      </c>
      <c r="Z826" s="52">
        <f t="shared" si="770"/>
        <v>0</v>
      </c>
      <c r="AA826" s="54"/>
      <c r="AB826" s="68"/>
    </row>
    <row r="827" spans="1:45" ht="40.5" x14ac:dyDescent="0.25">
      <c r="A827" s="33" t="s">
        <v>52</v>
      </c>
      <c r="B827" s="42">
        <v>790</v>
      </c>
      <c r="C827" s="33" t="s">
        <v>74</v>
      </c>
      <c r="D827" s="33" t="s">
        <v>3773</v>
      </c>
      <c r="E827" s="33" t="s">
        <v>3774</v>
      </c>
      <c r="F827" s="33" t="s">
        <v>3775</v>
      </c>
      <c r="G827" s="33" t="s">
        <v>3776</v>
      </c>
      <c r="H827" s="32"/>
      <c r="I827" s="62" t="s">
        <v>1064</v>
      </c>
      <c r="J827" s="33" t="s">
        <v>43</v>
      </c>
      <c r="K827" s="33" t="s">
        <v>3573</v>
      </c>
      <c r="L827" s="65">
        <v>10000000</v>
      </c>
      <c r="M827" s="65">
        <v>210398720</v>
      </c>
      <c r="N827" s="65">
        <v>15000000</v>
      </c>
      <c r="O827" s="43"/>
      <c r="P827" s="43"/>
      <c r="Q827" s="48">
        <f t="shared" si="809"/>
        <v>235398720</v>
      </c>
      <c r="R827" s="48">
        <v>10000000</v>
      </c>
      <c r="S827" s="48">
        <v>210398720</v>
      </c>
      <c r="T827" s="44">
        <v>15000000</v>
      </c>
      <c r="U827" s="33"/>
      <c r="V827" s="33"/>
      <c r="W827" s="52"/>
      <c r="X827" s="52">
        <f t="shared" ref="X827:Y827" si="821">M827-S827</f>
        <v>0</v>
      </c>
      <c r="Y827" s="52">
        <f t="shared" si="821"/>
        <v>0</v>
      </c>
      <c r="Z827" s="52">
        <f t="shared" si="770"/>
        <v>0</v>
      </c>
      <c r="AA827" s="54"/>
      <c r="AB827" s="68"/>
    </row>
    <row r="828" spans="1:45" ht="60.75" x14ac:dyDescent="0.25">
      <c r="A828" s="33" t="s">
        <v>52</v>
      </c>
      <c r="B828" s="42">
        <v>791</v>
      </c>
      <c r="C828" s="33" t="s">
        <v>74</v>
      </c>
      <c r="D828" s="33" t="s">
        <v>1864</v>
      </c>
      <c r="E828" s="33" t="s">
        <v>784</v>
      </c>
      <c r="F828" s="33" t="s">
        <v>1865</v>
      </c>
      <c r="G828" s="33" t="s">
        <v>1866</v>
      </c>
      <c r="H828" s="33" t="s">
        <v>80</v>
      </c>
      <c r="I828" s="62" t="s">
        <v>1867</v>
      </c>
      <c r="J828" s="33" t="s">
        <v>43</v>
      </c>
      <c r="K828" s="33" t="s">
        <v>789</v>
      </c>
      <c r="L828" s="65">
        <v>10000000</v>
      </c>
      <c r="M828" s="65">
        <v>1756584270</v>
      </c>
      <c r="N828" s="65">
        <v>15000000</v>
      </c>
      <c r="O828" s="43" t="s">
        <v>1822</v>
      </c>
      <c r="P828" s="69">
        <v>24000000</v>
      </c>
      <c r="Q828" s="48">
        <f t="shared" si="809"/>
        <v>1805584270</v>
      </c>
      <c r="R828" s="48">
        <v>10000000</v>
      </c>
      <c r="S828" s="48">
        <v>1756584270</v>
      </c>
      <c r="T828" s="44">
        <v>15000000</v>
      </c>
      <c r="U828" s="48">
        <v>24000000</v>
      </c>
      <c r="V828" s="33"/>
      <c r="W828" s="52"/>
      <c r="X828" s="52">
        <f t="shared" ref="X828:Y828" si="822">M828-S828</f>
        <v>0</v>
      </c>
      <c r="Y828" s="52">
        <f t="shared" si="822"/>
        <v>0</v>
      </c>
      <c r="Z828" s="52">
        <f t="shared" si="770"/>
        <v>0</v>
      </c>
      <c r="AA828" s="54"/>
      <c r="AB828" s="68"/>
    </row>
    <row r="829" spans="1:45" ht="60.75" x14ac:dyDescent="0.25">
      <c r="A829" s="33" t="s">
        <v>88</v>
      </c>
      <c r="B829" s="42">
        <v>792</v>
      </c>
      <c r="C829" s="33" t="s">
        <v>74</v>
      </c>
      <c r="D829" s="33" t="s">
        <v>3777</v>
      </c>
      <c r="E829" s="32"/>
      <c r="F829" s="33" t="s">
        <v>3778</v>
      </c>
      <c r="G829" s="32"/>
      <c r="H829" s="32"/>
      <c r="I829" s="62" t="s">
        <v>3779</v>
      </c>
      <c r="J829" s="33" t="s">
        <v>43</v>
      </c>
      <c r="K829" s="33" t="s">
        <v>3780</v>
      </c>
      <c r="L829" s="65">
        <v>590950720</v>
      </c>
      <c r="M829" s="32"/>
      <c r="N829" s="65">
        <v>15000000</v>
      </c>
      <c r="O829" s="43"/>
      <c r="P829" s="43"/>
      <c r="Q829" s="48">
        <f t="shared" si="809"/>
        <v>605950720</v>
      </c>
      <c r="R829" s="48">
        <v>590950720</v>
      </c>
      <c r="S829" s="33"/>
      <c r="T829" s="44">
        <v>15000000</v>
      </c>
      <c r="U829" s="33"/>
      <c r="V829" s="33"/>
      <c r="W829" s="52"/>
      <c r="X829" s="52">
        <f t="shared" ref="X829:Y829" si="823">M829-S829</f>
        <v>0</v>
      </c>
      <c r="Y829" s="52">
        <f t="shared" si="823"/>
        <v>0</v>
      </c>
      <c r="Z829" s="52">
        <f t="shared" si="770"/>
        <v>0</v>
      </c>
      <c r="AA829" s="54"/>
      <c r="AB829" s="68"/>
    </row>
    <row r="830" spans="1:45" ht="60.75" x14ac:dyDescent="0.25">
      <c r="A830" s="33" t="s">
        <v>52</v>
      </c>
      <c r="B830" s="42">
        <v>793</v>
      </c>
      <c r="C830" s="33" t="s">
        <v>74</v>
      </c>
      <c r="D830" s="33" t="s">
        <v>3781</v>
      </c>
      <c r="E830" s="32"/>
      <c r="F830" s="33" t="s">
        <v>3782</v>
      </c>
      <c r="G830" s="32"/>
      <c r="H830" s="32"/>
      <c r="I830" s="62" t="s">
        <v>3783</v>
      </c>
      <c r="J830" s="33" t="s">
        <v>43</v>
      </c>
      <c r="K830" s="33" t="s">
        <v>212</v>
      </c>
      <c r="L830" s="65">
        <v>692152100</v>
      </c>
      <c r="M830" s="32"/>
      <c r="N830" s="65">
        <v>15000000</v>
      </c>
      <c r="O830" s="43"/>
      <c r="P830" s="43"/>
      <c r="Q830" s="48">
        <f t="shared" si="809"/>
        <v>707152100</v>
      </c>
      <c r="R830" s="48">
        <v>692152100</v>
      </c>
      <c r="S830" s="33"/>
      <c r="T830" s="44">
        <v>15000000</v>
      </c>
      <c r="U830" s="33"/>
      <c r="V830" s="33"/>
      <c r="W830" s="52"/>
      <c r="X830" s="52">
        <f t="shared" ref="X830:Y830" si="824">M830-S830</f>
        <v>0</v>
      </c>
      <c r="Y830" s="52">
        <f t="shared" si="824"/>
        <v>0</v>
      </c>
      <c r="Z830" s="52">
        <f t="shared" si="770"/>
        <v>0</v>
      </c>
      <c r="AA830" s="54"/>
      <c r="AB830" s="68"/>
    </row>
    <row r="831" spans="1:45" ht="40.5" x14ac:dyDescent="0.25">
      <c r="A831" s="33" t="s">
        <v>52</v>
      </c>
      <c r="B831" s="42">
        <v>794</v>
      </c>
      <c r="C831" s="33" t="s">
        <v>74</v>
      </c>
      <c r="D831" s="33" t="s">
        <v>3784</v>
      </c>
      <c r="E831" s="32"/>
      <c r="F831" s="33" t="s">
        <v>3785</v>
      </c>
      <c r="G831" s="32"/>
      <c r="H831" s="32"/>
      <c r="I831" s="62" t="s">
        <v>3786</v>
      </c>
      <c r="J831" s="33" t="s">
        <v>43</v>
      </c>
      <c r="K831" s="33" t="s">
        <v>3385</v>
      </c>
      <c r="L831" s="65">
        <v>1833190096</v>
      </c>
      <c r="M831" s="32"/>
      <c r="N831" s="65">
        <v>15000000</v>
      </c>
      <c r="O831" s="43"/>
      <c r="P831" s="43"/>
      <c r="Q831" s="48">
        <f t="shared" si="809"/>
        <v>1848190096</v>
      </c>
      <c r="R831" s="48">
        <v>1833190096</v>
      </c>
      <c r="S831" s="33"/>
      <c r="T831" s="44">
        <v>15000000</v>
      </c>
      <c r="U831" s="33"/>
      <c r="V831" s="33"/>
      <c r="W831" s="52"/>
      <c r="X831" s="52">
        <f t="shared" ref="X831:Y831" si="825">M831-S831</f>
        <v>0</v>
      </c>
      <c r="Y831" s="52">
        <f t="shared" si="825"/>
        <v>0</v>
      </c>
      <c r="Z831" s="52">
        <f t="shared" si="770"/>
        <v>0</v>
      </c>
      <c r="AA831" s="54"/>
      <c r="AB831" s="68"/>
    </row>
    <row r="832" spans="1:45" ht="31.5" x14ac:dyDescent="0.25">
      <c r="A832" s="33" t="s">
        <v>52</v>
      </c>
      <c r="B832" s="42">
        <v>795</v>
      </c>
      <c r="C832" s="33" t="s">
        <v>74</v>
      </c>
      <c r="D832" s="33" t="s">
        <v>3787</v>
      </c>
      <c r="E832" s="33" t="s">
        <v>3788</v>
      </c>
      <c r="F832" s="33" t="s">
        <v>3789</v>
      </c>
      <c r="G832" s="33" t="s">
        <v>3790</v>
      </c>
      <c r="H832" s="33" t="s">
        <v>80</v>
      </c>
      <c r="I832" s="62" t="s">
        <v>3791</v>
      </c>
      <c r="J832" s="33" t="s">
        <v>43</v>
      </c>
      <c r="K832" s="33" t="s">
        <v>3792</v>
      </c>
      <c r="L832" s="65">
        <v>339766192</v>
      </c>
      <c r="M832" s="65">
        <v>82441548</v>
      </c>
      <c r="N832" s="65">
        <v>15000000</v>
      </c>
      <c r="O832" s="43"/>
      <c r="P832" s="43"/>
      <c r="Q832" s="48">
        <f t="shared" si="809"/>
        <v>437207740</v>
      </c>
      <c r="R832" s="48">
        <v>339766192</v>
      </c>
      <c r="S832" s="48">
        <v>82441548</v>
      </c>
      <c r="T832" s="44">
        <v>15000000</v>
      </c>
      <c r="U832" s="33"/>
      <c r="V832" s="33"/>
      <c r="W832" s="52"/>
      <c r="X832" s="52">
        <f t="shared" ref="X832:Y832" si="826">M832-S832</f>
        <v>0</v>
      </c>
      <c r="Y832" s="52">
        <f t="shared" si="826"/>
        <v>0</v>
      </c>
      <c r="Z832" s="52">
        <f t="shared" si="770"/>
        <v>0</v>
      </c>
      <c r="AA832" s="54"/>
      <c r="AB832" s="68"/>
    </row>
    <row r="833" spans="1:45" ht="40.5" x14ac:dyDescent="0.25">
      <c r="A833" s="33" t="s">
        <v>52</v>
      </c>
      <c r="B833" s="42">
        <v>796</v>
      </c>
      <c r="C833" s="33" t="s">
        <v>74</v>
      </c>
      <c r="D833" s="33" t="s">
        <v>624</v>
      </c>
      <c r="E833" s="33" t="s">
        <v>625</v>
      </c>
      <c r="F833" s="33" t="s">
        <v>626</v>
      </c>
      <c r="G833" s="33" t="s">
        <v>627</v>
      </c>
      <c r="H833" s="32"/>
      <c r="I833" s="62" t="s">
        <v>628</v>
      </c>
      <c r="J833" s="33" t="s">
        <v>43</v>
      </c>
      <c r="K833" s="33" t="s">
        <v>629</v>
      </c>
      <c r="L833" s="65">
        <v>10000000</v>
      </c>
      <c r="M833" s="106">
        <v>2527001190</v>
      </c>
      <c r="N833" s="65">
        <v>15000000</v>
      </c>
      <c r="O833" s="33" t="s">
        <v>618</v>
      </c>
      <c r="P833" s="69">
        <v>30000000</v>
      </c>
      <c r="Q833" s="48">
        <f t="shared" si="809"/>
        <v>2582001190</v>
      </c>
      <c r="R833" s="48">
        <v>10000000</v>
      </c>
      <c r="S833" s="48">
        <v>2527001190</v>
      </c>
      <c r="T833" s="44">
        <v>15000000</v>
      </c>
      <c r="U833" s="48">
        <v>30000000</v>
      </c>
      <c r="V833" s="33"/>
      <c r="W833" s="52"/>
      <c r="X833" s="52">
        <f t="shared" ref="X833:Y833" si="827">M833-S833</f>
        <v>0</v>
      </c>
      <c r="Y833" s="52">
        <f t="shared" si="827"/>
        <v>0</v>
      </c>
      <c r="Z833" s="52">
        <f t="shared" si="770"/>
        <v>0</v>
      </c>
      <c r="AA833" s="54"/>
      <c r="AB833" s="68"/>
    </row>
    <row r="834" spans="1:45" ht="38.25" customHeight="1" x14ac:dyDescent="0.25">
      <c r="A834" s="33"/>
      <c r="B834" s="299">
        <v>797</v>
      </c>
      <c r="C834" s="299" t="s">
        <v>74</v>
      </c>
      <c r="D834" s="33"/>
      <c r="E834" s="33"/>
      <c r="F834" s="299" t="s">
        <v>1687</v>
      </c>
      <c r="G834" s="33"/>
      <c r="H834" s="32"/>
      <c r="I834" s="312" t="s">
        <v>1688</v>
      </c>
      <c r="J834" s="299" t="s">
        <v>43</v>
      </c>
      <c r="K834" s="299" t="s">
        <v>1689</v>
      </c>
      <c r="L834" s="65"/>
      <c r="M834" s="106"/>
      <c r="N834" s="65"/>
      <c r="O834" s="33" t="s">
        <v>3663</v>
      </c>
      <c r="P834" s="69">
        <v>48000000</v>
      </c>
      <c r="Q834" s="48"/>
      <c r="R834" s="48"/>
      <c r="S834" s="48"/>
      <c r="T834" s="44"/>
      <c r="U834" s="48">
        <v>48000000</v>
      </c>
      <c r="V834" s="33"/>
      <c r="W834" s="52"/>
      <c r="X834" s="52"/>
      <c r="Y834" s="52"/>
      <c r="Z834" s="52">
        <f t="shared" si="770"/>
        <v>0</v>
      </c>
      <c r="AA834" s="54"/>
      <c r="AB834" s="68"/>
    </row>
    <row r="835" spans="1:45" ht="31.5" x14ac:dyDescent="0.25">
      <c r="A835" s="33" t="s">
        <v>60</v>
      </c>
      <c r="B835" s="290"/>
      <c r="C835" s="290"/>
      <c r="D835" s="33" t="s">
        <v>1684</v>
      </c>
      <c r="E835" s="32"/>
      <c r="F835" s="290"/>
      <c r="G835" s="32"/>
      <c r="H835" s="32"/>
      <c r="I835" s="290"/>
      <c r="J835" s="290"/>
      <c r="K835" s="290"/>
      <c r="L835" s="65">
        <v>1479042664</v>
      </c>
      <c r="M835" s="32"/>
      <c r="N835" s="65">
        <v>15000000</v>
      </c>
      <c r="O835" s="33" t="s">
        <v>1965</v>
      </c>
      <c r="P835" s="48">
        <v>48000000</v>
      </c>
      <c r="Q835" s="48">
        <f t="shared" ref="Q835:Q846" si="828">L835+M835+N835+P835</f>
        <v>1542042664</v>
      </c>
      <c r="R835" s="48">
        <v>1479042664</v>
      </c>
      <c r="S835" s="33"/>
      <c r="T835" s="44">
        <v>15000000</v>
      </c>
      <c r="U835" s="48"/>
      <c r="V835" s="33"/>
      <c r="W835" s="52"/>
      <c r="X835" s="52">
        <f t="shared" ref="X835:Y835" si="829">M835-S835</f>
        <v>0</v>
      </c>
      <c r="Y835" s="52">
        <f t="shared" si="829"/>
        <v>0</v>
      </c>
      <c r="Z835" s="52">
        <f t="shared" si="770"/>
        <v>48000000</v>
      </c>
      <c r="AA835" s="54"/>
      <c r="AB835" s="75" t="s">
        <v>3097</v>
      </c>
    </row>
    <row r="836" spans="1:45" ht="47.25" x14ac:dyDescent="0.25">
      <c r="A836" s="33" t="s">
        <v>60</v>
      </c>
      <c r="B836" s="42">
        <v>798</v>
      </c>
      <c r="C836" s="33" t="s">
        <v>74</v>
      </c>
      <c r="D836" s="33" t="s">
        <v>3793</v>
      </c>
      <c r="E836" s="32"/>
      <c r="F836" s="33" t="s">
        <v>3794</v>
      </c>
      <c r="G836" s="32"/>
      <c r="H836" s="32"/>
      <c r="I836" s="62" t="s">
        <v>3795</v>
      </c>
      <c r="J836" s="33" t="s">
        <v>43</v>
      </c>
      <c r="K836" s="33" t="s">
        <v>3796</v>
      </c>
      <c r="L836" s="65">
        <v>869322940</v>
      </c>
      <c r="M836" s="32"/>
      <c r="N836" s="65">
        <v>15000000</v>
      </c>
      <c r="O836" s="43"/>
      <c r="P836" s="43"/>
      <c r="Q836" s="48">
        <f t="shared" si="828"/>
        <v>884322940</v>
      </c>
      <c r="R836" s="52">
        <v>869322940</v>
      </c>
      <c r="S836" s="33"/>
      <c r="T836" s="44">
        <v>15000000</v>
      </c>
      <c r="U836" s="33"/>
      <c r="V836" s="33"/>
      <c r="W836" s="52"/>
      <c r="X836" s="52">
        <f t="shared" ref="X836:Y836" si="830">M836-S836</f>
        <v>0</v>
      </c>
      <c r="Y836" s="52">
        <f t="shared" si="830"/>
        <v>0</v>
      </c>
      <c r="Z836" s="52">
        <f t="shared" si="770"/>
        <v>0</v>
      </c>
      <c r="AA836" s="54"/>
      <c r="AB836" s="68"/>
    </row>
    <row r="837" spans="1:45" ht="47.25" x14ac:dyDescent="0.25">
      <c r="A837" s="33" t="s">
        <v>60</v>
      </c>
      <c r="B837" s="42">
        <v>799</v>
      </c>
      <c r="C837" s="33" t="s">
        <v>74</v>
      </c>
      <c r="D837" s="33" t="s">
        <v>3797</v>
      </c>
      <c r="E837" s="32"/>
      <c r="F837" s="33" t="s">
        <v>3798</v>
      </c>
      <c r="G837" s="32"/>
      <c r="H837" s="32"/>
      <c r="I837" s="62" t="s">
        <v>1064</v>
      </c>
      <c r="J837" s="33" t="s">
        <v>43</v>
      </c>
      <c r="K837" s="33" t="s">
        <v>3799</v>
      </c>
      <c r="L837" s="65">
        <v>323702710</v>
      </c>
      <c r="M837" s="32"/>
      <c r="N837" s="65">
        <v>15000000</v>
      </c>
      <c r="O837" s="43"/>
      <c r="P837" s="43"/>
      <c r="Q837" s="48">
        <f t="shared" si="828"/>
        <v>338702710</v>
      </c>
      <c r="R837" s="52">
        <v>323702710</v>
      </c>
      <c r="S837" s="33"/>
      <c r="T837" s="44">
        <v>15000000</v>
      </c>
      <c r="U837" s="33"/>
      <c r="V837" s="33"/>
      <c r="W837" s="52"/>
      <c r="X837" s="52">
        <f t="shared" ref="X837:Y837" si="831">M837-S837</f>
        <v>0</v>
      </c>
      <c r="Y837" s="52">
        <f t="shared" si="831"/>
        <v>0</v>
      </c>
      <c r="Z837" s="52">
        <f t="shared" si="770"/>
        <v>0</v>
      </c>
      <c r="AA837" s="54"/>
      <c r="AB837" s="68"/>
    </row>
    <row r="838" spans="1:45" ht="31.5" x14ac:dyDescent="0.25">
      <c r="A838" s="33" t="s">
        <v>60</v>
      </c>
      <c r="B838" s="42">
        <v>800</v>
      </c>
      <c r="C838" s="33" t="s">
        <v>74</v>
      </c>
      <c r="D838" s="33" t="s">
        <v>3800</v>
      </c>
      <c r="E838" s="32"/>
      <c r="F838" s="33" t="s">
        <v>3801</v>
      </c>
      <c r="G838" s="32"/>
      <c r="H838" s="32"/>
      <c r="I838" s="62" t="s">
        <v>3802</v>
      </c>
      <c r="J838" s="33" t="s">
        <v>43</v>
      </c>
      <c r="K838" s="33" t="s">
        <v>3803</v>
      </c>
      <c r="L838" s="65">
        <v>1566913848</v>
      </c>
      <c r="M838" s="32"/>
      <c r="N838" s="65">
        <v>15000000</v>
      </c>
      <c r="O838" s="43"/>
      <c r="P838" s="43"/>
      <c r="Q838" s="48">
        <f t="shared" si="828"/>
        <v>1581913848</v>
      </c>
      <c r="R838" s="48">
        <v>1566913848</v>
      </c>
      <c r="S838" s="33"/>
      <c r="T838" s="44">
        <v>15000000</v>
      </c>
      <c r="U838" s="33"/>
      <c r="V838" s="33"/>
      <c r="W838" s="52"/>
      <c r="X838" s="52">
        <f t="shared" ref="X838:Y838" si="832">M838-S838</f>
        <v>0</v>
      </c>
      <c r="Y838" s="52">
        <f t="shared" si="832"/>
        <v>0</v>
      </c>
      <c r="Z838" s="52">
        <f t="shared" si="770"/>
        <v>0</v>
      </c>
      <c r="AA838" s="54"/>
      <c r="AB838" s="68"/>
    </row>
    <row r="839" spans="1:45" ht="47.25" x14ac:dyDescent="0.25">
      <c r="A839" s="33" t="s">
        <v>60</v>
      </c>
      <c r="B839" s="42">
        <v>801</v>
      </c>
      <c r="C839" s="33" t="s">
        <v>74</v>
      </c>
      <c r="D839" s="33" t="s">
        <v>1442</v>
      </c>
      <c r="E839" s="32"/>
      <c r="F839" s="33" t="s">
        <v>1444</v>
      </c>
      <c r="G839" s="33" t="s">
        <v>1445</v>
      </c>
      <c r="H839" s="32"/>
      <c r="I839" s="62" t="s">
        <v>1446</v>
      </c>
      <c r="J839" s="33" t="s">
        <v>43</v>
      </c>
      <c r="K839" s="33" t="s">
        <v>1447</v>
      </c>
      <c r="L839" s="65">
        <v>1848889516</v>
      </c>
      <c r="M839" s="32"/>
      <c r="N839" s="65">
        <v>15000000</v>
      </c>
      <c r="O839" s="43" t="s">
        <v>1443</v>
      </c>
      <c r="P839" s="69">
        <v>16000000</v>
      </c>
      <c r="Q839" s="48">
        <f t="shared" si="828"/>
        <v>1879889516</v>
      </c>
      <c r="R839" s="48">
        <v>1848889516</v>
      </c>
      <c r="S839" s="33"/>
      <c r="T839" s="44">
        <v>15000000</v>
      </c>
      <c r="U839" s="48">
        <v>16000000</v>
      </c>
      <c r="V839" s="33"/>
      <c r="W839" s="52"/>
      <c r="X839" s="52">
        <f t="shared" ref="X839:Y839" si="833">M839-S839</f>
        <v>0</v>
      </c>
      <c r="Y839" s="52">
        <f t="shared" si="833"/>
        <v>0</v>
      </c>
      <c r="Z839" s="52">
        <f t="shared" si="770"/>
        <v>0</v>
      </c>
      <c r="AA839" s="54"/>
      <c r="AB839" s="68"/>
    </row>
    <row r="840" spans="1:45" ht="47.25" x14ac:dyDescent="0.25">
      <c r="A840" s="33" t="s">
        <v>60</v>
      </c>
      <c r="B840" s="42">
        <v>802</v>
      </c>
      <c r="C840" s="33" t="s">
        <v>74</v>
      </c>
      <c r="D840" s="33" t="s">
        <v>3804</v>
      </c>
      <c r="E840" s="33" t="s">
        <v>3805</v>
      </c>
      <c r="F840" s="33" t="s">
        <v>3806</v>
      </c>
      <c r="G840" s="32"/>
      <c r="H840" s="32"/>
      <c r="I840" s="62" t="s">
        <v>3807</v>
      </c>
      <c r="J840" s="33" t="s">
        <v>43</v>
      </c>
      <c r="K840" s="33" t="s">
        <v>1447</v>
      </c>
      <c r="L840" s="65">
        <v>10000000</v>
      </c>
      <c r="M840" s="65">
        <v>2092077756</v>
      </c>
      <c r="N840" s="65">
        <v>15000000</v>
      </c>
      <c r="O840" s="43"/>
      <c r="P840" s="43"/>
      <c r="Q840" s="48">
        <f t="shared" si="828"/>
        <v>2117077756</v>
      </c>
      <c r="R840" s="52">
        <v>10000000</v>
      </c>
      <c r="S840" s="48">
        <v>2092077756</v>
      </c>
      <c r="T840" s="66"/>
      <c r="U840" s="33"/>
      <c r="V840" s="33"/>
      <c r="W840" s="52"/>
      <c r="X840" s="52">
        <f t="shared" ref="X840:Y840" si="834">M840-S840</f>
        <v>0</v>
      </c>
      <c r="Y840" s="52">
        <f t="shared" si="834"/>
        <v>15000000</v>
      </c>
      <c r="Z840" s="52">
        <f t="shared" si="770"/>
        <v>0</v>
      </c>
      <c r="AA840" s="54"/>
      <c r="AB840" s="68"/>
    </row>
    <row r="841" spans="1:45" ht="63" x14ac:dyDescent="0.25">
      <c r="A841" s="33" t="s">
        <v>60</v>
      </c>
      <c r="B841" s="42">
        <v>803</v>
      </c>
      <c r="C841" s="33" t="s">
        <v>74</v>
      </c>
      <c r="D841" s="33" t="s">
        <v>444</v>
      </c>
      <c r="E841" s="32"/>
      <c r="F841" s="33" t="s">
        <v>447</v>
      </c>
      <c r="G841" s="32"/>
      <c r="H841" s="32"/>
      <c r="I841" s="62" t="s">
        <v>448</v>
      </c>
      <c r="J841" s="33" t="s">
        <v>43</v>
      </c>
      <c r="K841" s="33" t="s">
        <v>449</v>
      </c>
      <c r="L841" s="65">
        <v>10000000</v>
      </c>
      <c r="M841" s="32"/>
      <c r="N841" s="65">
        <v>15000000</v>
      </c>
      <c r="O841" s="43" t="s">
        <v>446</v>
      </c>
      <c r="P841" s="69">
        <v>72000000</v>
      </c>
      <c r="Q841" s="48">
        <f t="shared" si="828"/>
        <v>97000000</v>
      </c>
      <c r="R841" s="52">
        <v>10000000</v>
      </c>
      <c r="S841" s="33"/>
      <c r="T841" s="44">
        <v>15000000</v>
      </c>
      <c r="U841" s="48">
        <v>24000000</v>
      </c>
      <c r="V841" s="33"/>
      <c r="W841" s="52"/>
      <c r="X841" s="52">
        <f t="shared" ref="X841:Y841" si="835">M841-S841</f>
        <v>0</v>
      </c>
      <c r="Y841" s="52">
        <f t="shared" si="835"/>
        <v>0</v>
      </c>
      <c r="Z841" s="52">
        <f t="shared" si="770"/>
        <v>48000000</v>
      </c>
      <c r="AA841" s="54"/>
      <c r="AB841" s="74" t="s">
        <v>1222</v>
      </c>
    </row>
    <row r="842" spans="1:45" ht="47.25" x14ac:dyDescent="0.25">
      <c r="A842" s="33" t="s">
        <v>60</v>
      </c>
      <c r="B842" s="42">
        <v>804</v>
      </c>
      <c r="C842" s="33" t="s">
        <v>74</v>
      </c>
      <c r="D842" s="33" t="s">
        <v>3811</v>
      </c>
      <c r="E842" s="32"/>
      <c r="F842" s="33" t="s">
        <v>3812</v>
      </c>
      <c r="G842" s="33" t="s">
        <v>3813</v>
      </c>
      <c r="H842" s="32"/>
      <c r="I842" s="62" t="s">
        <v>3814</v>
      </c>
      <c r="J842" s="33" t="s">
        <v>43</v>
      </c>
      <c r="K842" s="33" t="s">
        <v>3815</v>
      </c>
      <c r="L842" s="65">
        <v>5236394180</v>
      </c>
      <c r="M842" s="32"/>
      <c r="N842" s="65">
        <v>15000000</v>
      </c>
      <c r="O842" s="43"/>
      <c r="P842" s="43"/>
      <c r="Q842" s="48">
        <f t="shared" si="828"/>
        <v>5251394180</v>
      </c>
      <c r="R842" s="48">
        <v>5236394180</v>
      </c>
      <c r="S842" s="33"/>
      <c r="T842" s="66"/>
      <c r="U842" s="33"/>
      <c r="V842" s="33"/>
      <c r="W842" s="52"/>
      <c r="X842" s="52">
        <f t="shared" ref="X842:Y842" si="836">M842-S842</f>
        <v>0</v>
      </c>
      <c r="Y842" s="52">
        <f t="shared" si="836"/>
        <v>15000000</v>
      </c>
      <c r="Z842" s="52">
        <f t="shared" si="770"/>
        <v>0</v>
      </c>
      <c r="AA842" s="54"/>
      <c r="AB842" s="68"/>
    </row>
    <row r="843" spans="1:45" ht="94.5" x14ac:dyDescent="0.25">
      <c r="A843" s="88" t="s">
        <v>60</v>
      </c>
      <c r="B843" s="89">
        <v>805</v>
      </c>
      <c r="C843" s="88" t="s">
        <v>74</v>
      </c>
      <c r="D843" s="88" t="s">
        <v>1531</v>
      </c>
      <c r="E843" s="88" t="s">
        <v>1532</v>
      </c>
      <c r="F843" s="88" t="s">
        <v>1533</v>
      </c>
      <c r="G843" s="88" t="s">
        <v>1534</v>
      </c>
      <c r="H843" s="90"/>
      <c r="I843" s="107" t="s">
        <v>1535</v>
      </c>
      <c r="J843" s="88" t="s">
        <v>43</v>
      </c>
      <c r="K843" s="88" t="s">
        <v>1536</v>
      </c>
      <c r="L843" s="108">
        <v>5239490644</v>
      </c>
      <c r="M843" s="91">
        <v>630718116</v>
      </c>
      <c r="N843" s="108">
        <v>15000000</v>
      </c>
      <c r="O843" s="92" t="s">
        <v>1526</v>
      </c>
      <c r="P843" s="84">
        <v>72000000</v>
      </c>
      <c r="Q843" s="91">
        <f t="shared" si="828"/>
        <v>5957208760</v>
      </c>
      <c r="R843" s="94">
        <v>5239490644</v>
      </c>
      <c r="S843" s="91">
        <v>630718116</v>
      </c>
      <c r="T843" s="93">
        <v>15000000</v>
      </c>
      <c r="U843" s="91">
        <v>24000000</v>
      </c>
      <c r="V843" s="88"/>
      <c r="W843" s="94"/>
      <c r="X843" s="94">
        <f t="shared" ref="X843:Y843" si="837">M843-S843</f>
        <v>0</v>
      </c>
      <c r="Y843" s="94">
        <f t="shared" si="837"/>
        <v>0</v>
      </c>
      <c r="Z843" s="94">
        <f t="shared" si="770"/>
        <v>48000000</v>
      </c>
      <c r="AA843" s="95"/>
      <c r="AB843" s="96" t="s">
        <v>2866</v>
      </c>
      <c r="AC843" s="97"/>
      <c r="AD843" s="97"/>
      <c r="AE843" s="97"/>
      <c r="AF843" s="97"/>
      <c r="AG843" s="97"/>
      <c r="AH843" s="97"/>
      <c r="AI843" s="97"/>
      <c r="AJ843" s="97"/>
      <c r="AK843" s="97"/>
      <c r="AL843" s="97"/>
      <c r="AM843" s="97"/>
      <c r="AN843" s="97"/>
      <c r="AO843" s="97"/>
      <c r="AP843" s="97"/>
      <c r="AQ843" s="97"/>
      <c r="AR843" s="97"/>
      <c r="AS843" s="97"/>
    </row>
    <row r="844" spans="1:45" ht="60.75" x14ac:dyDescent="0.25">
      <c r="A844" s="33" t="s">
        <v>35</v>
      </c>
      <c r="B844" s="42">
        <v>806</v>
      </c>
      <c r="C844" s="33" t="s">
        <v>74</v>
      </c>
      <c r="D844" s="33" t="s">
        <v>3816</v>
      </c>
      <c r="E844" s="33" t="s">
        <v>3817</v>
      </c>
      <c r="F844" s="33" t="s">
        <v>3818</v>
      </c>
      <c r="G844" s="32"/>
      <c r="H844" s="32"/>
      <c r="I844" s="62" t="s">
        <v>3819</v>
      </c>
      <c r="J844" s="33" t="s">
        <v>43</v>
      </c>
      <c r="K844" s="33" t="s">
        <v>212</v>
      </c>
      <c r="L844" s="65">
        <v>10000000</v>
      </c>
      <c r="M844" s="65">
        <v>5132223264</v>
      </c>
      <c r="N844" s="65">
        <v>15000000</v>
      </c>
      <c r="O844" s="43"/>
      <c r="P844" s="43"/>
      <c r="Q844" s="48">
        <f t="shared" si="828"/>
        <v>5157223264</v>
      </c>
      <c r="R844" s="48">
        <v>10000000</v>
      </c>
      <c r="S844" s="48">
        <v>5132223264</v>
      </c>
      <c r="T844" s="44">
        <v>15000000</v>
      </c>
      <c r="U844" s="33"/>
      <c r="V844" s="33"/>
      <c r="W844" s="52"/>
      <c r="X844" s="52">
        <f t="shared" ref="X844:Y844" si="838">M844-S844</f>
        <v>0</v>
      </c>
      <c r="Y844" s="52">
        <f t="shared" si="838"/>
        <v>0</v>
      </c>
      <c r="Z844" s="52">
        <f t="shared" si="770"/>
        <v>0</v>
      </c>
      <c r="AA844" s="54"/>
      <c r="AB844" s="68"/>
    </row>
    <row r="845" spans="1:45" ht="40.5" x14ac:dyDescent="0.25">
      <c r="A845" s="33" t="s">
        <v>60</v>
      </c>
      <c r="B845" s="42">
        <v>807</v>
      </c>
      <c r="C845" s="33" t="s">
        <v>74</v>
      </c>
      <c r="D845" s="33" t="s">
        <v>1714</v>
      </c>
      <c r="E845" s="32"/>
      <c r="F845" s="33" t="s">
        <v>1717</v>
      </c>
      <c r="G845" s="32"/>
      <c r="H845" s="32"/>
      <c r="I845" s="62" t="s">
        <v>1719</v>
      </c>
      <c r="J845" s="33" t="s">
        <v>43</v>
      </c>
      <c r="K845" s="33" t="s">
        <v>1720</v>
      </c>
      <c r="L845" s="65">
        <v>1611681135</v>
      </c>
      <c r="M845" s="32"/>
      <c r="N845" s="65">
        <v>15000000</v>
      </c>
      <c r="O845" s="43" t="s">
        <v>3820</v>
      </c>
      <c r="P845" s="69">
        <v>48000000</v>
      </c>
      <c r="Q845" s="48">
        <f t="shared" si="828"/>
        <v>1674681135</v>
      </c>
      <c r="R845" s="52">
        <v>1611681135</v>
      </c>
      <c r="S845" s="33"/>
      <c r="T845" s="44">
        <v>15000000</v>
      </c>
      <c r="U845" s="48">
        <v>48000000</v>
      </c>
      <c r="V845" s="33"/>
      <c r="W845" s="52"/>
      <c r="X845" s="52">
        <f t="shared" ref="X845:Y845" si="839">M845-S845</f>
        <v>0</v>
      </c>
      <c r="Y845" s="52">
        <f t="shared" si="839"/>
        <v>0</v>
      </c>
      <c r="Z845" s="52">
        <f t="shared" si="770"/>
        <v>0</v>
      </c>
      <c r="AA845" s="54"/>
      <c r="AB845" s="68"/>
    </row>
    <row r="846" spans="1:45" ht="31.5" x14ac:dyDescent="0.25">
      <c r="A846" s="33" t="s">
        <v>60</v>
      </c>
      <c r="B846" s="42">
        <v>808</v>
      </c>
      <c r="C846" s="33" t="s">
        <v>74</v>
      </c>
      <c r="D846" s="33" t="s">
        <v>1694</v>
      </c>
      <c r="E846" s="33" t="s">
        <v>1695</v>
      </c>
      <c r="F846" s="33" t="s">
        <v>1697</v>
      </c>
      <c r="G846" s="32"/>
      <c r="H846" s="32"/>
      <c r="I846" s="62" t="s">
        <v>1698</v>
      </c>
      <c r="J846" s="33" t="s">
        <v>43</v>
      </c>
      <c r="K846" s="33" t="s">
        <v>1699</v>
      </c>
      <c r="L846" s="65">
        <v>1246747708</v>
      </c>
      <c r="M846" s="65">
        <v>193650240</v>
      </c>
      <c r="N846" s="65">
        <v>15000000</v>
      </c>
      <c r="O846" s="43" t="s">
        <v>3820</v>
      </c>
      <c r="P846" s="69">
        <v>48000000</v>
      </c>
      <c r="Q846" s="48">
        <f t="shared" si="828"/>
        <v>1503397948</v>
      </c>
      <c r="R846" s="52">
        <v>1246747708</v>
      </c>
      <c r="S846" s="48">
        <v>193650240</v>
      </c>
      <c r="T846" s="44">
        <v>15000000</v>
      </c>
      <c r="U846" s="48">
        <v>48000000</v>
      </c>
      <c r="V846" s="33"/>
      <c r="W846" s="52"/>
      <c r="X846" s="52">
        <f t="shared" ref="X846:Y846" si="840">M846-S846</f>
        <v>0</v>
      </c>
      <c r="Y846" s="52">
        <f t="shared" si="840"/>
        <v>0</v>
      </c>
      <c r="Z846" s="52">
        <f t="shared" si="770"/>
        <v>0</v>
      </c>
      <c r="AA846" s="54"/>
      <c r="AB846" s="68"/>
    </row>
    <row r="847" spans="1:45" ht="31.5" x14ac:dyDescent="0.25">
      <c r="A847" s="33"/>
      <c r="B847" s="299">
        <v>809</v>
      </c>
      <c r="C847" s="299" t="s">
        <v>74</v>
      </c>
      <c r="D847" s="33"/>
      <c r="E847" s="33"/>
      <c r="F847" s="299" t="s">
        <v>192</v>
      </c>
      <c r="G847" s="32"/>
      <c r="H847" s="32"/>
      <c r="I847" s="312" t="s">
        <v>195</v>
      </c>
      <c r="J847" s="299" t="s">
        <v>43</v>
      </c>
      <c r="K847" s="299" t="s">
        <v>186</v>
      </c>
      <c r="L847" s="65"/>
      <c r="M847" s="65"/>
      <c r="N847" s="65"/>
      <c r="O847" s="43" t="s">
        <v>2475</v>
      </c>
      <c r="P847" s="69">
        <v>36000000</v>
      </c>
      <c r="Q847" s="48"/>
      <c r="R847" s="52"/>
      <c r="S847" s="48"/>
      <c r="T847" s="44"/>
      <c r="U847" s="48">
        <v>36000000</v>
      </c>
      <c r="V847" s="33"/>
      <c r="W847" s="52"/>
      <c r="X847" s="52"/>
      <c r="Y847" s="52"/>
      <c r="Z847" s="52">
        <f t="shared" si="770"/>
        <v>0</v>
      </c>
      <c r="AA847" s="54"/>
      <c r="AB847" s="68"/>
    </row>
    <row r="848" spans="1:45" ht="31.5" customHeight="1" x14ac:dyDescent="0.25">
      <c r="A848" s="88" t="s">
        <v>60</v>
      </c>
      <c r="B848" s="290"/>
      <c r="C848" s="290"/>
      <c r="D848" s="88" t="s">
        <v>190</v>
      </c>
      <c r="E848" s="88" t="s">
        <v>191</v>
      </c>
      <c r="F848" s="290"/>
      <c r="G848" s="88" t="s">
        <v>193</v>
      </c>
      <c r="H848" s="89" t="s">
        <v>194</v>
      </c>
      <c r="I848" s="290"/>
      <c r="J848" s="290"/>
      <c r="K848" s="290"/>
      <c r="L848" s="108">
        <v>1042844736</v>
      </c>
      <c r="M848" s="108">
        <v>353989728</v>
      </c>
      <c r="N848" s="108">
        <v>15000000</v>
      </c>
      <c r="O848" s="92" t="s">
        <v>1965</v>
      </c>
      <c r="P848" s="84">
        <v>72000000</v>
      </c>
      <c r="Q848" s="91">
        <f t="shared" ref="Q848:Q893" si="841">L848+M848+N848+P848</f>
        <v>1483834464</v>
      </c>
      <c r="R848" s="91">
        <v>1042844736</v>
      </c>
      <c r="S848" s="91">
        <v>353989728</v>
      </c>
      <c r="T848" s="93">
        <v>15000000</v>
      </c>
      <c r="U848" s="91"/>
      <c r="V848" s="88"/>
      <c r="W848" s="94"/>
      <c r="X848" s="94">
        <f t="shared" ref="X848:Y848" si="842">M848-S848</f>
        <v>0</v>
      </c>
      <c r="Y848" s="94">
        <f t="shared" si="842"/>
        <v>0</v>
      </c>
      <c r="Z848" s="94">
        <f t="shared" si="770"/>
        <v>72000000</v>
      </c>
      <c r="AA848" s="95"/>
      <c r="AB848" s="96" t="s">
        <v>2866</v>
      </c>
      <c r="AC848" s="97"/>
      <c r="AD848" s="97"/>
      <c r="AE848" s="97"/>
      <c r="AF848" s="97"/>
      <c r="AG848" s="97"/>
      <c r="AH848" s="97"/>
      <c r="AI848" s="97"/>
      <c r="AJ848" s="97"/>
      <c r="AK848" s="97"/>
      <c r="AL848" s="97"/>
      <c r="AM848" s="97"/>
      <c r="AN848" s="97"/>
      <c r="AO848" s="97"/>
      <c r="AP848" s="97"/>
      <c r="AQ848" s="97"/>
      <c r="AR848" s="97"/>
      <c r="AS848" s="97"/>
    </row>
    <row r="849" spans="1:28" ht="47.25" x14ac:dyDescent="0.25">
      <c r="A849" s="33" t="s">
        <v>60</v>
      </c>
      <c r="B849" s="42">
        <v>810</v>
      </c>
      <c r="C849" s="33" t="s">
        <v>74</v>
      </c>
      <c r="D849" s="33" t="s">
        <v>3821</v>
      </c>
      <c r="E849" s="32"/>
      <c r="F849" s="33" t="s">
        <v>3822</v>
      </c>
      <c r="G849" s="32"/>
      <c r="H849" s="32"/>
      <c r="I849" s="62" t="s">
        <v>3823</v>
      </c>
      <c r="J849" s="33" t="s">
        <v>43</v>
      </c>
      <c r="K849" s="33" t="s">
        <v>3824</v>
      </c>
      <c r="L849" s="65">
        <v>3051594287</v>
      </c>
      <c r="M849" s="32"/>
      <c r="N849" s="65">
        <v>15000000</v>
      </c>
      <c r="O849" s="43"/>
      <c r="P849" s="43"/>
      <c r="Q849" s="48">
        <f t="shared" si="841"/>
        <v>3066594287</v>
      </c>
      <c r="R849" s="52">
        <v>3051594287</v>
      </c>
      <c r="S849" s="33"/>
      <c r="T849" s="44">
        <v>15000000</v>
      </c>
      <c r="U849" s="33"/>
      <c r="V849" s="33"/>
      <c r="W849" s="52"/>
      <c r="X849" s="52">
        <f t="shared" ref="X849:Y849" si="843">M849-S849</f>
        <v>0</v>
      </c>
      <c r="Y849" s="52">
        <f t="shared" si="843"/>
        <v>0</v>
      </c>
      <c r="Z849" s="52">
        <f t="shared" si="770"/>
        <v>0</v>
      </c>
      <c r="AA849" s="54"/>
      <c r="AB849" s="68"/>
    </row>
    <row r="850" spans="1:28" ht="40.5" x14ac:dyDescent="0.25">
      <c r="A850" s="33" t="s">
        <v>60</v>
      </c>
      <c r="B850" s="42">
        <v>811</v>
      </c>
      <c r="C850" s="33" t="s">
        <v>74</v>
      </c>
      <c r="D850" s="33" t="s">
        <v>3825</v>
      </c>
      <c r="E850" s="32"/>
      <c r="F850" s="33" t="s">
        <v>3826</v>
      </c>
      <c r="G850" s="33" t="s">
        <v>3827</v>
      </c>
      <c r="H850" s="32"/>
      <c r="I850" s="62" t="s">
        <v>3828</v>
      </c>
      <c r="J850" s="33" t="s">
        <v>43</v>
      </c>
      <c r="K850" s="33" t="s">
        <v>3829</v>
      </c>
      <c r="L850" s="65">
        <v>22476062320</v>
      </c>
      <c r="M850" s="32"/>
      <c r="N850" s="65">
        <v>15000000</v>
      </c>
      <c r="O850" s="43"/>
      <c r="P850" s="43"/>
      <c r="Q850" s="48">
        <f t="shared" si="841"/>
        <v>22491062320</v>
      </c>
      <c r="R850" s="48">
        <v>22476062320</v>
      </c>
      <c r="S850" s="33"/>
      <c r="T850" s="44">
        <v>15000000</v>
      </c>
      <c r="U850" s="33"/>
      <c r="V850" s="33"/>
      <c r="W850" s="52"/>
      <c r="X850" s="52">
        <f t="shared" ref="X850:Y850" si="844">M850-S850</f>
        <v>0</v>
      </c>
      <c r="Y850" s="52">
        <f t="shared" si="844"/>
        <v>0</v>
      </c>
      <c r="Z850" s="52">
        <f t="shared" si="770"/>
        <v>0</v>
      </c>
      <c r="AA850" s="54"/>
      <c r="AB850" s="68"/>
    </row>
    <row r="851" spans="1:28" ht="31.5" x14ac:dyDescent="0.3">
      <c r="A851" s="33" t="s">
        <v>60</v>
      </c>
      <c r="B851" s="42">
        <v>812</v>
      </c>
      <c r="C851" s="33" t="s">
        <v>74</v>
      </c>
      <c r="D851" s="33" t="s">
        <v>3830</v>
      </c>
      <c r="E851" s="33" t="s">
        <v>3831</v>
      </c>
      <c r="F851" s="33" t="s">
        <v>3832</v>
      </c>
      <c r="G851" s="33" t="s">
        <v>3833</v>
      </c>
      <c r="H851" s="32"/>
      <c r="I851" s="62" t="s">
        <v>3834</v>
      </c>
      <c r="J851" s="33" t="s">
        <v>43</v>
      </c>
      <c r="K851" s="33" t="s">
        <v>838</v>
      </c>
      <c r="L851" s="65">
        <v>1218195100</v>
      </c>
      <c r="M851" s="48">
        <v>178916160</v>
      </c>
      <c r="N851" s="65">
        <v>15000000</v>
      </c>
      <c r="O851" s="43"/>
      <c r="P851" s="43"/>
      <c r="Q851" s="48">
        <f t="shared" si="841"/>
        <v>1412111260</v>
      </c>
      <c r="R851" s="33"/>
      <c r="S851" s="33"/>
      <c r="T851" s="44">
        <v>15000000</v>
      </c>
      <c r="U851" s="33"/>
      <c r="V851" s="33"/>
      <c r="W851" s="52">
        <v>1218195100</v>
      </c>
      <c r="X851" s="52">
        <f t="shared" ref="X851:Y851" si="845">M851-S851</f>
        <v>178916160</v>
      </c>
      <c r="Y851" s="52">
        <f t="shared" si="845"/>
        <v>0</v>
      </c>
      <c r="Z851" s="52">
        <f t="shared" si="770"/>
        <v>0</v>
      </c>
      <c r="AA851" s="98">
        <v>1218195100</v>
      </c>
      <c r="AB851" s="68"/>
    </row>
    <row r="852" spans="1:28" ht="31.5" x14ac:dyDescent="0.3">
      <c r="A852" s="33" t="s">
        <v>88</v>
      </c>
      <c r="B852" s="42">
        <v>813</v>
      </c>
      <c r="C852" s="33" t="s">
        <v>89</v>
      </c>
      <c r="D852" s="33" t="s">
        <v>90</v>
      </c>
      <c r="E852" s="33" t="s">
        <v>91</v>
      </c>
      <c r="F852" s="33" t="s">
        <v>93</v>
      </c>
      <c r="G852" s="33" t="s">
        <v>94</v>
      </c>
      <c r="H852" s="32"/>
      <c r="I852" s="62" t="s">
        <v>95</v>
      </c>
      <c r="J852" s="33" t="s">
        <v>43</v>
      </c>
      <c r="K852" s="33" t="s">
        <v>96</v>
      </c>
      <c r="L852" s="65">
        <v>2652068258</v>
      </c>
      <c r="M852" s="65">
        <v>680801625</v>
      </c>
      <c r="N852" s="65">
        <v>15000000</v>
      </c>
      <c r="O852" s="33" t="s">
        <v>92</v>
      </c>
      <c r="P852" s="48">
        <v>24000000</v>
      </c>
      <c r="Q852" s="48">
        <f t="shared" si="841"/>
        <v>3371869883</v>
      </c>
      <c r="R852" s="33"/>
      <c r="S852" s="33"/>
      <c r="T852" s="66"/>
      <c r="U852" s="33"/>
      <c r="V852" s="33"/>
      <c r="W852" s="52">
        <v>2652068258</v>
      </c>
      <c r="X852" s="52">
        <f t="shared" ref="X852:Y852" si="846">M852-S852</f>
        <v>680801625</v>
      </c>
      <c r="Y852" s="52">
        <f t="shared" si="846"/>
        <v>15000000</v>
      </c>
      <c r="Z852" s="52">
        <f t="shared" si="770"/>
        <v>24000000</v>
      </c>
      <c r="AA852" s="98">
        <v>2652068258</v>
      </c>
      <c r="AB852" s="75"/>
    </row>
    <row r="853" spans="1:28" ht="81" x14ac:dyDescent="0.25">
      <c r="A853" s="33" t="s">
        <v>88</v>
      </c>
      <c r="B853" s="42">
        <v>814</v>
      </c>
      <c r="C853" s="33" t="s">
        <v>89</v>
      </c>
      <c r="D853" s="33" t="s">
        <v>1872</v>
      </c>
      <c r="E853" s="32"/>
      <c r="F853" s="33" t="s">
        <v>3835</v>
      </c>
      <c r="G853" s="32"/>
      <c r="H853" s="32"/>
      <c r="I853" s="62" t="s">
        <v>3836</v>
      </c>
      <c r="J853" s="33" t="s">
        <v>43</v>
      </c>
      <c r="K853" s="33" t="s">
        <v>3837</v>
      </c>
      <c r="L853" s="65">
        <v>285679923760</v>
      </c>
      <c r="M853" s="32"/>
      <c r="N853" s="65">
        <v>7500000</v>
      </c>
      <c r="O853" s="43"/>
      <c r="P853" s="43"/>
      <c r="Q853" s="48">
        <f t="shared" si="841"/>
        <v>285687423760</v>
      </c>
      <c r="R853" s="48">
        <v>285679923760</v>
      </c>
      <c r="S853" s="33"/>
      <c r="T853" s="66"/>
      <c r="U853" s="33"/>
      <c r="V853" s="33"/>
      <c r="W853" s="52"/>
      <c r="X853" s="52">
        <f t="shared" ref="X853:Y853" si="847">M853-S853</f>
        <v>0</v>
      </c>
      <c r="Y853" s="52">
        <f t="shared" si="847"/>
        <v>7500000</v>
      </c>
      <c r="Z853" s="52">
        <f t="shared" si="770"/>
        <v>0</v>
      </c>
      <c r="AA853" s="54"/>
      <c r="AB853" s="68"/>
    </row>
    <row r="854" spans="1:28" ht="40.5" x14ac:dyDescent="0.25">
      <c r="A854" s="33" t="s">
        <v>88</v>
      </c>
      <c r="B854" s="42">
        <v>815</v>
      </c>
      <c r="C854" s="33" t="s">
        <v>89</v>
      </c>
      <c r="D854" s="33" t="s">
        <v>3838</v>
      </c>
      <c r="E854" s="32"/>
      <c r="F854" s="33" t="s">
        <v>3839</v>
      </c>
      <c r="G854" s="32"/>
      <c r="H854" s="32"/>
      <c r="I854" s="62" t="s">
        <v>3840</v>
      </c>
      <c r="J854" s="33" t="s">
        <v>43</v>
      </c>
      <c r="K854" s="33" t="s">
        <v>3841</v>
      </c>
      <c r="L854" s="65">
        <v>886470700</v>
      </c>
      <c r="M854" s="32"/>
      <c r="N854" s="65">
        <v>15000000</v>
      </c>
      <c r="O854" s="43"/>
      <c r="P854" s="43"/>
      <c r="Q854" s="48">
        <f t="shared" si="841"/>
        <v>901470700</v>
      </c>
      <c r="R854" s="48">
        <v>886470700</v>
      </c>
      <c r="S854" s="33"/>
      <c r="T854" s="44">
        <v>15000000</v>
      </c>
      <c r="U854" s="33"/>
      <c r="V854" s="33"/>
      <c r="W854" s="52"/>
      <c r="X854" s="52">
        <f t="shared" ref="X854:Y854" si="848">M854-S854</f>
        <v>0</v>
      </c>
      <c r="Y854" s="52">
        <f t="shared" si="848"/>
        <v>0</v>
      </c>
      <c r="Z854" s="52">
        <f t="shared" si="770"/>
        <v>0</v>
      </c>
      <c r="AA854" s="54"/>
      <c r="AB854" s="68"/>
    </row>
    <row r="855" spans="1:28" ht="60.75" x14ac:dyDescent="0.25">
      <c r="A855" s="33" t="s">
        <v>35</v>
      </c>
      <c r="B855" s="42">
        <v>816</v>
      </c>
      <c r="C855" s="33" t="s">
        <v>89</v>
      </c>
      <c r="D855" s="33" t="s">
        <v>3842</v>
      </c>
      <c r="E855" s="32"/>
      <c r="F855" s="33" t="s">
        <v>3843</v>
      </c>
      <c r="G855" s="32"/>
      <c r="H855" s="32"/>
      <c r="I855" s="62" t="s">
        <v>3576</v>
      </c>
      <c r="J855" s="33" t="s">
        <v>43</v>
      </c>
      <c r="K855" s="33" t="s">
        <v>3844</v>
      </c>
      <c r="L855" s="65">
        <v>1059226080</v>
      </c>
      <c r="M855" s="32"/>
      <c r="N855" s="65">
        <v>15000000</v>
      </c>
      <c r="O855" s="43"/>
      <c r="P855" s="43"/>
      <c r="Q855" s="48">
        <f t="shared" si="841"/>
        <v>1074226080</v>
      </c>
      <c r="R855" s="48">
        <v>1059226080</v>
      </c>
      <c r="S855" s="33"/>
      <c r="T855" s="44">
        <v>15000000</v>
      </c>
      <c r="U855" s="33"/>
      <c r="V855" s="33"/>
      <c r="W855" s="52"/>
      <c r="X855" s="52">
        <f t="shared" ref="X855:Y855" si="849">M855-S855</f>
        <v>0</v>
      </c>
      <c r="Y855" s="52">
        <f t="shared" si="849"/>
        <v>0</v>
      </c>
      <c r="Z855" s="52">
        <f t="shared" si="770"/>
        <v>0</v>
      </c>
      <c r="AA855" s="54"/>
      <c r="AB855" s="68"/>
    </row>
    <row r="856" spans="1:28" ht="121.5" x14ac:dyDescent="0.25">
      <c r="A856" s="33" t="s">
        <v>88</v>
      </c>
      <c r="B856" s="42">
        <v>817</v>
      </c>
      <c r="C856" s="33" t="s">
        <v>89</v>
      </c>
      <c r="D856" s="33" t="s">
        <v>1090</v>
      </c>
      <c r="E856" s="32"/>
      <c r="F856" s="33" t="s">
        <v>1091</v>
      </c>
      <c r="G856" s="32"/>
      <c r="H856" s="32"/>
      <c r="I856" s="62" t="s">
        <v>1092</v>
      </c>
      <c r="J856" s="33" t="s">
        <v>43</v>
      </c>
      <c r="K856" s="33" t="s">
        <v>1093</v>
      </c>
      <c r="L856" s="65">
        <v>5929074343</v>
      </c>
      <c r="M856" s="32"/>
      <c r="N856" s="65">
        <v>15000000</v>
      </c>
      <c r="O856" s="43" t="s">
        <v>1012</v>
      </c>
      <c r="P856" s="69">
        <v>24000000</v>
      </c>
      <c r="Q856" s="48">
        <f t="shared" si="841"/>
        <v>5968074343</v>
      </c>
      <c r="R856" s="48">
        <v>5929074343</v>
      </c>
      <c r="S856" s="33"/>
      <c r="T856" s="44">
        <v>15000000</v>
      </c>
      <c r="U856" s="48">
        <v>24000000</v>
      </c>
      <c r="V856" s="33"/>
      <c r="W856" s="52"/>
      <c r="X856" s="52">
        <f t="shared" ref="X856:Y856" si="850">M856-S856</f>
        <v>0</v>
      </c>
      <c r="Y856" s="52">
        <f t="shared" si="850"/>
        <v>0</v>
      </c>
      <c r="Z856" s="52">
        <f t="shared" si="770"/>
        <v>0</v>
      </c>
      <c r="AA856" s="54"/>
      <c r="AB856" s="68"/>
    </row>
    <row r="857" spans="1:28" ht="47.25" x14ac:dyDescent="0.25">
      <c r="A857" s="33" t="s">
        <v>88</v>
      </c>
      <c r="B857" s="42">
        <v>818</v>
      </c>
      <c r="C857" s="33" t="s">
        <v>89</v>
      </c>
      <c r="D857" s="33" t="s">
        <v>3847</v>
      </c>
      <c r="E857" s="32"/>
      <c r="F857" s="33" t="s">
        <v>3848</v>
      </c>
      <c r="G857" s="32"/>
      <c r="H857" s="32"/>
      <c r="I857" s="62" t="s">
        <v>3849</v>
      </c>
      <c r="J857" s="33" t="s">
        <v>43</v>
      </c>
      <c r="K857" s="33" t="s">
        <v>3850</v>
      </c>
      <c r="L857" s="65">
        <v>3385207540</v>
      </c>
      <c r="M857" s="32"/>
      <c r="N857" s="65">
        <v>15000000</v>
      </c>
      <c r="O857" s="43"/>
      <c r="P857" s="43"/>
      <c r="Q857" s="48">
        <f t="shared" si="841"/>
        <v>3400207540</v>
      </c>
      <c r="R857" s="48">
        <v>3385207540</v>
      </c>
      <c r="S857" s="33"/>
      <c r="T857" s="44">
        <v>15000000</v>
      </c>
      <c r="U857" s="33"/>
      <c r="V857" s="33"/>
      <c r="W857" s="52"/>
      <c r="X857" s="52">
        <f t="shared" ref="X857:Y857" si="851">M857-S857</f>
        <v>0</v>
      </c>
      <c r="Y857" s="52">
        <f t="shared" si="851"/>
        <v>0</v>
      </c>
      <c r="Z857" s="52">
        <f t="shared" si="770"/>
        <v>0</v>
      </c>
      <c r="AA857" s="54"/>
      <c r="AB857" s="68"/>
    </row>
    <row r="858" spans="1:28" ht="47.25" x14ac:dyDescent="0.25">
      <c r="A858" s="33" t="s">
        <v>88</v>
      </c>
      <c r="B858" s="42">
        <v>819</v>
      </c>
      <c r="C858" s="33" t="s">
        <v>89</v>
      </c>
      <c r="D858" s="33" t="s">
        <v>3851</v>
      </c>
      <c r="E858" s="32"/>
      <c r="F858" s="33" t="s">
        <v>3852</v>
      </c>
      <c r="G858" s="32"/>
      <c r="H858" s="32"/>
      <c r="I858" s="62" t="s">
        <v>3853</v>
      </c>
      <c r="J858" s="33" t="s">
        <v>43</v>
      </c>
      <c r="K858" s="33" t="s">
        <v>682</v>
      </c>
      <c r="L858" s="65">
        <v>1230685480</v>
      </c>
      <c r="M858" s="32"/>
      <c r="N858" s="65">
        <v>15000000</v>
      </c>
      <c r="O858" s="43"/>
      <c r="P858" s="43"/>
      <c r="Q858" s="48">
        <f t="shared" si="841"/>
        <v>1245685480</v>
      </c>
      <c r="R858" s="48">
        <v>1230685480</v>
      </c>
      <c r="S858" s="33"/>
      <c r="T858" s="44">
        <v>15000000</v>
      </c>
      <c r="U858" s="33"/>
      <c r="V858" s="33"/>
      <c r="W858" s="52"/>
      <c r="X858" s="52">
        <f t="shared" ref="X858:Y858" si="852">M858-S858</f>
        <v>0</v>
      </c>
      <c r="Y858" s="52">
        <f t="shared" si="852"/>
        <v>0</v>
      </c>
      <c r="Z858" s="52">
        <f t="shared" si="770"/>
        <v>0</v>
      </c>
      <c r="AA858" s="54"/>
      <c r="AB858" s="68"/>
    </row>
    <row r="859" spans="1:28" ht="63" x14ac:dyDescent="0.25">
      <c r="A859" s="33" t="s">
        <v>88</v>
      </c>
      <c r="B859" s="42">
        <v>820</v>
      </c>
      <c r="C859" s="33" t="s">
        <v>89</v>
      </c>
      <c r="D859" s="33" t="s">
        <v>1572</v>
      </c>
      <c r="E859" s="32"/>
      <c r="F859" s="33" t="s">
        <v>1573</v>
      </c>
      <c r="G859" s="32"/>
      <c r="H859" s="32"/>
      <c r="I859" s="62" t="s">
        <v>1575</v>
      </c>
      <c r="J859" s="33" t="s">
        <v>43</v>
      </c>
      <c r="K859" s="33" t="s">
        <v>1576</v>
      </c>
      <c r="L859" s="65">
        <v>1248685600</v>
      </c>
      <c r="M859" s="32"/>
      <c r="N859" s="65">
        <v>15000000</v>
      </c>
      <c r="O859" s="43" t="s">
        <v>1561</v>
      </c>
      <c r="P859" s="69">
        <v>120000000</v>
      </c>
      <c r="Q859" s="48">
        <f t="shared" si="841"/>
        <v>1383685600</v>
      </c>
      <c r="R859" s="48">
        <v>1248685600</v>
      </c>
      <c r="S859" s="33"/>
      <c r="T859" s="44">
        <v>15000000</v>
      </c>
      <c r="U859" s="48">
        <v>120000000</v>
      </c>
      <c r="V859" s="33"/>
      <c r="W859" s="52"/>
      <c r="X859" s="52">
        <f t="shared" ref="X859:Y859" si="853">M859-S859</f>
        <v>0</v>
      </c>
      <c r="Y859" s="52">
        <f t="shared" si="853"/>
        <v>0</v>
      </c>
      <c r="Z859" s="52">
        <f t="shared" si="770"/>
        <v>0</v>
      </c>
      <c r="AA859" s="54"/>
      <c r="AB859" s="68"/>
    </row>
    <row r="860" spans="1:28" ht="40.5" x14ac:dyDescent="0.25">
      <c r="A860" s="33" t="s">
        <v>88</v>
      </c>
      <c r="B860" s="42">
        <v>821</v>
      </c>
      <c r="C860" s="33" t="s">
        <v>89</v>
      </c>
      <c r="D860" s="33" t="s">
        <v>3854</v>
      </c>
      <c r="E860" s="33" t="s">
        <v>3855</v>
      </c>
      <c r="F860" s="33" t="s">
        <v>3856</v>
      </c>
      <c r="G860" s="32"/>
      <c r="H860" s="32"/>
      <c r="I860" s="62" t="s">
        <v>3857</v>
      </c>
      <c r="J860" s="33" t="s">
        <v>43</v>
      </c>
      <c r="K860" s="33" t="s">
        <v>3858</v>
      </c>
      <c r="L860" s="65">
        <v>66562996457</v>
      </c>
      <c r="M860" s="65">
        <v>1413212834</v>
      </c>
      <c r="N860" s="65">
        <v>7500000</v>
      </c>
      <c r="O860" s="43"/>
      <c r="P860" s="43"/>
      <c r="Q860" s="48">
        <f t="shared" si="841"/>
        <v>67983709291</v>
      </c>
      <c r="R860" s="48">
        <v>66562996457</v>
      </c>
      <c r="S860" s="48">
        <v>1413212834</v>
      </c>
      <c r="T860" s="44">
        <v>7500000</v>
      </c>
      <c r="U860" s="33"/>
      <c r="V860" s="33"/>
      <c r="W860" s="52"/>
      <c r="X860" s="52">
        <f t="shared" ref="X860:Y860" si="854">M860-S860</f>
        <v>0</v>
      </c>
      <c r="Y860" s="52">
        <f t="shared" si="854"/>
        <v>0</v>
      </c>
      <c r="Z860" s="52">
        <f t="shared" si="770"/>
        <v>0</v>
      </c>
      <c r="AA860" s="54"/>
      <c r="AB860" s="68"/>
    </row>
    <row r="861" spans="1:28" ht="40.5" x14ac:dyDescent="0.25">
      <c r="A861" s="33" t="s">
        <v>88</v>
      </c>
      <c r="B861" s="42">
        <v>822</v>
      </c>
      <c r="C861" s="33" t="s">
        <v>89</v>
      </c>
      <c r="D861" s="33" t="s">
        <v>3859</v>
      </c>
      <c r="E861" s="32"/>
      <c r="F861" s="33" t="s">
        <v>3860</v>
      </c>
      <c r="G861" s="32"/>
      <c r="H861" s="33" t="s">
        <v>85</v>
      </c>
      <c r="I861" s="62" t="s">
        <v>3861</v>
      </c>
      <c r="J861" s="33" t="s">
        <v>43</v>
      </c>
      <c r="K861" s="33" t="s">
        <v>3197</v>
      </c>
      <c r="L861" s="113">
        <v>0</v>
      </c>
      <c r="M861" s="32"/>
      <c r="N861" s="62"/>
      <c r="O861" s="43"/>
      <c r="P861" s="43"/>
      <c r="Q861" s="48">
        <f t="shared" si="841"/>
        <v>0</v>
      </c>
      <c r="R861" s="42">
        <v>0</v>
      </c>
      <c r="S861" s="33"/>
      <c r="T861" s="66"/>
      <c r="U861" s="33"/>
      <c r="V861" s="33"/>
      <c r="W861" s="52"/>
      <c r="X861" s="52">
        <f t="shared" ref="X861:Y861" si="855">M861-S861</f>
        <v>0</v>
      </c>
      <c r="Y861" s="52">
        <f t="shared" si="855"/>
        <v>0</v>
      </c>
      <c r="Z861" s="52">
        <f t="shared" si="770"/>
        <v>0</v>
      </c>
      <c r="AA861" s="54"/>
      <c r="AB861" s="68"/>
    </row>
    <row r="862" spans="1:28" ht="31.5" x14ac:dyDescent="0.25">
      <c r="A862" s="33" t="s">
        <v>88</v>
      </c>
      <c r="B862" s="42">
        <v>823</v>
      </c>
      <c r="C862" s="33" t="s">
        <v>89</v>
      </c>
      <c r="D862" s="33" t="s">
        <v>423</v>
      </c>
      <c r="E862" s="33" t="s">
        <v>424</v>
      </c>
      <c r="F862" s="33" t="s">
        <v>425</v>
      </c>
      <c r="G862" s="33" t="s">
        <v>426</v>
      </c>
      <c r="H862" s="32"/>
      <c r="I862" s="62" t="s">
        <v>427</v>
      </c>
      <c r="J862" s="33" t="s">
        <v>43</v>
      </c>
      <c r="K862" s="33" t="s">
        <v>428</v>
      </c>
      <c r="L862" s="65">
        <v>10000000</v>
      </c>
      <c r="M862" s="65">
        <v>715604580</v>
      </c>
      <c r="N862" s="65">
        <v>15000000</v>
      </c>
      <c r="O862" s="43" t="s">
        <v>388</v>
      </c>
      <c r="P862" s="69">
        <v>24000000</v>
      </c>
      <c r="Q862" s="48">
        <f t="shared" si="841"/>
        <v>764604580</v>
      </c>
      <c r="R862" s="48">
        <v>10000000</v>
      </c>
      <c r="S862" s="48">
        <v>715604580</v>
      </c>
      <c r="T862" s="44">
        <v>15000000</v>
      </c>
      <c r="U862" s="48">
        <v>24000000</v>
      </c>
      <c r="V862" s="33"/>
      <c r="W862" s="52"/>
      <c r="X862" s="52">
        <f t="shared" ref="X862:Y862" si="856">M862-S862</f>
        <v>0</v>
      </c>
      <c r="Y862" s="52">
        <f t="shared" si="856"/>
        <v>0</v>
      </c>
      <c r="Z862" s="52">
        <f t="shared" si="770"/>
        <v>0</v>
      </c>
      <c r="AA862" s="54"/>
      <c r="AB862" s="68"/>
    </row>
    <row r="863" spans="1:28" ht="40.5" x14ac:dyDescent="0.25">
      <c r="A863" s="33" t="s">
        <v>88</v>
      </c>
      <c r="B863" s="42">
        <v>824</v>
      </c>
      <c r="C863" s="33" t="s">
        <v>89</v>
      </c>
      <c r="D863" s="33" t="s">
        <v>634</v>
      </c>
      <c r="E863" s="33" t="s">
        <v>625</v>
      </c>
      <c r="F863" s="33" t="s">
        <v>635</v>
      </c>
      <c r="G863" s="33" t="s">
        <v>636</v>
      </c>
      <c r="H863" s="32"/>
      <c r="I863" s="62" t="s">
        <v>637</v>
      </c>
      <c r="J863" s="33" t="s">
        <v>43</v>
      </c>
      <c r="K863" s="33" t="s">
        <v>638</v>
      </c>
      <c r="L863" s="65">
        <v>10000000</v>
      </c>
      <c r="M863" s="65">
        <v>417893364</v>
      </c>
      <c r="N863" s="65">
        <v>15000000</v>
      </c>
      <c r="O863" s="43" t="s">
        <v>618</v>
      </c>
      <c r="P863" s="69">
        <v>24000000</v>
      </c>
      <c r="Q863" s="48">
        <f t="shared" si="841"/>
        <v>466893364</v>
      </c>
      <c r="R863" s="48">
        <v>10000000</v>
      </c>
      <c r="S863" s="48">
        <v>417893364</v>
      </c>
      <c r="T863" s="44">
        <v>15000000</v>
      </c>
      <c r="U863" s="48">
        <v>24000000</v>
      </c>
      <c r="V863" s="33"/>
      <c r="W863" s="52"/>
      <c r="X863" s="52">
        <f t="shared" ref="X863:Y863" si="857">M863-S863</f>
        <v>0</v>
      </c>
      <c r="Y863" s="52">
        <f t="shared" si="857"/>
        <v>0</v>
      </c>
      <c r="Z863" s="52">
        <f t="shared" si="770"/>
        <v>0</v>
      </c>
      <c r="AA863" s="54"/>
      <c r="AB863" s="68"/>
    </row>
    <row r="864" spans="1:28" ht="47.25" x14ac:dyDescent="0.25">
      <c r="A864" s="33" t="s">
        <v>88</v>
      </c>
      <c r="B864" s="42">
        <v>825</v>
      </c>
      <c r="C864" s="33" t="s">
        <v>89</v>
      </c>
      <c r="D864" s="33" t="s">
        <v>1107</v>
      </c>
      <c r="E864" s="33" t="s">
        <v>1108</v>
      </c>
      <c r="F864" s="33" t="s">
        <v>1109</v>
      </c>
      <c r="G864" s="32"/>
      <c r="H864" s="32"/>
      <c r="I864" s="62" t="s">
        <v>1110</v>
      </c>
      <c r="J864" s="33" t="s">
        <v>43</v>
      </c>
      <c r="K864" s="33" t="s">
        <v>1111</v>
      </c>
      <c r="L864" s="65">
        <v>1278949840</v>
      </c>
      <c r="M864" s="65">
        <v>451639776</v>
      </c>
      <c r="N864" s="65">
        <v>15000000</v>
      </c>
      <c r="O864" s="43" t="s">
        <v>1012</v>
      </c>
      <c r="P864" s="69">
        <v>24000000</v>
      </c>
      <c r="Q864" s="48">
        <f t="shared" si="841"/>
        <v>1769589616</v>
      </c>
      <c r="R864" s="48">
        <v>1278949840</v>
      </c>
      <c r="S864" s="48">
        <v>451639776</v>
      </c>
      <c r="T864" s="66"/>
      <c r="U864" s="48">
        <v>24000000</v>
      </c>
      <c r="V864" s="33"/>
      <c r="W864" s="52"/>
      <c r="X864" s="52">
        <f t="shared" ref="X864:Y864" si="858">M864-S864</f>
        <v>0</v>
      </c>
      <c r="Y864" s="52">
        <f t="shared" si="858"/>
        <v>15000000</v>
      </c>
      <c r="Z864" s="52">
        <f t="shared" si="770"/>
        <v>0</v>
      </c>
      <c r="AA864" s="54"/>
      <c r="AB864" s="68"/>
    </row>
    <row r="865" spans="1:28" ht="31.5" x14ac:dyDescent="0.25">
      <c r="A865" s="33" t="s">
        <v>35</v>
      </c>
      <c r="B865" s="42">
        <v>826</v>
      </c>
      <c r="C865" s="33" t="s">
        <v>89</v>
      </c>
      <c r="D865" s="33" t="s">
        <v>1694</v>
      </c>
      <c r="E865" s="33" t="s">
        <v>1437</v>
      </c>
      <c r="F865" s="33" t="s">
        <v>3862</v>
      </c>
      <c r="G865" s="33" t="s">
        <v>3863</v>
      </c>
      <c r="H865" s="32"/>
      <c r="I865" s="62" t="s">
        <v>3864</v>
      </c>
      <c r="J865" s="33" t="s">
        <v>43</v>
      </c>
      <c r="K865" s="33" t="s">
        <v>3865</v>
      </c>
      <c r="L865" s="65">
        <v>1083708020</v>
      </c>
      <c r="M865" s="65">
        <v>1129749824</v>
      </c>
      <c r="N865" s="65">
        <v>15000000</v>
      </c>
      <c r="O865" s="43"/>
      <c r="P865" s="43"/>
      <c r="Q865" s="48">
        <f t="shared" si="841"/>
        <v>2228457844</v>
      </c>
      <c r="R865" s="48">
        <v>1083708020</v>
      </c>
      <c r="S865" s="48">
        <v>1129749824</v>
      </c>
      <c r="T865" s="44">
        <v>15000000</v>
      </c>
      <c r="U865" s="33"/>
      <c r="V865" s="33"/>
      <c r="W865" s="52"/>
      <c r="X865" s="52">
        <f t="shared" ref="X865:Y865" si="859">M865-S865</f>
        <v>0</v>
      </c>
      <c r="Y865" s="52">
        <f t="shared" si="859"/>
        <v>0</v>
      </c>
      <c r="Z865" s="52">
        <f t="shared" si="770"/>
        <v>0</v>
      </c>
      <c r="AA865" s="54"/>
      <c r="AB865" s="68"/>
    </row>
    <row r="866" spans="1:28" ht="60.75" x14ac:dyDescent="0.25">
      <c r="A866" s="33" t="s">
        <v>88</v>
      </c>
      <c r="B866" s="42">
        <v>827</v>
      </c>
      <c r="C866" s="33" t="s">
        <v>89</v>
      </c>
      <c r="D866" s="33" t="s">
        <v>1785</v>
      </c>
      <c r="E866" s="33" t="s">
        <v>1786</v>
      </c>
      <c r="F866" s="33" t="s">
        <v>1787</v>
      </c>
      <c r="G866" s="33" t="s">
        <v>1788</v>
      </c>
      <c r="H866" s="32"/>
      <c r="I866" s="62" t="s">
        <v>1789</v>
      </c>
      <c r="J866" s="33" t="s">
        <v>43</v>
      </c>
      <c r="K866" s="33" t="s">
        <v>1790</v>
      </c>
      <c r="L866" s="65">
        <v>669621130</v>
      </c>
      <c r="M866" s="106">
        <v>1200081192</v>
      </c>
      <c r="N866" s="65">
        <v>15000000</v>
      </c>
      <c r="O866" s="43" t="s">
        <v>1767</v>
      </c>
      <c r="P866" s="69">
        <v>8000000</v>
      </c>
      <c r="Q866" s="48">
        <f t="shared" si="841"/>
        <v>1892702322</v>
      </c>
      <c r="R866" s="48">
        <v>669621130</v>
      </c>
      <c r="S866" s="48">
        <v>1200081192</v>
      </c>
      <c r="T866" s="44">
        <v>15000000</v>
      </c>
      <c r="U866" s="48">
        <v>8000000</v>
      </c>
      <c r="V866" s="33"/>
      <c r="W866" s="52"/>
      <c r="X866" s="52">
        <f t="shared" ref="X866:Y866" si="860">M866-S866</f>
        <v>0</v>
      </c>
      <c r="Y866" s="52">
        <f t="shared" si="860"/>
        <v>0</v>
      </c>
      <c r="Z866" s="52">
        <f t="shared" si="770"/>
        <v>0</v>
      </c>
      <c r="AA866" s="54"/>
      <c r="AB866" s="68"/>
    </row>
    <row r="867" spans="1:28" ht="60.75" x14ac:dyDescent="0.25">
      <c r="A867" s="33" t="s">
        <v>88</v>
      </c>
      <c r="B867" s="42">
        <v>828</v>
      </c>
      <c r="C867" s="33" t="s">
        <v>89</v>
      </c>
      <c r="D867" s="33" t="s">
        <v>3866</v>
      </c>
      <c r="E867" s="32"/>
      <c r="F867" s="33" t="s">
        <v>3867</v>
      </c>
      <c r="G867" s="32"/>
      <c r="H867" s="32"/>
      <c r="I867" s="62" t="s">
        <v>3868</v>
      </c>
      <c r="J867" s="33" t="s">
        <v>43</v>
      </c>
      <c r="K867" s="33" t="s">
        <v>3869</v>
      </c>
      <c r="L867" s="65">
        <v>6071608000</v>
      </c>
      <c r="M867" s="32"/>
      <c r="N867" s="65">
        <v>15000000</v>
      </c>
      <c r="O867" s="43"/>
      <c r="P867" s="43"/>
      <c r="Q867" s="48">
        <f t="shared" si="841"/>
        <v>6086608000</v>
      </c>
      <c r="R867" s="48">
        <v>6071608000</v>
      </c>
      <c r="S867" s="33"/>
      <c r="T867" s="44">
        <v>15000000</v>
      </c>
      <c r="U867" s="33"/>
      <c r="V867" s="33"/>
      <c r="W867" s="52"/>
      <c r="X867" s="52">
        <f t="shared" ref="X867:Y867" si="861">M867-S867</f>
        <v>0</v>
      </c>
      <c r="Y867" s="52">
        <f t="shared" si="861"/>
        <v>0</v>
      </c>
      <c r="Z867" s="52">
        <f t="shared" si="770"/>
        <v>0</v>
      </c>
      <c r="AA867" s="54"/>
      <c r="AB867" s="68"/>
    </row>
    <row r="868" spans="1:28" ht="60.75" x14ac:dyDescent="0.25">
      <c r="A868" s="33" t="s">
        <v>88</v>
      </c>
      <c r="B868" s="42">
        <v>829</v>
      </c>
      <c r="C868" s="33" t="s">
        <v>89</v>
      </c>
      <c r="D868" s="33" t="s">
        <v>434</v>
      </c>
      <c r="E868" s="32"/>
      <c r="F868" s="33" t="s">
        <v>435</v>
      </c>
      <c r="G868" s="32"/>
      <c r="H868" s="32"/>
      <c r="I868" s="62" t="s">
        <v>436</v>
      </c>
      <c r="J868" s="33" t="s">
        <v>43</v>
      </c>
      <c r="K868" s="33" t="s">
        <v>437</v>
      </c>
      <c r="L868" s="65">
        <v>1770648232</v>
      </c>
      <c r="M868" s="32"/>
      <c r="N868" s="65">
        <v>15000000</v>
      </c>
      <c r="O868" s="43" t="s">
        <v>388</v>
      </c>
      <c r="P868" s="69">
        <v>33333335</v>
      </c>
      <c r="Q868" s="48">
        <f t="shared" si="841"/>
        <v>1818981567</v>
      </c>
      <c r="R868" s="48">
        <v>1770648232</v>
      </c>
      <c r="S868" s="33"/>
      <c r="T868" s="44">
        <v>15000000</v>
      </c>
      <c r="U868" s="48">
        <v>33333335</v>
      </c>
      <c r="V868" s="33"/>
      <c r="W868" s="52"/>
      <c r="X868" s="52">
        <f t="shared" ref="X868:Y868" si="862">M868-S868</f>
        <v>0</v>
      </c>
      <c r="Y868" s="52">
        <f t="shared" si="862"/>
        <v>0</v>
      </c>
      <c r="Z868" s="52">
        <f t="shared" si="770"/>
        <v>0</v>
      </c>
      <c r="AA868" s="54"/>
      <c r="AB868" s="68"/>
    </row>
    <row r="869" spans="1:28" ht="40.5" x14ac:dyDescent="0.25">
      <c r="A869" s="33" t="s">
        <v>88</v>
      </c>
      <c r="B869" s="42">
        <v>830</v>
      </c>
      <c r="C869" s="33" t="s">
        <v>89</v>
      </c>
      <c r="D869" s="33" t="s">
        <v>3870</v>
      </c>
      <c r="E869" s="32"/>
      <c r="F869" s="33" t="s">
        <v>3871</v>
      </c>
      <c r="G869" s="32"/>
      <c r="H869" s="32"/>
      <c r="I869" s="62" t="s">
        <v>3872</v>
      </c>
      <c r="J869" s="33" t="s">
        <v>43</v>
      </c>
      <c r="K869" s="33" t="s">
        <v>293</v>
      </c>
      <c r="L869" s="65">
        <v>1108965112</v>
      </c>
      <c r="M869" s="32"/>
      <c r="N869" s="65">
        <v>15000000</v>
      </c>
      <c r="O869" s="43"/>
      <c r="P869" s="43"/>
      <c r="Q869" s="48">
        <f t="shared" si="841"/>
        <v>1123965112</v>
      </c>
      <c r="R869" s="48">
        <v>1108965112</v>
      </c>
      <c r="S869" s="33"/>
      <c r="T869" s="44">
        <v>15000000</v>
      </c>
      <c r="U869" s="33"/>
      <c r="V869" s="33"/>
      <c r="W869" s="52"/>
      <c r="X869" s="52">
        <f t="shared" ref="X869:Y869" si="863">M869-S869</f>
        <v>0</v>
      </c>
      <c r="Y869" s="52">
        <f t="shared" si="863"/>
        <v>0</v>
      </c>
      <c r="Z869" s="52">
        <f t="shared" si="770"/>
        <v>0</v>
      </c>
      <c r="AA869" s="54"/>
      <c r="AB869" s="68"/>
    </row>
    <row r="870" spans="1:28" ht="40.5" x14ac:dyDescent="0.25">
      <c r="A870" s="33" t="s">
        <v>88</v>
      </c>
      <c r="B870" s="42">
        <v>831</v>
      </c>
      <c r="C870" s="33" t="s">
        <v>89</v>
      </c>
      <c r="D870" s="33" t="s">
        <v>3873</v>
      </c>
      <c r="E870" s="32"/>
      <c r="F870" s="33" t="s">
        <v>3874</v>
      </c>
      <c r="G870" s="32"/>
      <c r="H870" s="32"/>
      <c r="I870" s="62" t="s">
        <v>2885</v>
      </c>
      <c r="J870" s="33" t="s">
        <v>43</v>
      </c>
      <c r="K870" s="33" t="s">
        <v>3875</v>
      </c>
      <c r="L870" s="65">
        <v>2946358656</v>
      </c>
      <c r="M870" s="32"/>
      <c r="N870" s="65">
        <v>15000000</v>
      </c>
      <c r="O870" s="43"/>
      <c r="P870" s="43"/>
      <c r="Q870" s="48">
        <f t="shared" si="841"/>
        <v>2961358656</v>
      </c>
      <c r="R870" s="48">
        <v>2946358656</v>
      </c>
      <c r="S870" s="33"/>
      <c r="T870" s="44">
        <v>15000000</v>
      </c>
      <c r="U870" s="33"/>
      <c r="V870" s="33"/>
      <c r="W870" s="52"/>
      <c r="X870" s="52">
        <f t="shared" ref="X870:Y870" si="864">M870-S870</f>
        <v>0</v>
      </c>
      <c r="Y870" s="52">
        <f t="shared" si="864"/>
        <v>0</v>
      </c>
      <c r="Z870" s="52">
        <f t="shared" si="770"/>
        <v>0</v>
      </c>
      <c r="AA870" s="54"/>
      <c r="AB870" s="68"/>
    </row>
    <row r="871" spans="1:28" ht="47.25" x14ac:dyDescent="0.25">
      <c r="A871" s="33" t="s">
        <v>275</v>
      </c>
      <c r="B871" s="42">
        <v>832</v>
      </c>
      <c r="C871" s="33" t="s">
        <v>89</v>
      </c>
      <c r="D871" s="33" t="s">
        <v>917</v>
      </c>
      <c r="E871" s="33" t="s">
        <v>918</v>
      </c>
      <c r="F871" s="33" t="s">
        <v>919</v>
      </c>
      <c r="G871" s="32"/>
      <c r="H871" s="32"/>
      <c r="I871" s="62" t="s">
        <v>921</v>
      </c>
      <c r="J871" s="33" t="s">
        <v>43</v>
      </c>
      <c r="K871" s="33" t="s">
        <v>922</v>
      </c>
      <c r="L871" s="65">
        <v>10000000</v>
      </c>
      <c r="M871" s="65">
        <v>549610320</v>
      </c>
      <c r="N871" s="65">
        <v>15000000</v>
      </c>
      <c r="O871" s="43"/>
      <c r="P871" s="43"/>
      <c r="Q871" s="48">
        <f t="shared" si="841"/>
        <v>574610320</v>
      </c>
      <c r="R871" s="48">
        <v>10000000</v>
      </c>
      <c r="S871" s="48">
        <v>549610320</v>
      </c>
      <c r="T871" s="44">
        <v>15000000</v>
      </c>
      <c r="U871" s="33"/>
      <c r="V871" s="33"/>
      <c r="W871" s="52"/>
      <c r="X871" s="52">
        <f t="shared" ref="X871:Y871" si="865">M871-S871</f>
        <v>0</v>
      </c>
      <c r="Y871" s="52">
        <f t="shared" si="865"/>
        <v>0</v>
      </c>
      <c r="Z871" s="52">
        <f t="shared" si="770"/>
        <v>0</v>
      </c>
      <c r="AA871" s="54"/>
      <c r="AB871" s="68"/>
    </row>
    <row r="872" spans="1:28" ht="47.25" x14ac:dyDescent="0.25">
      <c r="A872" s="33" t="s">
        <v>275</v>
      </c>
      <c r="B872" s="42">
        <v>833</v>
      </c>
      <c r="C872" s="33" t="s">
        <v>89</v>
      </c>
      <c r="D872" s="33" t="s">
        <v>3876</v>
      </c>
      <c r="E872" s="33" t="s">
        <v>906</v>
      </c>
      <c r="F872" s="33" t="s">
        <v>3877</v>
      </c>
      <c r="G872" s="32"/>
      <c r="H872" s="32"/>
      <c r="I872" s="62" t="s">
        <v>3878</v>
      </c>
      <c r="J872" s="33" t="s">
        <v>43</v>
      </c>
      <c r="K872" s="33" t="s">
        <v>911</v>
      </c>
      <c r="L872" s="65">
        <v>10000000</v>
      </c>
      <c r="M872" s="65">
        <v>624471036</v>
      </c>
      <c r="N872" s="65">
        <v>15000000</v>
      </c>
      <c r="O872" s="43"/>
      <c r="P872" s="43"/>
      <c r="Q872" s="48">
        <f t="shared" si="841"/>
        <v>649471036</v>
      </c>
      <c r="R872" s="48">
        <v>10000000</v>
      </c>
      <c r="S872" s="48">
        <v>624471036</v>
      </c>
      <c r="T872" s="66"/>
      <c r="U872" s="33"/>
      <c r="V872" s="33"/>
      <c r="W872" s="52"/>
      <c r="X872" s="52">
        <f t="shared" ref="X872:Y872" si="866">M872-S872</f>
        <v>0</v>
      </c>
      <c r="Y872" s="52">
        <f t="shared" si="866"/>
        <v>15000000</v>
      </c>
      <c r="Z872" s="52">
        <f t="shared" si="770"/>
        <v>0</v>
      </c>
      <c r="AA872" s="54"/>
      <c r="AB872" s="68"/>
    </row>
    <row r="873" spans="1:28" ht="60.75" x14ac:dyDescent="0.3">
      <c r="A873" s="33" t="s">
        <v>275</v>
      </c>
      <c r="B873" s="42">
        <v>834</v>
      </c>
      <c r="C873" s="33" t="s">
        <v>89</v>
      </c>
      <c r="D873" s="33" t="s">
        <v>3879</v>
      </c>
      <c r="E873" s="33" t="s">
        <v>3880</v>
      </c>
      <c r="F873" s="33" t="s">
        <v>3881</v>
      </c>
      <c r="G873" s="33" t="s">
        <v>3882</v>
      </c>
      <c r="H873" s="32"/>
      <c r="I873" s="62" t="s">
        <v>3883</v>
      </c>
      <c r="J873" s="33" t="s">
        <v>43</v>
      </c>
      <c r="K873" s="33" t="s">
        <v>3865</v>
      </c>
      <c r="L873" s="65">
        <v>10000000</v>
      </c>
      <c r="M873" s="65">
        <v>325771956</v>
      </c>
      <c r="N873" s="65">
        <v>15000000</v>
      </c>
      <c r="O873" s="43"/>
      <c r="P873" s="43"/>
      <c r="Q873" s="48">
        <f t="shared" si="841"/>
        <v>350771956</v>
      </c>
      <c r="R873" s="33"/>
      <c r="S873" s="33"/>
      <c r="T873" s="66"/>
      <c r="U873" s="33"/>
      <c r="V873" s="33"/>
      <c r="W873" s="52">
        <v>10000000</v>
      </c>
      <c r="X873" s="52">
        <f t="shared" ref="X873:Y873" si="867">M873-S873</f>
        <v>325771956</v>
      </c>
      <c r="Y873" s="52">
        <f t="shared" si="867"/>
        <v>15000000</v>
      </c>
      <c r="Z873" s="52">
        <f t="shared" si="770"/>
        <v>0</v>
      </c>
      <c r="AA873" s="98">
        <v>10000000</v>
      </c>
      <c r="AB873" s="68"/>
    </row>
    <row r="874" spans="1:28" ht="31.5" x14ac:dyDescent="0.25">
      <c r="A874" s="33" t="s">
        <v>275</v>
      </c>
      <c r="B874" s="42">
        <v>835</v>
      </c>
      <c r="C874" s="33" t="s">
        <v>89</v>
      </c>
      <c r="D874" s="33" t="s">
        <v>3884</v>
      </c>
      <c r="E874" s="32"/>
      <c r="F874" s="33" t="s">
        <v>3885</v>
      </c>
      <c r="G874" s="32"/>
      <c r="H874" s="32"/>
      <c r="I874" s="62" t="s">
        <v>3886</v>
      </c>
      <c r="J874" s="33" t="s">
        <v>43</v>
      </c>
      <c r="K874" s="33" t="s">
        <v>3887</v>
      </c>
      <c r="L874" s="65">
        <v>2547765012</v>
      </c>
      <c r="M874" s="32"/>
      <c r="N874" s="65">
        <v>15000000</v>
      </c>
      <c r="O874" s="43"/>
      <c r="P874" s="43"/>
      <c r="Q874" s="48">
        <f t="shared" si="841"/>
        <v>2562765012</v>
      </c>
      <c r="R874" s="48">
        <v>2547765012</v>
      </c>
      <c r="S874" s="33"/>
      <c r="T874" s="44">
        <v>15000000</v>
      </c>
      <c r="U874" s="33"/>
      <c r="V874" s="33"/>
      <c r="W874" s="52"/>
      <c r="X874" s="52">
        <f t="shared" ref="X874:Y874" si="868">M874-S874</f>
        <v>0</v>
      </c>
      <c r="Y874" s="52">
        <f t="shared" si="868"/>
        <v>0</v>
      </c>
      <c r="Z874" s="52">
        <f t="shared" si="770"/>
        <v>0</v>
      </c>
      <c r="AA874" s="54"/>
      <c r="AB874" s="68"/>
    </row>
    <row r="875" spans="1:28" ht="60.75" x14ac:dyDescent="0.25">
      <c r="A875" s="33" t="s">
        <v>275</v>
      </c>
      <c r="B875" s="42">
        <v>836</v>
      </c>
      <c r="C875" s="33" t="s">
        <v>89</v>
      </c>
      <c r="D875" s="33" t="s">
        <v>3888</v>
      </c>
      <c r="E875" s="32"/>
      <c r="F875" s="33" t="s">
        <v>3889</v>
      </c>
      <c r="G875" s="32"/>
      <c r="H875" s="32"/>
      <c r="I875" s="62" t="s">
        <v>3890</v>
      </c>
      <c r="J875" s="33" t="s">
        <v>43</v>
      </c>
      <c r="K875" s="33" t="s">
        <v>212</v>
      </c>
      <c r="L875" s="65">
        <v>2743648019</v>
      </c>
      <c r="M875" s="32"/>
      <c r="N875" s="65">
        <v>15000000</v>
      </c>
      <c r="O875" s="43"/>
      <c r="P875" s="43"/>
      <c r="Q875" s="48">
        <f t="shared" si="841"/>
        <v>2758648019</v>
      </c>
      <c r="R875" s="48">
        <v>2743648019</v>
      </c>
      <c r="S875" s="33"/>
      <c r="T875" s="44">
        <v>15000000</v>
      </c>
      <c r="U875" s="33"/>
      <c r="V875" s="33"/>
      <c r="W875" s="52"/>
      <c r="X875" s="52">
        <f t="shared" ref="X875:Y875" si="869">M875-S875</f>
        <v>0</v>
      </c>
      <c r="Y875" s="52">
        <f t="shared" si="869"/>
        <v>0</v>
      </c>
      <c r="Z875" s="52">
        <f t="shared" si="770"/>
        <v>0</v>
      </c>
      <c r="AA875" s="54"/>
      <c r="AB875" s="68"/>
    </row>
    <row r="876" spans="1:28" ht="47.25" x14ac:dyDescent="0.25">
      <c r="A876" s="33" t="s">
        <v>275</v>
      </c>
      <c r="B876" s="42">
        <v>837</v>
      </c>
      <c r="C876" s="33" t="s">
        <v>89</v>
      </c>
      <c r="D876" s="33" t="s">
        <v>3891</v>
      </c>
      <c r="E876" s="32"/>
      <c r="F876" s="33" t="s">
        <v>3892</v>
      </c>
      <c r="G876" s="32"/>
      <c r="H876" s="32"/>
      <c r="I876" s="62" t="s">
        <v>3893</v>
      </c>
      <c r="J876" s="33" t="s">
        <v>43</v>
      </c>
      <c r="K876" s="33" t="s">
        <v>3894</v>
      </c>
      <c r="L876" s="65">
        <v>1011264694</v>
      </c>
      <c r="M876" s="32"/>
      <c r="N876" s="65">
        <v>7500000</v>
      </c>
      <c r="O876" s="43"/>
      <c r="P876" s="43"/>
      <c r="Q876" s="48">
        <f t="shared" si="841"/>
        <v>1018764694</v>
      </c>
      <c r="R876" s="48">
        <v>1011264694</v>
      </c>
      <c r="S876" s="33"/>
      <c r="T876" s="44">
        <v>7500000</v>
      </c>
      <c r="U876" s="33"/>
      <c r="V876" s="33"/>
      <c r="W876" s="52"/>
      <c r="X876" s="52">
        <f t="shared" ref="X876:Y876" si="870">M876-S876</f>
        <v>0</v>
      </c>
      <c r="Y876" s="52">
        <f t="shared" si="870"/>
        <v>0</v>
      </c>
      <c r="Z876" s="52">
        <f t="shared" si="770"/>
        <v>0</v>
      </c>
      <c r="AA876" s="54"/>
      <c r="AB876" s="68"/>
    </row>
    <row r="877" spans="1:28" ht="47.25" x14ac:dyDescent="0.25">
      <c r="A877" s="33" t="s">
        <v>275</v>
      </c>
      <c r="B877" s="42">
        <v>838</v>
      </c>
      <c r="C877" s="33" t="s">
        <v>89</v>
      </c>
      <c r="D877" s="33" t="s">
        <v>3895</v>
      </c>
      <c r="E877" s="33" t="s">
        <v>3788</v>
      </c>
      <c r="F877" s="33" t="s">
        <v>3896</v>
      </c>
      <c r="G877" s="33" t="s">
        <v>3897</v>
      </c>
      <c r="H877" s="32"/>
      <c r="I877" s="62" t="s">
        <v>3898</v>
      </c>
      <c r="J877" s="33" t="s">
        <v>43</v>
      </c>
      <c r="K877" s="33" t="s">
        <v>3899</v>
      </c>
      <c r="L877" s="65">
        <v>584627066</v>
      </c>
      <c r="M877" s="65">
        <v>143656766</v>
      </c>
      <c r="N877" s="65">
        <v>15000000</v>
      </c>
      <c r="O877" s="43"/>
      <c r="P877" s="43"/>
      <c r="Q877" s="48">
        <f t="shared" si="841"/>
        <v>743283832</v>
      </c>
      <c r="R877" s="48">
        <v>584627066</v>
      </c>
      <c r="S877" s="48">
        <v>143656766</v>
      </c>
      <c r="T877" s="44">
        <v>15000000</v>
      </c>
      <c r="U877" s="33"/>
      <c r="V877" s="33"/>
      <c r="W877" s="52"/>
      <c r="X877" s="52">
        <f t="shared" ref="X877:Y877" si="871">M877-S877</f>
        <v>0</v>
      </c>
      <c r="Y877" s="52">
        <f t="shared" si="871"/>
        <v>0</v>
      </c>
      <c r="Z877" s="52">
        <f t="shared" si="770"/>
        <v>0</v>
      </c>
      <c r="AA877" s="54"/>
      <c r="AB877" s="68"/>
    </row>
    <row r="878" spans="1:28" ht="63" x14ac:dyDescent="0.3">
      <c r="A878" s="33" t="s">
        <v>275</v>
      </c>
      <c r="B878" s="42">
        <v>839</v>
      </c>
      <c r="C878" s="33" t="s">
        <v>89</v>
      </c>
      <c r="D878" s="33" t="s">
        <v>276</v>
      </c>
      <c r="E878" s="33" t="s">
        <v>278</v>
      </c>
      <c r="F878" s="33" t="s">
        <v>280</v>
      </c>
      <c r="G878" s="33" t="s">
        <v>282</v>
      </c>
      <c r="H878" s="32"/>
      <c r="I878" s="62" t="s">
        <v>284</v>
      </c>
      <c r="J878" s="33" t="s">
        <v>43</v>
      </c>
      <c r="K878" s="33" t="s">
        <v>285</v>
      </c>
      <c r="L878" s="65">
        <v>10000000</v>
      </c>
      <c r="M878" s="65">
        <v>882094598</v>
      </c>
      <c r="N878" s="65">
        <v>15000000</v>
      </c>
      <c r="O878" s="33" t="s">
        <v>279</v>
      </c>
      <c r="P878" s="48">
        <v>24000000</v>
      </c>
      <c r="Q878" s="48">
        <f t="shared" si="841"/>
        <v>931094598</v>
      </c>
      <c r="R878" s="33"/>
      <c r="S878" s="33"/>
      <c r="T878" s="66"/>
      <c r="U878" s="33"/>
      <c r="V878" s="33"/>
      <c r="W878" s="52">
        <v>10000000</v>
      </c>
      <c r="X878" s="52">
        <f t="shared" ref="X878:Y878" si="872">M878-S878</f>
        <v>882094598</v>
      </c>
      <c r="Y878" s="52">
        <f t="shared" si="872"/>
        <v>15000000</v>
      </c>
      <c r="Z878" s="52">
        <f t="shared" si="770"/>
        <v>24000000</v>
      </c>
      <c r="AA878" s="98">
        <v>10000000</v>
      </c>
      <c r="AB878" s="75"/>
    </row>
    <row r="879" spans="1:28" ht="63" x14ac:dyDescent="0.3">
      <c r="A879" s="33" t="s">
        <v>275</v>
      </c>
      <c r="B879" s="42">
        <v>840</v>
      </c>
      <c r="C879" s="33" t="s">
        <v>89</v>
      </c>
      <c r="D879" s="33" t="s">
        <v>3900</v>
      </c>
      <c r="E879" s="33" t="s">
        <v>3445</v>
      </c>
      <c r="F879" s="32"/>
      <c r="G879" s="32"/>
      <c r="H879" s="33" t="s">
        <v>3901</v>
      </c>
      <c r="I879" s="62" t="s">
        <v>3902</v>
      </c>
      <c r="J879" s="33" t="s">
        <v>43</v>
      </c>
      <c r="K879" s="33" t="s">
        <v>212</v>
      </c>
      <c r="L879" s="65">
        <v>10000000</v>
      </c>
      <c r="M879" s="32"/>
      <c r="N879" s="65">
        <v>15000000</v>
      </c>
      <c r="O879" s="43"/>
      <c r="P879" s="43"/>
      <c r="Q879" s="48">
        <f t="shared" si="841"/>
        <v>25000000</v>
      </c>
      <c r="R879" s="33"/>
      <c r="S879" s="33"/>
      <c r="T879" s="66"/>
      <c r="U879" s="33"/>
      <c r="V879" s="33"/>
      <c r="W879" s="52">
        <v>10000000</v>
      </c>
      <c r="X879" s="52">
        <f t="shared" ref="X879:Y879" si="873">M879-S879</f>
        <v>0</v>
      </c>
      <c r="Y879" s="52">
        <f t="shared" si="873"/>
        <v>15000000</v>
      </c>
      <c r="Z879" s="52">
        <f t="shared" si="770"/>
        <v>0</v>
      </c>
      <c r="AA879" s="98">
        <v>10000000</v>
      </c>
      <c r="AB879" s="68"/>
    </row>
    <row r="880" spans="1:28" ht="40.5" x14ac:dyDescent="0.25">
      <c r="A880" s="33" t="s">
        <v>275</v>
      </c>
      <c r="B880" s="42">
        <v>841</v>
      </c>
      <c r="C880" s="33" t="s">
        <v>89</v>
      </c>
      <c r="D880" s="33" t="s">
        <v>3903</v>
      </c>
      <c r="E880" s="32"/>
      <c r="F880" s="33" t="s">
        <v>3904</v>
      </c>
      <c r="G880" s="32"/>
      <c r="H880" s="32"/>
      <c r="I880" s="62" t="s">
        <v>3905</v>
      </c>
      <c r="J880" s="33" t="s">
        <v>43</v>
      </c>
      <c r="K880" s="33" t="s">
        <v>3906</v>
      </c>
      <c r="L880" s="65">
        <v>2056824640</v>
      </c>
      <c r="M880" s="32"/>
      <c r="N880" s="65">
        <v>15000000</v>
      </c>
      <c r="O880" s="43"/>
      <c r="P880" s="43"/>
      <c r="Q880" s="48">
        <f t="shared" si="841"/>
        <v>2071824640</v>
      </c>
      <c r="R880" s="48">
        <v>2056824640</v>
      </c>
      <c r="S880" s="33"/>
      <c r="T880" s="44">
        <v>15000000</v>
      </c>
      <c r="U880" s="33"/>
      <c r="V880" s="33"/>
      <c r="W880" s="52"/>
      <c r="X880" s="52">
        <f t="shared" ref="X880:Y880" si="874">M880-S880</f>
        <v>0</v>
      </c>
      <c r="Y880" s="52">
        <f t="shared" si="874"/>
        <v>0</v>
      </c>
      <c r="Z880" s="52">
        <f t="shared" si="770"/>
        <v>0</v>
      </c>
      <c r="AA880" s="54"/>
      <c r="AB880" s="68"/>
    </row>
    <row r="881" spans="1:45" ht="40.5" x14ac:dyDescent="0.3">
      <c r="A881" s="33" t="s">
        <v>275</v>
      </c>
      <c r="B881" s="42">
        <v>842</v>
      </c>
      <c r="C881" s="33" t="s">
        <v>89</v>
      </c>
      <c r="D881" s="33" t="s">
        <v>3907</v>
      </c>
      <c r="E881" s="32"/>
      <c r="F881" s="33" t="s">
        <v>3908</v>
      </c>
      <c r="G881" s="32"/>
      <c r="H881" s="32"/>
      <c r="I881" s="62" t="s">
        <v>3909</v>
      </c>
      <c r="J881" s="33" t="s">
        <v>43</v>
      </c>
      <c r="K881" s="33" t="s">
        <v>745</v>
      </c>
      <c r="L881" s="65">
        <v>4969395064</v>
      </c>
      <c r="M881" s="32"/>
      <c r="N881" s="65">
        <v>15000000</v>
      </c>
      <c r="O881" s="43"/>
      <c r="P881" s="43"/>
      <c r="Q881" s="48">
        <f t="shared" si="841"/>
        <v>4984395064</v>
      </c>
      <c r="R881" s="33"/>
      <c r="S881" s="33"/>
      <c r="T881" s="66"/>
      <c r="U881" s="33"/>
      <c r="V881" s="33"/>
      <c r="W881" s="52">
        <v>4969395064</v>
      </c>
      <c r="X881" s="52">
        <f t="shared" ref="X881:Y881" si="875">M881-S881</f>
        <v>0</v>
      </c>
      <c r="Y881" s="52">
        <f t="shared" si="875"/>
        <v>15000000</v>
      </c>
      <c r="Z881" s="52">
        <f t="shared" si="770"/>
        <v>0</v>
      </c>
      <c r="AA881" s="98">
        <v>4969395064</v>
      </c>
      <c r="AB881" s="68"/>
    </row>
    <row r="882" spans="1:45" ht="47.25" x14ac:dyDescent="0.25">
      <c r="A882" s="33" t="s">
        <v>275</v>
      </c>
      <c r="B882" s="42">
        <v>843</v>
      </c>
      <c r="C882" s="33" t="s">
        <v>89</v>
      </c>
      <c r="D882" s="33" t="s">
        <v>3910</v>
      </c>
      <c r="E882" s="32"/>
      <c r="F882" s="33" t="s">
        <v>3911</v>
      </c>
      <c r="G882" s="32"/>
      <c r="H882" s="32"/>
      <c r="I882" s="62" t="s">
        <v>3912</v>
      </c>
      <c r="J882" s="33" t="s">
        <v>43</v>
      </c>
      <c r="K882" s="33" t="s">
        <v>3913</v>
      </c>
      <c r="L882" s="65">
        <v>899231594</v>
      </c>
      <c r="M882" s="32"/>
      <c r="N882" s="65">
        <v>15000000</v>
      </c>
      <c r="O882" s="43"/>
      <c r="P882" s="43"/>
      <c r="Q882" s="48">
        <f t="shared" si="841"/>
        <v>914231594</v>
      </c>
      <c r="R882" s="48">
        <v>899231594</v>
      </c>
      <c r="S882" s="33"/>
      <c r="T882" s="44">
        <v>15000000</v>
      </c>
      <c r="U882" s="33"/>
      <c r="V882" s="33"/>
      <c r="W882" s="52"/>
      <c r="X882" s="52">
        <f t="shared" ref="X882:Y882" si="876">M882-S882</f>
        <v>0</v>
      </c>
      <c r="Y882" s="52">
        <f t="shared" si="876"/>
        <v>0</v>
      </c>
      <c r="Z882" s="52">
        <f t="shared" si="770"/>
        <v>0</v>
      </c>
      <c r="AA882" s="54"/>
      <c r="AB882" s="68"/>
    </row>
    <row r="883" spans="1:45" ht="60.75" x14ac:dyDescent="0.25">
      <c r="A883" s="33" t="s">
        <v>275</v>
      </c>
      <c r="B883" s="42">
        <v>844</v>
      </c>
      <c r="C883" s="33" t="s">
        <v>89</v>
      </c>
      <c r="D883" s="33" t="s">
        <v>943</v>
      </c>
      <c r="E883" s="32"/>
      <c r="F883" s="33" t="s">
        <v>944</v>
      </c>
      <c r="G883" s="32"/>
      <c r="H883" s="32"/>
      <c r="I883" s="62" t="s">
        <v>945</v>
      </c>
      <c r="J883" s="33" t="s">
        <v>43</v>
      </c>
      <c r="K883" s="33" t="s">
        <v>946</v>
      </c>
      <c r="L883" s="65">
        <v>2090430751</v>
      </c>
      <c r="M883" s="32"/>
      <c r="N883" s="65">
        <v>15000000</v>
      </c>
      <c r="O883" s="43"/>
      <c r="P883" s="43"/>
      <c r="Q883" s="48">
        <f t="shared" si="841"/>
        <v>2105430751</v>
      </c>
      <c r="R883" s="48">
        <v>2090430751</v>
      </c>
      <c r="S883" s="33"/>
      <c r="T883" s="44">
        <v>15000000</v>
      </c>
      <c r="U883" s="33"/>
      <c r="V883" s="33"/>
      <c r="W883" s="52"/>
      <c r="X883" s="52">
        <f t="shared" ref="X883:Y883" si="877">M883-S883</f>
        <v>0</v>
      </c>
      <c r="Y883" s="52">
        <f t="shared" si="877"/>
        <v>0</v>
      </c>
      <c r="Z883" s="52">
        <f t="shared" si="770"/>
        <v>0</v>
      </c>
      <c r="AA883" s="54"/>
      <c r="AB883" s="68"/>
    </row>
    <row r="884" spans="1:45" ht="78.75" x14ac:dyDescent="0.3">
      <c r="A884" s="33" t="s">
        <v>275</v>
      </c>
      <c r="B884" s="42">
        <v>845</v>
      </c>
      <c r="C884" s="33" t="s">
        <v>89</v>
      </c>
      <c r="D884" s="33" t="s">
        <v>3914</v>
      </c>
      <c r="E884" s="32"/>
      <c r="F884" s="33" t="s">
        <v>3915</v>
      </c>
      <c r="G884" s="32"/>
      <c r="H884" s="33" t="s">
        <v>113</v>
      </c>
      <c r="I884" s="62" t="s">
        <v>3916</v>
      </c>
      <c r="J884" s="33" t="s">
        <v>43</v>
      </c>
      <c r="K884" s="33" t="s">
        <v>212</v>
      </c>
      <c r="L884" s="65">
        <v>10000000</v>
      </c>
      <c r="M884" s="32"/>
      <c r="N884" s="65">
        <v>15000000</v>
      </c>
      <c r="O884" s="43"/>
      <c r="P884" s="43"/>
      <c r="Q884" s="48">
        <f t="shared" si="841"/>
        <v>25000000</v>
      </c>
      <c r="R884" s="33"/>
      <c r="S884" s="33"/>
      <c r="T884" s="66"/>
      <c r="U884" s="33"/>
      <c r="V884" s="33"/>
      <c r="W884" s="52">
        <v>10000000</v>
      </c>
      <c r="X884" s="52">
        <f t="shared" ref="X884:Y884" si="878">M884-S884</f>
        <v>0</v>
      </c>
      <c r="Y884" s="52">
        <f t="shared" si="878"/>
        <v>15000000</v>
      </c>
      <c r="Z884" s="52">
        <f t="shared" si="770"/>
        <v>0</v>
      </c>
      <c r="AA884" s="98">
        <v>10000000</v>
      </c>
      <c r="AB884" s="68"/>
    </row>
    <row r="885" spans="1:45" ht="47.25" x14ac:dyDescent="0.25">
      <c r="A885" s="33" t="s">
        <v>275</v>
      </c>
      <c r="B885" s="42">
        <v>846</v>
      </c>
      <c r="C885" s="33" t="s">
        <v>89</v>
      </c>
      <c r="D885" s="33" t="s">
        <v>3917</v>
      </c>
      <c r="E885" s="33" t="s">
        <v>1453</v>
      </c>
      <c r="F885" s="33" t="s">
        <v>3918</v>
      </c>
      <c r="G885" s="33" t="s">
        <v>3919</v>
      </c>
      <c r="H885" s="32"/>
      <c r="I885" s="62" t="s">
        <v>3920</v>
      </c>
      <c r="J885" s="33" t="s">
        <v>43</v>
      </c>
      <c r="K885" s="33" t="s">
        <v>3921</v>
      </c>
      <c r="L885" s="65">
        <v>1282649070</v>
      </c>
      <c r="M885" s="65">
        <v>622528830</v>
      </c>
      <c r="N885" s="65">
        <v>15000000</v>
      </c>
      <c r="O885" s="43"/>
      <c r="P885" s="43"/>
      <c r="Q885" s="48">
        <f t="shared" si="841"/>
        <v>1920177900</v>
      </c>
      <c r="R885" s="48">
        <v>1282649070</v>
      </c>
      <c r="S885" s="48">
        <v>622528830</v>
      </c>
      <c r="T885" s="44">
        <v>15000000</v>
      </c>
      <c r="U885" s="33"/>
      <c r="V885" s="33"/>
      <c r="W885" s="52"/>
      <c r="X885" s="52">
        <f t="shared" ref="X885:Y885" si="879">M885-S885</f>
        <v>0</v>
      </c>
      <c r="Y885" s="52">
        <f t="shared" si="879"/>
        <v>0</v>
      </c>
      <c r="Z885" s="52">
        <f t="shared" si="770"/>
        <v>0</v>
      </c>
      <c r="AA885" s="54"/>
      <c r="AB885" s="68"/>
    </row>
    <row r="886" spans="1:45" ht="40.5" x14ac:dyDescent="0.25">
      <c r="A886" s="33" t="s">
        <v>275</v>
      </c>
      <c r="B886" s="42">
        <v>847</v>
      </c>
      <c r="C886" s="33" t="s">
        <v>89</v>
      </c>
      <c r="D886" s="33" t="s">
        <v>1753</v>
      </c>
      <c r="E886" s="33" t="s">
        <v>883</v>
      </c>
      <c r="F886" s="33" t="s">
        <v>1754</v>
      </c>
      <c r="G886" s="33" t="s">
        <v>1755</v>
      </c>
      <c r="H886" s="32"/>
      <c r="I886" s="62" t="s">
        <v>1756</v>
      </c>
      <c r="J886" s="33" t="s">
        <v>43</v>
      </c>
      <c r="K886" s="33" t="s">
        <v>1757</v>
      </c>
      <c r="L886" s="65">
        <v>4605269577</v>
      </c>
      <c r="M886" s="65">
        <v>842764824</v>
      </c>
      <c r="N886" s="65">
        <v>15000000</v>
      </c>
      <c r="O886" s="33" t="s">
        <v>1736</v>
      </c>
      <c r="P886" s="48">
        <v>10000000</v>
      </c>
      <c r="Q886" s="48">
        <f t="shared" si="841"/>
        <v>5473034401</v>
      </c>
      <c r="R886" s="48">
        <v>4605269577</v>
      </c>
      <c r="S886" s="48">
        <v>842764824</v>
      </c>
      <c r="T886" s="66"/>
      <c r="U886" s="33"/>
      <c r="V886" s="33"/>
      <c r="W886" s="52"/>
      <c r="X886" s="52">
        <f t="shared" ref="X886:Y886" si="880">M886-S886</f>
        <v>0</v>
      </c>
      <c r="Y886" s="52">
        <f t="shared" si="880"/>
        <v>15000000</v>
      </c>
      <c r="Z886" s="52">
        <f t="shared" si="770"/>
        <v>10000000</v>
      </c>
      <c r="AA886" s="54"/>
      <c r="AB886" s="75"/>
    </row>
    <row r="887" spans="1:45" ht="60.75" x14ac:dyDescent="0.25">
      <c r="A887" s="33" t="s">
        <v>88</v>
      </c>
      <c r="B887" s="42">
        <v>848</v>
      </c>
      <c r="C887" s="33" t="s">
        <v>89</v>
      </c>
      <c r="D887" s="33" t="s">
        <v>1872</v>
      </c>
      <c r="E887" s="33" t="s">
        <v>784</v>
      </c>
      <c r="F887" s="33" t="s">
        <v>1873</v>
      </c>
      <c r="G887" s="32"/>
      <c r="H887" s="32"/>
      <c r="I887" s="62" t="s">
        <v>1874</v>
      </c>
      <c r="J887" s="33" t="s">
        <v>43</v>
      </c>
      <c r="K887" s="33" t="s">
        <v>1875</v>
      </c>
      <c r="L887" s="65">
        <v>2033222254</v>
      </c>
      <c r="M887" s="65">
        <v>396693696</v>
      </c>
      <c r="N887" s="65">
        <v>15000000</v>
      </c>
      <c r="O887" s="43" t="s">
        <v>1822</v>
      </c>
      <c r="P887" s="69">
        <v>42000000</v>
      </c>
      <c r="Q887" s="48">
        <f t="shared" si="841"/>
        <v>2486915950</v>
      </c>
      <c r="R887" s="48">
        <v>2033222254</v>
      </c>
      <c r="S887" s="48">
        <v>396693696</v>
      </c>
      <c r="T887" s="66"/>
      <c r="U887" s="48">
        <v>42000000</v>
      </c>
      <c r="V887" s="33"/>
      <c r="W887" s="52"/>
      <c r="X887" s="52">
        <f t="shared" ref="X887:Y887" si="881">M887-S887</f>
        <v>0</v>
      </c>
      <c r="Y887" s="52">
        <f t="shared" si="881"/>
        <v>15000000</v>
      </c>
      <c r="Z887" s="52">
        <f t="shared" si="770"/>
        <v>0</v>
      </c>
      <c r="AA887" s="54"/>
      <c r="AB887" s="68"/>
    </row>
    <row r="888" spans="1:45" ht="60.75" x14ac:dyDescent="0.25">
      <c r="A888" s="33" t="s">
        <v>35</v>
      </c>
      <c r="B888" s="42">
        <v>849</v>
      </c>
      <c r="C888" s="33" t="s">
        <v>89</v>
      </c>
      <c r="D888" s="33" t="s">
        <v>1452</v>
      </c>
      <c r="E888" s="33" t="s">
        <v>1453</v>
      </c>
      <c r="F888" s="33" t="s">
        <v>1454</v>
      </c>
      <c r="G888" s="33" t="s">
        <v>1455</v>
      </c>
      <c r="H888" s="32"/>
      <c r="I888" s="62" t="s">
        <v>1456</v>
      </c>
      <c r="J888" s="33" t="s">
        <v>43</v>
      </c>
      <c r="K888" s="33" t="s">
        <v>1447</v>
      </c>
      <c r="L888" s="65">
        <v>2057610960</v>
      </c>
      <c r="M888" s="65">
        <v>313086065</v>
      </c>
      <c r="N888" s="65">
        <v>15000000</v>
      </c>
      <c r="O888" s="43" t="s">
        <v>1443</v>
      </c>
      <c r="P888" s="69">
        <v>8000000</v>
      </c>
      <c r="Q888" s="48">
        <f t="shared" si="841"/>
        <v>2393697025</v>
      </c>
      <c r="R888" s="48">
        <v>2057610960</v>
      </c>
      <c r="S888" s="48">
        <v>313086065</v>
      </c>
      <c r="T888" s="44">
        <v>15000000</v>
      </c>
      <c r="U888" s="48">
        <v>8000000</v>
      </c>
      <c r="V888" s="33"/>
      <c r="W888" s="52"/>
      <c r="X888" s="52">
        <f t="shared" ref="X888:Y888" si="882">M888-S888</f>
        <v>0</v>
      </c>
      <c r="Y888" s="52">
        <f t="shared" si="882"/>
        <v>0</v>
      </c>
      <c r="Z888" s="52">
        <f t="shared" si="770"/>
        <v>0</v>
      </c>
      <c r="AA888" s="54"/>
      <c r="AB888" s="68"/>
    </row>
    <row r="889" spans="1:45" ht="60.75" x14ac:dyDescent="0.25">
      <c r="A889" s="33" t="s">
        <v>35</v>
      </c>
      <c r="B889" s="42">
        <v>850</v>
      </c>
      <c r="C889" s="33" t="s">
        <v>89</v>
      </c>
      <c r="D889" s="33" t="s">
        <v>1725</v>
      </c>
      <c r="E889" s="33" t="s">
        <v>91</v>
      </c>
      <c r="F889" s="33" t="s">
        <v>1726</v>
      </c>
      <c r="G889" s="33" t="s">
        <v>1727</v>
      </c>
      <c r="H889" s="32"/>
      <c r="I889" s="62" t="s">
        <v>1728</v>
      </c>
      <c r="J889" s="33" t="s">
        <v>43</v>
      </c>
      <c r="K889" s="33" t="s">
        <v>1729</v>
      </c>
      <c r="L889" s="65">
        <v>881213560</v>
      </c>
      <c r="M889" s="65">
        <v>58467420</v>
      </c>
      <c r="N889" s="65">
        <v>15000000</v>
      </c>
      <c r="O889" s="43" t="s">
        <v>3820</v>
      </c>
      <c r="P889" s="69">
        <v>72000000</v>
      </c>
      <c r="Q889" s="48">
        <f t="shared" si="841"/>
        <v>1026680980</v>
      </c>
      <c r="R889" s="48">
        <v>881213560</v>
      </c>
      <c r="S889" s="48">
        <v>58467420</v>
      </c>
      <c r="T889" s="44">
        <v>15000000</v>
      </c>
      <c r="U889" s="48">
        <v>72000000</v>
      </c>
      <c r="V889" s="33"/>
      <c r="W889" s="52"/>
      <c r="X889" s="52">
        <f t="shared" ref="X889:Y889" si="883">M889-S889</f>
        <v>0</v>
      </c>
      <c r="Y889" s="52">
        <f t="shared" si="883"/>
        <v>0</v>
      </c>
      <c r="Z889" s="52">
        <f t="shared" si="770"/>
        <v>0</v>
      </c>
      <c r="AA889" s="54"/>
      <c r="AB889" s="68"/>
    </row>
    <row r="890" spans="1:45" ht="47.25" x14ac:dyDescent="0.25">
      <c r="A890" s="88" t="s">
        <v>35</v>
      </c>
      <c r="B890" s="89">
        <v>851</v>
      </c>
      <c r="C890" s="88" t="s">
        <v>89</v>
      </c>
      <c r="D890" s="88" t="s">
        <v>793</v>
      </c>
      <c r="E890" s="88" t="s">
        <v>794</v>
      </c>
      <c r="F890" s="88" t="s">
        <v>795</v>
      </c>
      <c r="G890" s="88" t="s">
        <v>796</v>
      </c>
      <c r="H890" s="90"/>
      <c r="I890" s="107" t="s">
        <v>797</v>
      </c>
      <c r="J890" s="88" t="s">
        <v>43</v>
      </c>
      <c r="K890" s="88" t="s">
        <v>798</v>
      </c>
      <c r="L890" s="108">
        <v>412442880</v>
      </c>
      <c r="M890" s="108">
        <v>623213760</v>
      </c>
      <c r="N890" s="108">
        <v>15000000</v>
      </c>
      <c r="O890" s="92" t="s">
        <v>757</v>
      </c>
      <c r="P890" s="84">
        <v>48000000</v>
      </c>
      <c r="Q890" s="91">
        <f t="shared" si="841"/>
        <v>1098656640</v>
      </c>
      <c r="R890" s="91">
        <v>412442880</v>
      </c>
      <c r="S890" s="91">
        <v>623213760</v>
      </c>
      <c r="T890" s="93">
        <v>15000000</v>
      </c>
      <c r="U890" s="88"/>
      <c r="V890" s="88"/>
      <c r="W890" s="94"/>
      <c r="X890" s="94">
        <f t="shared" ref="X890:Y890" si="884">M890-S890</f>
        <v>0</v>
      </c>
      <c r="Y890" s="94">
        <f t="shared" si="884"/>
        <v>0</v>
      </c>
      <c r="Z890" s="94">
        <f t="shared" si="770"/>
        <v>48000000</v>
      </c>
      <c r="AA890" s="95"/>
      <c r="AB890" s="96" t="s">
        <v>3118</v>
      </c>
      <c r="AC890" s="97"/>
      <c r="AD890" s="97"/>
      <c r="AE890" s="97"/>
      <c r="AF890" s="97"/>
      <c r="AG890" s="97"/>
      <c r="AH890" s="97"/>
      <c r="AI890" s="97"/>
      <c r="AJ890" s="97"/>
      <c r="AK890" s="97"/>
      <c r="AL890" s="97"/>
      <c r="AM890" s="97"/>
      <c r="AN890" s="97"/>
      <c r="AO890" s="97"/>
      <c r="AP890" s="97"/>
      <c r="AQ890" s="97"/>
      <c r="AR890" s="97"/>
      <c r="AS890" s="97"/>
    </row>
    <row r="891" spans="1:45" ht="47.25" x14ac:dyDescent="0.3">
      <c r="A891" s="33" t="s">
        <v>88</v>
      </c>
      <c r="B891" s="42">
        <v>852</v>
      </c>
      <c r="C891" s="33" t="s">
        <v>89</v>
      </c>
      <c r="D891" s="33" t="s">
        <v>3922</v>
      </c>
      <c r="E891" s="32"/>
      <c r="F891" s="33" t="s">
        <v>3923</v>
      </c>
      <c r="G891" s="32"/>
      <c r="H891" s="32"/>
      <c r="I891" s="62" t="s">
        <v>3924</v>
      </c>
      <c r="J891" s="33" t="s">
        <v>43</v>
      </c>
      <c r="K891" s="33" t="s">
        <v>3925</v>
      </c>
      <c r="L891" s="65">
        <v>10000000</v>
      </c>
      <c r="M891" s="32"/>
      <c r="N891" s="65">
        <v>15000000</v>
      </c>
      <c r="O891" s="43"/>
      <c r="P891" s="43"/>
      <c r="Q891" s="48">
        <f t="shared" si="841"/>
        <v>25000000</v>
      </c>
      <c r="R891" s="33"/>
      <c r="S891" s="33"/>
      <c r="T891" s="66"/>
      <c r="U891" s="33"/>
      <c r="V891" s="33"/>
      <c r="W891" s="52">
        <v>10000000</v>
      </c>
      <c r="X891" s="52">
        <f t="shared" ref="X891:Y891" si="885">M891-S891</f>
        <v>0</v>
      </c>
      <c r="Y891" s="52">
        <f t="shared" si="885"/>
        <v>15000000</v>
      </c>
      <c r="Z891" s="52">
        <f t="shared" si="770"/>
        <v>0</v>
      </c>
      <c r="AA891" s="98">
        <v>10000000</v>
      </c>
      <c r="AB891" s="68"/>
    </row>
    <row r="892" spans="1:45" ht="63" x14ac:dyDescent="0.3">
      <c r="A892" s="33" t="s">
        <v>35</v>
      </c>
      <c r="B892" s="42">
        <v>853</v>
      </c>
      <c r="C892" s="33" t="s">
        <v>89</v>
      </c>
      <c r="D892" s="33" t="s">
        <v>3926</v>
      </c>
      <c r="E892" s="33" t="s">
        <v>3445</v>
      </c>
      <c r="F892" s="32"/>
      <c r="G892" s="32"/>
      <c r="H892" s="33" t="s">
        <v>3927</v>
      </c>
      <c r="I892" s="62" t="s">
        <v>3928</v>
      </c>
      <c r="J892" s="33" t="s">
        <v>43</v>
      </c>
      <c r="K892" s="33" t="s">
        <v>212</v>
      </c>
      <c r="L892" s="65">
        <v>10000000</v>
      </c>
      <c r="M892" s="32"/>
      <c r="N892" s="65">
        <v>15000000</v>
      </c>
      <c r="O892" s="43"/>
      <c r="P892" s="43"/>
      <c r="Q892" s="48">
        <f t="shared" si="841"/>
        <v>25000000</v>
      </c>
      <c r="R892" s="33"/>
      <c r="S892" s="33"/>
      <c r="T892" s="66"/>
      <c r="U892" s="33"/>
      <c r="V892" s="33"/>
      <c r="W892" s="52">
        <v>10000000</v>
      </c>
      <c r="X892" s="52">
        <f t="shared" ref="X892:Y892" si="886">M892-S892</f>
        <v>0</v>
      </c>
      <c r="Y892" s="52">
        <f t="shared" si="886"/>
        <v>15000000</v>
      </c>
      <c r="Z892" s="52">
        <f t="shared" si="770"/>
        <v>0</v>
      </c>
      <c r="AA892" s="98">
        <v>10000000</v>
      </c>
      <c r="AB892" s="68"/>
    </row>
    <row r="893" spans="1:45" ht="63" x14ac:dyDescent="0.25">
      <c r="A893" s="33" t="s">
        <v>60</v>
      </c>
      <c r="B893" s="42">
        <v>854</v>
      </c>
      <c r="C893" s="33" t="s">
        <v>89</v>
      </c>
      <c r="D893" s="33" t="s">
        <v>1937</v>
      </c>
      <c r="E893" s="33" t="s">
        <v>1939</v>
      </c>
      <c r="F893" s="33" t="s">
        <v>1941</v>
      </c>
      <c r="G893" s="33" t="s">
        <v>1942</v>
      </c>
      <c r="H893" s="32"/>
      <c r="I893" s="62" t="s">
        <v>1943</v>
      </c>
      <c r="J893" s="33" t="s">
        <v>43</v>
      </c>
      <c r="K893" s="33" t="s">
        <v>1944</v>
      </c>
      <c r="L893" s="65">
        <v>862843600</v>
      </c>
      <c r="M893" s="65">
        <v>224872200</v>
      </c>
      <c r="N893" s="65">
        <v>15000000</v>
      </c>
      <c r="O893" s="43" t="s">
        <v>1900</v>
      </c>
      <c r="P893" s="69">
        <v>72000000</v>
      </c>
      <c r="Q893" s="48">
        <f t="shared" si="841"/>
        <v>1174715800</v>
      </c>
      <c r="R893" s="79">
        <v>862843600</v>
      </c>
      <c r="S893" s="48">
        <v>224872200</v>
      </c>
      <c r="T893" s="44">
        <v>15000000</v>
      </c>
      <c r="U893" s="48">
        <v>24000000</v>
      </c>
      <c r="V893" s="33"/>
      <c r="W893" s="52"/>
      <c r="X893" s="52">
        <f t="shared" ref="X893:Y893" si="887">M893-S893</f>
        <v>0</v>
      </c>
      <c r="Y893" s="52">
        <f t="shared" si="887"/>
        <v>0</v>
      </c>
      <c r="Z893" s="52">
        <f t="shared" si="770"/>
        <v>48000000</v>
      </c>
      <c r="AA893" s="54"/>
      <c r="AB893" s="74" t="s">
        <v>721</v>
      </c>
    </row>
    <row r="894" spans="1:45" ht="31.5" customHeight="1" x14ac:dyDescent="0.25">
      <c r="A894" s="33"/>
      <c r="B894" s="299">
        <v>855</v>
      </c>
      <c r="C894" s="299" t="s">
        <v>89</v>
      </c>
      <c r="D894" s="33"/>
      <c r="E894" s="33"/>
      <c r="F894" s="299" t="s">
        <v>1160</v>
      </c>
      <c r="G894" s="33"/>
      <c r="H894" s="32"/>
      <c r="I894" s="312" t="s">
        <v>1161</v>
      </c>
      <c r="J894" s="299" t="s">
        <v>43</v>
      </c>
      <c r="K894" s="299" t="s">
        <v>1162</v>
      </c>
      <c r="L894" s="65"/>
      <c r="M894" s="65"/>
      <c r="N894" s="65"/>
      <c r="O894" s="43" t="s">
        <v>3929</v>
      </c>
      <c r="P894" s="69">
        <v>24000000</v>
      </c>
      <c r="Q894" s="48"/>
      <c r="R894" s="79"/>
      <c r="S894" s="48"/>
      <c r="T894" s="44"/>
      <c r="U894" s="48">
        <v>24000000</v>
      </c>
      <c r="V894" s="33"/>
      <c r="W894" s="52"/>
      <c r="X894" s="52"/>
      <c r="Y894" s="52"/>
      <c r="Z894" s="52">
        <f t="shared" si="770"/>
        <v>0</v>
      </c>
      <c r="AA894" s="54"/>
      <c r="AB894" s="74"/>
    </row>
    <row r="895" spans="1:45" ht="31.5" x14ac:dyDescent="0.25">
      <c r="A895" s="33" t="s">
        <v>35</v>
      </c>
      <c r="B895" s="290"/>
      <c r="C895" s="290"/>
      <c r="D895" s="33" t="s">
        <v>1158</v>
      </c>
      <c r="E895" s="32"/>
      <c r="F895" s="290"/>
      <c r="G895" s="32"/>
      <c r="H895" s="32"/>
      <c r="I895" s="290"/>
      <c r="J895" s="290"/>
      <c r="K895" s="290"/>
      <c r="L895" s="65">
        <v>2066275000</v>
      </c>
      <c r="M895" s="32"/>
      <c r="N895" s="65">
        <v>15000000</v>
      </c>
      <c r="O895" s="43" t="s">
        <v>3930</v>
      </c>
      <c r="P895" s="69">
        <v>24000000</v>
      </c>
      <c r="Q895" s="48">
        <f t="shared" ref="Q895:Q897" si="888">L895+M895+N895+P895</f>
        <v>2105275000</v>
      </c>
      <c r="R895" s="48">
        <v>2066275000</v>
      </c>
      <c r="S895" s="33"/>
      <c r="T895" s="44">
        <v>15000000</v>
      </c>
      <c r="U895" s="48">
        <v>24000000</v>
      </c>
      <c r="V895" s="33"/>
      <c r="W895" s="52"/>
      <c r="X895" s="52">
        <f t="shared" ref="X895:Y895" si="889">M895-S895</f>
        <v>0</v>
      </c>
      <c r="Y895" s="52">
        <f t="shared" si="889"/>
        <v>0</v>
      </c>
      <c r="Z895" s="52">
        <f t="shared" si="770"/>
        <v>0</v>
      </c>
      <c r="AA895" s="54"/>
      <c r="AB895" s="74" t="s">
        <v>2864</v>
      </c>
    </row>
    <row r="896" spans="1:45" ht="47.25" x14ac:dyDescent="0.25">
      <c r="A896" s="33" t="s">
        <v>35</v>
      </c>
      <c r="B896" s="42">
        <v>856</v>
      </c>
      <c r="C896" s="33" t="s">
        <v>89</v>
      </c>
      <c r="D896" s="33" t="s">
        <v>3931</v>
      </c>
      <c r="E896" s="32"/>
      <c r="F896" s="33" t="s">
        <v>3932</v>
      </c>
      <c r="G896" s="32"/>
      <c r="H896" s="32"/>
      <c r="I896" s="62" t="s">
        <v>3933</v>
      </c>
      <c r="J896" s="33" t="s">
        <v>43</v>
      </c>
      <c r="K896" s="33" t="s">
        <v>3934</v>
      </c>
      <c r="L896" s="65">
        <v>7009180374</v>
      </c>
      <c r="M896" s="32"/>
      <c r="N896" s="65">
        <v>7500000</v>
      </c>
      <c r="O896" s="43"/>
      <c r="P896" s="43"/>
      <c r="Q896" s="48">
        <f t="shared" si="888"/>
        <v>7016680374</v>
      </c>
      <c r="R896" s="48">
        <v>7009180374</v>
      </c>
      <c r="S896" s="33"/>
      <c r="T896" s="44">
        <v>7500000</v>
      </c>
      <c r="U896" s="33"/>
      <c r="V896" s="33"/>
      <c r="W896" s="52"/>
      <c r="X896" s="52">
        <f t="shared" ref="X896:Y896" si="890">M896-S896</f>
        <v>0</v>
      </c>
      <c r="Y896" s="52">
        <f t="shared" si="890"/>
        <v>0</v>
      </c>
      <c r="Z896" s="52">
        <f t="shared" si="770"/>
        <v>0</v>
      </c>
      <c r="AA896" s="54"/>
      <c r="AB896" s="68"/>
    </row>
    <row r="897" spans="1:28" ht="40.5" x14ac:dyDescent="0.25">
      <c r="A897" s="33" t="s">
        <v>35</v>
      </c>
      <c r="B897" s="42">
        <v>857</v>
      </c>
      <c r="C897" s="33" t="s">
        <v>89</v>
      </c>
      <c r="D897" s="33" t="s">
        <v>3935</v>
      </c>
      <c r="E897" s="32"/>
      <c r="F897" s="33" t="s">
        <v>3936</v>
      </c>
      <c r="G897" s="32"/>
      <c r="H897" s="32"/>
      <c r="I897" s="62" t="s">
        <v>3937</v>
      </c>
      <c r="J897" s="33" t="s">
        <v>43</v>
      </c>
      <c r="K897" s="33" t="s">
        <v>3938</v>
      </c>
      <c r="L897" s="65">
        <v>59125532717</v>
      </c>
      <c r="M897" s="32"/>
      <c r="N897" s="65">
        <v>7500000</v>
      </c>
      <c r="O897" s="43"/>
      <c r="P897" s="118">
        <v>0</v>
      </c>
      <c r="Q897" s="48">
        <f t="shared" si="888"/>
        <v>59133032717</v>
      </c>
      <c r="R897" s="48">
        <v>59125532717</v>
      </c>
      <c r="S897" s="33"/>
      <c r="T897" s="44">
        <v>7500000</v>
      </c>
      <c r="U897" s="33"/>
      <c r="V897" s="33"/>
      <c r="W897" s="52"/>
      <c r="X897" s="52">
        <f t="shared" ref="X897:Y897" si="891">M897-S897</f>
        <v>0</v>
      </c>
      <c r="Y897" s="52">
        <f t="shared" si="891"/>
        <v>0</v>
      </c>
      <c r="Z897" s="52">
        <f t="shared" si="770"/>
        <v>0</v>
      </c>
      <c r="AA897" s="54"/>
      <c r="AB897" s="68"/>
    </row>
    <row r="898" spans="1:28" ht="32.25" customHeight="1" x14ac:dyDescent="0.25">
      <c r="A898" s="33"/>
      <c r="B898" s="299">
        <v>858</v>
      </c>
      <c r="C898" s="299" t="s">
        <v>89</v>
      </c>
      <c r="D898" s="33"/>
      <c r="E898" s="32"/>
      <c r="F898" s="299" t="s">
        <v>1342</v>
      </c>
      <c r="G898" s="32"/>
      <c r="H898" s="32"/>
      <c r="I898" s="312" t="s">
        <v>1343</v>
      </c>
      <c r="J898" s="299" t="s">
        <v>43</v>
      </c>
      <c r="K898" s="299" t="s">
        <v>1344</v>
      </c>
      <c r="L898" s="65"/>
      <c r="M898" s="32"/>
      <c r="N898" s="65"/>
      <c r="O898" s="43" t="s">
        <v>3939</v>
      </c>
      <c r="P898" s="118">
        <v>72000000</v>
      </c>
      <c r="Q898" s="48"/>
      <c r="R898" s="48"/>
      <c r="S898" s="33"/>
      <c r="T898" s="44"/>
      <c r="U898" s="48">
        <v>72000000</v>
      </c>
      <c r="V898" s="33"/>
      <c r="W898" s="52"/>
      <c r="X898" s="52"/>
      <c r="Y898" s="52"/>
      <c r="Z898" s="52">
        <f t="shared" si="770"/>
        <v>0</v>
      </c>
      <c r="AA898" s="54"/>
      <c r="AB898" s="68"/>
    </row>
    <row r="899" spans="1:28" ht="49.5" customHeight="1" x14ac:dyDescent="0.25">
      <c r="A899" s="33" t="s">
        <v>35</v>
      </c>
      <c r="B899" s="290"/>
      <c r="C899" s="290"/>
      <c r="D899" s="33" t="s">
        <v>1340</v>
      </c>
      <c r="E899" s="33" t="s">
        <v>91</v>
      </c>
      <c r="F899" s="290"/>
      <c r="G899" s="32"/>
      <c r="H899" s="32"/>
      <c r="I899" s="290"/>
      <c r="J899" s="290"/>
      <c r="K899" s="290"/>
      <c r="L899" s="65">
        <v>3420319048</v>
      </c>
      <c r="M899" s="119">
        <v>642406970</v>
      </c>
      <c r="N899" s="65">
        <v>15000000</v>
      </c>
      <c r="O899" s="33" t="s">
        <v>3533</v>
      </c>
      <c r="P899" s="48">
        <v>144000000</v>
      </c>
      <c r="Q899" s="48">
        <f t="shared" ref="Q899:Q926" si="892">L899+M899+N899+P899</f>
        <v>4221726018</v>
      </c>
      <c r="R899" s="48">
        <v>3420319048</v>
      </c>
      <c r="S899" s="48">
        <v>642406970</v>
      </c>
      <c r="T899" s="44">
        <v>15000000</v>
      </c>
      <c r="U899" s="48"/>
      <c r="V899" s="33"/>
      <c r="W899" s="52"/>
      <c r="X899" s="52">
        <f t="shared" ref="X899:Y899" si="893">M899-S899</f>
        <v>0</v>
      </c>
      <c r="Y899" s="52">
        <f t="shared" si="893"/>
        <v>0</v>
      </c>
      <c r="Z899" s="52">
        <f t="shared" si="770"/>
        <v>144000000</v>
      </c>
      <c r="AA899" s="54"/>
      <c r="AB899" s="75" t="s">
        <v>3097</v>
      </c>
    </row>
    <row r="900" spans="1:28" ht="73.5" customHeight="1" x14ac:dyDescent="0.25">
      <c r="A900" s="33" t="s">
        <v>35</v>
      </c>
      <c r="B900" s="42">
        <v>859</v>
      </c>
      <c r="C900" s="33" t="s">
        <v>89</v>
      </c>
      <c r="D900" s="33" t="s">
        <v>3940</v>
      </c>
      <c r="E900" s="33" t="s">
        <v>3941</v>
      </c>
      <c r="F900" s="33" t="s">
        <v>3942</v>
      </c>
      <c r="G900" s="32"/>
      <c r="H900" s="32"/>
      <c r="I900" s="62" t="s">
        <v>3943</v>
      </c>
      <c r="J900" s="33" t="s">
        <v>43</v>
      </c>
      <c r="K900" s="33" t="s">
        <v>3899</v>
      </c>
      <c r="L900" s="65">
        <v>10000000</v>
      </c>
      <c r="M900" s="65">
        <v>361037124</v>
      </c>
      <c r="N900" s="65">
        <v>15000000</v>
      </c>
      <c r="O900" s="43"/>
      <c r="P900" s="43"/>
      <c r="Q900" s="48">
        <f t="shared" si="892"/>
        <v>386037124</v>
      </c>
      <c r="R900" s="48">
        <v>10000000</v>
      </c>
      <c r="S900" s="48">
        <v>361037124</v>
      </c>
      <c r="T900" s="44">
        <v>15000000</v>
      </c>
      <c r="U900" s="33"/>
      <c r="V900" s="33"/>
      <c r="W900" s="52"/>
      <c r="X900" s="52">
        <f t="shared" ref="X900:Y900" si="894">M900-S900</f>
        <v>0</v>
      </c>
      <c r="Y900" s="52">
        <f t="shared" si="894"/>
        <v>0</v>
      </c>
      <c r="Z900" s="52">
        <f t="shared" si="770"/>
        <v>0</v>
      </c>
      <c r="AA900" s="54"/>
      <c r="AB900" s="68"/>
    </row>
    <row r="901" spans="1:28" ht="69" customHeight="1" x14ac:dyDescent="0.25">
      <c r="A901" s="33" t="s">
        <v>35</v>
      </c>
      <c r="B901" s="42">
        <v>860</v>
      </c>
      <c r="C901" s="33" t="s">
        <v>89</v>
      </c>
      <c r="D901" s="33" t="s">
        <v>1706</v>
      </c>
      <c r="E901" s="33" t="s">
        <v>91</v>
      </c>
      <c r="F901" s="33" t="s">
        <v>1708</v>
      </c>
      <c r="G901" s="33" t="s">
        <v>1709</v>
      </c>
      <c r="H901" s="32"/>
      <c r="I901" s="62" t="s">
        <v>1710</v>
      </c>
      <c r="J901" s="33" t="s">
        <v>43</v>
      </c>
      <c r="K901" s="33" t="s">
        <v>1711</v>
      </c>
      <c r="L901" s="65">
        <v>758458178</v>
      </c>
      <c r="M901" s="65">
        <v>44608716</v>
      </c>
      <c r="N901" s="65">
        <v>15000000</v>
      </c>
      <c r="O901" s="43" t="s">
        <v>3820</v>
      </c>
      <c r="P901" s="69">
        <v>144000000</v>
      </c>
      <c r="Q901" s="48">
        <f t="shared" si="892"/>
        <v>962066894</v>
      </c>
      <c r="R901" s="48">
        <v>758458178</v>
      </c>
      <c r="S901" s="48">
        <v>44608716</v>
      </c>
      <c r="T901" s="44">
        <v>15000000</v>
      </c>
      <c r="U901" s="48">
        <v>144000000</v>
      </c>
      <c r="V901" s="33"/>
      <c r="W901" s="52"/>
      <c r="X901" s="52">
        <f t="shared" ref="X901:Y901" si="895">M901-S901</f>
        <v>0</v>
      </c>
      <c r="Y901" s="52">
        <f t="shared" si="895"/>
        <v>0</v>
      </c>
      <c r="Z901" s="52">
        <f t="shared" si="770"/>
        <v>0</v>
      </c>
      <c r="AA901" s="54"/>
      <c r="AB901" s="68"/>
    </row>
    <row r="902" spans="1:28" ht="60.75" x14ac:dyDescent="0.25">
      <c r="A902" s="33" t="s">
        <v>35</v>
      </c>
      <c r="B902" s="42">
        <v>861</v>
      </c>
      <c r="C902" s="33" t="s">
        <v>89</v>
      </c>
      <c r="D902" s="33" t="s">
        <v>3944</v>
      </c>
      <c r="E902" s="32"/>
      <c r="F902" s="33" t="s">
        <v>3945</v>
      </c>
      <c r="G902" s="32"/>
      <c r="H902" s="32"/>
      <c r="I902" s="62" t="s">
        <v>3946</v>
      </c>
      <c r="J902" s="33" t="s">
        <v>43</v>
      </c>
      <c r="K902" s="33" t="s">
        <v>1859</v>
      </c>
      <c r="L902" s="65">
        <v>5951052520</v>
      </c>
      <c r="M902" s="32"/>
      <c r="N902" s="65">
        <v>7500000</v>
      </c>
      <c r="O902" s="43"/>
      <c r="P902" s="43"/>
      <c r="Q902" s="48">
        <f t="shared" si="892"/>
        <v>5958552520</v>
      </c>
      <c r="R902" s="48">
        <v>5951052520</v>
      </c>
      <c r="S902" s="33"/>
      <c r="T902" s="44">
        <v>7500000</v>
      </c>
      <c r="U902" s="33"/>
      <c r="V902" s="33"/>
      <c r="W902" s="52"/>
      <c r="X902" s="52">
        <f t="shared" ref="X902:Y902" si="896">M902-S902</f>
        <v>0</v>
      </c>
      <c r="Y902" s="52">
        <f t="shared" si="896"/>
        <v>0</v>
      </c>
      <c r="Z902" s="52">
        <f t="shared" si="770"/>
        <v>0</v>
      </c>
      <c r="AA902" s="54"/>
      <c r="AB902" s="68"/>
    </row>
    <row r="903" spans="1:28" ht="47.25" x14ac:dyDescent="0.25">
      <c r="A903" s="33" t="s">
        <v>35</v>
      </c>
      <c r="B903" s="42">
        <v>862</v>
      </c>
      <c r="C903" s="33" t="s">
        <v>89</v>
      </c>
      <c r="D903" s="33" t="s">
        <v>3947</v>
      </c>
      <c r="E903" s="32"/>
      <c r="F903" s="33" t="s">
        <v>3949</v>
      </c>
      <c r="G903" s="32"/>
      <c r="H903" s="32"/>
      <c r="I903" s="62" t="s">
        <v>3950</v>
      </c>
      <c r="J903" s="33" t="s">
        <v>43</v>
      </c>
      <c r="K903" s="33" t="s">
        <v>3951</v>
      </c>
      <c r="L903" s="65">
        <v>1656027040</v>
      </c>
      <c r="M903" s="32"/>
      <c r="N903" s="65">
        <v>15000000</v>
      </c>
      <c r="O903" s="43"/>
      <c r="P903" s="43"/>
      <c r="Q903" s="48">
        <f t="shared" si="892"/>
        <v>1671027040</v>
      </c>
      <c r="R903" s="48">
        <v>1656027040</v>
      </c>
      <c r="S903" s="33"/>
      <c r="T903" s="66"/>
      <c r="U903" s="33"/>
      <c r="V903" s="33"/>
      <c r="W903" s="52"/>
      <c r="X903" s="52">
        <f t="shared" ref="X903:Y903" si="897">M903-S903</f>
        <v>0</v>
      </c>
      <c r="Y903" s="52">
        <f t="shared" si="897"/>
        <v>15000000</v>
      </c>
      <c r="Z903" s="52">
        <f t="shared" si="770"/>
        <v>0</v>
      </c>
      <c r="AA903" s="54"/>
      <c r="AB903" s="68"/>
    </row>
    <row r="904" spans="1:28" ht="47.25" x14ac:dyDescent="0.25">
      <c r="A904" s="33" t="s">
        <v>35</v>
      </c>
      <c r="B904" s="42">
        <v>863</v>
      </c>
      <c r="C904" s="33" t="s">
        <v>89</v>
      </c>
      <c r="D904" s="33" t="s">
        <v>679</v>
      </c>
      <c r="E904" s="32"/>
      <c r="F904" s="33" t="s">
        <v>680</v>
      </c>
      <c r="G904" s="32"/>
      <c r="H904" s="32"/>
      <c r="I904" s="62" t="s">
        <v>681</v>
      </c>
      <c r="J904" s="33" t="s">
        <v>43</v>
      </c>
      <c r="K904" s="33" t="s">
        <v>682</v>
      </c>
      <c r="L904" s="65">
        <v>2882807920</v>
      </c>
      <c r="M904" s="32"/>
      <c r="N904" s="65">
        <v>15000000</v>
      </c>
      <c r="O904" s="43" t="s">
        <v>657</v>
      </c>
      <c r="P904" s="69">
        <v>16000000</v>
      </c>
      <c r="Q904" s="48">
        <f t="shared" si="892"/>
        <v>2913807920</v>
      </c>
      <c r="R904" s="48">
        <v>2882807920</v>
      </c>
      <c r="S904" s="33"/>
      <c r="T904" s="44">
        <v>15000000</v>
      </c>
      <c r="U904" s="48">
        <v>16000000</v>
      </c>
      <c r="V904" s="33"/>
      <c r="W904" s="52"/>
      <c r="X904" s="52">
        <f t="shared" ref="X904:Y904" si="898">M904-S904</f>
        <v>0</v>
      </c>
      <c r="Y904" s="52">
        <f t="shared" si="898"/>
        <v>0</v>
      </c>
      <c r="Z904" s="52">
        <f t="shared" si="770"/>
        <v>0</v>
      </c>
      <c r="AA904" s="54"/>
      <c r="AB904" s="68"/>
    </row>
    <row r="905" spans="1:28" ht="60.75" x14ac:dyDescent="0.3">
      <c r="A905" s="33" t="s">
        <v>35</v>
      </c>
      <c r="B905" s="42">
        <v>864</v>
      </c>
      <c r="C905" s="33" t="s">
        <v>89</v>
      </c>
      <c r="D905" s="33" t="s">
        <v>3952</v>
      </c>
      <c r="E905" s="32"/>
      <c r="F905" s="33" t="s">
        <v>3953</v>
      </c>
      <c r="G905" s="32"/>
      <c r="H905" s="32"/>
      <c r="I905" s="62" t="s">
        <v>3222</v>
      </c>
      <c r="J905" s="33" t="s">
        <v>43</v>
      </c>
      <c r="K905" s="33" t="s">
        <v>3954</v>
      </c>
      <c r="L905" s="65">
        <v>3398093390</v>
      </c>
      <c r="M905" s="32"/>
      <c r="N905" s="65">
        <v>7500000</v>
      </c>
      <c r="O905" s="43"/>
      <c r="P905" s="43"/>
      <c r="Q905" s="48">
        <f t="shared" si="892"/>
        <v>3405593390</v>
      </c>
      <c r="R905" s="33"/>
      <c r="S905" s="33"/>
      <c r="T905" s="66"/>
      <c r="U905" s="33"/>
      <c r="V905" s="33"/>
      <c r="W905" s="52">
        <v>3398093390</v>
      </c>
      <c r="X905" s="52">
        <f t="shared" ref="X905:Y905" si="899">M905-S905</f>
        <v>0</v>
      </c>
      <c r="Y905" s="52">
        <f t="shared" si="899"/>
        <v>7500000</v>
      </c>
      <c r="Z905" s="52">
        <f t="shared" si="770"/>
        <v>0</v>
      </c>
      <c r="AA905" s="98">
        <v>3398093390</v>
      </c>
      <c r="AB905" s="68"/>
    </row>
    <row r="906" spans="1:28" ht="60.75" x14ac:dyDescent="0.25">
      <c r="A906" s="33" t="s">
        <v>88</v>
      </c>
      <c r="B906" s="42">
        <v>865</v>
      </c>
      <c r="C906" s="33" t="s">
        <v>297</v>
      </c>
      <c r="D906" s="33" t="s">
        <v>706</v>
      </c>
      <c r="E906" s="33" t="s">
        <v>707</v>
      </c>
      <c r="F906" s="33" t="s">
        <v>709</v>
      </c>
      <c r="G906" s="33" t="s">
        <v>711</v>
      </c>
      <c r="H906" s="32"/>
      <c r="I906" s="62" t="s">
        <v>712</v>
      </c>
      <c r="J906" s="33" t="s">
        <v>43</v>
      </c>
      <c r="K906" s="33" t="s">
        <v>713</v>
      </c>
      <c r="L906" s="65">
        <v>163511848</v>
      </c>
      <c r="M906" s="65">
        <v>1198719060</v>
      </c>
      <c r="N906" s="65">
        <v>15000000</v>
      </c>
      <c r="O906" s="43" t="s">
        <v>708</v>
      </c>
      <c r="P906" s="69">
        <v>24000000</v>
      </c>
      <c r="Q906" s="48">
        <f t="shared" si="892"/>
        <v>1401230908</v>
      </c>
      <c r="R906" s="48">
        <v>163511848</v>
      </c>
      <c r="S906" s="48">
        <v>1198719060</v>
      </c>
      <c r="T906" s="44">
        <v>15000000</v>
      </c>
      <c r="U906" s="48">
        <v>24000000</v>
      </c>
      <c r="V906" s="33"/>
      <c r="W906" s="52"/>
      <c r="X906" s="52">
        <f t="shared" ref="X906:Y906" si="900">M906-S906</f>
        <v>0</v>
      </c>
      <c r="Y906" s="52">
        <f t="shared" si="900"/>
        <v>0</v>
      </c>
      <c r="Z906" s="52">
        <f t="shared" si="770"/>
        <v>0</v>
      </c>
      <c r="AA906" s="54"/>
      <c r="AB906" s="68"/>
    </row>
    <row r="907" spans="1:28" ht="40.5" x14ac:dyDescent="0.25">
      <c r="A907" s="33" t="s">
        <v>60</v>
      </c>
      <c r="B907" s="42">
        <v>866</v>
      </c>
      <c r="C907" s="33" t="s">
        <v>297</v>
      </c>
      <c r="D907" s="33" t="s">
        <v>1540</v>
      </c>
      <c r="E907" s="33" t="s">
        <v>1542</v>
      </c>
      <c r="F907" s="33" t="s">
        <v>1545</v>
      </c>
      <c r="G907" s="33" t="s">
        <v>1546</v>
      </c>
      <c r="H907" s="32"/>
      <c r="I907" s="62" t="s">
        <v>1547</v>
      </c>
      <c r="J907" s="33" t="s">
        <v>43</v>
      </c>
      <c r="K907" s="33" t="s">
        <v>1548</v>
      </c>
      <c r="L907" s="65">
        <v>7139329719</v>
      </c>
      <c r="M907" s="65">
        <v>1963433700</v>
      </c>
      <c r="N907" s="65">
        <v>15000000</v>
      </c>
      <c r="O907" s="43" t="s">
        <v>1543</v>
      </c>
      <c r="P907" s="69">
        <v>8000000</v>
      </c>
      <c r="Q907" s="48">
        <f t="shared" si="892"/>
        <v>9125763419</v>
      </c>
      <c r="R907" s="52">
        <v>7139329719</v>
      </c>
      <c r="S907" s="48">
        <v>1963433700</v>
      </c>
      <c r="T907" s="44">
        <v>15000000</v>
      </c>
      <c r="U907" s="48">
        <v>8000000</v>
      </c>
      <c r="V907" s="33"/>
      <c r="W907" s="52"/>
      <c r="X907" s="52">
        <f t="shared" ref="X907:Y907" si="901">M907-S907</f>
        <v>0</v>
      </c>
      <c r="Y907" s="52">
        <f t="shared" si="901"/>
        <v>0</v>
      </c>
      <c r="Z907" s="52">
        <f t="shared" si="770"/>
        <v>0</v>
      </c>
      <c r="AA907" s="54"/>
      <c r="AB907" s="68"/>
    </row>
    <row r="908" spans="1:28" ht="40.5" x14ac:dyDescent="0.25">
      <c r="A908" s="33" t="s">
        <v>60</v>
      </c>
      <c r="B908" s="42">
        <v>867</v>
      </c>
      <c r="C908" s="33" t="s">
        <v>297</v>
      </c>
      <c r="D908" s="33" t="s">
        <v>3956</v>
      </c>
      <c r="E908" s="33" t="s">
        <v>1028</v>
      </c>
      <c r="F908" s="33" t="s">
        <v>3957</v>
      </c>
      <c r="G908" s="33" t="s">
        <v>3958</v>
      </c>
      <c r="H908" s="32"/>
      <c r="I908" s="62" t="s">
        <v>3959</v>
      </c>
      <c r="J908" s="33" t="s">
        <v>43</v>
      </c>
      <c r="K908" s="33" t="s">
        <v>3960</v>
      </c>
      <c r="L908" s="65">
        <v>9156375016</v>
      </c>
      <c r="M908" s="48">
        <v>362103231</v>
      </c>
      <c r="N908" s="65">
        <v>15000000</v>
      </c>
      <c r="O908" s="43"/>
      <c r="P908" s="43"/>
      <c r="Q908" s="48">
        <f t="shared" si="892"/>
        <v>9533478247</v>
      </c>
      <c r="R908" s="48">
        <v>9156375016</v>
      </c>
      <c r="S908" s="48">
        <v>362103231</v>
      </c>
      <c r="T908" s="44">
        <v>15000000</v>
      </c>
      <c r="U908" s="33"/>
      <c r="V908" s="33"/>
      <c r="W908" s="52"/>
      <c r="X908" s="52">
        <f t="shared" ref="X908:Y908" si="902">M908-S908</f>
        <v>0</v>
      </c>
      <c r="Y908" s="52">
        <f t="shared" si="902"/>
        <v>0</v>
      </c>
      <c r="Z908" s="52">
        <f t="shared" si="770"/>
        <v>0</v>
      </c>
      <c r="AA908" s="54"/>
      <c r="AB908" s="68"/>
    </row>
    <row r="909" spans="1:28" ht="40.5" x14ac:dyDescent="0.25">
      <c r="A909" s="33" t="s">
        <v>60</v>
      </c>
      <c r="B909" s="42">
        <v>868</v>
      </c>
      <c r="C909" s="33" t="s">
        <v>297</v>
      </c>
      <c r="D909" s="33" t="s">
        <v>3961</v>
      </c>
      <c r="E909" s="32"/>
      <c r="F909" s="33" t="s">
        <v>3962</v>
      </c>
      <c r="G909" s="33" t="s">
        <v>3963</v>
      </c>
      <c r="H909" s="32"/>
      <c r="I909" s="62" t="s">
        <v>3964</v>
      </c>
      <c r="J909" s="33" t="s">
        <v>43</v>
      </c>
      <c r="K909" s="33" t="s">
        <v>1162</v>
      </c>
      <c r="L909" s="65">
        <v>5200666300</v>
      </c>
      <c r="M909" s="32"/>
      <c r="N909" s="65">
        <v>15000000</v>
      </c>
      <c r="O909" s="43"/>
      <c r="P909" s="43"/>
      <c r="Q909" s="48">
        <f t="shared" si="892"/>
        <v>5215666300</v>
      </c>
      <c r="R909" s="52">
        <v>5200666300</v>
      </c>
      <c r="S909" s="33"/>
      <c r="T909" s="44">
        <v>15000000</v>
      </c>
      <c r="U909" s="33"/>
      <c r="V909" s="33"/>
      <c r="W909" s="52"/>
      <c r="X909" s="52">
        <f t="shared" ref="X909:Y909" si="903">M909-S909</f>
        <v>0</v>
      </c>
      <c r="Y909" s="52">
        <f t="shared" si="903"/>
        <v>0</v>
      </c>
      <c r="Z909" s="52">
        <f t="shared" si="770"/>
        <v>0</v>
      </c>
      <c r="AA909" s="54"/>
      <c r="AB909" s="68"/>
    </row>
    <row r="910" spans="1:28" ht="47.25" x14ac:dyDescent="0.25">
      <c r="A910" s="33" t="s">
        <v>60</v>
      </c>
      <c r="B910" s="42">
        <v>869</v>
      </c>
      <c r="C910" s="33" t="s">
        <v>297</v>
      </c>
      <c r="D910" s="33" t="s">
        <v>1115</v>
      </c>
      <c r="E910" s="33" t="s">
        <v>1116</v>
      </c>
      <c r="F910" s="33" t="s">
        <v>1117</v>
      </c>
      <c r="G910" s="33" t="s">
        <v>1118</v>
      </c>
      <c r="H910" s="32"/>
      <c r="I910" s="62" t="s">
        <v>1119</v>
      </c>
      <c r="J910" s="33" t="s">
        <v>43</v>
      </c>
      <c r="K910" s="33" t="s">
        <v>1111</v>
      </c>
      <c r="L910" s="65">
        <v>8361271432</v>
      </c>
      <c r="M910" s="65">
        <v>1995580618</v>
      </c>
      <c r="N910" s="65">
        <v>15000000</v>
      </c>
      <c r="O910" s="33" t="s">
        <v>1012</v>
      </c>
      <c r="P910" s="48">
        <v>24000000</v>
      </c>
      <c r="Q910" s="48">
        <f t="shared" si="892"/>
        <v>10395852050</v>
      </c>
      <c r="R910" s="48">
        <v>8361271432</v>
      </c>
      <c r="S910" s="48">
        <v>1995580618</v>
      </c>
      <c r="T910" s="66"/>
      <c r="U910" s="33"/>
      <c r="V910" s="33"/>
      <c r="W910" s="52"/>
      <c r="X910" s="52">
        <f t="shared" ref="X910:Y910" si="904">M910-S910</f>
        <v>0</v>
      </c>
      <c r="Y910" s="52">
        <f t="shared" si="904"/>
        <v>15000000</v>
      </c>
      <c r="Z910" s="52">
        <f t="shared" si="770"/>
        <v>24000000</v>
      </c>
      <c r="AA910" s="54"/>
      <c r="AB910" s="75"/>
    </row>
    <row r="911" spans="1:28" ht="60.75" x14ac:dyDescent="0.25">
      <c r="A911" s="33" t="s">
        <v>88</v>
      </c>
      <c r="B911" s="42">
        <v>870</v>
      </c>
      <c r="C911" s="33" t="s">
        <v>297</v>
      </c>
      <c r="D911" s="33" t="s">
        <v>3965</v>
      </c>
      <c r="E911" s="32"/>
      <c r="F911" s="33" t="s">
        <v>3966</v>
      </c>
      <c r="G911" s="33" t="s">
        <v>3967</v>
      </c>
      <c r="H911" s="32"/>
      <c r="I911" s="62" t="s">
        <v>3968</v>
      </c>
      <c r="J911" s="33" t="s">
        <v>43</v>
      </c>
      <c r="K911" s="33" t="s">
        <v>3969</v>
      </c>
      <c r="L911" s="65">
        <v>2814083592</v>
      </c>
      <c r="M911" s="32"/>
      <c r="N911" s="65">
        <v>15000000</v>
      </c>
      <c r="O911" s="43"/>
      <c r="P911" s="43"/>
      <c r="Q911" s="48">
        <f t="shared" si="892"/>
        <v>2829083592</v>
      </c>
      <c r="R911" s="48">
        <v>2814083592</v>
      </c>
      <c r="S911" s="33"/>
      <c r="T911" s="44">
        <v>15000000</v>
      </c>
      <c r="U911" s="33"/>
      <c r="V911" s="33"/>
      <c r="W911" s="52"/>
      <c r="X911" s="52">
        <f t="shared" ref="X911:Y911" si="905">M911-S911</f>
        <v>0</v>
      </c>
      <c r="Y911" s="52">
        <f t="shared" si="905"/>
        <v>0</v>
      </c>
      <c r="Z911" s="52">
        <f t="shared" si="770"/>
        <v>0</v>
      </c>
      <c r="AA911" s="54"/>
      <c r="AB911" s="68"/>
    </row>
    <row r="912" spans="1:28" ht="40.5" x14ac:dyDescent="0.25">
      <c r="A912" s="33" t="s">
        <v>88</v>
      </c>
      <c r="B912" s="42">
        <v>871</v>
      </c>
      <c r="C912" s="33" t="s">
        <v>297</v>
      </c>
      <c r="D912" s="33" t="s">
        <v>1879</v>
      </c>
      <c r="E912" s="33" t="s">
        <v>1880</v>
      </c>
      <c r="F912" s="33" t="s">
        <v>1881</v>
      </c>
      <c r="G912" s="33" t="s">
        <v>1882</v>
      </c>
      <c r="H912" s="32"/>
      <c r="I912" s="62" t="s">
        <v>1883</v>
      </c>
      <c r="J912" s="33" t="s">
        <v>43</v>
      </c>
      <c r="K912" s="33" t="s">
        <v>1884</v>
      </c>
      <c r="L912" s="65">
        <v>1141870600</v>
      </c>
      <c r="M912" s="48">
        <v>10000000</v>
      </c>
      <c r="N912" s="65">
        <v>15000000</v>
      </c>
      <c r="O912" s="43" t="s">
        <v>1822</v>
      </c>
      <c r="P912" s="69">
        <v>24000000</v>
      </c>
      <c r="Q912" s="48">
        <f t="shared" si="892"/>
        <v>1190870600</v>
      </c>
      <c r="R912" s="48">
        <v>1141870600</v>
      </c>
      <c r="S912" s="33"/>
      <c r="T912" s="44">
        <v>15000000</v>
      </c>
      <c r="U912" s="48">
        <v>24000000</v>
      </c>
      <c r="V912" s="33"/>
      <c r="W912" s="52"/>
      <c r="X912" s="52">
        <f t="shared" ref="X912:Y912" si="906">M912-S912</f>
        <v>10000000</v>
      </c>
      <c r="Y912" s="52">
        <f t="shared" si="906"/>
        <v>0</v>
      </c>
      <c r="Z912" s="52">
        <f t="shared" si="770"/>
        <v>0</v>
      </c>
      <c r="AA912" s="54"/>
      <c r="AB912" s="68"/>
    </row>
    <row r="913" spans="1:28" ht="78.75" x14ac:dyDescent="0.25">
      <c r="A913" s="33" t="s">
        <v>88</v>
      </c>
      <c r="B913" s="42">
        <v>872</v>
      </c>
      <c r="C913" s="33" t="s">
        <v>297</v>
      </c>
      <c r="D913" s="33" t="s">
        <v>3971</v>
      </c>
      <c r="E913" s="33" t="s">
        <v>3972</v>
      </c>
      <c r="F913" s="32"/>
      <c r="G913" s="33" t="s">
        <v>3973</v>
      </c>
      <c r="H913" s="33" t="s">
        <v>3974</v>
      </c>
      <c r="I913" s="62" t="s">
        <v>484</v>
      </c>
      <c r="J913" s="33" t="s">
        <v>43</v>
      </c>
      <c r="K913" s="33" t="s">
        <v>485</v>
      </c>
      <c r="L913" s="65">
        <v>8297551400</v>
      </c>
      <c r="M913" s="32"/>
      <c r="N913" s="65">
        <v>15000000</v>
      </c>
      <c r="O913" s="43"/>
      <c r="P913" s="43"/>
      <c r="Q913" s="48">
        <f t="shared" si="892"/>
        <v>8312551400</v>
      </c>
      <c r="R913" s="48">
        <v>8297551400</v>
      </c>
      <c r="S913" s="33"/>
      <c r="T913" s="66"/>
      <c r="U913" s="33"/>
      <c r="V913" s="69">
        <v>-8297551400</v>
      </c>
      <c r="W913" s="52"/>
      <c r="X913" s="52">
        <f t="shared" ref="X913:Y913" si="907">M913-S913</f>
        <v>0</v>
      </c>
      <c r="Y913" s="52">
        <f t="shared" si="907"/>
        <v>15000000</v>
      </c>
      <c r="Z913" s="52">
        <f t="shared" si="770"/>
        <v>0</v>
      </c>
      <c r="AA913" s="54"/>
      <c r="AB913" s="68"/>
    </row>
    <row r="914" spans="1:28" ht="63" x14ac:dyDescent="0.25">
      <c r="A914" s="33" t="s">
        <v>60</v>
      </c>
      <c r="B914" s="42">
        <v>873</v>
      </c>
      <c r="C914" s="33" t="s">
        <v>297</v>
      </c>
      <c r="D914" s="33" t="s">
        <v>298</v>
      </c>
      <c r="E914" s="32"/>
      <c r="F914" s="33" t="s">
        <v>301</v>
      </c>
      <c r="G914" s="32"/>
      <c r="H914" s="32"/>
      <c r="I914" s="62" t="s">
        <v>304</v>
      </c>
      <c r="J914" s="33" t="s">
        <v>43</v>
      </c>
      <c r="K914" s="33" t="s">
        <v>305</v>
      </c>
      <c r="L914" s="65">
        <v>11775251750</v>
      </c>
      <c r="M914" s="32"/>
      <c r="N914" s="65">
        <v>15000000</v>
      </c>
      <c r="O914" s="43" t="s">
        <v>300</v>
      </c>
      <c r="P914" s="69">
        <v>126000000</v>
      </c>
      <c r="Q914" s="48">
        <f t="shared" si="892"/>
        <v>11916251750</v>
      </c>
      <c r="R914" s="48">
        <v>11775251750</v>
      </c>
      <c r="S914" s="33"/>
      <c r="T914" s="44">
        <v>15000000</v>
      </c>
      <c r="U914" s="48">
        <v>84000000</v>
      </c>
      <c r="V914" s="33"/>
      <c r="W914" s="52"/>
      <c r="X914" s="52">
        <f t="shared" ref="X914:Y914" si="908">M914-S914</f>
        <v>0</v>
      </c>
      <c r="Y914" s="52">
        <f t="shared" si="908"/>
        <v>0</v>
      </c>
      <c r="Z914" s="52">
        <f t="shared" si="770"/>
        <v>42000000</v>
      </c>
      <c r="AA914" s="54"/>
      <c r="AB914" s="74" t="s">
        <v>3975</v>
      </c>
    </row>
    <row r="915" spans="1:28" ht="63" x14ac:dyDescent="0.25">
      <c r="A915" s="33" t="s">
        <v>88</v>
      </c>
      <c r="B915" s="42">
        <v>874</v>
      </c>
      <c r="C915" s="33" t="s">
        <v>480</v>
      </c>
      <c r="D915" s="32"/>
      <c r="E915" s="33" t="s">
        <v>481</v>
      </c>
      <c r="F915" s="33" t="s">
        <v>483</v>
      </c>
      <c r="G915" s="32"/>
      <c r="H915" s="33" t="s">
        <v>113</v>
      </c>
      <c r="I915" s="62" t="s">
        <v>484</v>
      </c>
      <c r="J915" s="33" t="s">
        <v>43</v>
      </c>
      <c r="K915" s="33" t="s">
        <v>485</v>
      </c>
      <c r="L915" s="65">
        <v>10717985200</v>
      </c>
      <c r="M915" s="32"/>
      <c r="N915" s="65">
        <v>15000000</v>
      </c>
      <c r="O915" s="33" t="s">
        <v>482</v>
      </c>
      <c r="P915" s="48">
        <v>24000000</v>
      </c>
      <c r="Q915" s="48">
        <f t="shared" si="892"/>
        <v>10756985200</v>
      </c>
      <c r="R915" s="48">
        <v>10717985200</v>
      </c>
      <c r="S915" s="33"/>
      <c r="T915" s="66"/>
      <c r="U915" s="48">
        <v>24000000</v>
      </c>
      <c r="V915" s="33"/>
      <c r="W915" s="52"/>
      <c r="X915" s="52">
        <f t="shared" ref="X915:Y915" si="909">M915-S915</f>
        <v>0</v>
      </c>
      <c r="Y915" s="52">
        <f t="shared" si="909"/>
        <v>15000000</v>
      </c>
      <c r="Z915" s="52">
        <f t="shared" si="770"/>
        <v>0</v>
      </c>
      <c r="AA915" s="54"/>
      <c r="AB915" s="68"/>
    </row>
    <row r="916" spans="1:28" ht="40.5" x14ac:dyDescent="0.25">
      <c r="A916" s="33" t="s">
        <v>88</v>
      </c>
      <c r="B916" s="42">
        <v>875</v>
      </c>
      <c r="C916" s="33" t="s">
        <v>480</v>
      </c>
      <c r="D916" s="33" t="s">
        <v>3976</v>
      </c>
      <c r="E916" s="33" t="s">
        <v>481</v>
      </c>
      <c r="F916" s="33" t="s">
        <v>3977</v>
      </c>
      <c r="G916" s="32"/>
      <c r="H916" s="33" t="s">
        <v>113</v>
      </c>
      <c r="I916" s="62" t="s">
        <v>3978</v>
      </c>
      <c r="J916" s="33" t="s">
        <v>43</v>
      </c>
      <c r="K916" s="33" t="s">
        <v>485</v>
      </c>
      <c r="L916" s="65">
        <v>2704930000</v>
      </c>
      <c r="M916" s="32"/>
      <c r="N916" s="65">
        <v>15000000</v>
      </c>
      <c r="O916" s="33"/>
      <c r="P916" s="33"/>
      <c r="Q916" s="48">
        <f t="shared" si="892"/>
        <v>2719930000</v>
      </c>
      <c r="R916" s="48">
        <v>2704930000</v>
      </c>
      <c r="S916" s="33"/>
      <c r="T916" s="66"/>
      <c r="U916" s="33"/>
      <c r="V916" s="33"/>
      <c r="W916" s="52"/>
      <c r="X916" s="52">
        <f t="shared" ref="X916:Y916" si="910">M916-S916</f>
        <v>0</v>
      </c>
      <c r="Y916" s="52">
        <f t="shared" si="910"/>
        <v>15000000</v>
      </c>
      <c r="Z916" s="52">
        <f t="shared" si="770"/>
        <v>0</v>
      </c>
      <c r="AA916" s="54"/>
      <c r="AB916" s="68"/>
    </row>
    <row r="917" spans="1:28" ht="40.5" x14ac:dyDescent="0.25">
      <c r="A917" s="33" t="s">
        <v>88</v>
      </c>
      <c r="B917" s="42">
        <v>876</v>
      </c>
      <c r="C917" s="33" t="s">
        <v>480</v>
      </c>
      <c r="D917" s="33" t="s">
        <v>491</v>
      </c>
      <c r="E917" s="33" t="s">
        <v>481</v>
      </c>
      <c r="F917" s="33" t="s">
        <v>269</v>
      </c>
      <c r="G917" s="32"/>
      <c r="H917" s="33" t="s">
        <v>113</v>
      </c>
      <c r="I917" s="62" t="s">
        <v>494</v>
      </c>
      <c r="J917" s="33" t="s">
        <v>43</v>
      </c>
      <c r="K917" s="33" t="s">
        <v>485</v>
      </c>
      <c r="L917" s="65">
        <v>2852252840</v>
      </c>
      <c r="M917" s="32"/>
      <c r="N917" s="65">
        <v>15000000</v>
      </c>
      <c r="O917" s="33" t="s">
        <v>482</v>
      </c>
      <c r="P917" s="48">
        <v>24000000</v>
      </c>
      <c r="Q917" s="48">
        <f t="shared" si="892"/>
        <v>2891252840</v>
      </c>
      <c r="R917" s="48">
        <v>2852252840</v>
      </c>
      <c r="S917" s="33"/>
      <c r="T917" s="66"/>
      <c r="U917" s="48">
        <v>24000000</v>
      </c>
      <c r="V917" s="33"/>
      <c r="W917" s="52"/>
      <c r="X917" s="52">
        <f t="shared" ref="X917:Y917" si="911">M917-S917</f>
        <v>0</v>
      </c>
      <c r="Y917" s="52">
        <f t="shared" si="911"/>
        <v>15000000</v>
      </c>
      <c r="Z917" s="52">
        <f t="shared" si="770"/>
        <v>0</v>
      </c>
      <c r="AA917" s="54"/>
      <c r="AB917" s="68"/>
    </row>
    <row r="918" spans="1:28" ht="78.75" x14ac:dyDescent="0.25">
      <c r="A918" s="33" t="s">
        <v>60</v>
      </c>
      <c r="B918" s="42">
        <v>877</v>
      </c>
      <c r="C918" s="33" t="s">
        <v>3979</v>
      </c>
      <c r="D918" s="33" t="s">
        <v>3980</v>
      </c>
      <c r="E918" s="32"/>
      <c r="F918" s="33" t="s">
        <v>3981</v>
      </c>
      <c r="G918" s="32"/>
      <c r="H918" s="32"/>
      <c r="I918" s="62" t="s">
        <v>3982</v>
      </c>
      <c r="J918" s="33" t="s">
        <v>43</v>
      </c>
      <c r="K918" s="33" t="s">
        <v>3499</v>
      </c>
      <c r="L918" s="65">
        <v>668410816</v>
      </c>
      <c r="M918" s="32"/>
      <c r="N918" s="65">
        <v>15000000</v>
      </c>
      <c r="O918" s="33"/>
      <c r="P918" s="33"/>
      <c r="Q918" s="48">
        <f t="shared" si="892"/>
        <v>683410816</v>
      </c>
      <c r="R918" s="48">
        <v>668410816</v>
      </c>
      <c r="S918" s="33"/>
      <c r="T918" s="44">
        <v>15000000</v>
      </c>
      <c r="U918" s="33"/>
      <c r="V918" s="33"/>
      <c r="W918" s="52"/>
      <c r="X918" s="52">
        <f t="shared" ref="X918:Y918" si="912">M918-S918</f>
        <v>0</v>
      </c>
      <c r="Y918" s="52">
        <f t="shared" si="912"/>
        <v>0</v>
      </c>
      <c r="Z918" s="52">
        <f t="shared" si="770"/>
        <v>0</v>
      </c>
      <c r="AA918" s="54"/>
      <c r="AB918" s="68"/>
    </row>
    <row r="919" spans="1:28" ht="78.75" x14ac:dyDescent="0.3">
      <c r="A919" s="43" t="s">
        <v>60</v>
      </c>
      <c r="B919" s="42">
        <v>878</v>
      </c>
      <c r="C919" s="33" t="s">
        <v>3979</v>
      </c>
      <c r="D919" s="33" t="s">
        <v>3983</v>
      </c>
      <c r="E919" s="54"/>
      <c r="F919" s="33" t="s">
        <v>3984</v>
      </c>
      <c r="G919" s="54"/>
      <c r="H919" s="54"/>
      <c r="I919" s="120" t="s">
        <v>3985</v>
      </c>
      <c r="J919" s="43" t="s">
        <v>43</v>
      </c>
      <c r="K919" s="43" t="s">
        <v>3499</v>
      </c>
      <c r="L919" s="98">
        <v>930126309</v>
      </c>
      <c r="M919" s="54"/>
      <c r="N919" s="98">
        <v>7500000</v>
      </c>
      <c r="O919" s="43"/>
      <c r="P919" s="43"/>
      <c r="Q919" s="48">
        <f t="shared" si="892"/>
        <v>937626309</v>
      </c>
      <c r="R919" s="48">
        <v>930126309</v>
      </c>
      <c r="S919" s="33"/>
      <c r="T919" s="66"/>
      <c r="U919" s="43"/>
      <c r="V919" s="43"/>
      <c r="W919" s="52"/>
      <c r="X919" s="52">
        <f t="shared" ref="X919:Y919" si="913">M919-S919</f>
        <v>0</v>
      </c>
      <c r="Y919" s="52">
        <f t="shared" si="913"/>
        <v>7500000</v>
      </c>
      <c r="Z919" s="52">
        <f t="shared" si="770"/>
        <v>0</v>
      </c>
      <c r="AA919" s="54"/>
      <c r="AB919" s="68"/>
    </row>
    <row r="920" spans="1:28" ht="63" x14ac:dyDescent="0.3">
      <c r="A920" s="33" t="s">
        <v>60</v>
      </c>
      <c r="B920" s="42">
        <v>879</v>
      </c>
      <c r="C920" s="33" t="s">
        <v>3979</v>
      </c>
      <c r="D920" s="33" t="s">
        <v>3986</v>
      </c>
      <c r="E920" s="32"/>
      <c r="F920" s="33" t="s">
        <v>3987</v>
      </c>
      <c r="G920" s="32"/>
      <c r="H920" s="32"/>
      <c r="I920" s="120" t="s">
        <v>3988</v>
      </c>
      <c r="J920" s="33" t="s">
        <v>43</v>
      </c>
      <c r="K920" s="33" t="s">
        <v>735</v>
      </c>
      <c r="L920" s="65">
        <v>250126298</v>
      </c>
      <c r="M920" s="32"/>
      <c r="N920" s="65">
        <v>15000000</v>
      </c>
      <c r="O920" s="33"/>
      <c r="P920" s="33"/>
      <c r="Q920" s="48">
        <f t="shared" si="892"/>
        <v>265126298</v>
      </c>
      <c r="R920" s="48">
        <v>250126298</v>
      </c>
      <c r="S920" s="33"/>
      <c r="T920" s="66"/>
      <c r="U920" s="33"/>
      <c r="V920" s="33"/>
      <c r="W920" s="52"/>
      <c r="X920" s="52">
        <f t="shared" ref="X920:Y920" si="914">M920-S920</f>
        <v>0</v>
      </c>
      <c r="Y920" s="52">
        <f t="shared" si="914"/>
        <v>15000000</v>
      </c>
      <c r="Z920" s="52">
        <f t="shared" si="770"/>
        <v>0</v>
      </c>
      <c r="AA920" s="54"/>
      <c r="AB920" s="68"/>
    </row>
    <row r="921" spans="1:28" ht="94.5" x14ac:dyDescent="0.25">
      <c r="A921" s="33" t="s">
        <v>275</v>
      </c>
      <c r="B921" s="42">
        <v>880</v>
      </c>
      <c r="C921" s="33" t="s">
        <v>906</v>
      </c>
      <c r="D921" s="33" t="s">
        <v>3914</v>
      </c>
      <c r="E921" s="32"/>
      <c r="F921" s="33" t="s">
        <v>3991</v>
      </c>
      <c r="G921" s="32"/>
      <c r="H921" s="33" t="s">
        <v>113</v>
      </c>
      <c r="I921" s="62" t="s">
        <v>3992</v>
      </c>
      <c r="J921" s="33" t="s">
        <v>43</v>
      </c>
      <c r="K921" s="33" t="s">
        <v>212</v>
      </c>
      <c r="L921" s="65">
        <v>493278040</v>
      </c>
      <c r="M921" s="65"/>
      <c r="N921" s="32"/>
      <c r="O921" s="43"/>
      <c r="P921" s="43"/>
      <c r="Q921" s="48">
        <f t="shared" si="892"/>
        <v>493278040</v>
      </c>
      <c r="R921" s="33"/>
      <c r="S921" s="33"/>
      <c r="T921" s="66"/>
      <c r="U921" s="33"/>
      <c r="V921" s="33"/>
      <c r="W921" s="52">
        <v>493278040</v>
      </c>
      <c r="X921" s="52">
        <f t="shared" ref="X921:Y921" si="915">M921-S921</f>
        <v>0</v>
      </c>
      <c r="Y921" s="52">
        <f t="shared" si="915"/>
        <v>0</v>
      </c>
      <c r="Z921" s="52">
        <f t="shared" si="770"/>
        <v>0</v>
      </c>
      <c r="AA921" s="54"/>
      <c r="AB921" s="68"/>
    </row>
    <row r="922" spans="1:28" ht="94.5" x14ac:dyDescent="0.25">
      <c r="A922" s="33" t="s">
        <v>60</v>
      </c>
      <c r="B922" s="42">
        <v>881</v>
      </c>
      <c r="C922" s="33" t="s">
        <v>3993</v>
      </c>
      <c r="D922" s="32"/>
      <c r="E922" s="32"/>
      <c r="F922" s="33" t="s">
        <v>3994</v>
      </c>
      <c r="G922" s="32"/>
      <c r="H922" s="32"/>
      <c r="I922" s="62" t="s">
        <v>3995</v>
      </c>
      <c r="J922" s="33" t="s">
        <v>43</v>
      </c>
      <c r="K922" s="33" t="s">
        <v>212</v>
      </c>
      <c r="L922" s="65">
        <v>564348340</v>
      </c>
      <c r="M922" s="32"/>
      <c r="N922" s="65">
        <v>15000000</v>
      </c>
      <c r="O922" s="43"/>
      <c r="P922" s="43"/>
      <c r="Q922" s="48">
        <f t="shared" si="892"/>
        <v>579348340</v>
      </c>
      <c r="R922" s="48">
        <v>564348340</v>
      </c>
      <c r="S922" s="33"/>
      <c r="T922" s="66"/>
      <c r="U922" s="33"/>
      <c r="V922" s="33"/>
      <c r="W922" s="52"/>
      <c r="X922" s="52">
        <f t="shared" ref="X922:Y922" si="916">M922-S922</f>
        <v>0</v>
      </c>
      <c r="Y922" s="52">
        <f t="shared" si="916"/>
        <v>15000000</v>
      </c>
      <c r="Z922" s="52">
        <f t="shared" si="770"/>
        <v>0</v>
      </c>
      <c r="AA922" s="54"/>
      <c r="AB922" s="68"/>
    </row>
    <row r="923" spans="1:28" ht="94.5" x14ac:dyDescent="0.25">
      <c r="A923" s="33" t="s">
        <v>35</v>
      </c>
      <c r="B923" s="42">
        <v>882</v>
      </c>
      <c r="C923" s="33" t="s">
        <v>3993</v>
      </c>
      <c r="D923" s="32"/>
      <c r="E923" s="32"/>
      <c r="F923" s="33" t="s">
        <v>3996</v>
      </c>
      <c r="G923" s="32"/>
      <c r="H923" s="32"/>
      <c r="I923" s="62" t="s">
        <v>3997</v>
      </c>
      <c r="J923" s="33" t="s">
        <v>43</v>
      </c>
      <c r="K923" s="33" t="s">
        <v>212</v>
      </c>
      <c r="L923" s="65">
        <v>589933648</v>
      </c>
      <c r="M923" s="32"/>
      <c r="N923" s="65">
        <v>15000000</v>
      </c>
      <c r="O923" s="43"/>
      <c r="P923" s="43"/>
      <c r="Q923" s="48">
        <f t="shared" si="892"/>
        <v>604933648</v>
      </c>
      <c r="R923" s="48">
        <v>589933648</v>
      </c>
      <c r="S923" s="33"/>
      <c r="T923" s="66"/>
      <c r="U923" s="33"/>
      <c r="V923" s="33"/>
      <c r="W923" s="52"/>
      <c r="X923" s="52">
        <f t="shared" ref="X923:Y923" si="917">M923-S923</f>
        <v>0</v>
      </c>
      <c r="Y923" s="52">
        <f t="shared" si="917"/>
        <v>15000000</v>
      </c>
      <c r="Z923" s="52">
        <f t="shared" si="770"/>
        <v>0</v>
      </c>
      <c r="AA923" s="54"/>
      <c r="AB923" s="68"/>
    </row>
    <row r="924" spans="1:28" ht="94.5" x14ac:dyDescent="0.25">
      <c r="A924" s="33" t="s">
        <v>35</v>
      </c>
      <c r="B924" s="42">
        <v>883</v>
      </c>
      <c r="C924" s="33" t="s">
        <v>3993</v>
      </c>
      <c r="D924" s="32"/>
      <c r="E924" s="32"/>
      <c r="F924" s="33" t="s">
        <v>3998</v>
      </c>
      <c r="G924" s="32"/>
      <c r="H924" s="32"/>
      <c r="I924" s="62" t="s">
        <v>3999</v>
      </c>
      <c r="J924" s="33" t="s">
        <v>43</v>
      </c>
      <c r="K924" s="33" t="s">
        <v>212</v>
      </c>
      <c r="L924" s="65">
        <v>396622432</v>
      </c>
      <c r="M924" s="32"/>
      <c r="N924" s="65">
        <v>15000000</v>
      </c>
      <c r="O924" s="43"/>
      <c r="P924" s="43"/>
      <c r="Q924" s="48">
        <f t="shared" si="892"/>
        <v>411622432</v>
      </c>
      <c r="R924" s="48">
        <v>396622432</v>
      </c>
      <c r="S924" s="33"/>
      <c r="T924" s="44">
        <v>15000000</v>
      </c>
      <c r="U924" s="33"/>
      <c r="V924" s="33"/>
      <c r="W924" s="52"/>
      <c r="X924" s="52">
        <f t="shared" ref="X924:Y924" si="918">M924-S924</f>
        <v>0</v>
      </c>
      <c r="Y924" s="52">
        <f t="shared" si="918"/>
        <v>0</v>
      </c>
      <c r="Z924" s="52">
        <f t="shared" si="770"/>
        <v>0</v>
      </c>
      <c r="AA924" s="54"/>
      <c r="AB924" s="68"/>
    </row>
    <row r="925" spans="1:28" ht="60.75" x14ac:dyDescent="0.25">
      <c r="A925" s="33" t="s">
        <v>35</v>
      </c>
      <c r="B925" s="42">
        <v>884</v>
      </c>
      <c r="C925" s="33" t="s">
        <v>4000</v>
      </c>
      <c r="D925" s="32"/>
      <c r="E925" s="32"/>
      <c r="F925" s="33" t="s">
        <v>4001</v>
      </c>
      <c r="G925" s="32"/>
      <c r="H925" s="32"/>
      <c r="I925" s="62" t="s">
        <v>4002</v>
      </c>
      <c r="J925" s="33" t="s">
        <v>43</v>
      </c>
      <c r="K925" s="33" t="s">
        <v>4003</v>
      </c>
      <c r="L925" s="65">
        <v>149778000</v>
      </c>
      <c r="M925" s="32"/>
      <c r="N925" s="32"/>
      <c r="O925" s="43"/>
      <c r="P925" s="43"/>
      <c r="Q925" s="48">
        <f t="shared" si="892"/>
        <v>149778000</v>
      </c>
      <c r="R925" s="33"/>
      <c r="S925" s="33"/>
      <c r="T925" s="66"/>
      <c r="U925" s="33"/>
      <c r="V925" s="33"/>
      <c r="W925" s="52">
        <v>149778000</v>
      </c>
      <c r="X925" s="52">
        <f t="shared" ref="X925:Y925" si="919">M925-S925</f>
        <v>0</v>
      </c>
      <c r="Y925" s="52">
        <f t="shared" si="919"/>
        <v>0</v>
      </c>
      <c r="Z925" s="52">
        <f t="shared" si="770"/>
        <v>0</v>
      </c>
      <c r="AA925" s="54"/>
      <c r="AB925" s="68"/>
    </row>
    <row r="926" spans="1:28" ht="60.75" x14ac:dyDescent="0.25">
      <c r="A926" s="33" t="s">
        <v>35</v>
      </c>
      <c r="B926" s="42">
        <v>885</v>
      </c>
      <c r="C926" s="33" t="s">
        <v>4000</v>
      </c>
      <c r="D926" s="32"/>
      <c r="E926" s="32"/>
      <c r="F926" s="33" t="s">
        <v>1363</v>
      </c>
      <c r="G926" s="32"/>
      <c r="H926" s="32"/>
      <c r="I926" s="62" t="s">
        <v>4002</v>
      </c>
      <c r="J926" s="33" t="s">
        <v>43</v>
      </c>
      <c r="K926" s="33" t="s">
        <v>4004</v>
      </c>
      <c r="L926" s="65">
        <v>95035000</v>
      </c>
      <c r="M926" s="32"/>
      <c r="N926" s="32"/>
      <c r="O926" s="43"/>
      <c r="P926" s="43"/>
      <c r="Q926" s="48">
        <f t="shared" si="892"/>
        <v>95035000</v>
      </c>
      <c r="R926" s="33"/>
      <c r="S926" s="33"/>
      <c r="T926" s="66"/>
      <c r="U926" s="33"/>
      <c r="V926" s="33"/>
      <c r="W926" s="52">
        <v>95035000</v>
      </c>
      <c r="X926" s="52">
        <f t="shared" ref="X926:Y926" si="920">M926-S926</f>
        <v>0</v>
      </c>
      <c r="Y926" s="52">
        <f t="shared" si="920"/>
        <v>0</v>
      </c>
      <c r="Z926" s="52">
        <f t="shared" si="770"/>
        <v>0</v>
      </c>
      <c r="AA926" s="54"/>
      <c r="AB926" s="68"/>
    </row>
  </sheetData>
  <autoFilter ref="A13:AS926" xr:uid="{00000000-0009-0000-0000-000003000000}"/>
  <mergeCells count="161">
    <mergeCell ref="B898:B899"/>
    <mergeCell ref="C898:C899"/>
    <mergeCell ref="F898:F899"/>
    <mergeCell ref="I898:I899"/>
    <mergeCell ref="J898:J899"/>
    <mergeCell ref="K898:K899"/>
    <mergeCell ref="B796:B797"/>
    <mergeCell ref="C796:C797"/>
    <mergeCell ref="F796:F797"/>
    <mergeCell ref="I796:I797"/>
    <mergeCell ref="J796:J797"/>
    <mergeCell ref="K796:K797"/>
    <mergeCell ref="C847:C848"/>
    <mergeCell ref="F847:F848"/>
    <mergeCell ref="I847:I848"/>
    <mergeCell ref="J847:J848"/>
    <mergeCell ref="K847:K848"/>
    <mergeCell ref="B847:B848"/>
    <mergeCell ref="B894:B895"/>
    <mergeCell ref="C894:C895"/>
    <mergeCell ref="F894:F895"/>
    <mergeCell ref="I894:I895"/>
    <mergeCell ref="J894:J895"/>
    <mergeCell ref="K894:K895"/>
    <mergeCell ref="B781:B782"/>
    <mergeCell ref="B789:B790"/>
    <mergeCell ref="C789:C790"/>
    <mergeCell ref="F789:F790"/>
    <mergeCell ref="B791:B792"/>
    <mergeCell ref="C791:C792"/>
    <mergeCell ref="F791:F792"/>
    <mergeCell ref="C781:C782"/>
    <mergeCell ref="F781:F782"/>
    <mergeCell ref="I781:I782"/>
    <mergeCell ref="I789:I790"/>
    <mergeCell ref="J789:J790"/>
    <mergeCell ref="K789:K790"/>
    <mergeCell ref="I791:I792"/>
    <mergeCell ref="J791:J792"/>
    <mergeCell ref="K791:K792"/>
    <mergeCell ref="J781:J782"/>
    <mergeCell ref="K781:K782"/>
    <mergeCell ref="J738:J739"/>
    <mergeCell ref="K738:K739"/>
    <mergeCell ref="B753:B754"/>
    <mergeCell ref="K753:K754"/>
    <mergeCell ref="C753:C754"/>
    <mergeCell ref="F753:F754"/>
    <mergeCell ref="B776:B778"/>
    <mergeCell ref="C776:C778"/>
    <mergeCell ref="F776:F778"/>
    <mergeCell ref="I753:I754"/>
    <mergeCell ref="J753:J754"/>
    <mergeCell ref="I776:I778"/>
    <mergeCell ref="J776:J778"/>
    <mergeCell ref="K776:K778"/>
    <mergeCell ref="K684:K685"/>
    <mergeCell ref="B684:B685"/>
    <mergeCell ref="B727:B728"/>
    <mergeCell ref="C727:C728"/>
    <mergeCell ref="F727:F728"/>
    <mergeCell ref="I727:I728"/>
    <mergeCell ref="J727:J728"/>
    <mergeCell ref="K727:K728"/>
    <mergeCell ref="C834:C835"/>
    <mergeCell ref="F834:F835"/>
    <mergeCell ref="B815:B816"/>
    <mergeCell ref="C815:C816"/>
    <mergeCell ref="F815:F816"/>
    <mergeCell ref="I815:I816"/>
    <mergeCell ref="J815:J816"/>
    <mergeCell ref="K815:K816"/>
    <mergeCell ref="B834:B835"/>
    <mergeCell ref="K834:K835"/>
    <mergeCell ref="I834:I835"/>
    <mergeCell ref="J834:J835"/>
    <mergeCell ref="B738:B739"/>
    <mergeCell ref="C738:C739"/>
    <mergeCell ref="F738:F739"/>
    <mergeCell ref="I738:I739"/>
    <mergeCell ref="B638:B639"/>
    <mergeCell ref="C638:C639"/>
    <mergeCell ref="F638:F639"/>
    <mergeCell ref="C684:C685"/>
    <mergeCell ref="E684:E685"/>
    <mergeCell ref="F684:F685"/>
    <mergeCell ref="G684:G685"/>
    <mergeCell ref="H684:H685"/>
    <mergeCell ref="I684:I685"/>
    <mergeCell ref="I638:I639"/>
    <mergeCell ref="J638:J639"/>
    <mergeCell ref="K638:K639"/>
    <mergeCell ref="I296:I297"/>
    <mergeCell ref="J296:J297"/>
    <mergeCell ref="I301:I302"/>
    <mergeCell ref="J301:J302"/>
    <mergeCell ref="K301:K302"/>
    <mergeCell ref="J403:J404"/>
    <mergeCell ref="K403:K404"/>
    <mergeCell ref="B301:B302"/>
    <mergeCell ref="C301:C302"/>
    <mergeCell ref="F301:F302"/>
    <mergeCell ref="C403:C404"/>
    <mergeCell ref="F403:F404"/>
    <mergeCell ref="I403:I404"/>
    <mergeCell ref="I564:I565"/>
    <mergeCell ref="J564:J565"/>
    <mergeCell ref="K564:K565"/>
    <mergeCell ref="B403:B404"/>
    <mergeCell ref="B564:B565"/>
    <mergeCell ref="C564:C565"/>
    <mergeCell ref="F564:F565"/>
    <mergeCell ref="B286:B287"/>
    <mergeCell ref="C286:C287"/>
    <mergeCell ref="F286:F287"/>
    <mergeCell ref="I286:I287"/>
    <mergeCell ref="J286:J287"/>
    <mergeCell ref="K286:K287"/>
    <mergeCell ref="B296:B297"/>
    <mergeCell ref="K296:K297"/>
    <mergeCell ref="C296:C297"/>
    <mergeCell ref="F296:F297"/>
    <mergeCell ref="I254:I255"/>
    <mergeCell ref="J254:J255"/>
    <mergeCell ref="K254:K255"/>
    <mergeCell ref="B264:B265"/>
    <mergeCell ref="C264:C265"/>
    <mergeCell ref="F264:F265"/>
    <mergeCell ref="I264:I265"/>
    <mergeCell ref="J264:J265"/>
    <mergeCell ref="K264:K265"/>
    <mergeCell ref="B254:B255"/>
    <mergeCell ref="C254:C255"/>
    <mergeCell ref="F254:F255"/>
    <mergeCell ref="A10:A11"/>
    <mergeCell ref="W10:Z10"/>
    <mergeCell ref="AA10:AA11"/>
    <mergeCell ref="AB10:AB11"/>
    <mergeCell ref="G10:G11"/>
    <mergeCell ref="H10:H11"/>
    <mergeCell ref="I10:I11"/>
    <mergeCell ref="J10:J11"/>
    <mergeCell ref="K10:K11"/>
    <mergeCell ref="O10:O11"/>
    <mergeCell ref="R10:V10"/>
    <mergeCell ref="B10:B11"/>
    <mergeCell ref="C10:C11"/>
    <mergeCell ref="E10:E11"/>
    <mergeCell ref="F10:F11"/>
    <mergeCell ref="F53:F54"/>
    <mergeCell ref="I53:I54"/>
    <mergeCell ref="J53:J54"/>
    <mergeCell ref="K53:K54"/>
    <mergeCell ref="B4:E4"/>
    <mergeCell ref="B5:E5"/>
    <mergeCell ref="H5:H8"/>
    <mergeCell ref="B6:E6"/>
    <mergeCell ref="B7:E7"/>
    <mergeCell ref="B8:E8"/>
    <mergeCell ref="B53:B54"/>
    <mergeCell ref="C53:C54"/>
  </mergeCells>
  <pageMargins left="0.24" right="0.17" top="0.3" bottom="0.25" header="0" footer="0"/>
  <pageSetup paperSize="9" scale="6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Tổng hơp RXT - Bình Thạnh</vt:lpstr>
      <vt:lpstr>Chưa chi BT lần đầu</vt:lpstr>
      <vt:lpstr>Chưa chi BT BS</vt:lpstr>
      <vt:lpstr>Chưa chi BGMB</vt:lpstr>
      <vt:lpstr>Chưa chi Tạm cư</vt:lpstr>
      <vt:lpstr>Tổng hơp RXT - Bình Thạnh (2)</vt:lpstr>
      <vt:lpstr>Tạm cư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2026-10-14T09:47:49Z</dcterms:modified>
</cp:coreProperties>
</file>